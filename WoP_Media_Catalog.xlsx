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a Catalog" sheetId="1" state="visible" r:id="rId3"/>
    <sheet name="Reference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<sst xmlns="http://schemas.openxmlformats.org/spreadsheetml/2006/main" count="419" uniqueCount="183">
  <si>
    <t xml:space="preserve">IDENTITY &amp; CLASSIFICATION</t>
  </si>
  <si>
    <t xml:space="preserve">CONTENT</t>
  </si>
  <si>
    <t xml:space="preserve">CREDITS</t>
  </si>
  <si>
    <t xml:space="preserve">TECHNICAL METADATA</t>
  </si>
  <si>
    <t xml:space="preserve">SOURCE &amp; PRODUCTION</t>
  </si>
  <si>
    <t xml:space="preserve">ARCHIVE TIERS</t>
  </si>
  <si>
    <t xml:space="preserve">DEPLOYMENT</t>
  </si>
  <si>
    <t xml:space="preserve">PIPELINE &amp; STATUS</t>
  </si>
  <si>
    <t xml:space="preserve">Catalog ID</t>
  </si>
  <si>
    <t xml:space="preserve">ISRC</t>
  </si>
  <si>
    <t xml:space="preserve">Media Type</t>
  </si>
  <si>
    <t xml:space="preserve">Prefix</t>
  </si>
  <si>
    <t xml:space="preserve">Chapter</t>
  </si>
  <si>
    <t xml:space="preserve">Track #</t>
  </si>
  <si>
    <t xml:space="preserve">Version</t>
  </si>
  <si>
    <t xml:space="preserve">Title</t>
  </si>
  <si>
    <t xml:space="preserve">Style Descriptor</t>
  </si>
  <si>
    <t xml:space="preserve">Duration</t>
  </si>
  <si>
    <t xml:space="preserve">Description</t>
  </si>
  <si>
    <t xml:space="preserve">Artist / Performer</t>
  </si>
  <si>
    <t xml:space="preserve">Composer</t>
  </si>
  <si>
    <t xml:space="preserve">Narrator / Host</t>
  </si>
  <si>
    <t xml:space="preserve">Copyright</t>
  </si>
  <si>
    <t xml:space="preserve">Year</t>
  </si>
  <si>
    <t xml:space="preserve">Album / Series</t>
  </si>
  <si>
    <t xml:space="preserve">Genre</t>
  </si>
  <si>
    <t xml:space="preserve">BPM</t>
  </si>
  <si>
    <t xml:space="preserve">Key</t>
  </si>
  <si>
    <t xml:space="preserve">Source Platform</t>
  </si>
  <si>
    <t xml:space="preserve">Source File</t>
  </si>
  <si>
    <t xml:space="preserve">Mastered</t>
  </si>
  <si>
    <t xml:space="preserve">Mastering Tool</t>
  </si>
  <si>
    <t xml:space="preserve">Archive WAV</t>
  </si>
  <si>
    <t xml:space="preserve">Distro WAV</t>
  </si>
  <si>
    <t xml:space="preserve">Web MP3</t>
  </si>
  <si>
    <t xml:space="preserve">VBR V2</t>
  </si>
  <si>
    <t xml:space="preserve">Album Art</t>
  </si>
  <si>
    <t xml:space="preserve">Web Filename</t>
  </si>
  <si>
    <t xml:space="preserve">Website Live</t>
  </si>
  <si>
    <t xml:space="preserve">R2 CDN</t>
  </si>
  <si>
    <t xml:space="preserve">DistroKid</t>
  </si>
  <si>
    <t xml:space="preserve">Release Date</t>
  </si>
  <si>
    <t xml:space="preserve">Streaming Live</t>
  </si>
  <si>
    <t xml:space="preserve">Pipeline Status</t>
  </si>
  <si>
    <t xml:space="preserve">ID3 Tagged</t>
  </si>
  <si>
    <t xml:space="preserve">Last Updated</t>
  </si>
  <si>
    <t xml:space="preserve">Notes</t>
  </si>
  <si>
    <t xml:space="preserve">WOP-0001</t>
  </si>
  <si>
    <t xml:space="preserve">Music</t>
  </si>
  <si>
    <t xml:space="preserve">AN</t>
  </si>
  <si>
    <t xml:space="preserve">The Marks of Your Worth</t>
  </si>
  <si>
    <t xml:space="preserve">Sacred Americana</t>
  </si>
  <si>
    <t xml:space="preserve">Words of Plainness</t>
  </si>
  <si>
    <t xml:space="preserve">Aaron J Powner</t>
  </si>
  <si>
    <t xml:space="preserve">© 2026 Aaron J Powner</t>
  </si>
  <si>
    <t xml:space="preserve">Words of Plainness: Musical Testimonies</t>
  </si>
  <si>
    <t xml:space="preserve">Christian / Sacred</t>
  </si>
  <si>
    <t xml:space="preserve">Complete</t>
  </si>
  <si>
    <t xml:space="preserve">First track through full /publish pipeline. DistroKid submitted.</t>
  </si>
  <si>
    <t xml:space="preserve">WOP-0002</t>
  </si>
  <si>
    <t xml:space="preserve">Calling the Straying Stranger Home</t>
  </si>
  <si>
    <t xml:space="preserve">Duet</t>
  </si>
  <si>
    <t xml:space="preserve">Legacy — Needs Pipeline</t>
  </si>
  <si>
    <t xml:space="preserve">Anthem — homepage hymn. Pre-pipeline deployment.</t>
  </si>
  <si>
    <t xml:space="preserve">WOP-0003</t>
  </si>
  <si>
    <t xml:space="preserve">01</t>
  </si>
  <si>
    <t xml:space="preserve">Introduction to Plainness</t>
  </si>
  <si>
    <t xml:space="preserve">Chapter 1 primary testimony.</t>
  </si>
  <si>
    <t xml:space="preserve">PREFIX CODES</t>
  </si>
  <si>
    <t xml:space="preserve">Code</t>
  </si>
  <si>
    <t xml:space="preserve">Category</t>
  </si>
  <si>
    <t xml:space="preserve">01–63</t>
  </si>
  <si>
    <t xml:space="preserve">Chapter Testimony</t>
  </si>
  <si>
    <t xml:space="preserve">Two-digit chapter number (01, 02, ... 63). Primary testimony songs and genre alternates.</t>
  </si>
  <si>
    <t xml:space="preserve">Anthem</t>
  </si>
  <si>
    <t xml:space="preserve">Ministry anthems — flagship songs not tied to a single chapter.</t>
  </si>
  <si>
    <t xml:space="preserve">SY</t>
  </si>
  <si>
    <t xml:space="preserve">Symphonic / Orchestral</t>
  </si>
  <si>
    <t xml:space="preserve">Full orchestral or symphonic arrangements.</t>
  </si>
  <si>
    <t xml:space="preserve">AM</t>
  </si>
  <si>
    <t xml:space="preserve">Ambient</t>
  </si>
  <si>
    <t xml:space="preserve">Reading accompaniment and atmospheric tracks for chapter pages.</t>
  </si>
  <si>
    <t xml:space="preserve">SP</t>
  </si>
  <si>
    <t xml:space="preserve">Special / Standalone</t>
  </si>
  <si>
    <t xml:space="preserve">One-off tracks, collaborations, or event-specific recordings.</t>
  </si>
  <si>
    <t xml:space="preserve">OV</t>
  </si>
  <si>
    <t xml:space="preserve">Overture</t>
  </si>
  <si>
    <t xml:space="preserve">Opening/introductory compositions for the ministry or major sections.</t>
  </si>
  <si>
    <t xml:space="preserve">NR</t>
  </si>
  <si>
    <t xml:space="preserve">Narration</t>
  </si>
  <si>
    <t xml:space="preserve">Chapter narration audio — spoken readings of chapter prose.</t>
  </si>
  <si>
    <t xml:space="preserve">PO</t>
  </si>
  <si>
    <t xml:space="preserve">Podcast</t>
  </si>
  <si>
    <t xml:space="preserve">Overview podcasts, discussion episodes, teaching content.</t>
  </si>
  <si>
    <t xml:space="preserve">SW</t>
  </si>
  <si>
    <t xml:space="preserve">Spoken Word</t>
  </si>
  <si>
    <t xml:space="preserve">Prayers, benedictions, spoken testimony pieces.</t>
  </si>
  <si>
    <t xml:space="preserve">VD</t>
  </si>
  <si>
    <t xml:space="preserve">Video</t>
  </si>
  <si>
    <t xml:space="preserve">Music videos, visual testimonies (LTX Studio and similar).</t>
  </si>
  <si>
    <t xml:space="preserve">MEDIA TYPES</t>
  </si>
  <si>
    <t xml:space="preserve">Musical testimony, anthem, ambient, or orchestral track.</t>
  </si>
  <si>
    <t xml:space="preserve">Spoken reading of chapter prose. Typically NR prefix.</t>
  </si>
  <si>
    <t xml:space="preserve">Discussion, overview, or teaching episode. Typically PO prefix.</t>
  </si>
  <si>
    <t xml:space="preserve">Prayers, benedictions, testimonies delivered as spoken art. SW prefix.</t>
  </si>
  <si>
    <t xml:space="preserve">Atmospheric/environmental audio for reading accompaniment. AM prefix.</t>
  </si>
  <si>
    <t xml:space="preserve">Visual media — music videos, animated testimonies. VD prefix.</t>
  </si>
  <si>
    <t xml:space="preserve">Other</t>
  </si>
  <si>
    <t xml:space="preserve">Catch-all for unanticipated formats.</t>
  </si>
  <si>
    <t xml:space="preserve">PIPELINE STATUSES</t>
  </si>
  <si>
    <t xml:space="preserve">Status</t>
  </si>
  <si>
    <t xml:space="preserve">Meaning</t>
  </si>
  <si>
    <t xml:space="preserve">Not Started</t>
  </si>
  <si>
    <t xml:space="preserve">Track identified but no pipeline work begun.</t>
  </si>
  <si>
    <t xml:space="preserve">Source Located</t>
  </si>
  <si>
    <t xml:space="preserve">Highest-quality source file identified and accessible.</t>
  </si>
  <si>
    <t xml:space="preserve">Audio mastered via Masterchannel or manual process.</t>
  </si>
  <si>
    <t xml:space="preserve">Tagged</t>
  </si>
  <si>
    <t xml:space="preserve">ID3 tags applied to all tiers per WoP standards.</t>
  </si>
  <si>
    <t xml:space="preserve">Archived</t>
  </si>
  <si>
    <t xml:space="preserve">Three-tier archive created (Archive WAV, Distro WAV, Web MP3).</t>
  </si>
  <si>
    <t xml:space="preserve">Web Ready</t>
  </si>
  <si>
    <t xml:space="preserve">VBR V2 web MP3 generated, ready for site deployment.</t>
  </si>
  <si>
    <t xml:space="preserve">Deployed</t>
  </si>
  <si>
    <t xml:space="preserve">Live on website but not yet submitted to streaming.</t>
  </si>
  <si>
    <t xml:space="preserve">Fully published: tagged, archived, on website, streaming submitted.</t>
  </si>
  <si>
    <t xml:space="preserve">Pre-pipeline deployment. Needs full pipeline run to bring to standard.</t>
  </si>
  <si>
    <t xml:space="preserve">N/A</t>
  </si>
  <si>
    <t xml:space="preserve">Pipeline does not apply (e.g., video content, external links).</t>
  </si>
  <si>
    <t xml:space="preserve">NAMING CONVENTIONS</t>
  </si>
  <si>
    <t xml:space="preserve">Music files:</t>
  </si>
  <si>
    <t xml:space="preserve">[Prefix]_[Track#]_[Title_Words]_[Style].mp3</t>
  </si>
  <si>
    <t xml:space="preserve">Example:</t>
  </si>
  <si>
    <t xml:space="preserve">06_03_I_Have_Tasted_the_Light_Gospel_Soul.mp3</t>
  </si>
  <si>
    <t xml:space="preserve">Narration:</t>
  </si>
  <si>
    <t xml:space="preserve">[Prefix]_[Track#]_[Chapter_Title]_Narration.mp3</t>
  </si>
  <si>
    <t xml:space="preserve">NR_01_Introduction_to_Plainness_Narration.mp3</t>
  </si>
  <si>
    <t xml:space="preserve">Podcast:</t>
  </si>
  <si>
    <t xml:space="preserve">PO_[Episode#]_[Episode_Title].mp3</t>
  </si>
  <si>
    <t xml:space="preserve">PO_01_Overview_The_Plan_of_Salvation.mp3</t>
  </si>
  <si>
    <t xml:space="preserve">Ambient:</t>
  </si>
  <si>
    <t xml:space="preserve">AM_[Chapter#]_[Title]_Ambient.mp3</t>
  </si>
  <si>
    <t xml:space="preserve">AM_06_Tasted_the_Light_Ambient.mp3</t>
  </si>
  <si>
    <t xml:space="preserve">R2 CDN (music):</t>
  </si>
  <si>
    <t xml:space="preserve">[prefix]_[track]_[title]_[style]  (lowercase, underscores)</t>
  </si>
  <si>
    <t xml:space="preserve">R2 CDN (non-music):</t>
  </si>
  <si>
    <t xml:space="preserve">[prefix]_[chapter]_[track]  with NR/PO/SW codes</t>
  </si>
  <si>
    <t xml:space="preserve">ID3 TAG DEFAULTS</t>
  </si>
  <si>
    <t xml:space="preserve">Field</t>
  </si>
  <si>
    <t xml:space="preserve">Default Value</t>
  </si>
  <si>
    <t xml:space="preserve">Artist</t>
  </si>
  <si>
    <t xml:space="preserve">Album (Music)</t>
  </si>
  <si>
    <t xml:space="preserve">Album (Podcast)</t>
  </si>
  <si>
    <t xml:space="preserve">Words of Plainness: Conversations</t>
  </si>
  <si>
    <t xml:space="preserve">Album (Narration)</t>
  </si>
  <si>
    <t xml:space="preserve">Words of Plainness: Chapter Readings</t>
  </si>
  <si>
    <t xml:space="preserve">2026</t>
  </si>
  <si>
    <t xml:space="preserve">Label</t>
  </si>
  <si>
    <t xml:space="preserve">Aaron Powner Publishing</t>
  </si>
  <si>
    <t xml:space="preserve">Web MP3 Encoding</t>
  </si>
  <si>
    <t xml:space="preserve">VBR V2 (~190kbps), no embedded album art</t>
  </si>
  <si>
    <t xml:space="preserve">Full quality + embedded album art</t>
  </si>
  <si>
    <t xml:space="preserve">16-bit/44.1kHz + embedded album art</t>
  </si>
  <si>
    <t xml:space="preserve">WoP MEDIA CATALOG — DASHBOARD</t>
  </si>
  <si>
    <t xml:space="preserve">Metric</t>
  </si>
  <si>
    <t xml:space="preserve">Count</t>
  </si>
  <si>
    <t xml:space="preserve">Total Entries</t>
  </si>
  <si>
    <t xml:space="preserve">All cataloged media</t>
  </si>
  <si>
    <t xml:space="preserve">Music Tracks</t>
  </si>
  <si>
    <t xml:space="preserve">Narration Tracks</t>
  </si>
  <si>
    <t xml:space="preserve">Podcasts</t>
  </si>
  <si>
    <t xml:space="preserve">Ambient Tracks</t>
  </si>
  <si>
    <t xml:space="preserve">Pipeline: Complete</t>
  </si>
  <si>
    <t xml:space="preserve">Fully published</t>
  </si>
  <si>
    <t xml:space="preserve">Pipeline: Legacy</t>
  </si>
  <si>
    <t xml:space="preserve">Need pipeline run</t>
  </si>
  <si>
    <t xml:space="preserve">Pipeline: Not Started</t>
  </si>
  <si>
    <t xml:space="preserve">Pipeline: In Progress</t>
  </si>
  <si>
    <t xml:space="preserve">Deployed to website</t>
  </si>
  <si>
    <t xml:space="preserve">DistroKid Submitted</t>
  </si>
  <si>
    <t xml:space="preserve">Sent to streaming</t>
  </si>
  <si>
    <t xml:space="preserve">R2 CDN Migrated</t>
  </si>
  <si>
    <t xml:space="preserve">On Cloudflare R2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</si>
</sst>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B3A4B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1B3A4B"/>
      <name val="Arial"/>
      <family val="0"/>
      <charset val="1"/>
    </font>
    <font>
      <sz val="10"/>
      <color rgb="FF66666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2C5F7C"/>
        <bgColor rgb="FF2C4A7C"/>
      </patternFill>
    </fill>
    <fill>
      <patternFill patternType="solid">
        <fgColor rgb="FF3A7D6E"/>
        <bgColor rgb="FF4A7C2C"/>
      </patternFill>
    </fill>
    <fill>
      <patternFill patternType="solid">
        <fgColor rgb="FF7C5F2C"/>
        <bgColor rgb="FF666666"/>
      </patternFill>
    </fill>
    <fill>
      <patternFill patternType="solid">
        <fgColor rgb="FF5F2C7C"/>
        <bgColor rgb="FF7C2C4A"/>
      </patternFill>
    </fill>
    <fill>
      <patternFill patternType="solid">
        <fgColor rgb="FF7C2C4A"/>
        <bgColor rgb="FF5F2C7C"/>
      </patternFill>
    </fill>
    <fill>
      <patternFill patternType="solid">
        <fgColor rgb="FF2C4A7C"/>
        <bgColor rgb="FF2C5F7C"/>
      </patternFill>
    </fill>
    <fill>
      <patternFill patternType="solid">
        <fgColor rgb="FF4A7C2C"/>
        <bgColor rgb="FF3A7D6E"/>
      </patternFill>
    </fill>
    <fill>
      <patternFill patternType="solid">
        <fgColor rgb="FF5C5C5C"/>
        <bgColor rgb="FF666666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4A7C2C"/>
      <rgbColor rgb="FF000080"/>
      <rgbColor rgb="FF7C5F2C"/>
      <rgbColor rgb="FF800080"/>
      <rgbColor rgb="FF2C5F7C"/>
      <rgbColor rgb="FFCCCCCC"/>
      <rgbColor rgb="FF5C5C5C"/>
      <rgbColor rgb="FF9999FF"/>
      <rgbColor rgb="FF7C2C4A"/>
      <rgbColor rgb="FFF7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A7D6E"/>
      <rgbColor rgb="FF003300"/>
      <rgbColor rgb="FF333300"/>
      <rgbColor rgb="FF993300"/>
      <rgbColor rgb="FF5F2C7C"/>
      <rgbColor rgb="FF2C4A7C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32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36"/>
    <col collapsed="false" customWidth="true" hidden="false" outlineLevel="0" max="12" min="12" style="0" width="22"/>
    <col collapsed="false" customWidth="true" hidden="false" outlineLevel="0" max="14" min="13" style="0" width="18"/>
    <col collapsed="false" customWidth="true" hidden="false" outlineLevel="0" max="15" min="15" style="0" width="24"/>
    <col collapsed="false" customWidth="true" hidden="false" outlineLevel="0" max="16" min="16" style="0" width="7"/>
    <col collapsed="false" customWidth="true" hidden="false" outlineLevel="0" max="17" min="17" style="0" width="34"/>
    <col collapsed="false" customWidth="true" hidden="false" outlineLevel="0" max="18" min="18" style="0" width="20"/>
    <col collapsed="false" customWidth="true" hidden="false" outlineLevel="0" max="20" min="19" style="0" width="7"/>
    <col collapsed="false" customWidth="true" hidden="false" outlineLevel="0" max="21" min="21" style="0" width="16"/>
    <col collapsed="false" customWidth="true" hidden="false" outlineLevel="0" max="22" min="22" style="0" width="30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7" min="25" style="0" width="12"/>
    <col collapsed="false" customWidth="true" hidden="false" outlineLevel="0" max="28" min="28" style="0" width="8"/>
    <col collapsed="false" customWidth="true" hidden="false" outlineLevel="0" max="29" min="29" style="0" width="12"/>
    <col collapsed="false" customWidth="true" hidden="false" outlineLevel="0" max="30" min="30" style="0" width="42"/>
    <col collapsed="false" customWidth="true" hidden="false" outlineLevel="0" max="31" min="31" style="0" width="12"/>
    <col collapsed="false" customWidth="true" hidden="false" outlineLevel="0" max="32" min="32" style="0" width="10"/>
    <col collapsed="false" customWidth="true" hidden="false" outlineLevel="0" max="33" min="33" style="0" width="12"/>
    <col collapsed="false" customWidth="true" hidden="false" outlineLevel="0" max="34" min="34" style="0" width="13"/>
    <col collapsed="false" customWidth="true" hidden="false" outlineLevel="0" max="35" min="35" style="0" width="14"/>
    <col collapsed="false" customWidth="true" hidden="false" outlineLevel="0" max="36" min="36" style="0" width="16"/>
    <col collapsed="false" customWidth="true" hidden="false" outlineLevel="0" max="37" min="37" style="0" width="10"/>
    <col collapsed="false" customWidth="true" hidden="false" outlineLevel="0" max="38" min="38" style="0" width="13"/>
    <col collapsed="false" customWidth="true" hidden="false" outlineLevel="0" max="39" min="39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 t="s">
        <v>2</v>
      </c>
      <c r="M1" s="1"/>
      <c r="N1" s="1"/>
      <c r="O1" s="1"/>
      <c r="P1" s="1"/>
      <c r="Q1" s="1" t="s">
        <v>3</v>
      </c>
      <c r="R1" s="1"/>
      <c r="S1" s="1"/>
      <c r="T1" s="1"/>
      <c r="U1" s="1" t="s">
        <v>4</v>
      </c>
      <c r="V1" s="1"/>
      <c r="W1" s="1"/>
      <c r="X1" s="1"/>
      <c r="Y1" s="1" t="s">
        <v>5</v>
      </c>
      <c r="Z1" s="1"/>
      <c r="AA1" s="1"/>
      <c r="AB1" s="1"/>
      <c r="AC1" s="1"/>
      <c r="AD1" s="1" t="s">
        <v>6</v>
      </c>
      <c r="AE1" s="1"/>
      <c r="AF1" s="1"/>
      <c r="AG1" s="1"/>
      <c r="AH1" s="1"/>
      <c r="AI1" s="1"/>
      <c r="AJ1" s="1" t="s">
        <v>7</v>
      </c>
      <c r="AK1" s="1"/>
      <c r="AL1" s="1"/>
      <c r="AM1" s="1"/>
    </row>
    <row r="2" customFormat="false" ht="31.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6" t="s">
        <v>28</v>
      </c>
      <c r="V2" s="6" t="s">
        <v>29</v>
      </c>
      <c r="W2" s="6" t="s">
        <v>30</v>
      </c>
      <c r="X2" s="6" t="s">
        <v>31</v>
      </c>
      <c r="Y2" s="7" t="s">
        <v>32</v>
      </c>
      <c r="Z2" s="7" t="s">
        <v>33</v>
      </c>
      <c r="AA2" s="7" t="s">
        <v>34</v>
      </c>
      <c r="AB2" s="7" t="s">
        <v>35</v>
      </c>
      <c r="AC2" s="7" t="s">
        <v>36</v>
      </c>
      <c r="AD2" s="8" t="s">
        <v>37</v>
      </c>
      <c r="AE2" s="8" t="s">
        <v>38</v>
      </c>
      <c r="AF2" s="8" t="s">
        <v>39</v>
      </c>
      <c r="AG2" s="8" t="s">
        <v>40</v>
      </c>
      <c r="AH2" s="8" t="s">
        <v>41</v>
      </c>
      <c r="AI2" s="8" t="s">
        <v>42</v>
      </c>
      <c r="AJ2" s="9" t="s">
        <v>43</v>
      </c>
      <c r="AK2" s="9" t="s">
        <v>44</v>
      </c>
      <c r="AL2" s="9" t="s">
        <v>45</v>
      </c>
      <c r="AM2" s="9" t="s">
        <v>46</v>
      </c>
    </row>
    <row r="3" customFormat="false" ht="23.85" hidden="false" customHeight="false" outlineLevel="0" collapsed="false">
      <c r="A3" s="10" t="s">
        <v>47</v>
      </c>
      <c r="B3" s="10"/>
      <c r="C3" s="10" t="s">
        <v>48</v>
      </c>
      <c r="D3" s="10" t="s">
        <v>49</v>
      </c>
      <c r="E3" s="10"/>
      <c r="F3" s="10" t="n">
        <v>1</v>
      </c>
      <c r="G3" s="10" t="n">
        <v>1</v>
      </c>
      <c r="H3" s="11" t="s">
        <v>50</v>
      </c>
      <c r="I3" s="11" t="s">
        <v>51</v>
      </c>
      <c r="J3" s="10"/>
      <c r="K3" s="11"/>
      <c r="L3" s="11" t="s">
        <v>52</v>
      </c>
      <c r="M3" s="11" t="s">
        <v>53</v>
      </c>
      <c r="N3" s="11"/>
      <c r="O3" s="11" t="s">
        <v>54</v>
      </c>
      <c r="P3" s="10" t="n">
        <v>2026</v>
      </c>
      <c r="Q3" s="11" t="s">
        <v>55</v>
      </c>
      <c r="R3" s="11" t="s">
        <v>56</v>
      </c>
      <c r="S3" s="10"/>
      <c r="T3" s="10"/>
      <c r="U3" s="11"/>
      <c r="V3" s="11"/>
      <c r="W3" s="10"/>
      <c r="X3" s="11"/>
      <c r="Y3" s="10"/>
      <c r="Z3" s="10"/>
      <c r="AA3" s="10"/>
      <c r="AB3" s="10"/>
      <c r="AC3" s="10"/>
      <c r="AD3" s="11"/>
      <c r="AE3" s="10"/>
      <c r="AF3" s="10"/>
      <c r="AG3" s="10"/>
      <c r="AH3" s="10"/>
      <c r="AI3" s="10"/>
      <c r="AJ3" s="10" t="s">
        <v>57</v>
      </c>
      <c r="AK3" s="10"/>
      <c r="AL3" s="10"/>
      <c r="AM3" s="10" t="s">
        <v>58</v>
      </c>
    </row>
    <row r="4" customFormat="false" ht="23.85" hidden="false" customHeight="false" outlineLevel="0" collapsed="false">
      <c r="A4" s="12" t="s">
        <v>59</v>
      </c>
      <c r="B4" s="12"/>
      <c r="C4" s="12" t="s">
        <v>48</v>
      </c>
      <c r="D4" s="12" t="s">
        <v>49</v>
      </c>
      <c r="E4" s="12"/>
      <c r="F4" s="12" t="n">
        <v>1</v>
      </c>
      <c r="G4" s="12" t="n">
        <v>1</v>
      </c>
      <c r="H4" s="13" t="s">
        <v>60</v>
      </c>
      <c r="I4" s="13" t="s">
        <v>61</v>
      </c>
      <c r="J4" s="12"/>
      <c r="K4" s="13"/>
      <c r="L4" s="13" t="s">
        <v>52</v>
      </c>
      <c r="M4" s="13" t="s">
        <v>53</v>
      </c>
      <c r="N4" s="13"/>
      <c r="O4" s="13" t="s">
        <v>54</v>
      </c>
      <c r="P4" s="12" t="n">
        <v>2026</v>
      </c>
      <c r="Q4" s="13" t="s">
        <v>55</v>
      </c>
      <c r="R4" s="13" t="s">
        <v>56</v>
      </c>
      <c r="S4" s="12"/>
      <c r="T4" s="12"/>
      <c r="U4" s="13"/>
      <c r="V4" s="13"/>
      <c r="W4" s="12"/>
      <c r="X4" s="13"/>
      <c r="Y4" s="12"/>
      <c r="Z4" s="12"/>
      <c r="AA4" s="12"/>
      <c r="AB4" s="12"/>
      <c r="AC4" s="12"/>
      <c r="AD4" s="13"/>
      <c r="AE4" s="12"/>
      <c r="AF4" s="12"/>
      <c r="AG4" s="12"/>
      <c r="AH4" s="12"/>
      <c r="AI4" s="12"/>
      <c r="AJ4" s="12" t="s">
        <v>62</v>
      </c>
      <c r="AK4" s="12"/>
      <c r="AL4" s="12"/>
      <c r="AM4" s="12" t="s">
        <v>63</v>
      </c>
    </row>
    <row r="5" customFormat="false" ht="23.85" hidden="false" customHeight="false" outlineLevel="0" collapsed="false">
      <c r="A5" s="10" t="s">
        <v>64</v>
      </c>
      <c r="B5" s="10"/>
      <c r="C5" s="10" t="s">
        <v>48</v>
      </c>
      <c r="D5" s="10" t="s">
        <v>65</v>
      </c>
      <c r="E5" s="10" t="n">
        <v>1</v>
      </c>
      <c r="F5" s="10" t="n">
        <v>1</v>
      </c>
      <c r="G5" s="10" t="n">
        <v>1</v>
      </c>
      <c r="H5" s="11" t="s">
        <v>66</v>
      </c>
      <c r="I5" s="11" t="s">
        <v>51</v>
      </c>
      <c r="J5" s="10"/>
      <c r="K5" s="11"/>
      <c r="L5" s="11" t="s">
        <v>52</v>
      </c>
      <c r="M5" s="11" t="s">
        <v>53</v>
      </c>
      <c r="N5" s="11"/>
      <c r="O5" s="11" t="s">
        <v>54</v>
      </c>
      <c r="P5" s="10" t="n">
        <v>2026</v>
      </c>
      <c r="Q5" s="11" t="s">
        <v>55</v>
      </c>
      <c r="R5" s="11" t="s">
        <v>56</v>
      </c>
      <c r="S5" s="10"/>
      <c r="T5" s="10"/>
      <c r="U5" s="11"/>
      <c r="V5" s="11"/>
      <c r="W5" s="10"/>
      <c r="X5" s="11"/>
      <c r="Y5" s="10"/>
      <c r="Z5" s="10"/>
      <c r="AA5" s="10"/>
      <c r="AB5" s="10"/>
      <c r="AC5" s="10"/>
      <c r="AD5" s="11"/>
      <c r="AE5" s="10"/>
      <c r="AF5" s="10"/>
      <c r="AG5" s="10"/>
      <c r="AH5" s="10"/>
      <c r="AI5" s="10"/>
      <c r="AJ5" s="10" t="s">
        <v>62</v>
      </c>
      <c r="AK5" s="10"/>
      <c r="AL5" s="10"/>
      <c r="AM5" s="10" t="s">
        <v>67</v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3"/>
      <c r="I6" s="13"/>
      <c r="J6" s="12"/>
      <c r="K6" s="13"/>
      <c r="L6" s="13" t="s">
        <v>52</v>
      </c>
      <c r="M6" s="13" t="s">
        <v>53</v>
      </c>
      <c r="N6" s="13"/>
      <c r="O6" s="13" t="s">
        <v>54</v>
      </c>
      <c r="P6" s="12" t="n">
        <v>2026</v>
      </c>
      <c r="Q6" s="13"/>
      <c r="R6" s="13" t="s">
        <v>56</v>
      </c>
      <c r="S6" s="12"/>
      <c r="T6" s="12"/>
      <c r="U6" s="13"/>
      <c r="V6" s="13"/>
      <c r="W6" s="12"/>
      <c r="X6" s="13"/>
      <c r="Y6" s="12"/>
      <c r="Z6" s="12"/>
      <c r="AA6" s="12"/>
      <c r="AB6" s="12"/>
      <c r="AC6" s="12"/>
      <c r="AD6" s="13"/>
      <c r="AE6" s="12"/>
      <c r="AF6" s="12"/>
      <c r="AG6" s="12"/>
      <c r="AH6" s="12"/>
      <c r="AI6" s="12"/>
      <c r="AJ6" s="12"/>
      <c r="AK6" s="12"/>
      <c r="AL6" s="12"/>
      <c r="AM6" s="12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1"/>
      <c r="I7" s="11"/>
      <c r="J7" s="10"/>
      <c r="K7" s="11"/>
      <c r="L7" s="11" t="s">
        <v>52</v>
      </c>
      <c r="M7" s="11" t="s">
        <v>53</v>
      </c>
      <c r="N7" s="11"/>
      <c r="O7" s="11" t="s">
        <v>54</v>
      </c>
      <c r="P7" s="10" t="n">
        <v>2026</v>
      </c>
      <c r="Q7" s="11"/>
      <c r="R7" s="11" t="s">
        <v>56</v>
      </c>
      <c r="S7" s="10"/>
      <c r="T7" s="10"/>
      <c r="U7" s="11"/>
      <c r="V7" s="11"/>
      <c r="W7" s="10"/>
      <c r="X7" s="11"/>
      <c r="Y7" s="10"/>
      <c r="Z7" s="10"/>
      <c r="AA7" s="10"/>
      <c r="AB7" s="10"/>
      <c r="AC7" s="10"/>
      <c r="AD7" s="11"/>
      <c r="AE7" s="10"/>
      <c r="AF7" s="10"/>
      <c r="AG7" s="10"/>
      <c r="AH7" s="10"/>
      <c r="AI7" s="10"/>
      <c r="AJ7" s="10"/>
      <c r="AK7" s="10"/>
      <c r="AL7" s="10"/>
      <c r="AM7" s="10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3"/>
      <c r="I8" s="13"/>
      <c r="J8" s="12"/>
      <c r="K8" s="13"/>
      <c r="L8" s="13" t="s">
        <v>52</v>
      </c>
      <c r="M8" s="13" t="s">
        <v>53</v>
      </c>
      <c r="N8" s="13"/>
      <c r="O8" s="13" t="s">
        <v>54</v>
      </c>
      <c r="P8" s="12" t="n">
        <v>2026</v>
      </c>
      <c r="Q8" s="13"/>
      <c r="R8" s="13" t="s">
        <v>56</v>
      </c>
      <c r="S8" s="12"/>
      <c r="T8" s="12"/>
      <c r="U8" s="13"/>
      <c r="V8" s="13"/>
      <c r="W8" s="12"/>
      <c r="X8" s="13"/>
      <c r="Y8" s="12"/>
      <c r="Z8" s="12"/>
      <c r="AA8" s="12"/>
      <c r="AB8" s="12"/>
      <c r="AC8" s="12"/>
      <c r="AD8" s="13"/>
      <c r="AE8" s="12"/>
      <c r="AF8" s="12"/>
      <c r="AG8" s="12"/>
      <c r="AH8" s="12"/>
      <c r="AI8" s="12"/>
      <c r="AJ8" s="12"/>
      <c r="AK8" s="12"/>
      <c r="AL8" s="12"/>
      <c r="AM8" s="12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1"/>
      <c r="I9" s="11"/>
      <c r="J9" s="10"/>
      <c r="K9" s="11"/>
      <c r="L9" s="11" t="s">
        <v>52</v>
      </c>
      <c r="M9" s="11" t="s">
        <v>53</v>
      </c>
      <c r="N9" s="11"/>
      <c r="O9" s="11" t="s">
        <v>54</v>
      </c>
      <c r="P9" s="10" t="n">
        <v>2026</v>
      </c>
      <c r="Q9" s="11"/>
      <c r="R9" s="11" t="s">
        <v>56</v>
      </c>
      <c r="S9" s="10"/>
      <c r="T9" s="10"/>
      <c r="U9" s="11"/>
      <c r="V9" s="11"/>
      <c r="W9" s="10"/>
      <c r="X9" s="11"/>
      <c r="Y9" s="10"/>
      <c r="Z9" s="10"/>
      <c r="AA9" s="10"/>
      <c r="AB9" s="10"/>
      <c r="AC9" s="10"/>
      <c r="AD9" s="11"/>
      <c r="AE9" s="10"/>
      <c r="AF9" s="10"/>
      <c r="AG9" s="10"/>
      <c r="AH9" s="10"/>
      <c r="AI9" s="10"/>
      <c r="AJ9" s="10"/>
      <c r="AK9" s="10"/>
      <c r="AL9" s="10"/>
      <c r="AM9" s="10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3"/>
      <c r="I10" s="13"/>
      <c r="J10" s="12"/>
      <c r="K10" s="13"/>
      <c r="L10" s="13" t="s">
        <v>52</v>
      </c>
      <c r="M10" s="13" t="s">
        <v>53</v>
      </c>
      <c r="N10" s="13"/>
      <c r="O10" s="13" t="s">
        <v>54</v>
      </c>
      <c r="P10" s="12" t="n">
        <v>2026</v>
      </c>
      <c r="Q10" s="13"/>
      <c r="R10" s="13" t="s">
        <v>56</v>
      </c>
      <c r="S10" s="12"/>
      <c r="T10" s="12"/>
      <c r="U10" s="13"/>
      <c r="V10" s="13"/>
      <c r="W10" s="12"/>
      <c r="X10" s="13"/>
      <c r="Y10" s="12"/>
      <c r="Z10" s="12"/>
      <c r="AA10" s="12"/>
      <c r="AB10" s="12"/>
      <c r="AC10" s="12"/>
      <c r="AD10" s="13"/>
      <c r="AE10" s="12"/>
      <c r="AF10" s="12"/>
      <c r="AG10" s="12"/>
      <c r="AH10" s="12"/>
      <c r="AI10" s="12"/>
      <c r="AJ10" s="12"/>
      <c r="AK10" s="12"/>
      <c r="AL10" s="12"/>
      <c r="AM10" s="12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1"/>
      <c r="I11" s="11"/>
      <c r="J11" s="10"/>
      <c r="K11" s="11"/>
      <c r="L11" s="11" t="s">
        <v>52</v>
      </c>
      <c r="M11" s="11" t="s">
        <v>53</v>
      </c>
      <c r="N11" s="11"/>
      <c r="O11" s="11" t="s">
        <v>54</v>
      </c>
      <c r="P11" s="10" t="n">
        <v>2026</v>
      </c>
      <c r="Q11" s="11"/>
      <c r="R11" s="11" t="s">
        <v>56</v>
      </c>
      <c r="S11" s="10"/>
      <c r="T11" s="10"/>
      <c r="U11" s="11"/>
      <c r="V11" s="11"/>
      <c r="W11" s="10"/>
      <c r="X11" s="11"/>
      <c r="Y11" s="10"/>
      <c r="Z11" s="10"/>
      <c r="AA11" s="10"/>
      <c r="AB11" s="10"/>
      <c r="AC11" s="10"/>
      <c r="AD11" s="11"/>
      <c r="AE11" s="10"/>
      <c r="AF11" s="10"/>
      <c r="AG11" s="10"/>
      <c r="AH11" s="10"/>
      <c r="AI11" s="10"/>
      <c r="AJ11" s="10"/>
      <c r="AK11" s="10"/>
      <c r="AL11" s="10"/>
      <c r="AM11" s="10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3"/>
      <c r="I12" s="13"/>
      <c r="J12" s="12"/>
      <c r="K12" s="13"/>
      <c r="L12" s="13" t="s">
        <v>52</v>
      </c>
      <c r="M12" s="13" t="s">
        <v>53</v>
      </c>
      <c r="N12" s="13"/>
      <c r="O12" s="13" t="s">
        <v>54</v>
      </c>
      <c r="P12" s="12" t="n">
        <v>2026</v>
      </c>
      <c r="Q12" s="13"/>
      <c r="R12" s="13" t="s">
        <v>56</v>
      </c>
      <c r="S12" s="12"/>
      <c r="T12" s="12"/>
      <c r="U12" s="13"/>
      <c r="V12" s="13"/>
      <c r="W12" s="12"/>
      <c r="X12" s="13"/>
      <c r="Y12" s="12"/>
      <c r="Z12" s="12"/>
      <c r="AA12" s="12"/>
      <c r="AB12" s="12"/>
      <c r="AC12" s="12"/>
      <c r="AD12" s="13"/>
      <c r="AE12" s="12"/>
      <c r="AF12" s="12"/>
      <c r="AG12" s="12"/>
      <c r="AH12" s="12"/>
      <c r="AI12" s="12"/>
      <c r="AJ12" s="12"/>
      <c r="AK12" s="12"/>
      <c r="AL12" s="12"/>
      <c r="AM12" s="12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1"/>
      <c r="I13" s="11"/>
      <c r="J13" s="10"/>
      <c r="K13" s="11"/>
      <c r="L13" s="11" t="s">
        <v>52</v>
      </c>
      <c r="M13" s="11" t="s">
        <v>53</v>
      </c>
      <c r="N13" s="11"/>
      <c r="O13" s="11" t="s">
        <v>54</v>
      </c>
      <c r="P13" s="10" t="n">
        <v>2026</v>
      </c>
      <c r="Q13" s="11"/>
      <c r="R13" s="11" t="s">
        <v>56</v>
      </c>
      <c r="S13" s="10"/>
      <c r="T13" s="10"/>
      <c r="U13" s="11"/>
      <c r="V13" s="11"/>
      <c r="W13" s="10"/>
      <c r="X13" s="11"/>
      <c r="Y13" s="10"/>
      <c r="Z13" s="10"/>
      <c r="AA13" s="10"/>
      <c r="AB13" s="10"/>
      <c r="AC13" s="10"/>
      <c r="AD13" s="11"/>
      <c r="AE13" s="10"/>
      <c r="AF13" s="10"/>
      <c r="AG13" s="10"/>
      <c r="AH13" s="10"/>
      <c r="AI13" s="10"/>
      <c r="AJ13" s="10"/>
      <c r="AK13" s="10"/>
      <c r="AL13" s="10"/>
      <c r="AM13" s="10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3"/>
      <c r="I14" s="13"/>
      <c r="J14" s="12"/>
      <c r="K14" s="13"/>
      <c r="L14" s="13" t="s">
        <v>52</v>
      </c>
      <c r="M14" s="13" t="s">
        <v>53</v>
      </c>
      <c r="N14" s="13"/>
      <c r="O14" s="13" t="s">
        <v>54</v>
      </c>
      <c r="P14" s="12" t="n">
        <v>2026</v>
      </c>
      <c r="Q14" s="13"/>
      <c r="R14" s="13" t="s">
        <v>56</v>
      </c>
      <c r="S14" s="12"/>
      <c r="T14" s="12"/>
      <c r="U14" s="13"/>
      <c r="V14" s="13"/>
      <c r="W14" s="12"/>
      <c r="X14" s="13"/>
      <c r="Y14" s="12"/>
      <c r="Z14" s="12"/>
      <c r="AA14" s="12"/>
      <c r="AB14" s="12"/>
      <c r="AC14" s="12"/>
      <c r="AD14" s="13"/>
      <c r="AE14" s="12"/>
      <c r="AF14" s="12"/>
      <c r="AG14" s="12"/>
      <c r="AH14" s="12"/>
      <c r="AI14" s="12"/>
      <c r="AJ14" s="12"/>
      <c r="AK14" s="12"/>
      <c r="AL14" s="12"/>
      <c r="AM14" s="12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1"/>
      <c r="I15" s="11"/>
      <c r="J15" s="10"/>
      <c r="K15" s="11"/>
      <c r="L15" s="11" t="s">
        <v>52</v>
      </c>
      <c r="M15" s="11" t="s">
        <v>53</v>
      </c>
      <c r="N15" s="11"/>
      <c r="O15" s="11" t="s">
        <v>54</v>
      </c>
      <c r="P15" s="10" t="n">
        <v>2026</v>
      </c>
      <c r="Q15" s="11"/>
      <c r="R15" s="11" t="s">
        <v>56</v>
      </c>
      <c r="S15" s="10"/>
      <c r="T15" s="10"/>
      <c r="U15" s="11"/>
      <c r="V15" s="11"/>
      <c r="W15" s="10"/>
      <c r="X15" s="11"/>
      <c r="Y15" s="10"/>
      <c r="Z15" s="10"/>
      <c r="AA15" s="10"/>
      <c r="AB15" s="10"/>
      <c r="AC15" s="10"/>
      <c r="AD15" s="11"/>
      <c r="AE15" s="10"/>
      <c r="AF15" s="10"/>
      <c r="AG15" s="10"/>
      <c r="AH15" s="10"/>
      <c r="AI15" s="10"/>
      <c r="AJ15" s="10"/>
      <c r="AK15" s="10"/>
      <c r="AL15" s="10"/>
      <c r="AM15" s="10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3"/>
      <c r="I16" s="13"/>
      <c r="J16" s="12"/>
      <c r="K16" s="13"/>
      <c r="L16" s="13" t="s">
        <v>52</v>
      </c>
      <c r="M16" s="13" t="s">
        <v>53</v>
      </c>
      <c r="N16" s="13"/>
      <c r="O16" s="13" t="s">
        <v>54</v>
      </c>
      <c r="P16" s="12" t="n">
        <v>2026</v>
      </c>
      <c r="Q16" s="13"/>
      <c r="R16" s="13" t="s">
        <v>56</v>
      </c>
      <c r="S16" s="12"/>
      <c r="T16" s="12"/>
      <c r="U16" s="13"/>
      <c r="V16" s="13"/>
      <c r="W16" s="12"/>
      <c r="X16" s="13"/>
      <c r="Y16" s="12"/>
      <c r="Z16" s="12"/>
      <c r="AA16" s="12"/>
      <c r="AB16" s="12"/>
      <c r="AC16" s="12"/>
      <c r="AD16" s="13"/>
      <c r="AE16" s="12"/>
      <c r="AF16" s="12"/>
      <c r="AG16" s="12"/>
      <c r="AH16" s="12"/>
      <c r="AI16" s="12"/>
      <c r="AJ16" s="12"/>
      <c r="AK16" s="12"/>
      <c r="AL16" s="12"/>
      <c r="AM16" s="12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1"/>
      <c r="I17" s="11"/>
      <c r="J17" s="10"/>
      <c r="K17" s="11"/>
      <c r="L17" s="11" t="s">
        <v>52</v>
      </c>
      <c r="M17" s="11" t="s">
        <v>53</v>
      </c>
      <c r="N17" s="11"/>
      <c r="O17" s="11" t="s">
        <v>54</v>
      </c>
      <c r="P17" s="10" t="n">
        <v>2026</v>
      </c>
      <c r="Q17" s="11"/>
      <c r="R17" s="11" t="s">
        <v>56</v>
      </c>
      <c r="S17" s="10"/>
      <c r="T17" s="10"/>
      <c r="U17" s="11"/>
      <c r="V17" s="11"/>
      <c r="W17" s="10"/>
      <c r="X17" s="11"/>
      <c r="Y17" s="10"/>
      <c r="Z17" s="10"/>
      <c r="AA17" s="10"/>
      <c r="AB17" s="10"/>
      <c r="AC17" s="10"/>
      <c r="AD17" s="11"/>
      <c r="AE17" s="10"/>
      <c r="AF17" s="10"/>
      <c r="AG17" s="10"/>
      <c r="AH17" s="10"/>
      <c r="AI17" s="10"/>
      <c r="AJ17" s="10"/>
      <c r="AK17" s="10"/>
      <c r="AL17" s="10"/>
      <c r="AM17" s="10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3"/>
      <c r="I18" s="13"/>
      <c r="J18" s="12"/>
      <c r="K18" s="13"/>
      <c r="L18" s="13" t="s">
        <v>52</v>
      </c>
      <c r="M18" s="13" t="s">
        <v>53</v>
      </c>
      <c r="N18" s="13"/>
      <c r="O18" s="13" t="s">
        <v>54</v>
      </c>
      <c r="P18" s="12" t="n">
        <v>2026</v>
      </c>
      <c r="Q18" s="13"/>
      <c r="R18" s="13" t="s">
        <v>56</v>
      </c>
      <c r="S18" s="12"/>
      <c r="T18" s="12"/>
      <c r="U18" s="13"/>
      <c r="V18" s="13"/>
      <c r="W18" s="12"/>
      <c r="X18" s="13"/>
      <c r="Y18" s="12"/>
      <c r="Z18" s="12"/>
      <c r="AA18" s="12"/>
      <c r="AB18" s="12"/>
      <c r="AC18" s="12"/>
      <c r="AD18" s="13"/>
      <c r="AE18" s="12"/>
      <c r="AF18" s="12"/>
      <c r="AG18" s="12"/>
      <c r="AH18" s="12"/>
      <c r="AI18" s="12"/>
      <c r="AJ18" s="12"/>
      <c r="AK18" s="12"/>
      <c r="AL18" s="12"/>
      <c r="AM18" s="12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1"/>
      <c r="I19" s="11"/>
      <c r="J19" s="10"/>
      <c r="K19" s="11"/>
      <c r="L19" s="11" t="s">
        <v>52</v>
      </c>
      <c r="M19" s="11" t="s">
        <v>53</v>
      </c>
      <c r="N19" s="11"/>
      <c r="O19" s="11" t="s">
        <v>54</v>
      </c>
      <c r="P19" s="10" t="n">
        <v>2026</v>
      </c>
      <c r="Q19" s="11"/>
      <c r="R19" s="11" t="s">
        <v>56</v>
      </c>
      <c r="S19" s="10"/>
      <c r="T19" s="10"/>
      <c r="U19" s="11"/>
      <c r="V19" s="11"/>
      <c r="W19" s="10"/>
      <c r="X19" s="11"/>
      <c r="Y19" s="10"/>
      <c r="Z19" s="10"/>
      <c r="AA19" s="10"/>
      <c r="AB19" s="10"/>
      <c r="AC19" s="10"/>
      <c r="AD19" s="11"/>
      <c r="AE19" s="10"/>
      <c r="AF19" s="10"/>
      <c r="AG19" s="10"/>
      <c r="AH19" s="10"/>
      <c r="AI19" s="10"/>
      <c r="AJ19" s="10"/>
      <c r="AK19" s="10"/>
      <c r="AL19" s="10"/>
      <c r="AM19" s="10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3"/>
      <c r="I20" s="13"/>
      <c r="J20" s="12"/>
      <c r="K20" s="13"/>
      <c r="L20" s="13" t="s">
        <v>52</v>
      </c>
      <c r="M20" s="13" t="s">
        <v>53</v>
      </c>
      <c r="N20" s="13"/>
      <c r="O20" s="13" t="s">
        <v>54</v>
      </c>
      <c r="P20" s="12" t="n">
        <v>2026</v>
      </c>
      <c r="Q20" s="13"/>
      <c r="R20" s="13" t="s">
        <v>56</v>
      </c>
      <c r="S20" s="12"/>
      <c r="T20" s="12"/>
      <c r="U20" s="13"/>
      <c r="V20" s="13"/>
      <c r="W20" s="12"/>
      <c r="X20" s="13"/>
      <c r="Y20" s="12"/>
      <c r="Z20" s="12"/>
      <c r="AA20" s="12"/>
      <c r="AB20" s="12"/>
      <c r="AC20" s="12"/>
      <c r="AD20" s="13"/>
      <c r="AE20" s="12"/>
      <c r="AF20" s="12"/>
      <c r="AG20" s="12"/>
      <c r="AH20" s="12"/>
      <c r="AI20" s="12"/>
      <c r="AJ20" s="12"/>
      <c r="AK20" s="12"/>
      <c r="AL20" s="12"/>
      <c r="AM20" s="12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1"/>
      <c r="I21" s="11"/>
      <c r="J21" s="10"/>
      <c r="K21" s="11"/>
      <c r="L21" s="11" t="s">
        <v>52</v>
      </c>
      <c r="M21" s="11" t="s">
        <v>53</v>
      </c>
      <c r="N21" s="11"/>
      <c r="O21" s="11" t="s">
        <v>54</v>
      </c>
      <c r="P21" s="10" t="n">
        <v>2026</v>
      </c>
      <c r="Q21" s="11"/>
      <c r="R21" s="11" t="s">
        <v>56</v>
      </c>
      <c r="S21" s="10"/>
      <c r="T21" s="10"/>
      <c r="U21" s="11"/>
      <c r="V21" s="11"/>
      <c r="W21" s="10"/>
      <c r="X21" s="11"/>
      <c r="Y21" s="10"/>
      <c r="Z21" s="10"/>
      <c r="AA21" s="10"/>
      <c r="AB21" s="10"/>
      <c r="AC21" s="10"/>
      <c r="AD21" s="11"/>
      <c r="AE21" s="10"/>
      <c r="AF21" s="10"/>
      <c r="AG21" s="10"/>
      <c r="AH21" s="10"/>
      <c r="AI21" s="10"/>
      <c r="AJ21" s="10"/>
      <c r="AK21" s="10"/>
      <c r="AL21" s="10"/>
      <c r="AM21" s="10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3"/>
      <c r="I22" s="13"/>
      <c r="J22" s="12"/>
      <c r="K22" s="13"/>
      <c r="L22" s="13" t="s">
        <v>52</v>
      </c>
      <c r="M22" s="13" t="s">
        <v>53</v>
      </c>
      <c r="N22" s="13"/>
      <c r="O22" s="13" t="s">
        <v>54</v>
      </c>
      <c r="P22" s="12" t="n">
        <v>2026</v>
      </c>
      <c r="Q22" s="13"/>
      <c r="R22" s="13" t="s">
        <v>56</v>
      </c>
      <c r="S22" s="12"/>
      <c r="T22" s="12"/>
      <c r="U22" s="13"/>
      <c r="V22" s="13"/>
      <c r="W22" s="12"/>
      <c r="X22" s="13"/>
      <c r="Y22" s="12"/>
      <c r="Z22" s="12"/>
      <c r="AA22" s="12"/>
      <c r="AB22" s="12"/>
      <c r="AC22" s="12"/>
      <c r="AD22" s="13"/>
      <c r="AE22" s="12"/>
      <c r="AF22" s="12"/>
      <c r="AG22" s="12"/>
      <c r="AH22" s="12"/>
      <c r="AI22" s="12"/>
      <c r="AJ22" s="12"/>
      <c r="AK22" s="12"/>
      <c r="AL22" s="12"/>
      <c r="AM22" s="12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1"/>
      <c r="I23" s="11"/>
      <c r="J23" s="10"/>
      <c r="K23" s="11"/>
      <c r="L23" s="11" t="s">
        <v>52</v>
      </c>
      <c r="M23" s="11" t="s">
        <v>53</v>
      </c>
      <c r="N23" s="11"/>
      <c r="O23" s="11" t="s">
        <v>54</v>
      </c>
      <c r="P23" s="10" t="n">
        <v>2026</v>
      </c>
      <c r="Q23" s="11"/>
      <c r="R23" s="11" t="s">
        <v>56</v>
      </c>
      <c r="S23" s="10"/>
      <c r="T23" s="10"/>
      <c r="U23" s="11"/>
      <c r="V23" s="11"/>
      <c r="W23" s="10"/>
      <c r="X23" s="11"/>
      <c r="Y23" s="10"/>
      <c r="Z23" s="10"/>
      <c r="AA23" s="10"/>
      <c r="AB23" s="10"/>
      <c r="AC23" s="10"/>
      <c r="AD23" s="11"/>
      <c r="AE23" s="10"/>
      <c r="AF23" s="10"/>
      <c r="AG23" s="10"/>
      <c r="AH23" s="10"/>
      <c r="AI23" s="10"/>
      <c r="AJ23" s="10"/>
      <c r="AK23" s="10"/>
      <c r="AL23" s="10"/>
      <c r="AM23" s="10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3"/>
      <c r="I24" s="13"/>
      <c r="J24" s="12"/>
      <c r="K24" s="13"/>
      <c r="L24" s="13" t="s">
        <v>52</v>
      </c>
      <c r="M24" s="13" t="s">
        <v>53</v>
      </c>
      <c r="N24" s="13"/>
      <c r="O24" s="13" t="s">
        <v>54</v>
      </c>
      <c r="P24" s="12" t="n">
        <v>2026</v>
      </c>
      <c r="Q24" s="13"/>
      <c r="R24" s="13" t="s">
        <v>56</v>
      </c>
      <c r="S24" s="12"/>
      <c r="T24" s="12"/>
      <c r="U24" s="13"/>
      <c r="V24" s="13"/>
      <c r="W24" s="12"/>
      <c r="X24" s="13"/>
      <c r="Y24" s="12"/>
      <c r="Z24" s="12"/>
      <c r="AA24" s="12"/>
      <c r="AB24" s="12"/>
      <c r="AC24" s="12"/>
      <c r="AD24" s="13"/>
      <c r="AE24" s="12"/>
      <c r="AF24" s="12"/>
      <c r="AG24" s="12"/>
      <c r="AH24" s="12"/>
      <c r="AI24" s="12"/>
      <c r="AJ24" s="12"/>
      <c r="AK24" s="12"/>
      <c r="AL24" s="12"/>
      <c r="AM24" s="12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1"/>
      <c r="I25" s="11"/>
      <c r="J25" s="10"/>
      <c r="K25" s="11"/>
      <c r="L25" s="11" t="s">
        <v>52</v>
      </c>
      <c r="M25" s="11" t="s">
        <v>53</v>
      </c>
      <c r="N25" s="11"/>
      <c r="O25" s="11" t="s">
        <v>54</v>
      </c>
      <c r="P25" s="10" t="n">
        <v>2026</v>
      </c>
      <c r="Q25" s="11"/>
      <c r="R25" s="11" t="s">
        <v>56</v>
      </c>
      <c r="S25" s="10"/>
      <c r="T25" s="10"/>
      <c r="U25" s="11"/>
      <c r="V25" s="11"/>
      <c r="W25" s="10"/>
      <c r="X25" s="11"/>
      <c r="Y25" s="10"/>
      <c r="Z25" s="10"/>
      <c r="AA25" s="10"/>
      <c r="AB25" s="10"/>
      <c r="AC25" s="10"/>
      <c r="AD25" s="11"/>
      <c r="AE25" s="10"/>
      <c r="AF25" s="10"/>
      <c r="AG25" s="10"/>
      <c r="AH25" s="10"/>
      <c r="AI25" s="10"/>
      <c r="AJ25" s="10"/>
      <c r="AK25" s="10"/>
      <c r="AL25" s="10"/>
      <c r="AM25" s="10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3"/>
      <c r="I26" s="13"/>
      <c r="J26" s="12"/>
      <c r="K26" s="13"/>
      <c r="L26" s="13" t="s">
        <v>52</v>
      </c>
      <c r="M26" s="13" t="s">
        <v>53</v>
      </c>
      <c r="N26" s="13"/>
      <c r="O26" s="13" t="s">
        <v>54</v>
      </c>
      <c r="P26" s="12" t="n">
        <v>2026</v>
      </c>
      <c r="Q26" s="13"/>
      <c r="R26" s="13" t="s">
        <v>56</v>
      </c>
      <c r="S26" s="12"/>
      <c r="T26" s="12"/>
      <c r="U26" s="13"/>
      <c r="V26" s="13"/>
      <c r="W26" s="12"/>
      <c r="X26" s="13"/>
      <c r="Y26" s="12"/>
      <c r="Z26" s="12"/>
      <c r="AA26" s="12"/>
      <c r="AB26" s="12"/>
      <c r="AC26" s="12"/>
      <c r="AD26" s="13"/>
      <c r="AE26" s="12"/>
      <c r="AF26" s="12"/>
      <c r="AG26" s="12"/>
      <c r="AH26" s="12"/>
      <c r="AI26" s="12"/>
      <c r="AJ26" s="12"/>
      <c r="AK26" s="12"/>
      <c r="AL26" s="12"/>
      <c r="AM26" s="12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1"/>
      <c r="I27" s="11"/>
      <c r="J27" s="10"/>
      <c r="K27" s="11"/>
      <c r="L27" s="11" t="s">
        <v>52</v>
      </c>
      <c r="M27" s="11" t="s">
        <v>53</v>
      </c>
      <c r="N27" s="11"/>
      <c r="O27" s="11" t="s">
        <v>54</v>
      </c>
      <c r="P27" s="10" t="n">
        <v>2026</v>
      </c>
      <c r="Q27" s="11"/>
      <c r="R27" s="11" t="s">
        <v>56</v>
      </c>
      <c r="S27" s="10"/>
      <c r="T27" s="10"/>
      <c r="U27" s="11"/>
      <c r="V27" s="11"/>
      <c r="W27" s="10"/>
      <c r="X27" s="11"/>
      <c r="Y27" s="10"/>
      <c r="Z27" s="10"/>
      <c r="AA27" s="10"/>
      <c r="AB27" s="10"/>
      <c r="AC27" s="10"/>
      <c r="AD27" s="11"/>
      <c r="AE27" s="10"/>
      <c r="AF27" s="10"/>
      <c r="AG27" s="10"/>
      <c r="AH27" s="10"/>
      <c r="AI27" s="10"/>
      <c r="AJ27" s="10"/>
      <c r="AK27" s="10"/>
      <c r="AL27" s="10"/>
      <c r="AM27" s="10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3"/>
      <c r="I28" s="13"/>
      <c r="J28" s="12"/>
      <c r="K28" s="13"/>
      <c r="L28" s="13" t="s">
        <v>52</v>
      </c>
      <c r="M28" s="13" t="s">
        <v>53</v>
      </c>
      <c r="N28" s="13"/>
      <c r="O28" s="13" t="s">
        <v>54</v>
      </c>
      <c r="P28" s="12" t="n">
        <v>2026</v>
      </c>
      <c r="Q28" s="13"/>
      <c r="R28" s="13" t="s">
        <v>56</v>
      </c>
      <c r="S28" s="12"/>
      <c r="T28" s="12"/>
      <c r="U28" s="13"/>
      <c r="V28" s="13"/>
      <c r="W28" s="12"/>
      <c r="X28" s="13"/>
      <c r="Y28" s="12"/>
      <c r="Z28" s="12"/>
      <c r="AA28" s="12"/>
      <c r="AB28" s="12"/>
      <c r="AC28" s="12"/>
      <c r="AD28" s="13"/>
      <c r="AE28" s="12"/>
      <c r="AF28" s="12"/>
      <c r="AG28" s="12"/>
      <c r="AH28" s="12"/>
      <c r="AI28" s="12"/>
      <c r="AJ28" s="12"/>
      <c r="AK28" s="12"/>
      <c r="AL28" s="12"/>
      <c r="AM28" s="12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1"/>
      <c r="I29" s="11"/>
      <c r="J29" s="10"/>
      <c r="K29" s="11"/>
      <c r="L29" s="11" t="s">
        <v>52</v>
      </c>
      <c r="M29" s="11" t="s">
        <v>53</v>
      </c>
      <c r="N29" s="11"/>
      <c r="O29" s="11" t="s">
        <v>54</v>
      </c>
      <c r="P29" s="10" t="n">
        <v>2026</v>
      </c>
      <c r="Q29" s="11"/>
      <c r="R29" s="11" t="s">
        <v>56</v>
      </c>
      <c r="S29" s="10"/>
      <c r="T29" s="10"/>
      <c r="U29" s="11"/>
      <c r="V29" s="11"/>
      <c r="W29" s="10"/>
      <c r="X29" s="11"/>
      <c r="Y29" s="10"/>
      <c r="Z29" s="10"/>
      <c r="AA29" s="10"/>
      <c r="AB29" s="10"/>
      <c r="AC29" s="10"/>
      <c r="AD29" s="11"/>
      <c r="AE29" s="10"/>
      <c r="AF29" s="10"/>
      <c r="AG29" s="10"/>
      <c r="AH29" s="10"/>
      <c r="AI29" s="10"/>
      <c r="AJ29" s="10"/>
      <c r="AK29" s="10"/>
      <c r="AL29" s="10"/>
      <c r="AM29" s="10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3"/>
      <c r="I30" s="13"/>
      <c r="J30" s="12"/>
      <c r="K30" s="13"/>
      <c r="L30" s="13" t="s">
        <v>52</v>
      </c>
      <c r="M30" s="13" t="s">
        <v>53</v>
      </c>
      <c r="N30" s="13"/>
      <c r="O30" s="13" t="s">
        <v>54</v>
      </c>
      <c r="P30" s="12" t="n">
        <v>2026</v>
      </c>
      <c r="Q30" s="13"/>
      <c r="R30" s="13" t="s">
        <v>56</v>
      </c>
      <c r="S30" s="12"/>
      <c r="T30" s="12"/>
      <c r="U30" s="13"/>
      <c r="V30" s="13"/>
      <c r="W30" s="12"/>
      <c r="X30" s="13"/>
      <c r="Y30" s="12"/>
      <c r="Z30" s="12"/>
      <c r="AA30" s="12"/>
      <c r="AB30" s="12"/>
      <c r="AC30" s="12"/>
      <c r="AD30" s="13"/>
      <c r="AE30" s="12"/>
      <c r="AF30" s="12"/>
      <c r="AG30" s="12"/>
      <c r="AH30" s="12"/>
      <c r="AI30" s="12"/>
      <c r="AJ30" s="12"/>
      <c r="AK30" s="12"/>
      <c r="AL30" s="12"/>
      <c r="AM30" s="12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1"/>
      <c r="I31" s="11"/>
      <c r="J31" s="10"/>
      <c r="K31" s="11"/>
      <c r="L31" s="11" t="s">
        <v>52</v>
      </c>
      <c r="M31" s="11" t="s">
        <v>53</v>
      </c>
      <c r="N31" s="11"/>
      <c r="O31" s="11" t="s">
        <v>54</v>
      </c>
      <c r="P31" s="10" t="n">
        <v>2026</v>
      </c>
      <c r="Q31" s="11"/>
      <c r="R31" s="11" t="s">
        <v>56</v>
      </c>
      <c r="S31" s="10"/>
      <c r="T31" s="10"/>
      <c r="U31" s="11"/>
      <c r="V31" s="11"/>
      <c r="W31" s="10"/>
      <c r="X31" s="11"/>
      <c r="Y31" s="10"/>
      <c r="Z31" s="10"/>
      <c r="AA31" s="10"/>
      <c r="AB31" s="10"/>
      <c r="AC31" s="10"/>
      <c r="AD31" s="11"/>
      <c r="AE31" s="10"/>
      <c r="AF31" s="10"/>
      <c r="AG31" s="10"/>
      <c r="AH31" s="10"/>
      <c r="AI31" s="10"/>
      <c r="AJ31" s="10"/>
      <c r="AK31" s="10"/>
      <c r="AL31" s="10"/>
      <c r="AM31" s="10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3"/>
      <c r="I32" s="13"/>
      <c r="J32" s="12"/>
      <c r="K32" s="13"/>
      <c r="L32" s="13" t="s">
        <v>52</v>
      </c>
      <c r="M32" s="13" t="s">
        <v>53</v>
      </c>
      <c r="N32" s="13"/>
      <c r="O32" s="13" t="s">
        <v>54</v>
      </c>
      <c r="P32" s="12" t="n">
        <v>2026</v>
      </c>
      <c r="Q32" s="13"/>
      <c r="R32" s="13" t="s">
        <v>56</v>
      </c>
      <c r="S32" s="12"/>
      <c r="T32" s="12"/>
      <c r="U32" s="13"/>
      <c r="V32" s="13"/>
      <c r="W32" s="12"/>
      <c r="X32" s="13"/>
      <c r="Y32" s="12"/>
      <c r="Z32" s="12"/>
      <c r="AA32" s="12"/>
      <c r="AB32" s="12"/>
      <c r="AC32" s="12"/>
      <c r="AD32" s="13"/>
      <c r="AE32" s="12"/>
      <c r="AF32" s="12"/>
      <c r="AG32" s="12"/>
      <c r="AH32" s="12"/>
      <c r="AI32" s="12"/>
      <c r="AJ32" s="12"/>
      <c r="AK32" s="12"/>
      <c r="AL32" s="12"/>
      <c r="AM32" s="12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1"/>
      <c r="I33" s="11"/>
      <c r="J33" s="10"/>
      <c r="K33" s="11"/>
      <c r="L33" s="11" t="s">
        <v>52</v>
      </c>
      <c r="M33" s="11" t="s">
        <v>53</v>
      </c>
      <c r="N33" s="11"/>
      <c r="O33" s="11" t="s">
        <v>54</v>
      </c>
      <c r="P33" s="10" t="n">
        <v>2026</v>
      </c>
      <c r="Q33" s="11"/>
      <c r="R33" s="11" t="s">
        <v>56</v>
      </c>
      <c r="S33" s="10"/>
      <c r="T33" s="10"/>
      <c r="U33" s="11"/>
      <c r="V33" s="11"/>
      <c r="W33" s="10"/>
      <c r="X33" s="11"/>
      <c r="Y33" s="10"/>
      <c r="Z33" s="10"/>
      <c r="AA33" s="10"/>
      <c r="AB33" s="10"/>
      <c r="AC33" s="10"/>
      <c r="AD33" s="11"/>
      <c r="AE33" s="10"/>
      <c r="AF33" s="10"/>
      <c r="AG33" s="10"/>
      <c r="AH33" s="10"/>
      <c r="AI33" s="10"/>
      <c r="AJ33" s="10"/>
      <c r="AK33" s="10"/>
      <c r="AL33" s="10"/>
      <c r="AM33" s="10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3"/>
      <c r="I34" s="13"/>
      <c r="J34" s="12"/>
      <c r="K34" s="13"/>
      <c r="L34" s="13" t="s">
        <v>52</v>
      </c>
      <c r="M34" s="13" t="s">
        <v>53</v>
      </c>
      <c r="N34" s="13"/>
      <c r="O34" s="13" t="s">
        <v>54</v>
      </c>
      <c r="P34" s="12" t="n">
        <v>2026</v>
      </c>
      <c r="Q34" s="13"/>
      <c r="R34" s="13" t="s">
        <v>56</v>
      </c>
      <c r="S34" s="12"/>
      <c r="T34" s="12"/>
      <c r="U34" s="13"/>
      <c r="V34" s="13"/>
      <c r="W34" s="12"/>
      <c r="X34" s="13"/>
      <c r="Y34" s="12"/>
      <c r="Z34" s="12"/>
      <c r="AA34" s="12"/>
      <c r="AB34" s="12"/>
      <c r="AC34" s="12"/>
      <c r="AD34" s="13"/>
      <c r="AE34" s="12"/>
      <c r="AF34" s="12"/>
      <c r="AG34" s="12"/>
      <c r="AH34" s="12"/>
      <c r="AI34" s="12"/>
      <c r="AJ34" s="12"/>
      <c r="AK34" s="12"/>
      <c r="AL34" s="12"/>
      <c r="AM34" s="12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1"/>
      <c r="I35" s="11"/>
      <c r="J35" s="10"/>
      <c r="K35" s="11"/>
      <c r="L35" s="11" t="s">
        <v>52</v>
      </c>
      <c r="M35" s="11" t="s">
        <v>53</v>
      </c>
      <c r="N35" s="11"/>
      <c r="O35" s="11" t="s">
        <v>54</v>
      </c>
      <c r="P35" s="10" t="n">
        <v>2026</v>
      </c>
      <c r="Q35" s="11"/>
      <c r="R35" s="11" t="s">
        <v>56</v>
      </c>
      <c r="S35" s="10"/>
      <c r="T35" s="10"/>
      <c r="U35" s="11"/>
      <c r="V35" s="11"/>
      <c r="W35" s="10"/>
      <c r="X35" s="11"/>
      <c r="Y35" s="10"/>
      <c r="Z35" s="10"/>
      <c r="AA35" s="10"/>
      <c r="AB35" s="10"/>
      <c r="AC35" s="10"/>
      <c r="AD35" s="11"/>
      <c r="AE35" s="10"/>
      <c r="AF35" s="10"/>
      <c r="AG35" s="10"/>
      <c r="AH35" s="10"/>
      <c r="AI35" s="10"/>
      <c r="AJ35" s="10"/>
      <c r="AK35" s="10"/>
      <c r="AL35" s="10"/>
      <c r="AM35" s="10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3"/>
      <c r="I36" s="13"/>
      <c r="J36" s="12"/>
      <c r="K36" s="13"/>
      <c r="L36" s="13" t="s">
        <v>52</v>
      </c>
      <c r="M36" s="13" t="s">
        <v>53</v>
      </c>
      <c r="N36" s="13"/>
      <c r="O36" s="13" t="s">
        <v>54</v>
      </c>
      <c r="P36" s="12" t="n">
        <v>2026</v>
      </c>
      <c r="Q36" s="13"/>
      <c r="R36" s="13" t="s">
        <v>56</v>
      </c>
      <c r="S36" s="12"/>
      <c r="T36" s="12"/>
      <c r="U36" s="13"/>
      <c r="V36" s="13"/>
      <c r="W36" s="12"/>
      <c r="X36" s="13"/>
      <c r="Y36" s="12"/>
      <c r="Z36" s="12"/>
      <c r="AA36" s="12"/>
      <c r="AB36" s="12"/>
      <c r="AC36" s="12"/>
      <c r="AD36" s="13"/>
      <c r="AE36" s="12"/>
      <c r="AF36" s="12"/>
      <c r="AG36" s="12"/>
      <c r="AH36" s="12"/>
      <c r="AI36" s="12"/>
      <c r="AJ36" s="12"/>
      <c r="AK36" s="12"/>
      <c r="AL36" s="12"/>
      <c r="AM36" s="12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1"/>
      <c r="I37" s="11"/>
      <c r="J37" s="10"/>
      <c r="K37" s="11"/>
      <c r="L37" s="11" t="s">
        <v>52</v>
      </c>
      <c r="M37" s="11" t="s">
        <v>53</v>
      </c>
      <c r="N37" s="11"/>
      <c r="O37" s="11" t="s">
        <v>54</v>
      </c>
      <c r="P37" s="10" t="n">
        <v>2026</v>
      </c>
      <c r="Q37" s="11"/>
      <c r="R37" s="11" t="s">
        <v>56</v>
      </c>
      <c r="S37" s="10"/>
      <c r="T37" s="10"/>
      <c r="U37" s="11"/>
      <c r="V37" s="11"/>
      <c r="W37" s="10"/>
      <c r="X37" s="11"/>
      <c r="Y37" s="10"/>
      <c r="Z37" s="10"/>
      <c r="AA37" s="10"/>
      <c r="AB37" s="10"/>
      <c r="AC37" s="10"/>
      <c r="AD37" s="11"/>
      <c r="AE37" s="10"/>
      <c r="AF37" s="10"/>
      <c r="AG37" s="10"/>
      <c r="AH37" s="10"/>
      <c r="AI37" s="10"/>
      <c r="AJ37" s="10"/>
      <c r="AK37" s="10"/>
      <c r="AL37" s="10"/>
      <c r="AM37" s="10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3"/>
      <c r="I38" s="13"/>
      <c r="J38" s="12"/>
      <c r="K38" s="13"/>
      <c r="L38" s="13" t="s">
        <v>52</v>
      </c>
      <c r="M38" s="13" t="s">
        <v>53</v>
      </c>
      <c r="N38" s="13"/>
      <c r="O38" s="13" t="s">
        <v>54</v>
      </c>
      <c r="P38" s="12" t="n">
        <v>2026</v>
      </c>
      <c r="Q38" s="13"/>
      <c r="R38" s="13" t="s">
        <v>56</v>
      </c>
      <c r="S38" s="12"/>
      <c r="T38" s="12"/>
      <c r="U38" s="13"/>
      <c r="V38" s="13"/>
      <c r="W38" s="12"/>
      <c r="X38" s="13"/>
      <c r="Y38" s="12"/>
      <c r="Z38" s="12"/>
      <c r="AA38" s="12"/>
      <c r="AB38" s="12"/>
      <c r="AC38" s="12"/>
      <c r="AD38" s="13"/>
      <c r="AE38" s="12"/>
      <c r="AF38" s="12"/>
      <c r="AG38" s="12"/>
      <c r="AH38" s="12"/>
      <c r="AI38" s="12"/>
      <c r="AJ38" s="12"/>
      <c r="AK38" s="12"/>
      <c r="AL38" s="12"/>
      <c r="AM38" s="12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1"/>
      <c r="I39" s="11"/>
      <c r="J39" s="10"/>
      <c r="K39" s="11"/>
      <c r="L39" s="11" t="s">
        <v>52</v>
      </c>
      <c r="M39" s="11" t="s">
        <v>53</v>
      </c>
      <c r="N39" s="11"/>
      <c r="O39" s="11" t="s">
        <v>54</v>
      </c>
      <c r="P39" s="10" t="n">
        <v>2026</v>
      </c>
      <c r="Q39" s="11"/>
      <c r="R39" s="11" t="s">
        <v>56</v>
      </c>
      <c r="S39" s="10"/>
      <c r="T39" s="10"/>
      <c r="U39" s="11"/>
      <c r="V39" s="11"/>
      <c r="W39" s="10"/>
      <c r="X39" s="11"/>
      <c r="Y39" s="10"/>
      <c r="Z39" s="10"/>
      <c r="AA39" s="10"/>
      <c r="AB39" s="10"/>
      <c r="AC39" s="10"/>
      <c r="AD39" s="11"/>
      <c r="AE39" s="10"/>
      <c r="AF39" s="10"/>
      <c r="AG39" s="10"/>
      <c r="AH39" s="10"/>
      <c r="AI39" s="10"/>
      <c r="AJ39" s="10"/>
      <c r="AK39" s="10"/>
      <c r="AL39" s="10"/>
      <c r="AM39" s="10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3"/>
      <c r="I40" s="13"/>
      <c r="J40" s="12"/>
      <c r="K40" s="13"/>
      <c r="L40" s="13" t="s">
        <v>52</v>
      </c>
      <c r="M40" s="13" t="s">
        <v>53</v>
      </c>
      <c r="N40" s="13"/>
      <c r="O40" s="13" t="s">
        <v>54</v>
      </c>
      <c r="P40" s="12" t="n">
        <v>2026</v>
      </c>
      <c r="Q40" s="13"/>
      <c r="R40" s="13" t="s">
        <v>56</v>
      </c>
      <c r="S40" s="12"/>
      <c r="T40" s="12"/>
      <c r="U40" s="13"/>
      <c r="V40" s="13"/>
      <c r="W40" s="12"/>
      <c r="X40" s="13"/>
      <c r="Y40" s="12"/>
      <c r="Z40" s="12"/>
      <c r="AA40" s="12"/>
      <c r="AB40" s="12"/>
      <c r="AC40" s="12"/>
      <c r="AD40" s="13"/>
      <c r="AE40" s="12"/>
      <c r="AF40" s="12"/>
      <c r="AG40" s="12"/>
      <c r="AH40" s="12"/>
      <c r="AI40" s="12"/>
      <c r="AJ40" s="12"/>
      <c r="AK40" s="12"/>
      <c r="AL40" s="12"/>
      <c r="AM40" s="12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1"/>
      <c r="I41" s="11"/>
      <c r="J41" s="10"/>
      <c r="K41" s="11"/>
      <c r="L41" s="11" t="s">
        <v>52</v>
      </c>
      <c r="M41" s="11" t="s">
        <v>53</v>
      </c>
      <c r="N41" s="11"/>
      <c r="O41" s="11" t="s">
        <v>54</v>
      </c>
      <c r="P41" s="10" t="n">
        <v>2026</v>
      </c>
      <c r="Q41" s="11"/>
      <c r="R41" s="11" t="s">
        <v>56</v>
      </c>
      <c r="S41" s="10"/>
      <c r="T41" s="10"/>
      <c r="U41" s="11"/>
      <c r="V41" s="11"/>
      <c r="W41" s="10"/>
      <c r="X41" s="11"/>
      <c r="Y41" s="10"/>
      <c r="Z41" s="10"/>
      <c r="AA41" s="10"/>
      <c r="AB41" s="10"/>
      <c r="AC41" s="10"/>
      <c r="AD41" s="11"/>
      <c r="AE41" s="10"/>
      <c r="AF41" s="10"/>
      <c r="AG41" s="10"/>
      <c r="AH41" s="10"/>
      <c r="AI41" s="10"/>
      <c r="AJ41" s="10"/>
      <c r="AK41" s="10"/>
      <c r="AL41" s="10"/>
      <c r="AM41" s="10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3"/>
      <c r="I42" s="13"/>
      <c r="J42" s="12"/>
      <c r="K42" s="13"/>
      <c r="L42" s="13" t="s">
        <v>52</v>
      </c>
      <c r="M42" s="13" t="s">
        <v>53</v>
      </c>
      <c r="N42" s="13"/>
      <c r="O42" s="13" t="s">
        <v>54</v>
      </c>
      <c r="P42" s="12" t="n">
        <v>2026</v>
      </c>
      <c r="Q42" s="13"/>
      <c r="R42" s="13" t="s">
        <v>56</v>
      </c>
      <c r="S42" s="12"/>
      <c r="T42" s="12"/>
      <c r="U42" s="13"/>
      <c r="V42" s="13"/>
      <c r="W42" s="12"/>
      <c r="X42" s="13"/>
      <c r="Y42" s="12"/>
      <c r="Z42" s="12"/>
      <c r="AA42" s="12"/>
      <c r="AB42" s="12"/>
      <c r="AC42" s="12"/>
      <c r="AD42" s="13"/>
      <c r="AE42" s="12"/>
      <c r="AF42" s="12"/>
      <c r="AG42" s="12"/>
      <c r="AH42" s="12"/>
      <c r="AI42" s="12"/>
      <c r="AJ42" s="12"/>
      <c r="AK42" s="12"/>
      <c r="AL42" s="12"/>
      <c r="AM42" s="12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1"/>
      <c r="I43" s="11"/>
      <c r="J43" s="10"/>
      <c r="K43" s="11"/>
      <c r="L43" s="11" t="s">
        <v>52</v>
      </c>
      <c r="M43" s="11" t="s">
        <v>53</v>
      </c>
      <c r="N43" s="11"/>
      <c r="O43" s="11" t="s">
        <v>54</v>
      </c>
      <c r="P43" s="10" t="n">
        <v>2026</v>
      </c>
      <c r="Q43" s="11"/>
      <c r="R43" s="11" t="s">
        <v>56</v>
      </c>
      <c r="S43" s="10"/>
      <c r="T43" s="10"/>
      <c r="U43" s="11"/>
      <c r="V43" s="11"/>
      <c r="W43" s="10"/>
      <c r="X43" s="11"/>
      <c r="Y43" s="10"/>
      <c r="Z43" s="10"/>
      <c r="AA43" s="10"/>
      <c r="AB43" s="10"/>
      <c r="AC43" s="10"/>
      <c r="AD43" s="11"/>
      <c r="AE43" s="10"/>
      <c r="AF43" s="10"/>
      <c r="AG43" s="10"/>
      <c r="AH43" s="10"/>
      <c r="AI43" s="10"/>
      <c r="AJ43" s="10"/>
      <c r="AK43" s="10"/>
      <c r="AL43" s="10"/>
      <c r="AM43" s="10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3"/>
      <c r="I44" s="13"/>
      <c r="J44" s="12"/>
      <c r="K44" s="13"/>
      <c r="L44" s="13" t="s">
        <v>52</v>
      </c>
      <c r="M44" s="13" t="s">
        <v>53</v>
      </c>
      <c r="N44" s="13"/>
      <c r="O44" s="13" t="s">
        <v>54</v>
      </c>
      <c r="P44" s="12" t="n">
        <v>2026</v>
      </c>
      <c r="Q44" s="13"/>
      <c r="R44" s="13" t="s">
        <v>56</v>
      </c>
      <c r="S44" s="12"/>
      <c r="T44" s="12"/>
      <c r="U44" s="13"/>
      <c r="V44" s="13"/>
      <c r="W44" s="12"/>
      <c r="X44" s="13"/>
      <c r="Y44" s="12"/>
      <c r="Z44" s="12"/>
      <c r="AA44" s="12"/>
      <c r="AB44" s="12"/>
      <c r="AC44" s="12"/>
      <c r="AD44" s="13"/>
      <c r="AE44" s="12"/>
      <c r="AF44" s="12"/>
      <c r="AG44" s="12"/>
      <c r="AH44" s="12"/>
      <c r="AI44" s="12"/>
      <c r="AJ44" s="12"/>
      <c r="AK44" s="12"/>
      <c r="AL44" s="12"/>
      <c r="AM44" s="12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1"/>
      <c r="I45" s="11"/>
      <c r="J45" s="10"/>
      <c r="K45" s="11"/>
      <c r="L45" s="11" t="s">
        <v>52</v>
      </c>
      <c r="M45" s="11" t="s">
        <v>53</v>
      </c>
      <c r="N45" s="11"/>
      <c r="O45" s="11" t="s">
        <v>54</v>
      </c>
      <c r="P45" s="10" t="n">
        <v>2026</v>
      </c>
      <c r="Q45" s="11"/>
      <c r="R45" s="11" t="s">
        <v>56</v>
      </c>
      <c r="S45" s="10"/>
      <c r="T45" s="10"/>
      <c r="U45" s="11"/>
      <c r="V45" s="11"/>
      <c r="W45" s="10"/>
      <c r="X45" s="11"/>
      <c r="Y45" s="10"/>
      <c r="Z45" s="10"/>
      <c r="AA45" s="10"/>
      <c r="AB45" s="10"/>
      <c r="AC45" s="10"/>
      <c r="AD45" s="11"/>
      <c r="AE45" s="10"/>
      <c r="AF45" s="10"/>
      <c r="AG45" s="10"/>
      <c r="AH45" s="10"/>
      <c r="AI45" s="10"/>
      <c r="AJ45" s="10"/>
      <c r="AK45" s="10"/>
      <c r="AL45" s="10"/>
      <c r="AM45" s="10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3"/>
      <c r="I46" s="13"/>
      <c r="J46" s="12"/>
      <c r="K46" s="13"/>
      <c r="L46" s="13" t="s">
        <v>52</v>
      </c>
      <c r="M46" s="13" t="s">
        <v>53</v>
      </c>
      <c r="N46" s="13"/>
      <c r="O46" s="13" t="s">
        <v>54</v>
      </c>
      <c r="P46" s="12" t="n">
        <v>2026</v>
      </c>
      <c r="Q46" s="13"/>
      <c r="R46" s="13" t="s">
        <v>56</v>
      </c>
      <c r="S46" s="12"/>
      <c r="T46" s="12"/>
      <c r="U46" s="13"/>
      <c r="V46" s="13"/>
      <c r="W46" s="12"/>
      <c r="X46" s="13"/>
      <c r="Y46" s="12"/>
      <c r="Z46" s="12"/>
      <c r="AA46" s="12"/>
      <c r="AB46" s="12"/>
      <c r="AC46" s="12"/>
      <c r="AD46" s="13"/>
      <c r="AE46" s="12"/>
      <c r="AF46" s="12"/>
      <c r="AG46" s="12"/>
      <c r="AH46" s="12"/>
      <c r="AI46" s="12"/>
      <c r="AJ46" s="12"/>
      <c r="AK46" s="12"/>
      <c r="AL46" s="12"/>
      <c r="AM46" s="12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1"/>
      <c r="I47" s="11"/>
      <c r="J47" s="10"/>
      <c r="K47" s="11"/>
      <c r="L47" s="11" t="s">
        <v>52</v>
      </c>
      <c r="M47" s="11" t="s">
        <v>53</v>
      </c>
      <c r="N47" s="11"/>
      <c r="O47" s="11" t="s">
        <v>54</v>
      </c>
      <c r="P47" s="10" t="n">
        <v>2026</v>
      </c>
      <c r="Q47" s="11"/>
      <c r="R47" s="11" t="s">
        <v>56</v>
      </c>
      <c r="S47" s="10"/>
      <c r="T47" s="10"/>
      <c r="U47" s="11"/>
      <c r="V47" s="11"/>
      <c r="W47" s="10"/>
      <c r="X47" s="11"/>
      <c r="Y47" s="10"/>
      <c r="Z47" s="10"/>
      <c r="AA47" s="10"/>
      <c r="AB47" s="10"/>
      <c r="AC47" s="10"/>
      <c r="AD47" s="11"/>
      <c r="AE47" s="10"/>
      <c r="AF47" s="10"/>
      <c r="AG47" s="10"/>
      <c r="AH47" s="10"/>
      <c r="AI47" s="10"/>
      <c r="AJ47" s="10"/>
      <c r="AK47" s="10"/>
      <c r="AL47" s="10"/>
      <c r="AM47" s="10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3"/>
      <c r="I48" s="13"/>
      <c r="J48" s="12"/>
      <c r="K48" s="13"/>
      <c r="L48" s="13" t="s">
        <v>52</v>
      </c>
      <c r="M48" s="13" t="s">
        <v>53</v>
      </c>
      <c r="N48" s="13"/>
      <c r="O48" s="13" t="s">
        <v>54</v>
      </c>
      <c r="P48" s="12" t="n">
        <v>2026</v>
      </c>
      <c r="Q48" s="13"/>
      <c r="R48" s="13" t="s">
        <v>56</v>
      </c>
      <c r="S48" s="12"/>
      <c r="T48" s="12"/>
      <c r="U48" s="13"/>
      <c r="V48" s="13"/>
      <c r="W48" s="12"/>
      <c r="X48" s="13"/>
      <c r="Y48" s="12"/>
      <c r="Z48" s="12"/>
      <c r="AA48" s="12"/>
      <c r="AB48" s="12"/>
      <c r="AC48" s="12"/>
      <c r="AD48" s="13"/>
      <c r="AE48" s="12"/>
      <c r="AF48" s="12"/>
      <c r="AG48" s="12"/>
      <c r="AH48" s="12"/>
      <c r="AI48" s="12"/>
      <c r="AJ48" s="12"/>
      <c r="AK48" s="12"/>
      <c r="AL48" s="12"/>
      <c r="AM48" s="12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1"/>
      <c r="I49" s="11"/>
      <c r="J49" s="10"/>
      <c r="K49" s="11"/>
      <c r="L49" s="11" t="s">
        <v>52</v>
      </c>
      <c r="M49" s="11" t="s">
        <v>53</v>
      </c>
      <c r="N49" s="11"/>
      <c r="O49" s="11" t="s">
        <v>54</v>
      </c>
      <c r="P49" s="10" t="n">
        <v>2026</v>
      </c>
      <c r="Q49" s="11"/>
      <c r="R49" s="11" t="s">
        <v>56</v>
      </c>
      <c r="S49" s="10"/>
      <c r="T49" s="10"/>
      <c r="U49" s="11"/>
      <c r="V49" s="11"/>
      <c r="W49" s="10"/>
      <c r="X49" s="11"/>
      <c r="Y49" s="10"/>
      <c r="Z49" s="10"/>
      <c r="AA49" s="10"/>
      <c r="AB49" s="10"/>
      <c r="AC49" s="10"/>
      <c r="AD49" s="11"/>
      <c r="AE49" s="10"/>
      <c r="AF49" s="10"/>
      <c r="AG49" s="10"/>
      <c r="AH49" s="10"/>
      <c r="AI49" s="10"/>
      <c r="AJ49" s="10"/>
      <c r="AK49" s="10"/>
      <c r="AL49" s="10"/>
      <c r="AM49" s="10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3"/>
      <c r="I50" s="13"/>
      <c r="J50" s="12"/>
      <c r="K50" s="13"/>
      <c r="L50" s="13" t="s">
        <v>52</v>
      </c>
      <c r="M50" s="13" t="s">
        <v>53</v>
      </c>
      <c r="N50" s="13"/>
      <c r="O50" s="13" t="s">
        <v>54</v>
      </c>
      <c r="P50" s="12" t="n">
        <v>2026</v>
      </c>
      <c r="Q50" s="13"/>
      <c r="R50" s="13" t="s">
        <v>56</v>
      </c>
      <c r="S50" s="12"/>
      <c r="T50" s="12"/>
      <c r="U50" s="13"/>
      <c r="V50" s="13"/>
      <c r="W50" s="12"/>
      <c r="X50" s="13"/>
      <c r="Y50" s="12"/>
      <c r="Z50" s="12"/>
      <c r="AA50" s="12"/>
      <c r="AB50" s="12"/>
      <c r="AC50" s="12"/>
      <c r="AD50" s="13"/>
      <c r="AE50" s="12"/>
      <c r="AF50" s="12"/>
      <c r="AG50" s="12"/>
      <c r="AH50" s="12"/>
      <c r="AI50" s="12"/>
      <c r="AJ50" s="12"/>
      <c r="AK50" s="12"/>
      <c r="AL50" s="12"/>
      <c r="AM50" s="12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1"/>
      <c r="I51" s="11"/>
      <c r="J51" s="10"/>
      <c r="K51" s="11"/>
      <c r="L51" s="11" t="s">
        <v>52</v>
      </c>
      <c r="M51" s="11" t="s">
        <v>53</v>
      </c>
      <c r="N51" s="11"/>
      <c r="O51" s="11" t="s">
        <v>54</v>
      </c>
      <c r="P51" s="10" t="n">
        <v>2026</v>
      </c>
      <c r="Q51" s="11"/>
      <c r="R51" s="11" t="s">
        <v>56</v>
      </c>
      <c r="S51" s="10"/>
      <c r="T51" s="10"/>
      <c r="U51" s="11"/>
      <c r="V51" s="11"/>
      <c r="W51" s="10"/>
      <c r="X51" s="11"/>
      <c r="Y51" s="10"/>
      <c r="Z51" s="10"/>
      <c r="AA51" s="10"/>
      <c r="AB51" s="10"/>
      <c r="AC51" s="10"/>
      <c r="AD51" s="11"/>
      <c r="AE51" s="10"/>
      <c r="AF51" s="10"/>
      <c r="AG51" s="10"/>
      <c r="AH51" s="10"/>
      <c r="AI51" s="10"/>
      <c r="AJ51" s="10"/>
      <c r="AK51" s="10"/>
      <c r="AL51" s="10"/>
      <c r="AM51" s="10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3"/>
      <c r="I52" s="13"/>
      <c r="J52" s="12"/>
      <c r="K52" s="13"/>
      <c r="L52" s="13" t="s">
        <v>52</v>
      </c>
      <c r="M52" s="13" t="s">
        <v>53</v>
      </c>
      <c r="N52" s="13"/>
      <c r="O52" s="13" t="s">
        <v>54</v>
      </c>
      <c r="P52" s="12" t="n">
        <v>2026</v>
      </c>
      <c r="Q52" s="13"/>
      <c r="R52" s="13" t="s">
        <v>56</v>
      </c>
      <c r="S52" s="12"/>
      <c r="T52" s="12"/>
      <c r="U52" s="13"/>
      <c r="V52" s="13"/>
      <c r="W52" s="12"/>
      <c r="X52" s="13"/>
      <c r="Y52" s="12"/>
      <c r="Z52" s="12"/>
      <c r="AA52" s="12"/>
      <c r="AB52" s="12"/>
      <c r="AC52" s="12"/>
      <c r="AD52" s="13"/>
      <c r="AE52" s="12"/>
      <c r="AF52" s="12"/>
      <c r="AG52" s="12"/>
      <c r="AH52" s="12"/>
      <c r="AI52" s="12"/>
      <c r="AJ52" s="12"/>
      <c r="AK52" s="12"/>
      <c r="AL52" s="12"/>
      <c r="AM52" s="12"/>
    </row>
  </sheetData>
  <mergeCells count="8">
    <mergeCell ref="A1:G1"/>
    <mergeCell ref="H1:K1"/>
    <mergeCell ref="L1:P1"/>
    <mergeCell ref="Q1:T1"/>
    <mergeCell ref="U1:X1"/>
    <mergeCell ref="Y1:AC1"/>
    <mergeCell ref="AD1:AI1"/>
    <mergeCell ref="AJ1:AM1"/>
  </mergeCells>
  <dataValidations count="16">
    <dataValidation allowBlank="true" error="Select a valid Media Type" errorStyle="stop" errorTitle="Invalid Media Type" operator="between" showDropDown="false" showErrorMessage="false" showInputMessage="false" sqref="C3:C200" type="list">
      <formula1>"Music,Narration,Podcast,Spoken Word,Ambient,Video,Other"</formula1>
      <formula2>0</formula2>
    </dataValidation>
    <dataValidation allowBlank="true" errorStyle="stop" operator="between" showDropDown="false" showErrorMessage="false" showInputMessage="false" sqref="D3:D200" type="list">
      <formula1>"01,02,03,04,05,06,07,08,09,10,11,12,13,14,15,16,17,18,19,20,21,22,23,24,25,26,27,28,29,30,31,32,33,34,35,36,37,38,39,40,41,42,43,44,45,46,47,48,49,50,51,52,53,54,55,56,57,58,59,60,61,62,63,AN,SY,AM,SP,OV,NR,PO,SW,VD"</formula1>
      <formula2>0</formula2>
    </dataValidation>
    <dataValidation allowBlank="true" errorStyle="stop" operator="between" showDropDown="false" showErrorMessage="false" showInputMessage="false" sqref="Y3:Y200" type="list">
      <formula1>"✓,—,Pending"</formula1>
      <formula2>0</formula2>
    </dataValidation>
    <dataValidation allowBlank="true" errorStyle="stop" operator="between" showDropDown="false" showErrorMessage="false" showInputMessage="false" sqref="Z3:Z200" type="list">
      <formula1>"✓,—,Pending"</formula1>
      <formula2>0</formula2>
    </dataValidation>
    <dataValidation allowBlank="true" errorStyle="stop" operator="between" showDropDown="false" showErrorMessage="false" showInputMessage="false" sqref="AA3:AA200" type="list">
      <formula1>"✓,—,Pending"</formula1>
      <formula2>0</formula2>
    </dataValidation>
    <dataValidation allowBlank="true" errorStyle="stop" operator="between" showDropDown="false" showErrorMessage="false" showInputMessage="false" sqref="AB3:AB200" type="list">
      <formula1>"Y,N"</formula1>
      <formula2>0</formula2>
    </dataValidation>
    <dataValidation allowBlank="true" errorStyle="stop" operator="between" showDropDown="false" showErrorMessage="false" showInputMessage="false" sqref="AC3:AC200" type="list">
      <formula1>"✓,—,Pending"</formula1>
      <formula2>0</formula2>
    </dataValidation>
    <dataValidation allowBlank="true" errorStyle="stop" operator="between" showDropDown="false" showErrorMessage="false" showInputMessage="false" sqref="AE3:AE200" type="list">
      <formula1>"✓,—"</formula1>
      <formula2>0</formula2>
    </dataValidation>
    <dataValidation allowBlank="true" errorStyle="stop" operator="between" showDropDown="false" showErrorMessage="false" showInputMessage="false" sqref="AF3:AF200" type="list">
      <formula1>"✓,—,Pending"</formula1>
      <formula2>0</formula2>
    </dataValidation>
    <dataValidation allowBlank="true" errorStyle="stop" operator="between" showDropDown="false" showErrorMessage="false" showInputMessage="false" sqref="AG3:AG200" type="list">
      <formula1>"✓,—,N/A"</formula1>
      <formula2>0</formula2>
    </dataValidation>
    <dataValidation allowBlank="true" errorStyle="stop" operator="between" showDropDown="false" showErrorMessage="false" showInputMessage="false" sqref="AI3:AI200" type="list">
      <formula1>"✓,—,N/A"</formula1>
      <formula2>0</formula2>
    </dataValidation>
    <dataValidation allowBlank="true" errorStyle="stop" operator="between" showDropDown="false" showErrorMessage="false" showInputMessage="false" sqref="AK3:AK200" type="list">
      <formula1>"✓,—"</formula1>
      <formula2>0</formula2>
    </dataValidation>
    <dataValidation allowBlank="true" errorStyle="stop" operator="between" showDropDown="false" showErrorMessage="false" showInputMessage="false" sqref="AJ3:AJ200" type="list">
      <formula1>"Not Started,Source Located,Mastered,Tagged,Archived,Web Ready,Deployed,Complete,Legacy — Needs Pipeline,N/A"</formula1>
      <formula2>0</formula2>
    </dataValidation>
    <dataValidation allowBlank="true" errorStyle="stop" operator="between" showDropDown="false" showErrorMessage="false" showInputMessage="false" sqref="W3:W200" type="list">
      <formula1>"Y,N,Pending,N/A"</formula1>
      <formula2>0</formula2>
    </dataValidation>
    <dataValidation allowBlank="true" errorStyle="stop" operator="between" showDropDown="false" showErrorMessage="false" showInputMessage="false" sqref="X3:X200" type="list">
      <formula1>"Masterchannel,Manual (Audacity),Pre-Mastered (Suno),N/A,Other"</formula1>
      <formula2>0</formula2>
    </dataValidation>
    <dataValidation allowBlank="true" errorStyle="stop" operator="between" showDropDown="false" showErrorMessage="false" showInputMessage="false" sqref="U3:U200" type="list">
      <formula1>"Suno AI,ElevenLabs,Kits AI,Live Recording,LTX Studio,Manual,Other"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4" t="s">
        <v>68</v>
      </c>
    </row>
    <row r="2" customFormat="false" ht="15" hidden="false" customHeight="false" outlineLevel="0" collapsed="false">
      <c r="A2" s="1" t="s">
        <v>69</v>
      </c>
      <c r="B2" s="1" t="s">
        <v>70</v>
      </c>
      <c r="C2" s="1" t="s">
        <v>18</v>
      </c>
    </row>
    <row r="3" customFormat="false" ht="23.85" hidden="false" customHeight="false" outlineLevel="0" collapsed="false">
      <c r="A3" s="10" t="s">
        <v>71</v>
      </c>
      <c r="B3" s="15" t="s">
        <v>72</v>
      </c>
      <c r="C3" s="11" t="s">
        <v>73</v>
      </c>
    </row>
    <row r="4" customFormat="false" ht="23.85" hidden="false" customHeight="false" outlineLevel="0" collapsed="false">
      <c r="A4" s="12" t="s">
        <v>49</v>
      </c>
      <c r="B4" s="16" t="s">
        <v>74</v>
      </c>
      <c r="C4" s="13" t="s">
        <v>75</v>
      </c>
    </row>
    <row r="5" customFormat="false" ht="15" hidden="false" customHeight="false" outlineLevel="0" collapsed="false">
      <c r="A5" s="10" t="s">
        <v>76</v>
      </c>
      <c r="B5" s="15" t="s">
        <v>77</v>
      </c>
      <c r="C5" s="11" t="s">
        <v>78</v>
      </c>
    </row>
    <row r="6" customFormat="false" ht="23.85" hidden="false" customHeight="false" outlineLevel="0" collapsed="false">
      <c r="A6" s="12" t="s">
        <v>79</v>
      </c>
      <c r="B6" s="16" t="s">
        <v>80</v>
      </c>
      <c r="C6" s="13" t="s">
        <v>81</v>
      </c>
    </row>
    <row r="7" customFormat="false" ht="15" hidden="false" customHeight="false" outlineLevel="0" collapsed="false">
      <c r="A7" s="10" t="s">
        <v>82</v>
      </c>
      <c r="B7" s="15" t="s">
        <v>83</v>
      </c>
      <c r="C7" s="11" t="s">
        <v>84</v>
      </c>
    </row>
    <row r="8" customFormat="false" ht="23.85" hidden="false" customHeight="false" outlineLevel="0" collapsed="false">
      <c r="A8" s="12" t="s">
        <v>85</v>
      </c>
      <c r="B8" s="16" t="s">
        <v>86</v>
      </c>
      <c r="C8" s="13" t="s">
        <v>87</v>
      </c>
    </row>
    <row r="9" customFormat="false" ht="15" hidden="false" customHeight="false" outlineLevel="0" collapsed="false">
      <c r="A9" s="10" t="s">
        <v>88</v>
      </c>
      <c r="B9" s="15" t="s">
        <v>89</v>
      </c>
      <c r="C9" s="11" t="s">
        <v>90</v>
      </c>
    </row>
    <row r="10" customFormat="false" ht="15" hidden="false" customHeight="false" outlineLevel="0" collapsed="false">
      <c r="A10" s="12" t="s">
        <v>91</v>
      </c>
      <c r="B10" s="16" t="s">
        <v>92</v>
      </c>
      <c r="C10" s="13" t="s">
        <v>93</v>
      </c>
    </row>
    <row r="11" customFormat="false" ht="15" hidden="false" customHeight="false" outlineLevel="0" collapsed="false">
      <c r="A11" s="10" t="s">
        <v>94</v>
      </c>
      <c r="B11" s="15" t="s">
        <v>95</v>
      </c>
      <c r="C11" s="11" t="s">
        <v>96</v>
      </c>
    </row>
    <row r="12" customFormat="false" ht="15" hidden="false" customHeight="false" outlineLevel="0" collapsed="false">
      <c r="A12" s="12" t="s">
        <v>97</v>
      </c>
      <c r="B12" s="16" t="s">
        <v>98</v>
      </c>
      <c r="C12" s="13" t="s">
        <v>99</v>
      </c>
    </row>
    <row r="15" customFormat="false" ht="15" hidden="false" customHeight="false" outlineLevel="0" collapsed="false">
      <c r="A15" s="14" t="s">
        <v>100</v>
      </c>
    </row>
    <row r="16" customFormat="false" ht="15" hidden="false" customHeight="false" outlineLevel="0" collapsed="false">
      <c r="A16" s="1" t="s">
        <v>69</v>
      </c>
      <c r="B16" s="1" t="s">
        <v>70</v>
      </c>
      <c r="C16" s="1" t="s">
        <v>18</v>
      </c>
    </row>
    <row r="17" customFormat="false" ht="15" hidden="false" customHeight="false" outlineLevel="0" collapsed="false">
      <c r="A17" s="10" t="s">
        <v>48</v>
      </c>
      <c r="C17" s="11" t="s">
        <v>101</v>
      </c>
    </row>
    <row r="18" customFormat="false" ht="15" hidden="false" customHeight="false" outlineLevel="0" collapsed="false">
      <c r="A18" s="10" t="s">
        <v>89</v>
      </c>
      <c r="C18" s="11" t="s">
        <v>102</v>
      </c>
    </row>
    <row r="19" customFormat="false" ht="23.85" hidden="false" customHeight="false" outlineLevel="0" collapsed="false">
      <c r="A19" s="10" t="s">
        <v>92</v>
      </c>
      <c r="C19" s="11" t="s">
        <v>103</v>
      </c>
    </row>
    <row r="20" customFormat="false" ht="23.85" hidden="false" customHeight="false" outlineLevel="0" collapsed="false">
      <c r="A20" s="10" t="s">
        <v>95</v>
      </c>
      <c r="C20" s="11" t="s">
        <v>104</v>
      </c>
    </row>
    <row r="21" customFormat="false" ht="23.85" hidden="false" customHeight="false" outlineLevel="0" collapsed="false">
      <c r="A21" s="10" t="s">
        <v>80</v>
      </c>
      <c r="C21" s="11" t="s">
        <v>105</v>
      </c>
    </row>
    <row r="22" customFormat="false" ht="23.85" hidden="false" customHeight="false" outlineLevel="0" collapsed="false">
      <c r="A22" s="10" t="s">
        <v>98</v>
      </c>
      <c r="C22" s="11" t="s">
        <v>106</v>
      </c>
    </row>
    <row r="23" customFormat="false" ht="15" hidden="false" customHeight="false" outlineLevel="0" collapsed="false">
      <c r="A23" s="10" t="s">
        <v>107</v>
      </c>
      <c r="C23" s="11" t="s">
        <v>108</v>
      </c>
    </row>
    <row r="26" customFormat="false" ht="15" hidden="false" customHeight="false" outlineLevel="0" collapsed="false">
      <c r="A26" s="14" t="s">
        <v>109</v>
      </c>
    </row>
    <row r="27" customFormat="false" ht="15" hidden="false" customHeight="false" outlineLevel="0" collapsed="false">
      <c r="A27" s="1" t="s">
        <v>110</v>
      </c>
      <c r="B27" s="1" t="s">
        <v>111</v>
      </c>
      <c r="C27" s="1" t="s">
        <v>111</v>
      </c>
    </row>
    <row r="28" customFormat="false" ht="15" hidden="false" customHeight="false" outlineLevel="0" collapsed="false">
      <c r="A28" s="17" t="s">
        <v>112</v>
      </c>
      <c r="B28" s="18"/>
      <c r="C28" s="13" t="s">
        <v>113</v>
      </c>
    </row>
    <row r="29" customFormat="false" ht="15" hidden="false" customHeight="false" outlineLevel="0" collapsed="false">
      <c r="A29" s="19" t="s">
        <v>114</v>
      </c>
      <c r="C29" s="11" t="s">
        <v>115</v>
      </c>
    </row>
    <row r="30" customFormat="false" ht="15" hidden="false" customHeight="false" outlineLevel="0" collapsed="false">
      <c r="A30" s="17" t="s">
        <v>30</v>
      </c>
      <c r="B30" s="18"/>
      <c r="C30" s="13" t="s">
        <v>116</v>
      </c>
    </row>
    <row r="31" customFormat="false" ht="15" hidden="false" customHeight="false" outlineLevel="0" collapsed="false">
      <c r="A31" s="19" t="s">
        <v>117</v>
      </c>
      <c r="C31" s="11" t="s">
        <v>118</v>
      </c>
    </row>
    <row r="32" customFormat="false" ht="23.85" hidden="false" customHeight="false" outlineLevel="0" collapsed="false">
      <c r="A32" s="17" t="s">
        <v>119</v>
      </c>
      <c r="B32" s="18"/>
      <c r="C32" s="13" t="s">
        <v>120</v>
      </c>
    </row>
    <row r="33" customFormat="false" ht="15" hidden="false" customHeight="false" outlineLevel="0" collapsed="false">
      <c r="A33" s="19" t="s">
        <v>121</v>
      </c>
      <c r="C33" s="11" t="s">
        <v>122</v>
      </c>
    </row>
    <row r="34" customFormat="false" ht="15" hidden="false" customHeight="false" outlineLevel="0" collapsed="false">
      <c r="A34" s="17" t="s">
        <v>123</v>
      </c>
      <c r="B34" s="18"/>
      <c r="C34" s="13" t="s">
        <v>124</v>
      </c>
    </row>
    <row r="35" customFormat="false" ht="23.85" hidden="false" customHeight="false" outlineLevel="0" collapsed="false">
      <c r="A35" s="19" t="s">
        <v>57</v>
      </c>
      <c r="C35" s="11" t="s">
        <v>125</v>
      </c>
    </row>
    <row r="36" customFormat="false" ht="23.85" hidden="false" customHeight="false" outlineLevel="0" collapsed="false">
      <c r="A36" s="17" t="s">
        <v>62</v>
      </c>
      <c r="B36" s="18"/>
      <c r="C36" s="13" t="s">
        <v>126</v>
      </c>
    </row>
    <row r="37" customFormat="false" ht="15" hidden="false" customHeight="false" outlineLevel="0" collapsed="false">
      <c r="A37" s="19" t="s">
        <v>127</v>
      </c>
      <c r="C37" s="11" t="s">
        <v>128</v>
      </c>
    </row>
    <row r="40" customFormat="false" ht="15" hidden="false" customHeight="false" outlineLevel="0" collapsed="false">
      <c r="A40" s="14" t="s">
        <v>129</v>
      </c>
    </row>
    <row r="41" customFormat="false" ht="15" hidden="false" customHeight="false" outlineLevel="0" collapsed="false">
      <c r="A41" s="20" t="s">
        <v>130</v>
      </c>
      <c r="B41" s="21" t="s">
        <v>131</v>
      </c>
      <c r="C41" s="21"/>
    </row>
    <row r="42" customFormat="false" ht="15" hidden="false" customHeight="false" outlineLevel="0" collapsed="false">
      <c r="A42" s="22" t="s">
        <v>132</v>
      </c>
      <c r="B42" s="23" t="s">
        <v>133</v>
      </c>
      <c r="C42" s="23"/>
    </row>
    <row r="43" customFormat="false" ht="15" hidden="false" customHeight="false" outlineLevel="0" collapsed="false">
      <c r="A43" s="20" t="s">
        <v>134</v>
      </c>
      <c r="B43" s="21" t="s">
        <v>135</v>
      </c>
      <c r="C43" s="21"/>
    </row>
    <row r="44" customFormat="false" ht="15" hidden="false" customHeight="false" outlineLevel="0" collapsed="false">
      <c r="A44" s="22" t="s">
        <v>132</v>
      </c>
      <c r="B44" s="23" t="s">
        <v>136</v>
      </c>
      <c r="C44" s="23"/>
    </row>
    <row r="45" customFormat="false" ht="15" hidden="false" customHeight="false" outlineLevel="0" collapsed="false">
      <c r="A45" s="20" t="s">
        <v>137</v>
      </c>
      <c r="B45" s="21" t="s">
        <v>138</v>
      </c>
      <c r="C45" s="21"/>
    </row>
    <row r="46" customFormat="false" ht="15" hidden="false" customHeight="false" outlineLevel="0" collapsed="false">
      <c r="A46" s="22" t="s">
        <v>132</v>
      </c>
      <c r="B46" s="23" t="s">
        <v>139</v>
      </c>
      <c r="C46" s="23"/>
    </row>
    <row r="47" customFormat="false" ht="15" hidden="false" customHeight="false" outlineLevel="0" collapsed="false">
      <c r="A47" s="20" t="s">
        <v>140</v>
      </c>
      <c r="B47" s="21" t="s">
        <v>141</v>
      </c>
      <c r="C47" s="21"/>
    </row>
    <row r="48" customFormat="false" ht="15" hidden="false" customHeight="false" outlineLevel="0" collapsed="false">
      <c r="A48" s="22" t="s">
        <v>132</v>
      </c>
      <c r="B48" s="23" t="s">
        <v>142</v>
      </c>
      <c r="C48" s="23"/>
    </row>
    <row r="49" customFormat="false" ht="23.85" hidden="false" customHeight="false" outlineLevel="0" collapsed="false">
      <c r="A49" s="20" t="s">
        <v>143</v>
      </c>
      <c r="B49" s="21" t="s">
        <v>144</v>
      </c>
      <c r="C49" s="21"/>
    </row>
    <row r="50" customFormat="false" ht="23.85" hidden="false" customHeight="false" outlineLevel="0" collapsed="false">
      <c r="A50" s="20" t="s">
        <v>145</v>
      </c>
      <c r="B50" s="21" t="s">
        <v>146</v>
      </c>
      <c r="C50" s="21"/>
    </row>
    <row r="53" customFormat="false" ht="15" hidden="false" customHeight="false" outlineLevel="0" collapsed="false">
      <c r="A53" s="14" t="s">
        <v>147</v>
      </c>
    </row>
    <row r="54" customFormat="false" ht="15" hidden="false" customHeight="false" outlineLevel="0" collapsed="false">
      <c r="A54" s="1" t="s">
        <v>148</v>
      </c>
      <c r="B54" s="1" t="s">
        <v>149</v>
      </c>
    </row>
    <row r="55" customFormat="false" ht="15" hidden="false" customHeight="false" outlineLevel="0" collapsed="false">
      <c r="A55" s="15" t="s">
        <v>150</v>
      </c>
      <c r="B55" s="15" t="s">
        <v>52</v>
      </c>
      <c r="C55" s="15"/>
    </row>
    <row r="56" customFormat="false" ht="15" hidden="false" customHeight="false" outlineLevel="0" collapsed="false">
      <c r="A56" s="16" t="s">
        <v>20</v>
      </c>
      <c r="B56" s="16" t="s">
        <v>53</v>
      </c>
      <c r="C56" s="16"/>
    </row>
    <row r="57" customFormat="false" ht="15" hidden="false" customHeight="false" outlineLevel="0" collapsed="false">
      <c r="A57" s="15" t="s">
        <v>22</v>
      </c>
      <c r="B57" s="15" t="s">
        <v>54</v>
      </c>
      <c r="C57" s="15"/>
    </row>
    <row r="58" customFormat="false" ht="15" hidden="false" customHeight="false" outlineLevel="0" collapsed="false">
      <c r="A58" s="16" t="s">
        <v>151</v>
      </c>
      <c r="B58" s="16" t="s">
        <v>55</v>
      </c>
      <c r="C58" s="16"/>
    </row>
    <row r="59" customFormat="false" ht="15" hidden="false" customHeight="false" outlineLevel="0" collapsed="false">
      <c r="A59" s="15" t="s">
        <v>152</v>
      </c>
      <c r="B59" s="15" t="s">
        <v>153</v>
      </c>
      <c r="C59" s="15"/>
    </row>
    <row r="60" customFormat="false" ht="15" hidden="false" customHeight="false" outlineLevel="0" collapsed="false">
      <c r="A60" s="16" t="s">
        <v>154</v>
      </c>
      <c r="B60" s="16" t="s">
        <v>155</v>
      </c>
      <c r="C60" s="16"/>
    </row>
    <row r="61" customFormat="false" ht="15" hidden="false" customHeight="false" outlineLevel="0" collapsed="false">
      <c r="A61" s="15" t="s">
        <v>25</v>
      </c>
      <c r="B61" s="15" t="s">
        <v>56</v>
      </c>
      <c r="C61" s="15"/>
    </row>
    <row r="62" customFormat="false" ht="15" hidden="false" customHeight="false" outlineLevel="0" collapsed="false">
      <c r="A62" s="16" t="s">
        <v>23</v>
      </c>
      <c r="B62" s="16" t="s">
        <v>156</v>
      </c>
      <c r="C62" s="16"/>
    </row>
    <row r="63" customFormat="false" ht="15" hidden="false" customHeight="false" outlineLevel="0" collapsed="false">
      <c r="A63" s="15" t="s">
        <v>157</v>
      </c>
      <c r="B63" s="15" t="s">
        <v>158</v>
      </c>
      <c r="C63" s="15"/>
    </row>
    <row r="64" customFormat="false" ht="15" hidden="false" customHeight="false" outlineLevel="0" collapsed="false">
      <c r="A64" s="16" t="s">
        <v>159</v>
      </c>
      <c r="B64" s="16" t="s">
        <v>160</v>
      </c>
      <c r="C64" s="16"/>
    </row>
    <row r="65" customFormat="false" ht="15" hidden="false" customHeight="false" outlineLevel="0" collapsed="false">
      <c r="A65" s="15" t="s">
        <v>32</v>
      </c>
      <c r="B65" s="15" t="s">
        <v>161</v>
      </c>
      <c r="C65" s="15"/>
    </row>
    <row r="66" customFormat="false" ht="15" hidden="false" customHeight="false" outlineLevel="0" collapsed="false">
      <c r="A66" s="16" t="s">
        <v>33</v>
      </c>
      <c r="B66" s="16" t="s">
        <v>162</v>
      </c>
      <c r="C66" s="16"/>
    </row>
  </sheetData>
  <mergeCells count="22"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4" t="s">
        <v>163</v>
      </c>
      <c r="B1" s="24"/>
      <c r="C1" s="24"/>
      <c r="D1" s="24"/>
    </row>
    <row r="3" customFormat="false" ht="15" hidden="false" customHeight="false" outlineLevel="0" collapsed="false">
      <c r="A3" s="1" t="s">
        <v>164</v>
      </c>
      <c r="B3" s="1" t="s">
        <v>165</v>
      </c>
      <c r="C3" s="1" t="s">
        <v>46</v>
      </c>
    </row>
    <row r="4" customFormat="false" ht="15" hidden="false" customHeight="false" outlineLevel="0" collapsed="false">
      <c r="A4" s="25" t="s">
        <v>166</v>
      </c>
      <c r="B4" s="12" t="n">
        <f aca="false">COUNTA('Media Catalog'!A3:A200)</f>
        <v>3</v>
      </c>
      <c r="C4" s="26" t="s">
        <v>167</v>
      </c>
    </row>
    <row r="5" customFormat="false" ht="15" hidden="false" customHeight="false" outlineLevel="0" collapsed="false">
      <c r="A5" s="27" t="s">
        <v>168</v>
      </c>
      <c r="B5" s="10" t="n">
        <f aca="false">COUNTIF('Media Catalog'!C3:C200,"Music")</f>
        <v>3</v>
      </c>
      <c r="C5" s="28"/>
    </row>
    <row r="6" customFormat="false" ht="15" hidden="false" customHeight="false" outlineLevel="0" collapsed="false">
      <c r="A6" s="25" t="s">
        <v>169</v>
      </c>
      <c r="B6" s="12" t="n">
        <f aca="false">COUNTIF('Media Catalog'!C3:C200,"Narration")</f>
        <v>0</v>
      </c>
      <c r="C6" s="26"/>
    </row>
    <row r="7" customFormat="false" ht="15" hidden="false" customHeight="false" outlineLevel="0" collapsed="false">
      <c r="A7" s="27" t="s">
        <v>170</v>
      </c>
      <c r="B7" s="10" t="n">
        <f aca="false">COUNTIF('Media Catalog'!C3:C200,"Podcast")</f>
        <v>0</v>
      </c>
      <c r="C7" s="28"/>
    </row>
    <row r="8" customFormat="false" ht="15" hidden="false" customHeight="false" outlineLevel="0" collapsed="false">
      <c r="A8" s="25" t="s">
        <v>95</v>
      </c>
      <c r="B8" s="12" t="n">
        <f aca="false">COUNTIF('Media Catalog'!C3:C200,"Spoken Word")</f>
        <v>0</v>
      </c>
      <c r="C8" s="26"/>
    </row>
    <row r="9" customFormat="false" ht="15" hidden="false" customHeight="false" outlineLevel="0" collapsed="false">
      <c r="A9" s="27" t="s">
        <v>171</v>
      </c>
      <c r="B9" s="10" t="n">
        <f aca="false">COUNTIF('Media Catalog'!C3:C200,"Ambient")</f>
        <v>0</v>
      </c>
      <c r="C9" s="28"/>
    </row>
    <row r="10" customFormat="false" ht="15" hidden="false" customHeight="false" outlineLevel="0" collapsed="false">
      <c r="A10" s="25" t="s">
        <v>98</v>
      </c>
      <c r="B10" s="12" t="n">
        <f aca="false">COUNTIF('Media Catalog'!C3:C200,"Video")</f>
        <v>0</v>
      </c>
      <c r="C10" s="26"/>
    </row>
    <row r="11" customFormat="false" ht="15" hidden="false" customHeight="false" outlineLevel="0" collapsed="false">
      <c r="A11" s="15"/>
      <c r="B11" s="29"/>
      <c r="C11" s="28"/>
    </row>
    <row r="12" customFormat="false" ht="15" hidden="false" customHeight="false" outlineLevel="0" collapsed="false">
      <c r="A12" s="25" t="s">
        <v>172</v>
      </c>
      <c r="B12" s="12" t="n">
        <f aca="false">COUNTIF('Media Catalog'!AJ3:AJ200,"Complete")</f>
        <v>1</v>
      </c>
      <c r="C12" s="26" t="s">
        <v>173</v>
      </c>
    </row>
    <row r="13" customFormat="false" ht="15" hidden="false" customHeight="false" outlineLevel="0" collapsed="false">
      <c r="A13" s="27" t="s">
        <v>174</v>
      </c>
      <c r="B13" s="10" t="n">
        <f aca="false">COUNTIF('Media Catalog'!AJ3:AJ200,"Legacy*")</f>
        <v>2</v>
      </c>
      <c r="C13" s="28" t="s">
        <v>175</v>
      </c>
    </row>
    <row r="14" customFormat="false" ht="15" hidden="false" customHeight="false" outlineLevel="0" collapsed="false">
      <c r="A14" s="25" t="s">
        <v>176</v>
      </c>
      <c r="B14" s="12" t="n">
        <f aca="false">COUNTIF('Media Catalog'!AJ3:AJ200,"Not Started")</f>
        <v>0</v>
      </c>
      <c r="C14" s="26"/>
    </row>
    <row r="15" customFormat="false" ht="15" hidden="false" customHeight="false" outlineLevel="0" collapsed="false">
      <c r="A15" s="27" t="s">
        <v>177</v>
      </c>
      <c r="B15" s="10" t="n">
        <f aca="false">COUNTA('Media Catalog'!AJ3:AJ200)-COUNTIF('Media Catalog'!AJ3:AJ200,"Complete")-COUNTIF('Media Catalog'!AJ3:AJ200,"Legacy*")-COUNTIF('Media Catalog'!AJ3:AJ200,"Not Started")-COUNTIF('Media Catalog'!AJ3:AJ200,"N/A")</f>
        <v>0</v>
      </c>
      <c r="C15" s="28"/>
    </row>
    <row r="16" customFormat="false" ht="15" hidden="false" customHeight="false" outlineLevel="0" collapsed="false">
      <c r="A16" s="16"/>
      <c r="B16" s="30"/>
      <c r="C16" s="26"/>
    </row>
    <row r="17" customFormat="false" ht="15" hidden="false" customHeight="false" outlineLevel="0" collapsed="false">
      <c r="A17" s="27" t="s">
        <v>38</v>
      </c>
      <c r="B17" s="10" t="n">
        <f aca="false">COUNTIF('Media Catalog'!AE3:AE200,"✓")</f>
        <v>0</v>
      </c>
      <c r="C17" s="28" t="s">
        <v>178</v>
      </c>
    </row>
    <row r="18" customFormat="false" ht="15" hidden="false" customHeight="false" outlineLevel="0" collapsed="false">
      <c r="A18" s="25" t="s">
        <v>179</v>
      </c>
      <c r="B18" s="12" t="n">
        <f aca="false">COUNTIF('Media Catalog'!AG3:AG200,"✓")</f>
        <v>0</v>
      </c>
      <c r="C18" s="26" t="s">
        <v>180</v>
      </c>
    </row>
    <row r="19" customFormat="false" ht="15" hidden="false" customHeight="false" outlineLevel="0" collapsed="false">
      <c r="A19" s="27" t="s">
        <v>181</v>
      </c>
      <c r="B19" s="10" t="n">
        <f aca="false">COUNTIF('Media Catalog'!AF3:AF200,"✓")</f>
        <v>0</v>
      </c>
      <c r="C19" s="28" t="s">
        <v>182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2026-03-01T03:16:30Z</dcterms:created>
  <dc:creator>openpyxl</dc:creator>
  <dc:description/>
  <dc:language>en-US</dc:language>
  <cp:lastModifiedBy/>
  <dcterms:modified xsi:type="dcterms:W3CDTF">2026-03-01T03:16:30Z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