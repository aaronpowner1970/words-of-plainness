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Branch Study" sheetId="13" state="visible" r:id="rId13"/>
    <sheet xmlns:r="http://schemas.openxmlformats.org/officeDocument/2006/relationships" name="Inference Support" sheetId="14" state="visible" r:id="rId14"/>
    <sheet xmlns:r="http://schemas.openxmlformats.org/officeDocument/2006/relationships" name="Inference Evidence Map" sheetId="15" state="visible" r:id="rId15"/>
    <sheet xmlns:r="http://schemas.openxmlformats.org/officeDocument/2006/relationships" name="Matrix Case Studies" sheetId="16" state="visible" r:id="rId16"/>
    <sheet xmlns:r="http://schemas.openxmlformats.org/officeDocument/2006/relationships" name="Row Ratification" sheetId="17" state="visible" r:id="rId17"/>
    <sheet xmlns:r="http://schemas.openxmlformats.org/officeDocument/2006/relationships" name="Godhead Context" sheetId="18" state="visible" r:id="rId18"/>
    <sheet xmlns:r="http://schemas.openxmlformats.org/officeDocument/2006/relationships" name="Current Source Recovery" sheetId="19" state="visible" r:id="rId19"/>
    <sheet xmlns:r="http://schemas.openxmlformats.org/officeDocument/2006/relationships" name="Tradition Sources" sheetId="20" state="visible" r:id="rId20"/>
    <sheet xmlns:r="http://schemas.openxmlformats.org/officeDocument/2006/relationships" name="Branch Source Registry" sheetId="21" state="visible" r:id="rId21"/>
    <sheet xmlns:r="http://schemas.openxmlformats.org/officeDocument/2006/relationships" name="Glossary" sheetId="22" state="visible" r:id="rId22"/>
    <sheet xmlns:r="http://schemas.openxmlformats.org/officeDocument/2006/relationships" name="Antecedent Examples" sheetId="23" state="visible" r:id="rId23"/>
    <sheet xmlns:r="http://schemas.openxmlformats.org/officeDocument/2006/relationships" name="Related CTA Topics" sheetId="24" state="visible" r:id="rId24"/>
    <sheet xmlns:r="http://schemas.openxmlformats.org/officeDocument/2006/relationships" name="Public Readiness" sheetId="25" state="visible" r:id="rId25"/>
    <sheet xmlns:r="http://schemas.openxmlformats.org/officeDocument/2006/relationships" name="Lineage &amp; Merge Audit" sheetId="26" state="visible" r:id="rId26"/>
    <sheet xmlns:r="http://schemas.openxmlformats.org/officeDocument/2006/relationships" name="Build Validation" sheetId="27" state="visible" r:id="rId27"/>
    <sheet xmlns:r="http://schemas.openxmlformats.org/officeDocument/2006/relationships" name="Citation Selection Rules" sheetId="28" state="visible" r:id="rId28"/>
    <sheet xmlns:r="http://schemas.openxmlformats.org/officeDocument/2006/relationships" name="URL Validation Snapshot" sheetId="29" state="visible" r:id="rId29"/>
    <sheet xmlns:r="http://schemas.openxmlformats.org/officeDocument/2006/relationships" name="Pipeline Validation Spec" sheetId="30" state="visible" r:id="rId30"/>
    <sheet xmlns:r="http://schemas.openxmlformats.org/officeDocument/2006/relationships" name="Citation Phrase Targets" sheetId="31" state="visible" r:id="rId31"/>
    <sheet xmlns:r="http://schemas.openxmlformats.org/officeDocument/2006/relationships" name="Restoration Phrase Targets" sheetId="32" state="visible" r:id="rId32"/>
    <sheet xmlns:r="http://schemas.openxmlformats.org/officeDocument/2006/relationships" name="Case Study Phrase Targets" sheetId="33" state="visible" r:id="rId33"/>
    <sheet xmlns:r="http://schemas.openxmlformats.org/officeDocument/2006/relationships" name="Vector Family Captions" sheetId="34" state="visible" r:id="rId34"/>
    <sheet xmlns:r="http://schemas.openxmlformats.org/officeDocument/2006/relationships" name="Clarification Vocabulary" sheetId="35" state="visible" r:id="rId35"/>
    <sheet xmlns:r="http://schemas.openxmlformats.org/officeDocument/2006/relationships" name="Interpretive Clarifications" sheetId="36" state="visible" r:id="rId36"/>
    <sheet xmlns:r="http://schemas.openxmlformats.org/officeDocument/2006/relationships" name="Clarification Trigger Map" sheetId="37" state="visible" r:id="rId37"/>
    <sheet xmlns:r="http://schemas.openxmlformats.org/officeDocument/2006/relationships" name="Clarification Sources" sheetId="38" state="visible" r:id="rId38"/>
    <sheet xmlns:r="http://schemas.openxmlformats.org/officeDocument/2006/relationships" name="Author Decision Queue" sheetId="39" state="visible" r:id="rId39"/>
    <sheet xmlns:r="http://schemas.openxmlformats.org/officeDocument/2006/relationships" name="Author Gate Dashboard" sheetId="40" state="visible" r:id="rId40"/>
    <sheet xmlns:r="http://schemas.openxmlformats.org/officeDocument/2006/relationships" name="AUTHOR REVIEW CONSOLE" sheetId="41" state="visible" r:id="rId41"/>
    <sheet xmlns:r="http://schemas.openxmlformats.org/officeDocument/2006/relationships" name="Author Response Entry" sheetId="42" state="visible" r:id="rId42"/>
    <sheet xmlns:r="http://schemas.openxmlformats.org/officeDocument/2006/relationships" name="Sensitivity Ranges" sheetId="43" state="visible" r:id="rId43"/>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
      <b val="1"/>
      <color rgb="FF203864"/>
      <sz val="13"/>
    </font>
    <font>
      <b val="1"/>
    </font>
    <font>
      <b val="1"/>
      <color rgb="FFFFFFFF"/>
    </font>
    <font>
      <name val="Carlito"/>
      <b val="1"/>
      <sz val="11"/>
    </font>
    <font>
      <name val="Carlito"/>
      <sz val="11"/>
    </font>
  </fonts>
  <fills count="10">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
      <patternFill patternType="solid">
        <fgColor rgb="FFFFF2CC"/>
      </patternFill>
    </fill>
    <fill>
      <patternFill patternType="solid">
        <fgColor rgb="FF2038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47">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xf numFmtId="0" fontId="7" fillId="0" borderId="0" pivotButton="0" quotePrefix="0" xfId="0"/>
    <xf numFmtId="0" fontId="0" fillId="8" borderId="0" applyAlignment="1" pivotButton="0" quotePrefix="0" xfId="0">
      <alignment vertical="top" wrapText="1"/>
    </xf>
    <xf numFmtId="0" fontId="8" fillId="0" borderId="0" pivotButton="0" quotePrefix="0" xfId="0"/>
    <xf numFmtId="0" fontId="0" fillId="8" borderId="0" pivotButton="0" quotePrefix="0" xfId="0"/>
    <xf numFmtId="0" fontId="9" fillId="9" borderId="1" applyAlignment="1" pivotButton="0" quotePrefix="0" xfId="0">
      <alignment vertical="center" wrapText="1"/>
    </xf>
    <xf numFmtId="0" fontId="8" fillId="0" borderId="1" pivotButton="0" quotePrefix="0" xfId="0"/>
    <xf numFmtId="0" fontId="0" fillId="0" borderId="1" pivotButton="0" quotePrefix="0" xfId="0"/>
    <xf numFmtId="164" fontId="0" fillId="0" borderId="1" pivotButton="0" quotePrefix="0" xfId="0"/>
    <xf numFmtId="164" fontId="8" fillId="0" borderId="1" pivotButton="0" quotePrefix="0" xfId="0"/>
    <xf numFmtId="0" fontId="9" fillId="9" borderId="1" applyAlignment="1" pivotButton="0" quotePrefix="0" xfId="0">
      <alignment wrapText="1"/>
    </xf>
    <xf numFmtId="0" fontId="11" fillId="0" borderId="0" applyAlignment="1" pivotButton="0" quotePrefix="0" xfId="0">
      <alignment wrapText="1"/>
    </xf>
    <xf numFmtId="0" fontId="11" fillId="0" borderId="0" applyAlignment="1" pivotButton="0" quotePrefix="0" xfId="0">
      <alignment vertical="top" wrapText="1"/>
    </xf>
    <xf numFmtId="0" fontId="11" fillId="0" borderId="0" pivotButton="0" quotePrefix="0" xfId="0"/>
    <xf numFmtId="0" fontId="1" fillId="9" borderId="0" pivotButton="0" quotePrefix="0" xfId="0"/>
    <xf numFmtId="0" fontId="10" fillId="8" borderId="0" applyAlignment="1" pivotButton="0" quotePrefix="0" xfId="0">
      <alignment vertical="top" wrapText="1"/>
    </xf>
    <xf numFmtId="0" fontId="2" fillId="9" borderId="0" applyAlignment="1" pivotButton="0" quotePrefix="0" xfId="0">
      <alignment vertical="center" wrapText="1"/>
    </xf>
    <xf numFmtId="0" fontId="11" fillId="0" borderId="0" applyAlignment="1" pivotButton="0" quotePrefix="0" xfId="0">
      <alignment vertical="center" wrapText="1"/>
    </xf>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7"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6"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E3"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36"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2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27.xml.rels><Relationships xmlns="http://schemas.openxmlformats.org/package/2006/relationships"><Relationship Type="http://schemas.openxmlformats.org/officeDocument/2006/relationships/table" Target="/xl/tables/table12.xml" Id="rId1"/></Relationships>
</file>

<file path=xl/worksheets/_rels/sheet28.xml.rels><Relationships xmlns="http://schemas.openxmlformats.org/package/2006/relationships"><Relationship Type="http://schemas.openxmlformats.org/officeDocument/2006/relationships/table" Target="/xl/tables/table13.xml" Id="rId1"/></Relationships>
</file>

<file path=xl/worksheets/_rels/sheet29.xml.rels><Relationships xmlns="http://schemas.openxmlformats.org/package/2006/relationships"><Relationship Type="http://schemas.openxmlformats.org/officeDocument/2006/relationships/table" Target="/xl/tables/table14.xml" Id="rId1"/></Relationships>
</file>

<file path=xl/worksheets/_rels/sheet30.xml.rels><Relationships xmlns="http://schemas.openxmlformats.org/package/2006/relationships"><Relationship Type="http://schemas.openxmlformats.org/officeDocument/2006/relationships/table" Target="/xl/tables/table15.xml" Id="rId1"/></Relationships>
</file>

<file path=xl/worksheets/_rels/sheet31.xml.rels><Relationships xmlns="http://schemas.openxmlformats.org/package/2006/relationships"><Relationship Type="http://schemas.openxmlformats.org/officeDocument/2006/relationships/table" Target="/xl/tables/table16.xml" Id="rId1"/></Relationships>
</file>

<file path=xl/worksheets/_rels/sheet32.xml.rels><Relationships xmlns="http://schemas.openxmlformats.org/package/2006/relationships"><Relationship Type="http://schemas.openxmlformats.org/officeDocument/2006/relationships/table" Target="/xl/tables/table17.xml" Id="rId1"/></Relationships>
</file>

<file path=xl/worksheets/_rels/sheet33.xml.rels><Relationships xmlns="http://schemas.openxmlformats.org/package/2006/relationships"><Relationship Type="http://schemas.openxmlformats.org/officeDocument/2006/relationships/table" Target="/xl/tables/table18.xml" Id="rId1"/></Relationships>
</file>

<file path=xl/worksheets/_rels/sheet34.xml.rels><Relationships xmlns="http://schemas.openxmlformats.org/package/2006/relationships"><Relationship Type="http://schemas.openxmlformats.org/officeDocument/2006/relationships/table" Target="/xl/tables/table19.xml" Id="rId1"/></Relationships>
</file>

<file path=xl/worksheets/_rels/sheet35.xml.rels><Relationships xmlns="http://schemas.openxmlformats.org/package/2006/relationships"><Relationship Type="http://schemas.openxmlformats.org/officeDocument/2006/relationships/table" Target="/xl/tables/table20.xml" Id="rId1"/></Relationships>
</file>

<file path=xl/worksheets/_rels/sheet36.xml.rels><Relationships xmlns="http://schemas.openxmlformats.org/package/2006/relationships"><Relationship Type="http://schemas.openxmlformats.org/officeDocument/2006/relationships/table" Target="/xl/tables/table21.xml" Id="rId1"/></Relationships>
</file>

<file path=xl/worksheets/_rels/sheet37.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0.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5">
      <c r="A5" s="5" t="inlineStr">
        <is>
          <t>Key</t>
        </is>
      </c>
      <c r="B5" s="5" t="inlineStr">
        <is>
          <t>Value</t>
        </is>
      </c>
      <c r="C5" s="5" t="inlineStr">
        <is>
          <t>App rule</t>
        </is>
      </c>
    </row>
    <row r="6">
      <c r="A6" s="4" t="inlineStr">
        <is>
          <t>app_master_version</t>
        </is>
      </c>
      <c r="B6" s="40" t="inlineStr">
        <is>
          <t>v2.25r3 AN03 MIGRATION VATICANNEWS</t>
        </is>
      </c>
      <c r="C6" s="41" t="inlineStr">
        <is>
          <t>Use this workbook as the single app-facing data authority.</t>
        </is>
      </c>
    </row>
    <row r="7">
      <c r="A7" s="4" t="inlineStr">
        <is>
          <t>build_date</t>
        </is>
      </c>
      <c r="B7" s="40" t="inlineStr">
        <is>
          <t>2026-09-12</t>
        </is>
      </c>
      <c r="C7" s="41"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c r="A75" s="0" t="inlineStr">
        <is>
          <t>clarification_cases_approved</t>
        </is>
      </c>
      <c r="B75" s="0" t="inlineStr">
        <is>
          <t>ICC-001; ICC-002</t>
        </is>
      </c>
      <c r="C75" s="0" t="inlineStr">
        <is>
          <t>Both APPROVED; paired release satisfies LENS_BALANCED_PAIR.</t>
        </is>
      </c>
    </row>
    <row r="76" ht="15.75" customHeight="1" s="29">
      <c r="A76" s="0" t="inlineStr">
        <is>
          <t>clarification_pending_fetch</t>
        </is>
      </c>
      <c r="B76" s="0" t="inlineStr">
        <is>
          <t>ICS-020</t>
        </is>
      </c>
      <c r="C76" s="0" t="inlineStr">
        <is>
          <t>Bible Dictionary phrase requires rendered fetch before VERIFIED.</t>
        </is>
      </c>
    </row>
    <row r="77" ht="15.75" customHeight="1" s="29">
      <c r="A77" s="0" t="inlineStr">
        <is>
          <t>four_clause_A</t>
        </is>
      </c>
      <c r="B77" s="0" t="inlineStr">
        <is>
          <t>Here we genuinely agree.</t>
        </is>
      </c>
      <c r="C77" s="0" t="inlineStr">
        <is>
          <t>predicates[].sentence for code A</t>
        </is>
      </c>
    </row>
    <row r="78" ht="15.75" customHeight="1" s="29">
      <c r="A78" s="0" t="inlineStr">
        <is>
          <t>four_clause_Q</t>
        </is>
      </c>
      <c r="B78" s="0" t="inlineStr">
        <is>
          <t>Here we share a concern but mean it differently.</t>
        </is>
      </c>
      <c r="C78" s="0" t="inlineStr">
        <is>
          <t>predicates[].sentence for code Q</t>
        </is>
      </c>
    </row>
    <row r="79" ht="15.75" customHeight="1" s="29">
      <c r="A79" s="0" t="inlineStr">
        <is>
          <t>four_clause_D</t>
        </is>
      </c>
      <c r="B79" s="0" t="inlineStr">
        <is>
          <t>Here we directly disagree.</t>
        </is>
      </c>
      <c r="C79" s="0" t="inlineStr">
        <is>
          <t>predicates[].sentence for code D</t>
        </is>
      </c>
    </row>
    <row r="80" ht="15.75" customHeight="1" s="29">
      <c r="A80" s="0" t="inlineStr">
        <is>
          <t>four_clause_ADDITION</t>
        </is>
      </c>
      <c r="B80" s="0" t="inlineStr">
        <is>
          <t>Here one tradition makes an additional claim.</t>
        </is>
      </c>
      <c r="C80" s="0" t="inlineStr">
        <is>
          <t>predicates[].sentence for Restoration additions</t>
        </is>
      </c>
    </row>
    <row r="81" ht="15.75" customHeight="1" s="29">
      <c r="A81" s="0" t="inlineStr">
        <is>
          <t>four_clause_rule</t>
        </is>
      </c>
      <c r="B81" s="0" t="inlineStr">
        <is>
          <t>Sentence is selected by code; the card composition (predicate | historical witness | Restoration witness | caution) is a layout, not the sentence.</t>
        </is>
      </c>
      <c r="C81" s="0" t="inlineStr">
        <is>
          <t>Gate-0 brief §4; paper §16</t>
        </is>
      </c>
    </row>
    <row r="82" ht="15.75" customHeight="1" s="29">
      <c r="A82" s="0" t="inlineStr">
        <is>
          <t>sensitivity_ranges_sheet</t>
        </is>
      </c>
      <c r="B82" s="0" t="inlineStr">
        <is>
          <t>Sensitivity Ranges</t>
        </is>
      </c>
      <c r="C82" s="0" t="inlineStr">
        <is>
          <t>ranges.json must be emitted from this sheet; blank Low/High → count + percent only</t>
        </is>
      </c>
    </row>
    <row r="83" ht="15.75" customHeight="1" s="29">
      <c r="A83" s="0" t="inlineStr">
        <is>
          <t>phrase_overrides_status</t>
        </is>
      </c>
      <c r="B83" s="0" t="inlineStr">
        <is>
          <t>RATIFIED AND INCORPORATED (Q-033, Q-173, Q-174)</t>
        </is>
      </c>
      <c r="C83" s="0" t="inlineStr">
        <is>
          <t>Pipeline may delete scripts/sjn-phrase-overrides.json</t>
        </is>
      </c>
    </row>
    <row r="84" ht="15.75" customHeight="1" s="29">
      <c r="A84" s="0" t="inlineStr">
        <is>
          <t>q290_phrase_targets</t>
        </is>
      </c>
      <c r="B84" s="0" t="inlineStr">
        <is>
          <t>IN WORKBOOK (Case Study Phrase Targets)</t>
        </is>
      </c>
      <c r="C84" s="0" t="inlineStr">
        <is>
          <t>Pipeline may delete SUPPLEMENT_TARGETS for Q-290</t>
        </is>
      </c>
    </row>
    <row r="85" ht="15.75" customHeight="1" s="29">
      <c r="A85" s="0" t="inlineStr">
        <is>
          <t>style_law_learner_fields</t>
        </is>
      </c>
      <c r="B85" s="0" t="inlineStr">
        <is>
          <t>APPLIED</t>
        </is>
      </c>
      <c r="C85" s="0" t="inlineStr">
        <is>
          <t>"LDS" replaced with "Latter-day Saint" in learner-surfacing text; column header "Current LDS code" retained for lineage and renamed at build</t>
        </is>
      </c>
    </row>
    <row r="86" ht="15.75" customHeight="1" s="29">
      <c r="A86" s="0" t="inlineStr">
        <is>
          <t>internal_stats_sheet</t>
        </is>
      </c>
      <c r="B86" s="0" t="inlineStr">
        <is>
          <t>Branch Study</t>
        </is>
      </c>
      <c r="C86" s="0" t="inlineStr">
        <is>
          <t>Author personal-study analytics. Pipeline may emit to data-sources/sjn/branches-internal.json (outside src/_data). Never templated.</t>
        </is>
      </c>
    </row>
    <row r="87" ht="15.75" customHeight="1" s="29">
      <c r="A87" s="0" t="inlineStr">
        <is>
          <t>internal_stats_public</t>
        </is>
      </c>
      <c r="B87" s="0" t="b">
        <v>0</v>
      </c>
      <c r="C87" s="0" t="inlineStr">
        <is>
          <t>BLOCKING: sjn-verify must assert that no per-branch count or percent string appears in production HTML.</t>
        </is>
      </c>
    </row>
    <row r="88" ht="15.75" customHeight="1" s="29">
      <c r="A88" s="0" t="inlineStr">
        <is>
          <t>branch_view_enabled</t>
        </is>
      </c>
      <c r="B88" s="0" t="b">
        <v>0</v>
      </c>
      <c r="C88" s="0" t="inlineStr">
        <is>
          <t>Gate 8 "My Tradition" single-branch view on M1. Stays False until author enables after eligibility rule is ratified.</t>
        </is>
      </c>
    </row>
    <row r="89" ht="15.75" customHeight="1" s="29">
      <c r="A89" s="0" t="inlineStr">
        <is>
          <t>branch_eligibility_min_released</t>
        </is>
      </c>
      <c r="B89" s="0" t="n">
        <v>30</v>
      </c>
      <c r="C89" s="0" t="inlineStr">
        <is>
          <t>DRAFT. Branch qualifies for the single-branch view when released cells &gt;= this value (Branch Study!B4 mirrors). Author decision pending.</t>
        </is>
      </c>
    </row>
    <row r="90" ht="15.75" customHeight="1" s="29">
      <c r="A90" s="0" t="inlineStr">
        <is>
          <t>branch_view_no_ranking</t>
        </is>
      </c>
      <c r="B90" s="0" t="b">
        <v>1</v>
      </c>
      <c r="C90" s="0" t="inlineStr">
        <is>
          <t>Tradition views render states and sources only; no totals, percentages, or side-by-side counts. Standing rule.</t>
        </is>
      </c>
    </row>
    <row r="91" ht="15.75" customHeight="1" s="29">
      <c r="A91" s="0" t="inlineStr">
        <is>
          <t>expansion_plan</t>
        </is>
      </c>
      <c r="B91" s="0" t="inlineStr">
        <is>
          <t>WoP_SJN_ExpansionPlan_Gates5-9_20260910.md</t>
        </is>
      </c>
      <c r="C91" s="0" t="inlineStr">
        <is>
          <t>Gates 5-9: Branch Source Registries -&gt; Evidence Recovery Agent Team -&gt; Author Cell Ratification (Decision Console) -&gt; My Tradition view -&gt; Compare / M7 decision.</t>
        </is>
      </c>
    </row>
    <row r="92" ht="15.75" customHeight="1" s="29">
      <c r="A92" s="42" t="inlineStr">
        <is>
          <t>branch_source_registry_sheet</t>
        </is>
      </c>
      <c r="B92" s="42" t="inlineStr">
        <is>
          <t>Branch Source Registry</t>
        </is>
      </c>
      <c r="C92" s="41" t="inlineStr">
        <is>
          <t>Gate 5. Author-ratified standards per branch; the only sources a cell may cite.</t>
        </is>
      </c>
    </row>
    <row r="93" ht="15.75" customHeight="1" s="29">
      <c r="A93" s="42" t="inlineStr">
        <is>
          <t>registry_only_enforcement</t>
        </is>
      </c>
      <c r="B93" s="42" t="b">
        <v>1</v>
      </c>
      <c r="C93" s="41" t="inlineStr">
        <is>
          <t>BLOCKING: sjn-verify rule R001 — a cell citation whose domain is not in its branch's AUTHOR_RATIFIED registry rows is an error.</t>
        </is>
      </c>
    </row>
    <row r="94" ht="15.75" customHeight="1" s="29">
      <c r="A94" s="42" t="inlineStr">
        <is>
          <t>registry_entries_ratified</t>
        </is>
      </c>
      <c r="B94" s="42" t="n">
        <v>45</v>
      </c>
      <c r="C94" s="41" t="inlineStr">
        <is>
          <t>Count of AUTHOR_RATIFIED registry rows (2 retired, 0 draft/held).</t>
        </is>
      </c>
    </row>
    <row r="95" ht="15.75" customHeight="1" s="29">
      <c r="A95" s="42" t="inlineStr">
        <is>
          <t>registry_breadth</t>
        </is>
      </c>
      <c r="B95" s="42" t="inlineStr">
        <is>
          <t>TWO_TIERS</t>
        </is>
      </c>
      <c r="C95" s="41" t="inlineStr">
        <is>
          <t>Author call. TWO_TIERS = binding confession(s) plus one catechetical or current official witness per branch.</t>
        </is>
      </c>
    </row>
    <row r="96" ht="15.75" customHeight="1" s="29">
      <c r="A96" s="42" t="inlineStr">
        <is>
          <t>decision_console_medium</t>
        </is>
      </c>
      <c r="B96" s="42" t="inlineStr">
        <is>
          <t>ARTIFACT_DB</t>
        </is>
      </c>
      <c r="C96" s="41" t="inlineStr">
        <is>
          <t>Author call. Where Gate 7 cell ratification happens and how decisions reach the merge script.</t>
        </is>
      </c>
    </row>
    <row r="97" ht="15.75" customHeight="1" s="29">
      <c r="A97" s="42" t="inlineStr">
        <is>
          <t>lineage_host_policy</t>
        </is>
      </c>
      <c r="B97" s="42" t="inlineStr">
        <is>
          <t>MIGRATE_WHERE_OFFICIAL</t>
        </is>
      </c>
      <c r="C97" s="41" t="inlineStr">
        <is>
          <t>Author call. Treatment of third-party hosts already cited by released cells.</t>
        </is>
      </c>
    </row>
    <row r="98" ht="15.75" customHeight="1" s="29">
      <c r="A98" s="42" t="inlineStr">
        <is>
          <t>fetch_mode_confirmation</t>
        </is>
      </c>
      <c r="B98" s="42" t="inlineStr">
        <is>
          <t>CONFIRM_AS_DRAFTED</t>
        </is>
      </c>
      <c r="C98" s="41" t="inlineStr">
        <is>
          <t>Author call. Fetch modes confirmed for the Gate 6 corpus builder.</t>
        </is>
      </c>
    </row>
    <row r="99" ht="15.75" customHeight="1" s="29">
      <c r="A99" s="42" t="inlineStr">
        <is>
          <t>registry_fallback_only_rows</t>
        </is>
      </c>
      <c r="B99" s="42" t="inlineStr">
        <is>
          <t>BSR-AN-05</t>
        </is>
      </c>
      <c r="C99" s="41" t="inlineStr">
        <is>
          <t>Author call. These registry rows are citable ONLY where no higher-tier row in the same branch yields a candidate for the predicate. The Gate 6 packet builder must prefer non-fallback candidates and admit a fallback row only on an empty result; a fallback citation never renders alongside or against a non-fallback witness for the same cell.</t>
        </is>
      </c>
    </row>
    <row r="100" ht="15.75" customHeight="1" s="29">
      <c r="A100" s="42" t="inlineStr">
        <is>
          <t>gate5_status</t>
        </is>
      </c>
      <c r="B100" s="42" t="inlineStr">
        <is>
          <t>AUTHOR RATIFIED 2026-09-12</t>
        </is>
      </c>
      <c r="C100" s="41" t="inlineStr">
        <is>
          <t>Branch Source Registries ratified in the Decision Console; Gate 6 may build the corpus from AUTHOR_RATIFIED rows only.</t>
        </is>
      </c>
    </row>
    <row r="101" ht="15.75" customHeight="1" s="29">
      <c r="A101" s="42" t="inlineStr">
        <is>
          <t>gate6_threshold_metric</t>
        </is>
      </c>
      <c r="B101" s="42" t="inlineStr">
        <is>
          <t>SAME_STANDARD</t>
        </is>
      </c>
      <c r="C101" s="41" t="inlineStr">
        <is>
          <t>Author call. The recall metric the Gate 6 gate is scored on. SAME_STANDARD = a hit requires a verified candidate in the same registry standard the cell cites. Tier-respecting recall is REPORTED as a diagnostic and is never a threshold. Do not move the 0.8 floor or the 0.05 false-accept ceiling.</t>
        </is>
      </c>
    </row>
    <row r="102" ht="15.75" customHeight="1" s="29">
      <c r="A102" s="42" t="inlineStr">
        <is>
          <t>lateran_iv_scope</t>
        </is>
      </c>
      <c r="B102" s="42" t="inlineStr">
        <is>
          <t>EXTEND_TO_CONSTITUTION_2</t>
        </is>
      </c>
      <c r="C102" s="41" t="inlineStr">
        <is>
          <t>Author call. EXTEND_TO_CONSTITUTION_2 widens BSR-RC-04 from canon 1 to constitutions 1-2, so the maior dissimilitudo clause of Damnamus ergo is in ratified scope and Q-449 is locatable.</t>
        </is>
      </c>
    </row>
    <row r="103" ht="15.75" customHeight="1" s="29">
      <c r="A103" s="42" t="inlineStr">
        <is>
          <t>creed_tier_resolution</t>
        </is>
      </c>
      <c r="B103" s="42" t="inlineStr">
        <is>
          <t>TIER_PER_CITED_DOCUMENT</t>
        </is>
      </c>
      <c r="C103" s="41" t="inlineStr">
        <is>
          <t>Author call. TIER_PER_CITED_DOCUMENT = a bundled registry row carries a floor tier, and a cell citing a document of higher provenance within that row resolves at the document's tier. Applies to BSR-RC-06 (Apostles' floor; Nicene and Athanasian CONCILIAR). BSR-EO-01 is the Creed alone and is re-tiered CONCILIAR outright.</t>
        </is>
      </c>
    </row>
    <row r="104" ht="15.75" customHeight="1" s="29">
      <c r="A104" s="42" t="inlineStr">
        <is>
          <t>verifier_routing</t>
        </is>
      </c>
      <c r="B104" s="42" t="inlineStr">
        <is>
          <t>SONNET_WITH_OPUS_SLICE</t>
        </is>
      </c>
      <c r="C104" s="41" t="inlineStr">
        <is>
          <t>Author call. SONNET_WITH_OPUS_SLICE = sonnet is the primary verifier; opus adjudicates the hard slice only - every candidate on BSR-EO-04 or BSR-EO-05, every candidate on a fallback-only row, and every cell sonnet rejects outright, before that cell is recorded as an honest empty.</t>
        </is>
      </c>
    </row>
    <row r="105" ht="15.75" customHeight="1" s="29">
      <c r="A105" s="42" t="inlineStr">
        <is>
          <t>authority_tier_rank</t>
        </is>
      </c>
      <c r="B105" s="42" t="inlineStr">
        <is>
          <t>CONCILIAR|CONFESSIONAL|CATECHETICAL|OFFICIAL_EXPOSITION|CURRENT_OFFICIAL_WITNESS</t>
        </is>
      </c>
      <c r="C105" s="41" t="inlineStr">
        <is>
          <t>Ratified 2026-09-11 in the Gate 7 corrections sitting.</t>
        </is>
      </c>
    </row>
    <row r="106" ht="15.75" customHeight="1" s="29">
      <c r="A106" s="42" t="inlineStr">
        <is>
          <t>gate7_status</t>
        </is>
      </c>
      <c r="B106" s="42" t="inlineStr">
        <is>
          <t>REGISTRY CORRECTIONS RATIFIED 2026-09-11</t>
        </is>
      </c>
      <c r="C106" s="41" t="inlineStr">
        <is>
          <t>Gate 7 registry corrections ratified in the Decision Console.</t>
        </is>
      </c>
    </row>
    <row r="107" ht="15.75" customHeight="1" s="29">
      <c r="A107" s="42" t="inlineStr">
        <is>
          <t>reception_axis</t>
        </is>
      </c>
      <c r="B107" s="42" t="inlineStr">
        <is>
          <t>ADOPT_BOTH</t>
        </is>
      </c>
      <c r="C107" s="41" t="inlineStr">
        <is>
          <t>Author call G7B-01. ADOPT_BOTH = the registry carries reception_scope on every row and reception_note where reception is contested. reception_scope answers WHO receives a standard; authority_tier answers WHAT KIND of document it is. The two are independent and disagree on seven rows.</t>
        </is>
      </c>
    </row>
    <row r="108" ht="15.75" customHeight="1" s="29">
      <c r="A108" s="42" t="inlineStr">
        <is>
          <t>reception_mapping</t>
        </is>
      </c>
      <c r="B108" s="42" t="inlineStr">
        <is>
          <t>APPROVE_DERIVED</t>
        </is>
      </c>
      <c r="C108" s="41" t="inlineStr">
        <is>
          <t>Author call G7B-02. APPROVE_DERIVED = reception_scope values derived mechanically from the ratified speaks_for field, with BSR-MA-03 hand-corrected to HISTORIC_NO_CURRENT_BODY.</t>
        </is>
      </c>
    </row>
    <row r="109" ht="15.75" customHeight="1" s="29">
      <c r="A109" s="42" t="inlineStr">
        <is>
          <t>encyclical_1848_status</t>
        </is>
      </c>
      <c r="B109" s="42" t="inlineStr">
        <is>
          <t>RECORD_STANDING_ONLY</t>
        </is>
      </c>
      <c r="C109" s="41" t="inlineStr">
        <is>
          <t>Author call AC-13. RECORD_STANDING_ONLY = the 1848 Encyclical of the Eastern Patriarchs is NOT a citable registry row: its text is on no official Orthodox host and every English version descends from one anonymous 19th-century translation. Its standing is attested by oca.org; the print critical edition is Karmiris, Ta Dogmatika kai Symvolika Mnimeia II (Athens 1953), 916. No cell may cite it.</t>
        </is>
      </c>
    </row>
    <row r="110" ht="15.75" customHeight="1" s="29">
      <c r="A110" s="42" t="inlineStr">
        <is>
          <t>dialogue_text_policy</t>
        </is>
      </c>
      <c r="B110" s="42" t="inlineStr">
        <is>
          <t>DIALOGUE_ONLY_NEVER_CITED</t>
        </is>
      </c>
      <c r="C110" s="41" t="inlineStr">
        <is>
          <t>Author call AC-14. DIALOGUE_ONLY_NEVER_CITED = a text its own publisher disclaims as not an official position may be registered for provenance but is refused by R001 as a cell citation. Applies across all eight branches. The publisher's disclaimer is copied verbatim into the row note, because it does not always appear on the document's own page.</t>
        </is>
      </c>
    </row>
    <row r="111" ht="15.75" customHeight="1" s="29">
      <c r="A111" s="42" t="inlineStr">
        <is>
          <t>reception_scope_vocabulary</t>
        </is>
      </c>
      <c r="B111" s="42" t="inlineStr">
        <is>
          <t>UNIVERSAL|MULTILATERAL|PARTICIPATING_BODIES|JURISDICTIONAL|HISTORIC_NO_CURRENT_BODY|CONTESTED|TRANSLATION_WITNESS|DIALOGUE_ONLY</t>
        </is>
      </c>
      <c r="C111" s="41" t="inlineStr">
        <is>
          <t>Gate 7 registry corrections ratified in the Decision Console.</t>
        </is>
      </c>
    </row>
    <row r="112" ht="15.75" customHeight="1" s="29">
      <c r="A112" s="42" t="inlineStr">
        <is>
          <t>gate7b_status</t>
        </is>
      </c>
      <c r="B112" s="42" t="inlineStr">
        <is>
          <t>RECEPTION AXIS RATIFIED 2026-09-12</t>
        </is>
      </c>
      <c r="C112" s="41" t="inlineStr">
        <is>
          <t>Gate 7 registry corrections ratified in the Decision Console.</t>
        </is>
      </c>
    </row>
    <row r="113" ht="15.75" customHeight="1" s="29">
      <c r="A113" s="42" t="inlineStr">
        <is>
          <t>controlled_storage_policy</t>
        </is>
      </c>
      <c r="B113" s="42" t="inlineStr">
        <is>
          <t>ADMIT_IF_LINKED_FROM_OFFICIAL_DOMAIN</t>
        </is>
      </c>
      <c r="C113" s="41" t="inlineStr">
        <is>
          <t>Author call AC-15, 2026-09-12. ADMIT_IF_LINKED_FROM_OFFICIAL_DOMAIN = a storage endpoint the publishing body controls, and links to from a page on its own domain, counts as that body publishing the file. R001 admits the storage domain for that row. The row's note MUST record the official page the file was reached from, prefixed 'LINKED FROM: ', so the chain from the body's own site to the file stays auditable. Applies registry-wide; the cases are hosted site builders and cloud storage accounts, not third-party republication.</t>
        </is>
      </c>
    </row>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s="0" t="inlineStr">
        <is>
          <t>H37 Eastern Orthodox source strengthening</t>
        </is>
      </c>
      <c r="B44" s="0" t="inlineStr">
        <is>
          <t>v2.16 / 2026-09-09</t>
        </is>
      </c>
      <c r="C44" s="0" t="inlineStr">
        <is>
          <t>n/a</t>
        </is>
      </c>
      <c r="D44" s="0" t="inlineStr">
        <is>
          <t>Controlling source → OCA official catechesis; pipeline must add a phrase target for this cell and rerun P006/P020 on the two OCA URLs</t>
        </is>
      </c>
      <c r="E44" s="0" t="inlineStr">
        <is>
          <t>SOURCE STRENGTHENED</t>
        </is>
      </c>
    </row>
    <row r="45" ht="15.75" customHeight="1" s="29">
      <c r="A45" s="0" t="inlineStr">
        <is>
          <t>ICC-002 approval and merge</t>
        </is>
      </c>
      <c r="B45" s="0" t="inlineStr">
        <is>
          <t>v2.17 / 2026-09-09</t>
        </is>
      </c>
      <c r="C45" s="0" t="inlineStr">
        <is>
          <t>n/a</t>
        </is>
      </c>
      <c r="D45" s="0" t="inlineStr">
        <is>
          <t>ICC-002 case/triggers/sources merged; ICC-001 release hold lifted; vocabulary roles CANONICAL_SCRIPTURE and OFFICIAL_EXPOSITION added; Author Decision Queue not extended (fixed formula ranges) — decisions recorded on the case row</t>
        </is>
      </c>
      <c r="E45" s="0" t="inlineStr">
        <is>
          <t>AUTHOR APPROVED</t>
        </is>
      </c>
    </row>
    <row r="46" ht="15.75" customHeight="1" s="29">
      <c r="A46" s="0" t="inlineStr">
        <is>
          <t>Code reconciliation</t>
        </is>
      </c>
      <c r="B46" s="0" t="inlineStr">
        <is>
          <t>v2.18 / 2026-09-09</t>
        </is>
      </c>
      <c r="C46" s="0" t="inlineStr">
        <is>
          <t>n/a</t>
        </is>
      </c>
      <c r="D46" s="0" t="inlineStr">
        <is>
          <t>Three phrase overrides incorporated; Q-290 targets added; INF-05/06 prose refreshed (141/315; spread 27); style law applied to learner-surfacing text; H43 essence–energies note; Sensitivity Ranges sheet (paper §14); four-clause definitions in APP CONFIG</t>
        </is>
      </c>
      <c r="E46" s="0" t="inlineStr">
        <is>
          <t>READY FOR LIVE PIPELINE RUN</t>
        </is>
      </c>
    </row>
    <row r="47" ht="15.75" customHeight="1" s="29">
      <c r="A47" s="0" t="inlineStr">
        <is>
          <t>Author read-through ratification</t>
        </is>
      </c>
      <c r="B47" s="0" t="inlineStr">
        <is>
          <t>v2.19 / 2026-09-09</t>
        </is>
      </c>
      <c r="C47" s="0" t="inlineStr">
        <is>
          <t>n/a</t>
        </is>
      </c>
      <c r="D47" s="0" t="inlineStr">
        <is>
          <t>Sensitivity Ranges Basis column rewritten in plain learner language; GOD-01–04 context propositions replaced with the fuller Orientation-draft (M0 §0.8) prose as canonical; ICS-019 locator corrected to Section "Why Then Obey?"; Build Validation refreshed to 26 Case Study Phrase Target rows / 142 structural + 20 clarification = 162 total assertions. All ten global author calls and per-section exceptions ratified 2026-09-09 (AJP).</t>
        </is>
      </c>
      <c r="E47" s="0" t="inlineStr">
        <is>
          <t>AUTHOR RATIFIED — ready for live pipeline rerun</t>
        </is>
      </c>
    </row>
    <row r="48" ht="15.75" customHeight="1" s="29">
      <c r="A48" s="0" t="inlineStr">
        <is>
          <t>Version-key correction + boolean-literal repair</t>
        </is>
      </c>
      <c r="B48" s="0" t="inlineStr">
        <is>
          <t>v2.20 / 2026-09-09</t>
        </is>
      </c>
      <c r="C48" s="0" t="inlineStr">
        <is>
          <t>n/a</t>
        </is>
      </c>
      <c r="D48" s="0" t="inlineStr">
        <is>
          <t>APP CONFIG app_master_version bumped v2.18 CODE RECONCILED -&gt; v2.20 AUTHOR RATIFIED (v2.19 carried the stale key, so the site colophon reported v2.18). All 491 boolean literal cells restored to real booleans: LibreOffice recalculation rewrote them as =TRUE()/=FALSE() formulas in v2.19, which broke P013 retired-witness detection and left the P016 gate open on Code's first run. Content is otherwise identical to v2.19; no doctrinal, copy, or count changes.</t>
        </is>
      </c>
      <c r="E48" s="0" t="inlineStr">
        <is>
          <t>AUTHOR RATIFIED — supersedes v2.19</t>
        </is>
      </c>
    </row>
    <row r="49" ht="15.75" customHeight="1" s="29">
      <c r="A49" s="0" t="inlineStr">
        <is>
          <t>Branch Study internal analytics</t>
        </is>
      </c>
      <c r="B49" s="0" t="inlineStr">
        <is>
          <t>v2.21 / 2026-09-10</t>
        </is>
      </c>
      <c r="C49" s="0" t="inlineStr">
        <is>
          <t>n/a</t>
        </is>
      </c>
      <c r="D49" s="0" t="inlineStr">
        <is>
          <t>Adds internal Branch Study sheet (per-branch coverage and agreement-among-located percentages on two denominators, not-located split, eligibility flag, per-predicate grid); APP CONFIG internal_stats_*, branch_view_*, expansion_plan keys; app_master_version bumped. No doctrinal, copy, count, or gate-value changes. Supersedes v2.20.</t>
        </is>
      </c>
      <c r="E49" s="0" t="inlineStr">
        <is>
          <t>AUTHOR RATIFIED — supersedes v2.20</t>
        </is>
      </c>
    </row>
    <row r="50" ht="15.75" customHeight="1" s="29">
      <c r="A50" s="41" t="inlineStr">
        <is>
          <t>Branch Source Registries ratified</t>
        </is>
      </c>
      <c r="B50" s="42" t="inlineStr">
        <is>
          <t>v2.22 / 2026-09-10</t>
        </is>
      </c>
      <c r="C50" s="42" t="inlineStr">
        <is>
          <t>n/a</t>
        </is>
      </c>
      <c r="D50" s="41" t="inlineStr">
        <is>
          <t>Adds Branch Source Registry (38 ratified, 0 retired, 0 draft) and the registry-only enforcement key; author decisions recorded card by card in the Decision Console.</t>
        </is>
      </c>
      <c r="E50" s="41" t="inlineStr">
        <is>
          <t>AUTHOR RATIFIED — supersedes the prior version</t>
        </is>
      </c>
    </row>
    <row r="51" ht="15.75" customHeight="1" s="29">
      <c r="A51" s="41" t="inlineStr">
        <is>
          <t>Branch Source Registry corrections</t>
        </is>
      </c>
      <c r="B51" s="42" t="inlineStr">
        <is>
          <t>v2.23 / 2026-09-10</t>
        </is>
      </c>
      <c r="C51" s="42" t="inlineStr">
        <is>
          <t>n/a</t>
        </is>
      </c>
      <c r="D51" s="41" t="inlineStr">
        <is>
          <t>Rebuilds Branch Source Registry from corrected console decisions (36 ratified, 2 retired, 0 draft). Registry rows only; no other sheet changed.</t>
        </is>
      </c>
      <c r="E51" s="41" t="inlineStr">
        <is>
          <t>AUTHOR RATIFIED — supersedes the prior version</t>
        </is>
      </c>
    </row>
    <row r="52" ht="15.75" customHeight="1" s="29">
      <c r="A52" s="41" t="inlineStr">
        <is>
          <t>Branch Source Registry corrections</t>
        </is>
      </c>
      <c r="B52" s="42" t="inlineStr">
        <is>
          <t>v2.24 / 2026-09-12</t>
        </is>
      </c>
      <c r="C52" s="42" t="inlineStr">
        <is>
          <t>n/a</t>
        </is>
      </c>
      <c r="D52" s="41" t="inlineStr">
        <is>
          <t>Rebuilds Branch Source Registry from corrected console decisions (36 ratified, 2 retired, 0 draft). Registry rows only; no other sheet changed.</t>
        </is>
      </c>
      <c r="E52" s="41" t="inlineStr">
        <is>
          <t>AUTHOR RATIFIED — supersedes the prior version</t>
        </is>
      </c>
    </row>
    <row r="53" ht="15.75" customHeight="1" s="29">
      <c r="A53" s="41" t="inlineStr">
        <is>
          <t>Branch Source Registry corrections</t>
        </is>
      </c>
      <c r="B53" s="42" t="inlineStr">
        <is>
          <t>v2.25 / 2026-09-12</t>
        </is>
      </c>
      <c r="C53" s="42" t="inlineStr">
        <is>
          <t>n/a</t>
        </is>
      </c>
      <c r="D53" s="41" t="inlineStr">
        <is>
          <t>Rebuilds Branch Source Registry from corrected console decisions (42 ratified, 2 retired, 0 draft). Registry rows only; no other sheet changed.</t>
        </is>
      </c>
      <c r="E53" s="41" t="inlineStr">
        <is>
          <t>AUTHOR RATIFIED — supersedes the prior version</t>
        </is>
      </c>
    </row>
    <row r="54" ht="15.75" customHeight="1" s="29">
      <c r="A54" s="41" t="inlineStr">
        <is>
          <t>Branch Source Registry corrections</t>
        </is>
      </c>
      <c r="B54" s="42" t="inlineStr">
        <is>
          <t>v2.25r1 / 2026-09-12</t>
        </is>
      </c>
      <c r="C54" s="42" t="inlineStr">
        <is>
          <t>n/a</t>
        </is>
      </c>
      <c r="D54" s="41" t="inlineStr">
        <is>
          <t>Rebuilds Branch Source Registry from corrected console decisions (43 ratified, 2 retired, 0 draft). Registry rows only; no other sheet changed.</t>
        </is>
      </c>
      <c r="E54" s="41" t="inlineStr">
        <is>
          <t>AUTHOR RATIFIED — supersedes the prior version</t>
        </is>
      </c>
    </row>
    <row r="55" ht="15.75" customHeight="1" s="29">
      <c r="A55" s="41" t="inlineStr">
        <is>
          <t>Branch Source Registry corrections</t>
        </is>
      </c>
      <c r="B55" s="42" t="inlineStr">
        <is>
          <t>v2.25r2 / 2026-09-12</t>
        </is>
      </c>
      <c r="C55" s="42" t="inlineStr">
        <is>
          <t>n/a</t>
        </is>
      </c>
      <c r="D55" s="41" t="inlineStr">
        <is>
          <t>Rebuilds Branch Source Registry from corrected console decisions (44 ratified, 2 retired, 0 draft). Registry rows only; no other sheet changed.</t>
        </is>
      </c>
      <c r="E55" s="41" t="inlineStr">
        <is>
          <t>AUTHOR RATIFIED — supersedes the prior version</t>
        </is>
      </c>
    </row>
    <row r="56" ht="15.75" customHeight="1" s="29">
      <c r="A56" s="41" t="inlineStr">
        <is>
          <t>Branch Source Registry corrections</t>
        </is>
      </c>
      <c r="B56" s="42" t="inlineStr">
        <is>
          <t>v2.25r3 / 2026-09-12</t>
        </is>
      </c>
      <c r="C56" s="42" t="inlineStr">
        <is>
          <t>n/a</t>
        </is>
      </c>
      <c r="D56" s="41" t="inlineStr">
        <is>
          <t>Rebuilds Branch Source Registry from corrected console decisions (45 ratified, 2 retired, 0 draft). Registry rows only; no other sheet changed.</t>
        </is>
      </c>
      <c r="E56" s="41" t="inlineStr">
        <is>
          <t>AUTHOR RATIFIED — supersedes the prior version</t>
        </is>
      </c>
    </row>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(Latter-day Saint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(Latter-day Saint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(Latter-day Saint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(Latter-day Saint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(Latter-day Saint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(Latter-day Saint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(Latter-day Saint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(Latter-day Saint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(Latter-day Saint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(Latter-day Saint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(Latter-day Saint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(Latter-day Saint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(Latter-day Saint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Latter-day Saint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Latter-day Saint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Latter-day Saint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Latter-day Saint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Latter-day Saint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Latter-day Saint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Latter-day Saint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Latter-day Saint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Eastern Orthodox teaching affirms divine simplicity, but the Orthodox distinction between God's essence and His energies means the Western formula "without parts" is not simply equivalent; this cell stays pending review rather than being coded D.</t>
        </is>
      </c>
      <c r="V343" s="7" t="inlineStr">
        <is>
          <t>PENDING REVIEW</t>
        </is>
      </c>
      <c r="W343" s="7" t="inlineStr">
        <is>
          <t>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is>
      </c>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80"/>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0" customWidth="1" style="29" min="1" max="1"/>
    <col width="26"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 width="16" customWidth="1" style="29" min="9" max="9"/>
    <col width="16" customWidth="1" style="29" min="10" max="10"/>
    <col width="16" customWidth="1" style="29" min="11" max="11"/>
    <col width="16" customWidth="1" style="29" min="12" max="12"/>
    <col width="16" customWidth="1" style="29" min="13" max="13"/>
    <col width="16" customWidth="1" style="29" min="14" max="14"/>
    <col width="16" customWidth="1" style="29" min="15" max="15"/>
    <col width="16" customWidth="1" style="29" min="16" max="16"/>
    <col width="16" customWidth="1" style="29" min="17" max="17"/>
    <col width="16" customWidth="1" style="29" min="18" max="18"/>
  </cols>
  <sheetData>
    <row r="1">
      <c r="A1" s="30" t="inlineStr">
        <is>
          <t>Branch Study — INTERNAL personal-study analytics (never emitted to the site)</t>
        </is>
      </c>
    </row>
    <row r="2" ht="58" customHeight="1" s="29">
      <c r="A2" s="31" t="inlineStr">
        <is>
          <t>Rule: this sheet exists for the author's private study only. APP CONFIG internal_stats_public = False. The pipeline may write it to data-sources/sjn/branches-internal.json (outside src/_data) and must never template it; sjn-verify asserts that no per-branch count or percent string appears in production HTML. Read every figure as either COVERAGE (how much evidence has been located) or AGREEMENT AMONG LOCATED CELLS — never as a measure of the tradition.</t>
        </is>
      </c>
    </row>
    <row r="4">
      <c r="A4" s="32" t="inlineStr">
        <is>
          <t>branch_eligibility_min_released</t>
        </is>
      </c>
      <c r="B4" s="33" t="n">
        <v>30</v>
      </c>
      <c r="C4" s="0" t="inlineStr">
        <is>
          <t>DRAFT threshold for the "My Tradition" view (Gate 8). Author decision pending in the Decision Console; mirrored in APP CONFIG.</t>
        </is>
      </c>
    </row>
    <row r="6" ht="60" customHeight="1" s="29">
      <c r="A6" s="34" t="inlineStr">
        <is>
          <t>Teaching branch</t>
        </is>
      </c>
      <c r="B6" s="34" t="inlineStr">
        <is>
          <t>Released (A + A-SF + Q + D)</t>
        </is>
      </c>
      <c r="C6" s="34" t="inlineStr">
        <is>
          <t>A (incl. A-SF)</t>
        </is>
      </c>
      <c r="D6" s="34" t="inlineStr">
        <is>
          <t>Q</t>
        </is>
      </c>
      <c r="E6" s="34" t="inlineStr">
        <is>
          <t>D</t>
        </is>
      </c>
      <c r="F6" s="34" t="inlineStr">
        <is>
          <t>Coverage: released ÷ 57</t>
        </is>
      </c>
      <c r="G6" s="34" t="inlineStr">
        <is>
          <t>Coverage: A ÷ 57</t>
        </is>
      </c>
      <c r="H6" s="34" t="inlineStr">
        <is>
          <t>Coverage: Q ÷ 57</t>
        </is>
      </c>
      <c r="I6" s="34" t="inlineStr">
        <is>
          <t>Coverage: D ÷ 57</t>
        </is>
      </c>
      <c r="J6" s="34" t="inlineStr">
        <is>
          <t>Agreement among located: A ÷ released</t>
        </is>
      </c>
      <c r="K6" s="34" t="inlineStr">
        <is>
          <t>Agreement among located: Q ÷ released</t>
        </is>
      </c>
      <c r="L6" s="34" t="inlineStr">
        <is>
          <t>Agreement among located: D ÷ released</t>
        </is>
      </c>
      <c r="M6" s="34" t="inlineStr">
        <is>
          <t>Shared floor among located: (A + Q) ÷ released</t>
        </is>
      </c>
      <c r="N6" s="34" t="inlineStr">
        <is>
          <t>Not located — not yet recovered</t>
        </is>
      </c>
      <c r="O6" s="34" t="inlineStr">
        <is>
          <t>Not located — standard reviewed</t>
        </is>
      </c>
      <c r="P6" s="34" t="inlineStr">
        <is>
          <t>Not located — current source / no public evidence</t>
        </is>
      </c>
      <c r="Q6" s="34" t="inlineStr">
        <is>
          <t>Pending / vector / hold / out of scope</t>
        </is>
      </c>
      <c r="R6" s="34" t="inlineStr">
        <is>
          <t>Eligible for My Tradition view</t>
        </is>
      </c>
    </row>
    <row r="7">
      <c r="A7" s="35" t="inlineStr">
        <is>
          <t>Roman Catholic</t>
        </is>
      </c>
      <c r="B7" s="36">
        <f>C7+D7+E7</f>
        <v/>
      </c>
      <c r="C7" s="36">
        <f>(COUNTIFS('Evidence-First Cell Queue'!$E$6:$E$461,$A7,'Evidence-First Cell Queue'!$X$6:$X$461,"A")+COUNTIFS('Evidence-First Cell Queue'!$E$6:$E$461,$A7,'Evidence-First Cell Queue'!$X$6:$X$461,"A-SF"))</f>
        <v/>
      </c>
      <c r="D7" s="36">
        <f>COUNTIFS('Evidence-First Cell Queue'!$E$6:$E$461,$A7,'Evidence-First Cell Queue'!$X$6:$X$461,"Q")</f>
        <v/>
      </c>
      <c r="E7" s="36">
        <f>COUNTIFS('Evidence-First Cell Queue'!$E$6:$E$461,$A7,'Evidence-First Cell Queue'!$X$6:$X$461,"D")</f>
        <v/>
      </c>
      <c r="F7" s="37">
        <f>B7/57</f>
        <v/>
      </c>
      <c r="G7" s="37">
        <f>C7/57</f>
        <v/>
      </c>
      <c r="H7" s="37">
        <f>D7/57</f>
        <v/>
      </c>
      <c r="I7" s="37">
        <f>E7/57</f>
        <v/>
      </c>
      <c r="J7" s="37">
        <f>IF(B7=0,"",C7/B7)</f>
        <v/>
      </c>
      <c r="K7" s="37">
        <f>IF(B7=0,"",D7/B7)</f>
        <v/>
      </c>
      <c r="L7" s="37">
        <f>IF(B7=0,"",E7/B7)</f>
        <v/>
      </c>
      <c r="M7" s="37">
        <f>IF(B7=0,"",(C7+D7)/B7)</f>
        <v/>
      </c>
      <c r="N7" s="36">
        <f>COUNTIFS('Evidence-First Cell Queue'!$E$6:$E$461,$A7,'Evidence-First Cell Queue'!$X$6:$X$461,"NOT LOCATED — NOT YET RECOVERED")</f>
        <v/>
      </c>
      <c r="O7" s="36">
        <f>COUNTIFS('Evidence-First Cell Queue'!$E$6:$E$461,$A7,'Evidence-First Cell Queue'!$X$6:$X$461,"NOT LOCATED — CURRENT STANDARD REVIEWED")</f>
        <v/>
      </c>
      <c r="P7" s="36">
        <f>COUNTIFS('Evidence-First Cell Queue'!$E$6:$E$461,$A7,'Evidence-First Cell Queue'!$X$6:$X$461,"NOT LOCATED — CURRENT SOURCE")+COUNTIFS('Evidence-First Cell Queue'!$E$6:$E$461,$A7,'Evidence-First Cell Queue'!$X$6:$X$461,"NOT LOCATED — NO PUBLIC EVIDENCE")</f>
        <v/>
      </c>
      <c r="Q7" s="36">
        <f>COUNTIF('Evidence-First Cell Queue'!$E$6:$E$461,$A7)-B7-N7-O7-P7</f>
        <v/>
      </c>
      <c r="R7" s="36">
        <f>IF(B7&gt;=$B$4,"ELIGIBLE","IN PROGRESS")</f>
        <v/>
      </c>
    </row>
    <row r="8">
      <c r="A8" s="35" t="inlineStr">
        <is>
          <t>Eastern Orthodox</t>
        </is>
      </c>
      <c r="B8" s="36">
        <f>C8+D8+E8</f>
        <v/>
      </c>
      <c r="C8" s="36">
        <f>(COUNTIFS('Evidence-First Cell Queue'!$E$6:$E$461,$A8,'Evidence-First Cell Queue'!$X$6:$X$461,"A")+COUNTIFS('Evidence-First Cell Queue'!$E$6:$E$461,$A8,'Evidence-First Cell Queue'!$X$6:$X$461,"A-SF"))</f>
        <v/>
      </c>
      <c r="D8" s="36">
        <f>COUNTIFS('Evidence-First Cell Queue'!$E$6:$E$461,$A8,'Evidence-First Cell Queue'!$X$6:$X$461,"Q")</f>
        <v/>
      </c>
      <c r="E8" s="36">
        <f>COUNTIFS('Evidence-First Cell Queue'!$E$6:$E$461,$A8,'Evidence-First Cell Queue'!$X$6:$X$461,"D")</f>
        <v/>
      </c>
      <c r="F8" s="37">
        <f>B8/57</f>
        <v/>
      </c>
      <c r="G8" s="37">
        <f>C8/57</f>
        <v/>
      </c>
      <c r="H8" s="37">
        <f>D8/57</f>
        <v/>
      </c>
      <c r="I8" s="37">
        <f>E8/57</f>
        <v/>
      </c>
      <c r="J8" s="37">
        <f>IF(B8=0,"",C8/B8)</f>
        <v/>
      </c>
      <c r="K8" s="37">
        <f>IF(B8=0,"",D8/B8)</f>
        <v/>
      </c>
      <c r="L8" s="37">
        <f>IF(B8=0,"",E8/B8)</f>
        <v/>
      </c>
      <c r="M8" s="37">
        <f>IF(B8=0,"",(C8+D8)/B8)</f>
        <v/>
      </c>
      <c r="N8" s="36">
        <f>COUNTIFS('Evidence-First Cell Queue'!$E$6:$E$461,$A8,'Evidence-First Cell Queue'!$X$6:$X$461,"NOT LOCATED — NOT YET RECOVERED")</f>
        <v/>
      </c>
      <c r="O8" s="36">
        <f>COUNTIFS('Evidence-First Cell Queue'!$E$6:$E$461,$A8,'Evidence-First Cell Queue'!$X$6:$X$461,"NOT LOCATED — CURRENT STANDARD REVIEWED")</f>
        <v/>
      </c>
      <c r="P8" s="36">
        <f>COUNTIFS('Evidence-First Cell Queue'!$E$6:$E$461,$A8,'Evidence-First Cell Queue'!$X$6:$X$461,"NOT LOCATED — CURRENT SOURCE")+COUNTIFS('Evidence-First Cell Queue'!$E$6:$E$461,$A8,'Evidence-First Cell Queue'!$X$6:$X$461,"NOT LOCATED — NO PUBLIC EVIDENCE")</f>
        <v/>
      </c>
      <c r="Q8" s="36">
        <f>COUNTIF('Evidence-First Cell Queue'!$E$6:$E$461,$A8)-B8-N8-O8-P8</f>
        <v/>
      </c>
      <c r="R8" s="36">
        <f>IF(B8&gt;=$B$4,"ELIGIBLE","IN PROGRESS")</f>
        <v/>
      </c>
    </row>
    <row r="9">
      <c r="A9" s="35" t="inlineStr">
        <is>
          <t>Lutheran</t>
        </is>
      </c>
      <c r="B9" s="36">
        <f>C9+D9+E9</f>
        <v/>
      </c>
      <c r="C9" s="36">
        <f>(COUNTIFS('Evidence-First Cell Queue'!$E$6:$E$461,$A9,'Evidence-First Cell Queue'!$X$6:$X$461,"A")+COUNTIFS('Evidence-First Cell Queue'!$E$6:$E$461,$A9,'Evidence-First Cell Queue'!$X$6:$X$461,"A-SF"))</f>
        <v/>
      </c>
      <c r="D9" s="36">
        <f>COUNTIFS('Evidence-First Cell Queue'!$E$6:$E$461,$A9,'Evidence-First Cell Queue'!$X$6:$X$461,"Q")</f>
        <v/>
      </c>
      <c r="E9" s="36">
        <f>COUNTIFS('Evidence-First Cell Queue'!$E$6:$E$461,$A9,'Evidence-First Cell Queue'!$X$6:$X$461,"D")</f>
        <v/>
      </c>
      <c r="F9" s="37">
        <f>B9/57</f>
        <v/>
      </c>
      <c r="G9" s="37">
        <f>C9/57</f>
        <v/>
      </c>
      <c r="H9" s="37">
        <f>D9/57</f>
        <v/>
      </c>
      <c r="I9" s="37">
        <f>E9/57</f>
        <v/>
      </c>
      <c r="J9" s="37">
        <f>IF(B9=0,"",C9/B9)</f>
        <v/>
      </c>
      <c r="K9" s="37">
        <f>IF(B9=0,"",D9/B9)</f>
        <v/>
      </c>
      <c r="L9" s="37">
        <f>IF(B9=0,"",E9/B9)</f>
        <v/>
      </c>
      <c r="M9" s="37">
        <f>IF(B9=0,"",(C9+D9)/B9)</f>
        <v/>
      </c>
      <c r="N9" s="36">
        <f>COUNTIFS('Evidence-First Cell Queue'!$E$6:$E$461,$A9,'Evidence-First Cell Queue'!$X$6:$X$461,"NOT LOCATED — NOT YET RECOVERED")</f>
        <v/>
      </c>
      <c r="O9" s="36">
        <f>COUNTIFS('Evidence-First Cell Queue'!$E$6:$E$461,$A9,'Evidence-First Cell Queue'!$X$6:$X$461,"NOT LOCATED — CURRENT STANDARD REVIEWED")</f>
        <v/>
      </c>
      <c r="P9" s="36">
        <f>COUNTIFS('Evidence-First Cell Queue'!$E$6:$E$461,$A9,'Evidence-First Cell Queue'!$X$6:$X$461,"NOT LOCATED — CURRENT SOURCE")+COUNTIFS('Evidence-First Cell Queue'!$E$6:$E$461,$A9,'Evidence-First Cell Queue'!$X$6:$X$461,"NOT LOCATED — NO PUBLIC EVIDENCE")</f>
        <v/>
      </c>
      <c r="Q9" s="36">
        <f>COUNTIF('Evidence-First Cell Queue'!$E$6:$E$461,$A9)-B9-N9-O9-P9</f>
        <v/>
      </c>
      <c r="R9" s="36">
        <f>IF(B9&gt;=$B$4,"ELIGIBLE","IN PROGRESS")</f>
        <v/>
      </c>
    </row>
    <row r="10">
      <c r="A10" s="35" t="inlineStr">
        <is>
          <t>Reformed / Presbyterian</t>
        </is>
      </c>
      <c r="B10" s="36">
        <f>C10+D10+E10</f>
        <v/>
      </c>
      <c r="C10" s="36">
        <f>(COUNTIFS('Evidence-First Cell Queue'!$E$6:$E$461,$A10,'Evidence-First Cell Queue'!$X$6:$X$461,"A")+COUNTIFS('Evidence-First Cell Queue'!$E$6:$E$461,$A10,'Evidence-First Cell Queue'!$X$6:$X$461,"A-SF"))</f>
        <v/>
      </c>
      <c r="D10" s="36">
        <f>COUNTIFS('Evidence-First Cell Queue'!$E$6:$E$461,$A10,'Evidence-First Cell Queue'!$X$6:$X$461,"Q")</f>
        <v/>
      </c>
      <c r="E10" s="36">
        <f>COUNTIFS('Evidence-First Cell Queue'!$E$6:$E$461,$A10,'Evidence-First Cell Queue'!$X$6:$X$461,"D")</f>
        <v/>
      </c>
      <c r="F10" s="37">
        <f>B10/57</f>
        <v/>
      </c>
      <c r="G10" s="37">
        <f>C10/57</f>
        <v/>
      </c>
      <c r="H10" s="37">
        <f>D10/57</f>
        <v/>
      </c>
      <c r="I10" s="37">
        <f>E10/57</f>
        <v/>
      </c>
      <c r="J10" s="37">
        <f>IF(B10=0,"",C10/B10)</f>
        <v/>
      </c>
      <c r="K10" s="37">
        <f>IF(B10=0,"",D10/B10)</f>
        <v/>
      </c>
      <c r="L10" s="37">
        <f>IF(B10=0,"",E10/B10)</f>
        <v/>
      </c>
      <c r="M10" s="37">
        <f>IF(B10=0,"",(C10+D10)/B10)</f>
        <v/>
      </c>
      <c r="N10" s="36">
        <f>COUNTIFS('Evidence-First Cell Queue'!$E$6:$E$461,$A10,'Evidence-First Cell Queue'!$X$6:$X$461,"NOT LOCATED — NOT YET RECOVERED")</f>
        <v/>
      </c>
      <c r="O10" s="36">
        <f>COUNTIFS('Evidence-First Cell Queue'!$E$6:$E$461,$A10,'Evidence-First Cell Queue'!$X$6:$X$461,"NOT LOCATED — CURRENT STANDARD REVIEWED")</f>
        <v/>
      </c>
      <c r="P10" s="36">
        <f>COUNTIFS('Evidence-First Cell Queue'!$E$6:$E$461,$A10,'Evidence-First Cell Queue'!$X$6:$X$461,"NOT LOCATED — CURRENT SOURCE")+COUNTIFS('Evidence-First Cell Queue'!$E$6:$E$461,$A10,'Evidence-First Cell Queue'!$X$6:$X$461,"NOT LOCATED — NO PUBLIC EVIDENCE")</f>
        <v/>
      </c>
      <c r="Q10" s="36">
        <f>COUNTIF('Evidence-First Cell Queue'!$E$6:$E$461,$A10)-B10-N10-O10-P10</f>
        <v/>
      </c>
      <c r="R10" s="36">
        <f>IF(B10&gt;=$B$4,"ELIGIBLE","IN PROGRESS")</f>
        <v/>
      </c>
    </row>
    <row r="11">
      <c r="A11" s="35" t="inlineStr">
        <is>
          <t>Anglican</t>
        </is>
      </c>
      <c r="B11" s="36">
        <f>C11+D11+E11</f>
        <v/>
      </c>
      <c r="C11" s="36">
        <f>(COUNTIFS('Evidence-First Cell Queue'!$E$6:$E$461,$A11,'Evidence-First Cell Queue'!$X$6:$X$461,"A")+COUNTIFS('Evidence-First Cell Queue'!$E$6:$E$461,$A11,'Evidence-First Cell Queue'!$X$6:$X$461,"A-SF"))</f>
        <v/>
      </c>
      <c r="D11" s="36">
        <f>COUNTIFS('Evidence-First Cell Queue'!$E$6:$E$461,$A11,'Evidence-First Cell Queue'!$X$6:$X$461,"Q")</f>
        <v/>
      </c>
      <c r="E11" s="36">
        <f>COUNTIFS('Evidence-First Cell Queue'!$E$6:$E$461,$A11,'Evidence-First Cell Queue'!$X$6:$X$461,"D")</f>
        <v/>
      </c>
      <c r="F11" s="37">
        <f>B11/57</f>
        <v/>
      </c>
      <c r="G11" s="37">
        <f>C11/57</f>
        <v/>
      </c>
      <c r="H11" s="37">
        <f>D11/57</f>
        <v/>
      </c>
      <c r="I11" s="37">
        <f>E11/57</f>
        <v/>
      </c>
      <c r="J11" s="37">
        <f>IF(B11=0,"",C11/B11)</f>
        <v/>
      </c>
      <c r="K11" s="37">
        <f>IF(B11=0,"",D11/B11)</f>
        <v/>
      </c>
      <c r="L11" s="37">
        <f>IF(B11=0,"",E11/B11)</f>
        <v/>
      </c>
      <c r="M11" s="37">
        <f>IF(B11=0,"",(C11+D11)/B11)</f>
        <v/>
      </c>
      <c r="N11" s="36">
        <f>COUNTIFS('Evidence-First Cell Queue'!$E$6:$E$461,$A11,'Evidence-First Cell Queue'!$X$6:$X$461,"NOT LOCATED — NOT YET RECOVERED")</f>
        <v/>
      </c>
      <c r="O11" s="36">
        <f>COUNTIFS('Evidence-First Cell Queue'!$E$6:$E$461,$A11,'Evidence-First Cell Queue'!$X$6:$X$461,"NOT LOCATED — CURRENT STANDARD REVIEWED")</f>
        <v/>
      </c>
      <c r="P11" s="36">
        <f>COUNTIFS('Evidence-First Cell Queue'!$E$6:$E$461,$A11,'Evidence-First Cell Queue'!$X$6:$X$461,"NOT LOCATED — CURRENT SOURCE")+COUNTIFS('Evidence-First Cell Queue'!$E$6:$E$461,$A11,'Evidence-First Cell Queue'!$X$6:$X$461,"NOT LOCATED — NO PUBLIC EVIDENCE")</f>
        <v/>
      </c>
      <c r="Q11" s="36">
        <f>COUNTIF('Evidence-First Cell Queue'!$E$6:$E$461,$A11)-B11-N11-O11-P11</f>
        <v/>
      </c>
      <c r="R11" s="36">
        <f>IF(B11&gt;=$B$4,"ELIGIBLE","IN PROGRESS")</f>
        <v/>
      </c>
    </row>
    <row r="12">
      <c r="A12" s="35" t="inlineStr">
        <is>
          <t>Baptist</t>
        </is>
      </c>
      <c r="B12" s="36">
        <f>C12+D12+E12</f>
        <v/>
      </c>
      <c r="C12" s="36">
        <f>(COUNTIFS('Evidence-First Cell Queue'!$E$6:$E$461,$A12,'Evidence-First Cell Queue'!$X$6:$X$461,"A")+COUNTIFS('Evidence-First Cell Queue'!$E$6:$E$461,$A12,'Evidence-First Cell Queue'!$X$6:$X$461,"A-SF"))</f>
        <v/>
      </c>
      <c r="D12" s="36">
        <f>COUNTIFS('Evidence-First Cell Queue'!$E$6:$E$461,$A12,'Evidence-First Cell Queue'!$X$6:$X$461,"Q")</f>
        <v/>
      </c>
      <c r="E12" s="36">
        <f>COUNTIFS('Evidence-First Cell Queue'!$E$6:$E$461,$A12,'Evidence-First Cell Queue'!$X$6:$X$461,"D")</f>
        <v/>
      </c>
      <c r="F12" s="37">
        <f>B12/57</f>
        <v/>
      </c>
      <c r="G12" s="37">
        <f>C12/57</f>
        <v/>
      </c>
      <c r="H12" s="37">
        <f>D12/57</f>
        <v/>
      </c>
      <c r="I12" s="37">
        <f>E12/57</f>
        <v/>
      </c>
      <c r="J12" s="37">
        <f>IF(B12=0,"",C12/B12)</f>
        <v/>
      </c>
      <c r="K12" s="37">
        <f>IF(B12=0,"",D12/B12)</f>
        <v/>
      </c>
      <c r="L12" s="37">
        <f>IF(B12=0,"",E12/B12)</f>
        <v/>
      </c>
      <c r="M12" s="37">
        <f>IF(B12=0,"",(C12+D12)/B12)</f>
        <v/>
      </c>
      <c r="N12" s="36">
        <f>COUNTIFS('Evidence-First Cell Queue'!$E$6:$E$461,$A12,'Evidence-First Cell Queue'!$X$6:$X$461,"NOT LOCATED — NOT YET RECOVERED")</f>
        <v/>
      </c>
      <c r="O12" s="36">
        <f>COUNTIFS('Evidence-First Cell Queue'!$E$6:$E$461,$A12,'Evidence-First Cell Queue'!$X$6:$X$461,"NOT LOCATED — CURRENT STANDARD REVIEWED")</f>
        <v/>
      </c>
      <c r="P12" s="36">
        <f>COUNTIFS('Evidence-First Cell Queue'!$E$6:$E$461,$A12,'Evidence-First Cell Queue'!$X$6:$X$461,"NOT LOCATED — CURRENT SOURCE")+COUNTIFS('Evidence-First Cell Queue'!$E$6:$E$461,$A12,'Evidence-First Cell Queue'!$X$6:$X$461,"NOT LOCATED — NO PUBLIC EVIDENCE")</f>
        <v/>
      </c>
      <c r="Q12" s="36">
        <f>COUNTIF('Evidence-First Cell Queue'!$E$6:$E$461,$A12)-B12-N12-O12-P12</f>
        <v/>
      </c>
      <c r="R12" s="36">
        <f>IF(B12&gt;=$B$4,"ELIGIBLE","IN PROGRESS")</f>
        <v/>
      </c>
    </row>
    <row r="13">
      <c r="A13" s="35" t="inlineStr">
        <is>
          <t>Methodist / Wesleyan</t>
        </is>
      </c>
      <c r="B13" s="36">
        <f>C13+D13+E13</f>
        <v/>
      </c>
      <c r="C13" s="36">
        <f>(COUNTIFS('Evidence-First Cell Queue'!$E$6:$E$461,$A13,'Evidence-First Cell Queue'!$X$6:$X$461,"A")+COUNTIFS('Evidence-First Cell Queue'!$E$6:$E$461,$A13,'Evidence-First Cell Queue'!$X$6:$X$461,"A-SF"))</f>
        <v/>
      </c>
      <c r="D13" s="36">
        <f>COUNTIFS('Evidence-First Cell Queue'!$E$6:$E$461,$A13,'Evidence-First Cell Queue'!$X$6:$X$461,"Q")</f>
        <v/>
      </c>
      <c r="E13" s="36">
        <f>COUNTIFS('Evidence-First Cell Queue'!$E$6:$E$461,$A13,'Evidence-First Cell Queue'!$X$6:$X$461,"D")</f>
        <v/>
      </c>
      <c r="F13" s="37">
        <f>B13/57</f>
        <v/>
      </c>
      <c r="G13" s="37">
        <f>C13/57</f>
        <v/>
      </c>
      <c r="H13" s="37">
        <f>D13/57</f>
        <v/>
      </c>
      <c r="I13" s="37">
        <f>E13/57</f>
        <v/>
      </c>
      <c r="J13" s="37">
        <f>IF(B13=0,"",C13/B13)</f>
        <v/>
      </c>
      <c r="K13" s="37">
        <f>IF(B13=0,"",D13/B13)</f>
        <v/>
      </c>
      <c r="L13" s="37">
        <f>IF(B13=0,"",E13/B13)</f>
        <v/>
      </c>
      <c r="M13" s="37">
        <f>IF(B13=0,"",(C13+D13)/B13)</f>
        <v/>
      </c>
      <c r="N13" s="36">
        <f>COUNTIFS('Evidence-First Cell Queue'!$E$6:$E$461,$A13,'Evidence-First Cell Queue'!$X$6:$X$461,"NOT LOCATED — NOT YET RECOVERED")</f>
        <v/>
      </c>
      <c r="O13" s="36">
        <f>COUNTIFS('Evidence-First Cell Queue'!$E$6:$E$461,$A13,'Evidence-First Cell Queue'!$X$6:$X$461,"NOT LOCATED — CURRENT STANDARD REVIEWED")</f>
        <v/>
      </c>
      <c r="P13" s="36">
        <f>COUNTIFS('Evidence-First Cell Queue'!$E$6:$E$461,$A13,'Evidence-First Cell Queue'!$X$6:$X$461,"NOT LOCATED — CURRENT SOURCE")+COUNTIFS('Evidence-First Cell Queue'!$E$6:$E$461,$A13,'Evidence-First Cell Queue'!$X$6:$X$461,"NOT LOCATED — NO PUBLIC EVIDENCE")</f>
        <v/>
      </c>
      <c r="Q13" s="36">
        <f>COUNTIF('Evidence-First Cell Queue'!$E$6:$E$461,$A13)-B13-N13-O13-P13</f>
        <v/>
      </c>
      <c r="R13" s="36">
        <f>IF(B13&gt;=$B$4,"ELIGIBLE","IN PROGRESS")</f>
        <v/>
      </c>
    </row>
    <row r="14">
      <c r="A14" s="35" t="inlineStr">
        <is>
          <t>Mennonite / Anabaptist</t>
        </is>
      </c>
      <c r="B14" s="36">
        <f>C14+D14+E14</f>
        <v/>
      </c>
      <c r="C14" s="36">
        <f>(COUNTIFS('Evidence-First Cell Queue'!$E$6:$E$461,$A14,'Evidence-First Cell Queue'!$X$6:$X$461,"A")+COUNTIFS('Evidence-First Cell Queue'!$E$6:$E$461,$A14,'Evidence-First Cell Queue'!$X$6:$X$461,"A-SF"))</f>
        <v/>
      </c>
      <c r="D14" s="36">
        <f>COUNTIFS('Evidence-First Cell Queue'!$E$6:$E$461,$A14,'Evidence-First Cell Queue'!$X$6:$X$461,"Q")</f>
        <v/>
      </c>
      <c r="E14" s="36">
        <f>COUNTIFS('Evidence-First Cell Queue'!$E$6:$E$461,$A14,'Evidence-First Cell Queue'!$X$6:$X$461,"D")</f>
        <v/>
      </c>
      <c r="F14" s="37">
        <f>B14/57</f>
        <v/>
      </c>
      <c r="G14" s="37">
        <f>C14/57</f>
        <v/>
      </c>
      <c r="H14" s="37">
        <f>D14/57</f>
        <v/>
      </c>
      <c r="I14" s="37">
        <f>E14/57</f>
        <v/>
      </c>
      <c r="J14" s="37">
        <f>IF(B14=0,"",C14/B14)</f>
        <v/>
      </c>
      <c r="K14" s="37">
        <f>IF(B14=0,"",D14/B14)</f>
        <v/>
      </c>
      <c r="L14" s="37">
        <f>IF(B14=0,"",E14/B14)</f>
        <v/>
      </c>
      <c r="M14" s="37">
        <f>IF(B14=0,"",(C14+D14)/B14)</f>
        <v/>
      </c>
      <c r="N14" s="36">
        <f>COUNTIFS('Evidence-First Cell Queue'!$E$6:$E$461,$A14,'Evidence-First Cell Queue'!$X$6:$X$461,"NOT LOCATED — NOT YET RECOVERED")</f>
        <v/>
      </c>
      <c r="O14" s="36">
        <f>COUNTIFS('Evidence-First Cell Queue'!$E$6:$E$461,$A14,'Evidence-First Cell Queue'!$X$6:$X$461,"NOT LOCATED — CURRENT STANDARD REVIEWED")</f>
        <v/>
      </c>
      <c r="P14" s="36">
        <f>COUNTIFS('Evidence-First Cell Queue'!$E$6:$E$461,$A14,'Evidence-First Cell Queue'!$X$6:$X$461,"NOT LOCATED — CURRENT SOURCE")+COUNTIFS('Evidence-First Cell Queue'!$E$6:$E$461,$A14,'Evidence-First Cell Queue'!$X$6:$X$461,"NOT LOCATED — NO PUBLIC EVIDENCE")</f>
        <v/>
      </c>
      <c r="Q14" s="36">
        <f>COUNTIF('Evidence-First Cell Queue'!$E$6:$E$461,$A14)-B14-N14-O14-P14</f>
        <v/>
      </c>
      <c r="R14" s="36">
        <f>IF(B14&gt;=$B$4,"ELIGIBLE","IN PROGRESS")</f>
        <v/>
      </c>
    </row>
    <row r="15">
      <c r="A15" s="35" t="inlineStr">
        <is>
          <t>All branches (456 cells)</t>
        </is>
      </c>
      <c r="B15" s="35">
        <f>SUM(B7:B14)</f>
        <v/>
      </c>
      <c r="C15" s="35">
        <f>SUM(C7:C14)</f>
        <v/>
      </c>
      <c r="D15" s="35">
        <f>SUM(D7:D14)</f>
        <v/>
      </c>
      <c r="E15" s="35">
        <f>SUM(E7:E14)</f>
        <v/>
      </c>
      <c r="F15" s="38">
        <f>B15/456</f>
        <v/>
      </c>
      <c r="G15" s="38">
        <f>C15/456</f>
        <v/>
      </c>
      <c r="H15" s="38">
        <f>D15/456</f>
        <v/>
      </c>
      <c r="I15" s="38">
        <f>E15/456</f>
        <v/>
      </c>
      <c r="J15" s="38">
        <f>C15/B15</f>
        <v/>
      </c>
      <c r="K15" s="38">
        <f>D15/B15</f>
        <v/>
      </c>
      <c r="L15" s="38">
        <f>E15/B15</f>
        <v/>
      </c>
      <c r="M15" s="38">
        <f>(C15+D15)/B15</f>
        <v/>
      </c>
      <c r="N15" s="35">
        <f>SUM(N7:N14)</f>
        <v/>
      </c>
      <c r="O15" s="35">
        <f>SUM(O7:O14)</f>
        <v/>
      </c>
      <c r="P15" s="35">
        <f>SUM(P7:P14)</f>
        <v/>
      </c>
      <c r="Q15" s="35">
        <f>SUM(Q7:Q14)</f>
        <v/>
      </c>
      <c r="R15" s="35">
        <f>COUNTIF(R7:R14,"ELIGIBLE")&amp;" eligible"</f>
        <v/>
      </c>
    </row>
    <row r="17">
      <c r="A17" s="32" t="inlineStr">
        <is>
          <t>Integrity</t>
        </is>
      </c>
    </row>
    <row r="18">
      <c r="A18" s="0" t="inlineStr">
        <is>
          <t>Row totals reconcile to 57 per branch</t>
        </is>
      </c>
      <c r="B18" s="0">
        <f>IF(SUMPRODUCT((B7:B14+N7:N14+O7:O14+P7:P14+Q7:Q14)=57)=8,"PASS","FAIL")</f>
        <v/>
      </c>
    </row>
    <row r="19">
      <c r="A19" s="0" t="inlineStr">
        <is>
          <t>Released total matches Family Summary / Evidence Map (141 at v2.18)</t>
        </is>
      </c>
      <c r="B19" s="0">
        <f>B15</f>
        <v/>
      </c>
    </row>
    <row r="20">
      <c r="A20" s="0" t="inlineStr">
        <is>
          <t>Cross-check vs Branch State Summary released</t>
        </is>
      </c>
      <c r="B20" s="0">
        <f>IF(B15=SUM('Branch State Summary'!B2:E9),"PASS","FAIL")</f>
        <v/>
      </c>
    </row>
    <row r="22">
      <c r="A22" s="32" t="inlineStr">
        <is>
          <t>Per-predicate grid — rendered state by branch (internal only; lookup on Queue ID pattern Family × Branch)</t>
        </is>
      </c>
    </row>
    <row r="23">
      <c r="A23" s="39" t="inlineStr">
        <is>
          <t>Family ID</t>
        </is>
      </c>
      <c r="B23" s="39" t="inlineStr">
        <is>
          <t>Predicate</t>
        </is>
      </c>
      <c r="C23" s="39" t="inlineStr">
        <is>
          <t>Family code</t>
        </is>
      </c>
      <c r="D23" s="39" t="inlineStr">
        <is>
          <t>Roman Catholic</t>
        </is>
      </c>
      <c r="E23" s="39" t="inlineStr">
        <is>
          <t>Eastern Orthodox</t>
        </is>
      </c>
      <c r="F23" s="39" t="inlineStr">
        <is>
          <t>Lutheran</t>
        </is>
      </c>
      <c r="G23" s="39" t="inlineStr">
        <is>
          <t>Reformed / Presbyterian</t>
        </is>
      </c>
      <c r="H23" s="39" t="inlineStr">
        <is>
          <t>Anglican</t>
        </is>
      </c>
      <c r="I23" s="39" t="inlineStr">
        <is>
          <t>Baptist</t>
        </is>
      </c>
      <c r="J23" s="39" t="inlineStr">
        <is>
          <t>Methodist / Wesleyan</t>
        </is>
      </c>
      <c r="K23" s="39" t="inlineStr">
        <is>
          <t>Mennonite / Anabaptist</t>
        </is>
      </c>
    </row>
    <row r="24">
      <c r="A24" s="0" t="inlineStr">
        <is>
          <t>RNR-H01</t>
        </is>
      </c>
      <c r="B24" s="0">
        <f>INDEX('Evidence-First Cell Queue'!$C$6:$C$461,MATCH($A24,'Evidence-First Cell Queue'!$B$6:$B$461,0))</f>
        <v/>
      </c>
      <c r="C24" s="0">
        <f>INDEX('Evidence-First Cell Queue'!$D$6:$D$461,MATCH($A24,'Evidence-First Cell Queue'!$B$6:$B$461,0))</f>
        <v/>
      </c>
      <c r="D24" s="36">
        <f>LOOKUP(2,1/(('Evidence-First Cell Queue'!$B$6:$B$461=$A24)*('Evidence-First Cell Queue'!$E$6:$E$461=D$23)),'Evidence-First Cell Queue'!$X$6:$X$461)</f>
        <v/>
      </c>
      <c r="E24" s="36">
        <f>LOOKUP(2,1/(('Evidence-First Cell Queue'!$B$6:$B$461=$A24)*('Evidence-First Cell Queue'!$E$6:$E$461=E$23)),'Evidence-First Cell Queue'!$X$6:$X$461)</f>
        <v/>
      </c>
      <c r="F24" s="36">
        <f>LOOKUP(2,1/(('Evidence-First Cell Queue'!$B$6:$B$461=$A24)*('Evidence-First Cell Queue'!$E$6:$E$461=F$23)),'Evidence-First Cell Queue'!$X$6:$X$461)</f>
        <v/>
      </c>
      <c r="G24" s="36">
        <f>LOOKUP(2,1/(('Evidence-First Cell Queue'!$B$6:$B$461=$A24)*('Evidence-First Cell Queue'!$E$6:$E$461=G$23)),'Evidence-First Cell Queue'!$X$6:$X$461)</f>
        <v/>
      </c>
      <c r="H24" s="36">
        <f>LOOKUP(2,1/(('Evidence-First Cell Queue'!$B$6:$B$461=$A24)*('Evidence-First Cell Queue'!$E$6:$E$461=H$23)),'Evidence-First Cell Queue'!$X$6:$X$461)</f>
        <v/>
      </c>
      <c r="I24" s="36">
        <f>LOOKUP(2,1/(('Evidence-First Cell Queue'!$B$6:$B$461=$A24)*('Evidence-First Cell Queue'!$E$6:$E$461=I$23)),'Evidence-First Cell Queue'!$X$6:$X$461)</f>
        <v/>
      </c>
      <c r="J24" s="36">
        <f>LOOKUP(2,1/(('Evidence-First Cell Queue'!$B$6:$B$461=$A24)*('Evidence-First Cell Queue'!$E$6:$E$461=J$23)),'Evidence-First Cell Queue'!$X$6:$X$461)</f>
        <v/>
      </c>
      <c r="K24" s="36">
        <f>LOOKUP(2,1/(('Evidence-First Cell Queue'!$B$6:$B$461=$A24)*('Evidence-First Cell Queue'!$E$6:$E$461=K$23)),'Evidence-First Cell Queue'!$X$6:$X$461)</f>
        <v/>
      </c>
    </row>
    <row r="25">
      <c r="A25" s="0" t="inlineStr">
        <is>
          <t>RNR-H02</t>
        </is>
      </c>
      <c r="B25" s="0">
        <f>INDEX('Evidence-First Cell Queue'!$C$6:$C$461,MATCH($A25,'Evidence-First Cell Queue'!$B$6:$B$461,0))</f>
        <v/>
      </c>
      <c r="C25" s="0">
        <f>INDEX('Evidence-First Cell Queue'!$D$6:$D$461,MATCH($A25,'Evidence-First Cell Queue'!$B$6:$B$461,0))</f>
        <v/>
      </c>
      <c r="D25" s="36">
        <f>LOOKUP(2,1/(('Evidence-First Cell Queue'!$B$6:$B$461=$A25)*('Evidence-First Cell Queue'!$E$6:$E$461=D$23)),'Evidence-First Cell Queue'!$X$6:$X$461)</f>
        <v/>
      </c>
      <c r="E25" s="36">
        <f>LOOKUP(2,1/(('Evidence-First Cell Queue'!$B$6:$B$461=$A25)*('Evidence-First Cell Queue'!$E$6:$E$461=E$23)),'Evidence-First Cell Queue'!$X$6:$X$461)</f>
        <v/>
      </c>
      <c r="F25" s="36">
        <f>LOOKUP(2,1/(('Evidence-First Cell Queue'!$B$6:$B$461=$A25)*('Evidence-First Cell Queue'!$E$6:$E$461=F$23)),'Evidence-First Cell Queue'!$X$6:$X$461)</f>
        <v/>
      </c>
      <c r="G25" s="36">
        <f>LOOKUP(2,1/(('Evidence-First Cell Queue'!$B$6:$B$461=$A25)*('Evidence-First Cell Queue'!$E$6:$E$461=G$23)),'Evidence-First Cell Queue'!$X$6:$X$461)</f>
        <v/>
      </c>
      <c r="H25" s="36">
        <f>LOOKUP(2,1/(('Evidence-First Cell Queue'!$B$6:$B$461=$A25)*('Evidence-First Cell Queue'!$E$6:$E$461=H$23)),'Evidence-First Cell Queue'!$X$6:$X$461)</f>
        <v/>
      </c>
      <c r="I25" s="36">
        <f>LOOKUP(2,1/(('Evidence-First Cell Queue'!$B$6:$B$461=$A25)*('Evidence-First Cell Queue'!$E$6:$E$461=I$23)),'Evidence-First Cell Queue'!$X$6:$X$461)</f>
        <v/>
      </c>
      <c r="J25" s="36">
        <f>LOOKUP(2,1/(('Evidence-First Cell Queue'!$B$6:$B$461=$A25)*('Evidence-First Cell Queue'!$E$6:$E$461=J$23)),'Evidence-First Cell Queue'!$X$6:$X$461)</f>
        <v/>
      </c>
      <c r="K25" s="36">
        <f>LOOKUP(2,1/(('Evidence-First Cell Queue'!$B$6:$B$461=$A25)*('Evidence-First Cell Queue'!$E$6:$E$461=K$23)),'Evidence-First Cell Queue'!$X$6:$X$461)</f>
        <v/>
      </c>
    </row>
    <row r="26">
      <c r="A26" s="0" t="inlineStr">
        <is>
          <t>RNR-H03</t>
        </is>
      </c>
      <c r="B26" s="0">
        <f>INDEX('Evidence-First Cell Queue'!$C$6:$C$461,MATCH($A26,'Evidence-First Cell Queue'!$B$6:$B$461,0))</f>
        <v/>
      </c>
      <c r="C26" s="0">
        <f>INDEX('Evidence-First Cell Queue'!$D$6:$D$461,MATCH($A26,'Evidence-First Cell Queue'!$B$6:$B$461,0))</f>
        <v/>
      </c>
      <c r="D26" s="36">
        <f>LOOKUP(2,1/(('Evidence-First Cell Queue'!$B$6:$B$461=$A26)*('Evidence-First Cell Queue'!$E$6:$E$461=D$23)),'Evidence-First Cell Queue'!$X$6:$X$461)</f>
        <v/>
      </c>
      <c r="E26" s="36">
        <f>LOOKUP(2,1/(('Evidence-First Cell Queue'!$B$6:$B$461=$A26)*('Evidence-First Cell Queue'!$E$6:$E$461=E$23)),'Evidence-First Cell Queue'!$X$6:$X$461)</f>
        <v/>
      </c>
      <c r="F26" s="36">
        <f>LOOKUP(2,1/(('Evidence-First Cell Queue'!$B$6:$B$461=$A26)*('Evidence-First Cell Queue'!$E$6:$E$461=F$23)),'Evidence-First Cell Queue'!$X$6:$X$461)</f>
        <v/>
      </c>
      <c r="G26" s="36">
        <f>LOOKUP(2,1/(('Evidence-First Cell Queue'!$B$6:$B$461=$A26)*('Evidence-First Cell Queue'!$E$6:$E$461=G$23)),'Evidence-First Cell Queue'!$X$6:$X$461)</f>
        <v/>
      </c>
      <c r="H26" s="36">
        <f>LOOKUP(2,1/(('Evidence-First Cell Queue'!$B$6:$B$461=$A26)*('Evidence-First Cell Queue'!$E$6:$E$461=H$23)),'Evidence-First Cell Queue'!$X$6:$X$461)</f>
        <v/>
      </c>
      <c r="I26" s="36">
        <f>LOOKUP(2,1/(('Evidence-First Cell Queue'!$B$6:$B$461=$A26)*('Evidence-First Cell Queue'!$E$6:$E$461=I$23)),'Evidence-First Cell Queue'!$X$6:$X$461)</f>
        <v/>
      </c>
      <c r="J26" s="36">
        <f>LOOKUP(2,1/(('Evidence-First Cell Queue'!$B$6:$B$461=$A26)*('Evidence-First Cell Queue'!$E$6:$E$461=J$23)),'Evidence-First Cell Queue'!$X$6:$X$461)</f>
        <v/>
      </c>
      <c r="K26" s="36">
        <f>LOOKUP(2,1/(('Evidence-First Cell Queue'!$B$6:$B$461=$A26)*('Evidence-First Cell Queue'!$E$6:$E$461=K$23)),'Evidence-First Cell Queue'!$X$6:$X$461)</f>
        <v/>
      </c>
    </row>
    <row r="27">
      <c r="A27" s="0" t="inlineStr">
        <is>
          <t>RNR-H04</t>
        </is>
      </c>
      <c r="B27" s="0">
        <f>INDEX('Evidence-First Cell Queue'!$C$6:$C$461,MATCH($A27,'Evidence-First Cell Queue'!$B$6:$B$461,0))</f>
        <v/>
      </c>
      <c r="C27" s="0">
        <f>INDEX('Evidence-First Cell Queue'!$D$6:$D$461,MATCH($A27,'Evidence-First Cell Queue'!$B$6:$B$461,0))</f>
        <v/>
      </c>
      <c r="D27" s="36">
        <f>LOOKUP(2,1/(('Evidence-First Cell Queue'!$B$6:$B$461=$A27)*('Evidence-First Cell Queue'!$E$6:$E$461=D$23)),'Evidence-First Cell Queue'!$X$6:$X$461)</f>
        <v/>
      </c>
      <c r="E27" s="36">
        <f>LOOKUP(2,1/(('Evidence-First Cell Queue'!$B$6:$B$461=$A27)*('Evidence-First Cell Queue'!$E$6:$E$461=E$23)),'Evidence-First Cell Queue'!$X$6:$X$461)</f>
        <v/>
      </c>
      <c r="F27" s="36">
        <f>LOOKUP(2,1/(('Evidence-First Cell Queue'!$B$6:$B$461=$A27)*('Evidence-First Cell Queue'!$E$6:$E$461=F$23)),'Evidence-First Cell Queue'!$X$6:$X$461)</f>
        <v/>
      </c>
      <c r="G27" s="36">
        <f>LOOKUP(2,1/(('Evidence-First Cell Queue'!$B$6:$B$461=$A27)*('Evidence-First Cell Queue'!$E$6:$E$461=G$23)),'Evidence-First Cell Queue'!$X$6:$X$461)</f>
        <v/>
      </c>
      <c r="H27" s="36">
        <f>LOOKUP(2,1/(('Evidence-First Cell Queue'!$B$6:$B$461=$A27)*('Evidence-First Cell Queue'!$E$6:$E$461=H$23)),'Evidence-First Cell Queue'!$X$6:$X$461)</f>
        <v/>
      </c>
      <c r="I27" s="36">
        <f>LOOKUP(2,1/(('Evidence-First Cell Queue'!$B$6:$B$461=$A27)*('Evidence-First Cell Queue'!$E$6:$E$461=I$23)),'Evidence-First Cell Queue'!$X$6:$X$461)</f>
        <v/>
      </c>
      <c r="J27" s="36">
        <f>LOOKUP(2,1/(('Evidence-First Cell Queue'!$B$6:$B$461=$A27)*('Evidence-First Cell Queue'!$E$6:$E$461=J$23)),'Evidence-First Cell Queue'!$X$6:$X$461)</f>
        <v/>
      </c>
      <c r="K27" s="36">
        <f>LOOKUP(2,1/(('Evidence-First Cell Queue'!$B$6:$B$461=$A27)*('Evidence-First Cell Queue'!$E$6:$E$461=K$23)),'Evidence-First Cell Queue'!$X$6:$X$461)</f>
        <v/>
      </c>
    </row>
    <row r="28">
      <c r="A28" s="0" t="inlineStr">
        <is>
          <t>RNR-H05</t>
        </is>
      </c>
      <c r="B28" s="0">
        <f>INDEX('Evidence-First Cell Queue'!$C$6:$C$461,MATCH($A28,'Evidence-First Cell Queue'!$B$6:$B$461,0))</f>
        <v/>
      </c>
      <c r="C28" s="0">
        <f>INDEX('Evidence-First Cell Queue'!$D$6:$D$461,MATCH($A28,'Evidence-First Cell Queue'!$B$6:$B$461,0))</f>
        <v/>
      </c>
      <c r="D28" s="36">
        <f>LOOKUP(2,1/(('Evidence-First Cell Queue'!$B$6:$B$461=$A28)*('Evidence-First Cell Queue'!$E$6:$E$461=D$23)),'Evidence-First Cell Queue'!$X$6:$X$461)</f>
        <v/>
      </c>
      <c r="E28" s="36">
        <f>LOOKUP(2,1/(('Evidence-First Cell Queue'!$B$6:$B$461=$A28)*('Evidence-First Cell Queue'!$E$6:$E$461=E$23)),'Evidence-First Cell Queue'!$X$6:$X$461)</f>
        <v/>
      </c>
      <c r="F28" s="36">
        <f>LOOKUP(2,1/(('Evidence-First Cell Queue'!$B$6:$B$461=$A28)*('Evidence-First Cell Queue'!$E$6:$E$461=F$23)),'Evidence-First Cell Queue'!$X$6:$X$461)</f>
        <v/>
      </c>
      <c r="G28" s="36">
        <f>LOOKUP(2,1/(('Evidence-First Cell Queue'!$B$6:$B$461=$A28)*('Evidence-First Cell Queue'!$E$6:$E$461=G$23)),'Evidence-First Cell Queue'!$X$6:$X$461)</f>
        <v/>
      </c>
      <c r="H28" s="36">
        <f>LOOKUP(2,1/(('Evidence-First Cell Queue'!$B$6:$B$461=$A28)*('Evidence-First Cell Queue'!$E$6:$E$461=H$23)),'Evidence-First Cell Queue'!$X$6:$X$461)</f>
        <v/>
      </c>
      <c r="I28" s="36">
        <f>LOOKUP(2,1/(('Evidence-First Cell Queue'!$B$6:$B$461=$A28)*('Evidence-First Cell Queue'!$E$6:$E$461=I$23)),'Evidence-First Cell Queue'!$X$6:$X$461)</f>
        <v/>
      </c>
      <c r="J28" s="36">
        <f>LOOKUP(2,1/(('Evidence-First Cell Queue'!$B$6:$B$461=$A28)*('Evidence-First Cell Queue'!$E$6:$E$461=J$23)),'Evidence-First Cell Queue'!$X$6:$X$461)</f>
        <v/>
      </c>
      <c r="K28" s="36">
        <f>LOOKUP(2,1/(('Evidence-First Cell Queue'!$B$6:$B$461=$A28)*('Evidence-First Cell Queue'!$E$6:$E$461=K$23)),'Evidence-First Cell Queue'!$X$6:$X$461)</f>
        <v/>
      </c>
    </row>
    <row r="29">
      <c r="A29" s="0" t="inlineStr">
        <is>
          <t>RNR-H06</t>
        </is>
      </c>
      <c r="B29" s="0">
        <f>INDEX('Evidence-First Cell Queue'!$C$6:$C$461,MATCH($A29,'Evidence-First Cell Queue'!$B$6:$B$461,0))</f>
        <v/>
      </c>
      <c r="C29" s="0">
        <f>INDEX('Evidence-First Cell Queue'!$D$6:$D$461,MATCH($A29,'Evidence-First Cell Queue'!$B$6:$B$461,0))</f>
        <v/>
      </c>
      <c r="D29" s="36">
        <f>LOOKUP(2,1/(('Evidence-First Cell Queue'!$B$6:$B$461=$A29)*('Evidence-First Cell Queue'!$E$6:$E$461=D$23)),'Evidence-First Cell Queue'!$X$6:$X$461)</f>
        <v/>
      </c>
      <c r="E29" s="36">
        <f>LOOKUP(2,1/(('Evidence-First Cell Queue'!$B$6:$B$461=$A29)*('Evidence-First Cell Queue'!$E$6:$E$461=E$23)),'Evidence-First Cell Queue'!$X$6:$X$461)</f>
        <v/>
      </c>
      <c r="F29" s="36">
        <f>LOOKUP(2,1/(('Evidence-First Cell Queue'!$B$6:$B$461=$A29)*('Evidence-First Cell Queue'!$E$6:$E$461=F$23)),'Evidence-First Cell Queue'!$X$6:$X$461)</f>
        <v/>
      </c>
      <c r="G29" s="36">
        <f>LOOKUP(2,1/(('Evidence-First Cell Queue'!$B$6:$B$461=$A29)*('Evidence-First Cell Queue'!$E$6:$E$461=G$23)),'Evidence-First Cell Queue'!$X$6:$X$461)</f>
        <v/>
      </c>
      <c r="H29" s="36">
        <f>LOOKUP(2,1/(('Evidence-First Cell Queue'!$B$6:$B$461=$A29)*('Evidence-First Cell Queue'!$E$6:$E$461=H$23)),'Evidence-First Cell Queue'!$X$6:$X$461)</f>
        <v/>
      </c>
      <c r="I29" s="36">
        <f>LOOKUP(2,1/(('Evidence-First Cell Queue'!$B$6:$B$461=$A29)*('Evidence-First Cell Queue'!$E$6:$E$461=I$23)),'Evidence-First Cell Queue'!$X$6:$X$461)</f>
        <v/>
      </c>
      <c r="J29" s="36">
        <f>LOOKUP(2,1/(('Evidence-First Cell Queue'!$B$6:$B$461=$A29)*('Evidence-First Cell Queue'!$E$6:$E$461=J$23)),'Evidence-First Cell Queue'!$X$6:$X$461)</f>
        <v/>
      </c>
      <c r="K29" s="36">
        <f>LOOKUP(2,1/(('Evidence-First Cell Queue'!$B$6:$B$461=$A29)*('Evidence-First Cell Queue'!$E$6:$E$461=K$23)),'Evidence-First Cell Queue'!$X$6:$X$461)</f>
        <v/>
      </c>
    </row>
    <row r="30">
      <c r="A30" s="0" t="inlineStr">
        <is>
          <t>RNR-H07</t>
        </is>
      </c>
      <c r="B30" s="0">
        <f>INDEX('Evidence-First Cell Queue'!$C$6:$C$461,MATCH($A30,'Evidence-First Cell Queue'!$B$6:$B$461,0))</f>
        <v/>
      </c>
      <c r="C30" s="0">
        <f>INDEX('Evidence-First Cell Queue'!$D$6:$D$461,MATCH($A30,'Evidence-First Cell Queue'!$B$6:$B$461,0))</f>
        <v/>
      </c>
      <c r="D30" s="36">
        <f>LOOKUP(2,1/(('Evidence-First Cell Queue'!$B$6:$B$461=$A30)*('Evidence-First Cell Queue'!$E$6:$E$461=D$23)),'Evidence-First Cell Queue'!$X$6:$X$461)</f>
        <v/>
      </c>
      <c r="E30" s="36">
        <f>LOOKUP(2,1/(('Evidence-First Cell Queue'!$B$6:$B$461=$A30)*('Evidence-First Cell Queue'!$E$6:$E$461=E$23)),'Evidence-First Cell Queue'!$X$6:$X$461)</f>
        <v/>
      </c>
      <c r="F30" s="36">
        <f>LOOKUP(2,1/(('Evidence-First Cell Queue'!$B$6:$B$461=$A30)*('Evidence-First Cell Queue'!$E$6:$E$461=F$23)),'Evidence-First Cell Queue'!$X$6:$X$461)</f>
        <v/>
      </c>
      <c r="G30" s="36">
        <f>LOOKUP(2,1/(('Evidence-First Cell Queue'!$B$6:$B$461=$A30)*('Evidence-First Cell Queue'!$E$6:$E$461=G$23)),'Evidence-First Cell Queue'!$X$6:$X$461)</f>
        <v/>
      </c>
      <c r="H30" s="36">
        <f>LOOKUP(2,1/(('Evidence-First Cell Queue'!$B$6:$B$461=$A30)*('Evidence-First Cell Queue'!$E$6:$E$461=H$23)),'Evidence-First Cell Queue'!$X$6:$X$461)</f>
        <v/>
      </c>
      <c r="I30" s="36">
        <f>LOOKUP(2,1/(('Evidence-First Cell Queue'!$B$6:$B$461=$A30)*('Evidence-First Cell Queue'!$E$6:$E$461=I$23)),'Evidence-First Cell Queue'!$X$6:$X$461)</f>
        <v/>
      </c>
      <c r="J30" s="36">
        <f>LOOKUP(2,1/(('Evidence-First Cell Queue'!$B$6:$B$461=$A30)*('Evidence-First Cell Queue'!$E$6:$E$461=J$23)),'Evidence-First Cell Queue'!$X$6:$X$461)</f>
        <v/>
      </c>
      <c r="K30" s="36">
        <f>LOOKUP(2,1/(('Evidence-First Cell Queue'!$B$6:$B$461=$A30)*('Evidence-First Cell Queue'!$E$6:$E$461=K$23)),'Evidence-First Cell Queue'!$X$6:$X$461)</f>
        <v/>
      </c>
    </row>
    <row r="31">
      <c r="A31" s="0" t="inlineStr">
        <is>
          <t>RNR-H08</t>
        </is>
      </c>
      <c r="B31" s="0">
        <f>INDEX('Evidence-First Cell Queue'!$C$6:$C$461,MATCH($A31,'Evidence-First Cell Queue'!$B$6:$B$461,0))</f>
        <v/>
      </c>
      <c r="C31" s="0">
        <f>INDEX('Evidence-First Cell Queue'!$D$6:$D$461,MATCH($A31,'Evidence-First Cell Queue'!$B$6:$B$461,0))</f>
        <v/>
      </c>
      <c r="D31" s="36">
        <f>LOOKUP(2,1/(('Evidence-First Cell Queue'!$B$6:$B$461=$A31)*('Evidence-First Cell Queue'!$E$6:$E$461=D$23)),'Evidence-First Cell Queue'!$X$6:$X$461)</f>
        <v/>
      </c>
      <c r="E31" s="36">
        <f>LOOKUP(2,1/(('Evidence-First Cell Queue'!$B$6:$B$461=$A31)*('Evidence-First Cell Queue'!$E$6:$E$461=E$23)),'Evidence-First Cell Queue'!$X$6:$X$461)</f>
        <v/>
      </c>
      <c r="F31" s="36">
        <f>LOOKUP(2,1/(('Evidence-First Cell Queue'!$B$6:$B$461=$A31)*('Evidence-First Cell Queue'!$E$6:$E$461=F$23)),'Evidence-First Cell Queue'!$X$6:$X$461)</f>
        <v/>
      </c>
      <c r="G31" s="36">
        <f>LOOKUP(2,1/(('Evidence-First Cell Queue'!$B$6:$B$461=$A31)*('Evidence-First Cell Queue'!$E$6:$E$461=G$23)),'Evidence-First Cell Queue'!$X$6:$X$461)</f>
        <v/>
      </c>
      <c r="H31" s="36">
        <f>LOOKUP(2,1/(('Evidence-First Cell Queue'!$B$6:$B$461=$A31)*('Evidence-First Cell Queue'!$E$6:$E$461=H$23)),'Evidence-First Cell Queue'!$X$6:$X$461)</f>
        <v/>
      </c>
      <c r="I31" s="36">
        <f>LOOKUP(2,1/(('Evidence-First Cell Queue'!$B$6:$B$461=$A31)*('Evidence-First Cell Queue'!$E$6:$E$461=I$23)),'Evidence-First Cell Queue'!$X$6:$X$461)</f>
        <v/>
      </c>
      <c r="J31" s="36">
        <f>LOOKUP(2,1/(('Evidence-First Cell Queue'!$B$6:$B$461=$A31)*('Evidence-First Cell Queue'!$E$6:$E$461=J$23)),'Evidence-First Cell Queue'!$X$6:$X$461)</f>
        <v/>
      </c>
      <c r="K31" s="36">
        <f>LOOKUP(2,1/(('Evidence-First Cell Queue'!$B$6:$B$461=$A31)*('Evidence-First Cell Queue'!$E$6:$E$461=K$23)),'Evidence-First Cell Queue'!$X$6:$X$461)</f>
        <v/>
      </c>
    </row>
    <row r="32">
      <c r="A32" s="0" t="inlineStr">
        <is>
          <t>RNR-H09</t>
        </is>
      </c>
      <c r="B32" s="0">
        <f>INDEX('Evidence-First Cell Queue'!$C$6:$C$461,MATCH($A32,'Evidence-First Cell Queue'!$B$6:$B$461,0))</f>
        <v/>
      </c>
      <c r="C32" s="0">
        <f>INDEX('Evidence-First Cell Queue'!$D$6:$D$461,MATCH($A32,'Evidence-First Cell Queue'!$B$6:$B$461,0))</f>
        <v/>
      </c>
      <c r="D32" s="36">
        <f>LOOKUP(2,1/(('Evidence-First Cell Queue'!$B$6:$B$461=$A32)*('Evidence-First Cell Queue'!$E$6:$E$461=D$23)),'Evidence-First Cell Queue'!$X$6:$X$461)</f>
        <v/>
      </c>
      <c r="E32" s="36">
        <f>LOOKUP(2,1/(('Evidence-First Cell Queue'!$B$6:$B$461=$A32)*('Evidence-First Cell Queue'!$E$6:$E$461=E$23)),'Evidence-First Cell Queue'!$X$6:$X$461)</f>
        <v/>
      </c>
      <c r="F32" s="36">
        <f>LOOKUP(2,1/(('Evidence-First Cell Queue'!$B$6:$B$461=$A32)*('Evidence-First Cell Queue'!$E$6:$E$461=F$23)),'Evidence-First Cell Queue'!$X$6:$X$461)</f>
        <v/>
      </c>
      <c r="G32" s="36">
        <f>LOOKUP(2,1/(('Evidence-First Cell Queue'!$B$6:$B$461=$A32)*('Evidence-First Cell Queue'!$E$6:$E$461=G$23)),'Evidence-First Cell Queue'!$X$6:$X$461)</f>
        <v/>
      </c>
      <c r="H32" s="36">
        <f>LOOKUP(2,1/(('Evidence-First Cell Queue'!$B$6:$B$461=$A32)*('Evidence-First Cell Queue'!$E$6:$E$461=H$23)),'Evidence-First Cell Queue'!$X$6:$X$461)</f>
        <v/>
      </c>
      <c r="I32" s="36">
        <f>LOOKUP(2,1/(('Evidence-First Cell Queue'!$B$6:$B$461=$A32)*('Evidence-First Cell Queue'!$E$6:$E$461=I$23)),'Evidence-First Cell Queue'!$X$6:$X$461)</f>
        <v/>
      </c>
      <c r="J32" s="36">
        <f>LOOKUP(2,1/(('Evidence-First Cell Queue'!$B$6:$B$461=$A32)*('Evidence-First Cell Queue'!$E$6:$E$461=J$23)),'Evidence-First Cell Queue'!$X$6:$X$461)</f>
        <v/>
      </c>
      <c r="K32" s="36">
        <f>LOOKUP(2,1/(('Evidence-First Cell Queue'!$B$6:$B$461=$A32)*('Evidence-First Cell Queue'!$E$6:$E$461=K$23)),'Evidence-First Cell Queue'!$X$6:$X$461)</f>
        <v/>
      </c>
    </row>
    <row r="33">
      <c r="A33" s="0" t="inlineStr">
        <is>
          <t>RNR-H10</t>
        </is>
      </c>
      <c r="B33" s="0">
        <f>INDEX('Evidence-First Cell Queue'!$C$6:$C$461,MATCH($A33,'Evidence-First Cell Queue'!$B$6:$B$461,0))</f>
        <v/>
      </c>
      <c r="C33" s="0">
        <f>INDEX('Evidence-First Cell Queue'!$D$6:$D$461,MATCH($A33,'Evidence-First Cell Queue'!$B$6:$B$461,0))</f>
        <v/>
      </c>
      <c r="D33" s="36">
        <f>LOOKUP(2,1/(('Evidence-First Cell Queue'!$B$6:$B$461=$A33)*('Evidence-First Cell Queue'!$E$6:$E$461=D$23)),'Evidence-First Cell Queue'!$X$6:$X$461)</f>
        <v/>
      </c>
      <c r="E33" s="36">
        <f>LOOKUP(2,1/(('Evidence-First Cell Queue'!$B$6:$B$461=$A33)*('Evidence-First Cell Queue'!$E$6:$E$461=E$23)),'Evidence-First Cell Queue'!$X$6:$X$461)</f>
        <v/>
      </c>
      <c r="F33" s="36">
        <f>LOOKUP(2,1/(('Evidence-First Cell Queue'!$B$6:$B$461=$A33)*('Evidence-First Cell Queue'!$E$6:$E$461=F$23)),'Evidence-First Cell Queue'!$X$6:$X$461)</f>
        <v/>
      </c>
      <c r="G33" s="36">
        <f>LOOKUP(2,1/(('Evidence-First Cell Queue'!$B$6:$B$461=$A33)*('Evidence-First Cell Queue'!$E$6:$E$461=G$23)),'Evidence-First Cell Queue'!$X$6:$X$461)</f>
        <v/>
      </c>
      <c r="H33" s="36">
        <f>LOOKUP(2,1/(('Evidence-First Cell Queue'!$B$6:$B$461=$A33)*('Evidence-First Cell Queue'!$E$6:$E$461=H$23)),'Evidence-First Cell Queue'!$X$6:$X$461)</f>
        <v/>
      </c>
      <c r="I33" s="36">
        <f>LOOKUP(2,1/(('Evidence-First Cell Queue'!$B$6:$B$461=$A33)*('Evidence-First Cell Queue'!$E$6:$E$461=I$23)),'Evidence-First Cell Queue'!$X$6:$X$461)</f>
        <v/>
      </c>
      <c r="J33" s="36">
        <f>LOOKUP(2,1/(('Evidence-First Cell Queue'!$B$6:$B$461=$A33)*('Evidence-First Cell Queue'!$E$6:$E$461=J$23)),'Evidence-First Cell Queue'!$X$6:$X$461)</f>
        <v/>
      </c>
      <c r="K33" s="36">
        <f>LOOKUP(2,1/(('Evidence-First Cell Queue'!$B$6:$B$461=$A33)*('Evidence-First Cell Queue'!$E$6:$E$461=K$23)),'Evidence-First Cell Queue'!$X$6:$X$461)</f>
        <v/>
      </c>
    </row>
    <row r="34">
      <c r="A34" s="0" t="inlineStr">
        <is>
          <t>RNR-H11</t>
        </is>
      </c>
      <c r="B34" s="0">
        <f>INDEX('Evidence-First Cell Queue'!$C$6:$C$461,MATCH($A34,'Evidence-First Cell Queue'!$B$6:$B$461,0))</f>
        <v/>
      </c>
      <c r="C34" s="0">
        <f>INDEX('Evidence-First Cell Queue'!$D$6:$D$461,MATCH($A34,'Evidence-First Cell Queue'!$B$6:$B$461,0))</f>
        <v/>
      </c>
      <c r="D34" s="36">
        <f>LOOKUP(2,1/(('Evidence-First Cell Queue'!$B$6:$B$461=$A34)*('Evidence-First Cell Queue'!$E$6:$E$461=D$23)),'Evidence-First Cell Queue'!$X$6:$X$461)</f>
        <v/>
      </c>
      <c r="E34" s="36">
        <f>LOOKUP(2,1/(('Evidence-First Cell Queue'!$B$6:$B$461=$A34)*('Evidence-First Cell Queue'!$E$6:$E$461=E$23)),'Evidence-First Cell Queue'!$X$6:$X$461)</f>
        <v/>
      </c>
      <c r="F34" s="36">
        <f>LOOKUP(2,1/(('Evidence-First Cell Queue'!$B$6:$B$461=$A34)*('Evidence-First Cell Queue'!$E$6:$E$461=F$23)),'Evidence-First Cell Queue'!$X$6:$X$461)</f>
        <v/>
      </c>
      <c r="G34" s="36">
        <f>LOOKUP(2,1/(('Evidence-First Cell Queue'!$B$6:$B$461=$A34)*('Evidence-First Cell Queue'!$E$6:$E$461=G$23)),'Evidence-First Cell Queue'!$X$6:$X$461)</f>
        <v/>
      </c>
      <c r="H34" s="36">
        <f>LOOKUP(2,1/(('Evidence-First Cell Queue'!$B$6:$B$461=$A34)*('Evidence-First Cell Queue'!$E$6:$E$461=H$23)),'Evidence-First Cell Queue'!$X$6:$X$461)</f>
        <v/>
      </c>
      <c r="I34" s="36">
        <f>LOOKUP(2,1/(('Evidence-First Cell Queue'!$B$6:$B$461=$A34)*('Evidence-First Cell Queue'!$E$6:$E$461=I$23)),'Evidence-First Cell Queue'!$X$6:$X$461)</f>
        <v/>
      </c>
      <c r="J34" s="36">
        <f>LOOKUP(2,1/(('Evidence-First Cell Queue'!$B$6:$B$461=$A34)*('Evidence-First Cell Queue'!$E$6:$E$461=J$23)),'Evidence-First Cell Queue'!$X$6:$X$461)</f>
        <v/>
      </c>
      <c r="K34" s="36">
        <f>LOOKUP(2,1/(('Evidence-First Cell Queue'!$B$6:$B$461=$A34)*('Evidence-First Cell Queue'!$E$6:$E$461=K$23)),'Evidence-First Cell Queue'!$X$6:$X$461)</f>
        <v/>
      </c>
    </row>
    <row r="35">
      <c r="A35" s="0" t="inlineStr">
        <is>
          <t>RNR-H12</t>
        </is>
      </c>
      <c r="B35" s="0">
        <f>INDEX('Evidence-First Cell Queue'!$C$6:$C$461,MATCH($A35,'Evidence-First Cell Queue'!$B$6:$B$461,0))</f>
        <v/>
      </c>
      <c r="C35" s="0">
        <f>INDEX('Evidence-First Cell Queue'!$D$6:$D$461,MATCH($A35,'Evidence-First Cell Queue'!$B$6:$B$461,0))</f>
        <v/>
      </c>
      <c r="D35" s="36">
        <f>LOOKUP(2,1/(('Evidence-First Cell Queue'!$B$6:$B$461=$A35)*('Evidence-First Cell Queue'!$E$6:$E$461=D$23)),'Evidence-First Cell Queue'!$X$6:$X$461)</f>
        <v/>
      </c>
      <c r="E35" s="36">
        <f>LOOKUP(2,1/(('Evidence-First Cell Queue'!$B$6:$B$461=$A35)*('Evidence-First Cell Queue'!$E$6:$E$461=E$23)),'Evidence-First Cell Queue'!$X$6:$X$461)</f>
        <v/>
      </c>
      <c r="F35" s="36">
        <f>LOOKUP(2,1/(('Evidence-First Cell Queue'!$B$6:$B$461=$A35)*('Evidence-First Cell Queue'!$E$6:$E$461=F$23)),'Evidence-First Cell Queue'!$X$6:$X$461)</f>
        <v/>
      </c>
      <c r="G35" s="36">
        <f>LOOKUP(2,1/(('Evidence-First Cell Queue'!$B$6:$B$461=$A35)*('Evidence-First Cell Queue'!$E$6:$E$461=G$23)),'Evidence-First Cell Queue'!$X$6:$X$461)</f>
        <v/>
      </c>
      <c r="H35" s="36">
        <f>LOOKUP(2,1/(('Evidence-First Cell Queue'!$B$6:$B$461=$A35)*('Evidence-First Cell Queue'!$E$6:$E$461=H$23)),'Evidence-First Cell Queue'!$X$6:$X$461)</f>
        <v/>
      </c>
      <c r="I35" s="36">
        <f>LOOKUP(2,1/(('Evidence-First Cell Queue'!$B$6:$B$461=$A35)*('Evidence-First Cell Queue'!$E$6:$E$461=I$23)),'Evidence-First Cell Queue'!$X$6:$X$461)</f>
        <v/>
      </c>
      <c r="J35" s="36">
        <f>LOOKUP(2,1/(('Evidence-First Cell Queue'!$B$6:$B$461=$A35)*('Evidence-First Cell Queue'!$E$6:$E$461=J$23)),'Evidence-First Cell Queue'!$X$6:$X$461)</f>
        <v/>
      </c>
      <c r="K35" s="36">
        <f>LOOKUP(2,1/(('Evidence-First Cell Queue'!$B$6:$B$461=$A35)*('Evidence-First Cell Queue'!$E$6:$E$461=K$23)),'Evidence-First Cell Queue'!$X$6:$X$461)</f>
        <v/>
      </c>
    </row>
    <row r="36">
      <c r="A36" s="0" t="inlineStr">
        <is>
          <t>RNR-H13</t>
        </is>
      </c>
      <c r="B36" s="0">
        <f>INDEX('Evidence-First Cell Queue'!$C$6:$C$461,MATCH($A36,'Evidence-First Cell Queue'!$B$6:$B$461,0))</f>
        <v/>
      </c>
      <c r="C36" s="0">
        <f>INDEX('Evidence-First Cell Queue'!$D$6:$D$461,MATCH($A36,'Evidence-First Cell Queue'!$B$6:$B$461,0))</f>
        <v/>
      </c>
      <c r="D36" s="36">
        <f>LOOKUP(2,1/(('Evidence-First Cell Queue'!$B$6:$B$461=$A36)*('Evidence-First Cell Queue'!$E$6:$E$461=D$23)),'Evidence-First Cell Queue'!$X$6:$X$461)</f>
        <v/>
      </c>
      <c r="E36" s="36">
        <f>LOOKUP(2,1/(('Evidence-First Cell Queue'!$B$6:$B$461=$A36)*('Evidence-First Cell Queue'!$E$6:$E$461=E$23)),'Evidence-First Cell Queue'!$X$6:$X$461)</f>
        <v/>
      </c>
      <c r="F36" s="36">
        <f>LOOKUP(2,1/(('Evidence-First Cell Queue'!$B$6:$B$461=$A36)*('Evidence-First Cell Queue'!$E$6:$E$461=F$23)),'Evidence-First Cell Queue'!$X$6:$X$461)</f>
        <v/>
      </c>
      <c r="G36" s="36">
        <f>LOOKUP(2,1/(('Evidence-First Cell Queue'!$B$6:$B$461=$A36)*('Evidence-First Cell Queue'!$E$6:$E$461=G$23)),'Evidence-First Cell Queue'!$X$6:$X$461)</f>
        <v/>
      </c>
      <c r="H36" s="36">
        <f>LOOKUP(2,1/(('Evidence-First Cell Queue'!$B$6:$B$461=$A36)*('Evidence-First Cell Queue'!$E$6:$E$461=H$23)),'Evidence-First Cell Queue'!$X$6:$X$461)</f>
        <v/>
      </c>
      <c r="I36" s="36">
        <f>LOOKUP(2,1/(('Evidence-First Cell Queue'!$B$6:$B$461=$A36)*('Evidence-First Cell Queue'!$E$6:$E$461=I$23)),'Evidence-First Cell Queue'!$X$6:$X$461)</f>
        <v/>
      </c>
      <c r="J36" s="36">
        <f>LOOKUP(2,1/(('Evidence-First Cell Queue'!$B$6:$B$461=$A36)*('Evidence-First Cell Queue'!$E$6:$E$461=J$23)),'Evidence-First Cell Queue'!$X$6:$X$461)</f>
        <v/>
      </c>
      <c r="K36" s="36">
        <f>LOOKUP(2,1/(('Evidence-First Cell Queue'!$B$6:$B$461=$A36)*('Evidence-First Cell Queue'!$E$6:$E$461=K$23)),'Evidence-First Cell Queue'!$X$6:$X$461)</f>
        <v/>
      </c>
    </row>
    <row r="37">
      <c r="A37" s="0" t="inlineStr">
        <is>
          <t>RNR-H14</t>
        </is>
      </c>
      <c r="B37" s="0">
        <f>INDEX('Evidence-First Cell Queue'!$C$6:$C$461,MATCH($A37,'Evidence-First Cell Queue'!$B$6:$B$461,0))</f>
        <v/>
      </c>
      <c r="C37" s="0">
        <f>INDEX('Evidence-First Cell Queue'!$D$6:$D$461,MATCH($A37,'Evidence-First Cell Queue'!$B$6:$B$461,0))</f>
        <v/>
      </c>
      <c r="D37" s="36">
        <f>LOOKUP(2,1/(('Evidence-First Cell Queue'!$B$6:$B$461=$A37)*('Evidence-First Cell Queue'!$E$6:$E$461=D$23)),'Evidence-First Cell Queue'!$X$6:$X$461)</f>
        <v/>
      </c>
      <c r="E37" s="36">
        <f>LOOKUP(2,1/(('Evidence-First Cell Queue'!$B$6:$B$461=$A37)*('Evidence-First Cell Queue'!$E$6:$E$461=E$23)),'Evidence-First Cell Queue'!$X$6:$X$461)</f>
        <v/>
      </c>
      <c r="F37" s="36">
        <f>LOOKUP(2,1/(('Evidence-First Cell Queue'!$B$6:$B$461=$A37)*('Evidence-First Cell Queue'!$E$6:$E$461=F$23)),'Evidence-First Cell Queue'!$X$6:$X$461)</f>
        <v/>
      </c>
      <c r="G37" s="36">
        <f>LOOKUP(2,1/(('Evidence-First Cell Queue'!$B$6:$B$461=$A37)*('Evidence-First Cell Queue'!$E$6:$E$461=G$23)),'Evidence-First Cell Queue'!$X$6:$X$461)</f>
        <v/>
      </c>
      <c r="H37" s="36">
        <f>LOOKUP(2,1/(('Evidence-First Cell Queue'!$B$6:$B$461=$A37)*('Evidence-First Cell Queue'!$E$6:$E$461=H$23)),'Evidence-First Cell Queue'!$X$6:$X$461)</f>
        <v/>
      </c>
      <c r="I37" s="36">
        <f>LOOKUP(2,1/(('Evidence-First Cell Queue'!$B$6:$B$461=$A37)*('Evidence-First Cell Queue'!$E$6:$E$461=I$23)),'Evidence-First Cell Queue'!$X$6:$X$461)</f>
        <v/>
      </c>
      <c r="J37" s="36">
        <f>LOOKUP(2,1/(('Evidence-First Cell Queue'!$B$6:$B$461=$A37)*('Evidence-First Cell Queue'!$E$6:$E$461=J$23)),'Evidence-First Cell Queue'!$X$6:$X$461)</f>
        <v/>
      </c>
      <c r="K37" s="36">
        <f>LOOKUP(2,1/(('Evidence-First Cell Queue'!$B$6:$B$461=$A37)*('Evidence-First Cell Queue'!$E$6:$E$461=K$23)),'Evidence-First Cell Queue'!$X$6:$X$461)</f>
        <v/>
      </c>
    </row>
    <row r="38">
      <c r="A38" s="0" t="inlineStr">
        <is>
          <t>RNR-H15</t>
        </is>
      </c>
      <c r="B38" s="0">
        <f>INDEX('Evidence-First Cell Queue'!$C$6:$C$461,MATCH($A38,'Evidence-First Cell Queue'!$B$6:$B$461,0))</f>
        <v/>
      </c>
      <c r="C38" s="0">
        <f>INDEX('Evidence-First Cell Queue'!$D$6:$D$461,MATCH($A38,'Evidence-First Cell Queue'!$B$6:$B$461,0))</f>
        <v/>
      </c>
      <c r="D38" s="36">
        <f>LOOKUP(2,1/(('Evidence-First Cell Queue'!$B$6:$B$461=$A38)*('Evidence-First Cell Queue'!$E$6:$E$461=D$23)),'Evidence-First Cell Queue'!$X$6:$X$461)</f>
        <v/>
      </c>
      <c r="E38" s="36">
        <f>LOOKUP(2,1/(('Evidence-First Cell Queue'!$B$6:$B$461=$A38)*('Evidence-First Cell Queue'!$E$6:$E$461=E$23)),'Evidence-First Cell Queue'!$X$6:$X$461)</f>
        <v/>
      </c>
      <c r="F38" s="36">
        <f>LOOKUP(2,1/(('Evidence-First Cell Queue'!$B$6:$B$461=$A38)*('Evidence-First Cell Queue'!$E$6:$E$461=F$23)),'Evidence-First Cell Queue'!$X$6:$X$461)</f>
        <v/>
      </c>
      <c r="G38" s="36">
        <f>LOOKUP(2,1/(('Evidence-First Cell Queue'!$B$6:$B$461=$A38)*('Evidence-First Cell Queue'!$E$6:$E$461=G$23)),'Evidence-First Cell Queue'!$X$6:$X$461)</f>
        <v/>
      </c>
      <c r="H38" s="36">
        <f>LOOKUP(2,1/(('Evidence-First Cell Queue'!$B$6:$B$461=$A38)*('Evidence-First Cell Queue'!$E$6:$E$461=H$23)),'Evidence-First Cell Queue'!$X$6:$X$461)</f>
        <v/>
      </c>
      <c r="I38" s="36">
        <f>LOOKUP(2,1/(('Evidence-First Cell Queue'!$B$6:$B$461=$A38)*('Evidence-First Cell Queue'!$E$6:$E$461=I$23)),'Evidence-First Cell Queue'!$X$6:$X$461)</f>
        <v/>
      </c>
      <c r="J38" s="36">
        <f>LOOKUP(2,1/(('Evidence-First Cell Queue'!$B$6:$B$461=$A38)*('Evidence-First Cell Queue'!$E$6:$E$461=J$23)),'Evidence-First Cell Queue'!$X$6:$X$461)</f>
        <v/>
      </c>
      <c r="K38" s="36">
        <f>LOOKUP(2,1/(('Evidence-First Cell Queue'!$B$6:$B$461=$A38)*('Evidence-First Cell Queue'!$E$6:$E$461=K$23)),'Evidence-First Cell Queue'!$X$6:$X$461)</f>
        <v/>
      </c>
    </row>
    <row r="39">
      <c r="A39" s="0" t="inlineStr">
        <is>
          <t>RNR-H16</t>
        </is>
      </c>
      <c r="B39" s="0">
        <f>INDEX('Evidence-First Cell Queue'!$C$6:$C$461,MATCH($A39,'Evidence-First Cell Queue'!$B$6:$B$461,0))</f>
        <v/>
      </c>
      <c r="C39" s="0">
        <f>INDEX('Evidence-First Cell Queue'!$D$6:$D$461,MATCH($A39,'Evidence-First Cell Queue'!$B$6:$B$461,0))</f>
        <v/>
      </c>
      <c r="D39" s="36">
        <f>LOOKUP(2,1/(('Evidence-First Cell Queue'!$B$6:$B$461=$A39)*('Evidence-First Cell Queue'!$E$6:$E$461=D$23)),'Evidence-First Cell Queue'!$X$6:$X$461)</f>
        <v/>
      </c>
      <c r="E39" s="36">
        <f>LOOKUP(2,1/(('Evidence-First Cell Queue'!$B$6:$B$461=$A39)*('Evidence-First Cell Queue'!$E$6:$E$461=E$23)),'Evidence-First Cell Queue'!$X$6:$X$461)</f>
        <v/>
      </c>
      <c r="F39" s="36">
        <f>LOOKUP(2,1/(('Evidence-First Cell Queue'!$B$6:$B$461=$A39)*('Evidence-First Cell Queue'!$E$6:$E$461=F$23)),'Evidence-First Cell Queue'!$X$6:$X$461)</f>
        <v/>
      </c>
      <c r="G39" s="36">
        <f>LOOKUP(2,1/(('Evidence-First Cell Queue'!$B$6:$B$461=$A39)*('Evidence-First Cell Queue'!$E$6:$E$461=G$23)),'Evidence-First Cell Queue'!$X$6:$X$461)</f>
        <v/>
      </c>
      <c r="H39" s="36">
        <f>LOOKUP(2,1/(('Evidence-First Cell Queue'!$B$6:$B$461=$A39)*('Evidence-First Cell Queue'!$E$6:$E$461=H$23)),'Evidence-First Cell Queue'!$X$6:$X$461)</f>
        <v/>
      </c>
      <c r="I39" s="36">
        <f>LOOKUP(2,1/(('Evidence-First Cell Queue'!$B$6:$B$461=$A39)*('Evidence-First Cell Queue'!$E$6:$E$461=I$23)),'Evidence-First Cell Queue'!$X$6:$X$461)</f>
        <v/>
      </c>
      <c r="J39" s="36">
        <f>LOOKUP(2,1/(('Evidence-First Cell Queue'!$B$6:$B$461=$A39)*('Evidence-First Cell Queue'!$E$6:$E$461=J$23)),'Evidence-First Cell Queue'!$X$6:$X$461)</f>
        <v/>
      </c>
      <c r="K39" s="36">
        <f>LOOKUP(2,1/(('Evidence-First Cell Queue'!$B$6:$B$461=$A39)*('Evidence-First Cell Queue'!$E$6:$E$461=K$23)),'Evidence-First Cell Queue'!$X$6:$X$461)</f>
        <v/>
      </c>
    </row>
    <row r="40">
      <c r="A40" s="0" t="inlineStr">
        <is>
          <t>RNR-H17</t>
        </is>
      </c>
      <c r="B40" s="0">
        <f>INDEX('Evidence-First Cell Queue'!$C$6:$C$461,MATCH($A40,'Evidence-First Cell Queue'!$B$6:$B$461,0))</f>
        <v/>
      </c>
      <c r="C40" s="0">
        <f>INDEX('Evidence-First Cell Queue'!$D$6:$D$461,MATCH($A40,'Evidence-First Cell Queue'!$B$6:$B$461,0))</f>
        <v/>
      </c>
      <c r="D40" s="36">
        <f>LOOKUP(2,1/(('Evidence-First Cell Queue'!$B$6:$B$461=$A40)*('Evidence-First Cell Queue'!$E$6:$E$461=D$23)),'Evidence-First Cell Queue'!$X$6:$X$461)</f>
        <v/>
      </c>
      <c r="E40" s="36">
        <f>LOOKUP(2,1/(('Evidence-First Cell Queue'!$B$6:$B$461=$A40)*('Evidence-First Cell Queue'!$E$6:$E$461=E$23)),'Evidence-First Cell Queue'!$X$6:$X$461)</f>
        <v/>
      </c>
      <c r="F40" s="36">
        <f>LOOKUP(2,1/(('Evidence-First Cell Queue'!$B$6:$B$461=$A40)*('Evidence-First Cell Queue'!$E$6:$E$461=F$23)),'Evidence-First Cell Queue'!$X$6:$X$461)</f>
        <v/>
      </c>
      <c r="G40" s="36">
        <f>LOOKUP(2,1/(('Evidence-First Cell Queue'!$B$6:$B$461=$A40)*('Evidence-First Cell Queue'!$E$6:$E$461=G$23)),'Evidence-First Cell Queue'!$X$6:$X$461)</f>
        <v/>
      </c>
      <c r="H40" s="36">
        <f>LOOKUP(2,1/(('Evidence-First Cell Queue'!$B$6:$B$461=$A40)*('Evidence-First Cell Queue'!$E$6:$E$461=H$23)),'Evidence-First Cell Queue'!$X$6:$X$461)</f>
        <v/>
      </c>
      <c r="I40" s="36">
        <f>LOOKUP(2,1/(('Evidence-First Cell Queue'!$B$6:$B$461=$A40)*('Evidence-First Cell Queue'!$E$6:$E$461=I$23)),'Evidence-First Cell Queue'!$X$6:$X$461)</f>
        <v/>
      </c>
      <c r="J40" s="36">
        <f>LOOKUP(2,1/(('Evidence-First Cell Queue'!$B$6:$B$461=$A40)*('Evidence-First Cell Queue'!$E$6:$E$461=J$23)),'Evidence-First Cell Queue'!$X$6:$X$461)</f>
        <v/>
      </c>
      <c r="K40" s="36">
        <f>LOOKUP(2,1/(('Evidence-First Cell Queue'!$B$6:$B$461=$A40)*('Evidence-First Cell Queue'!$E$6:$E$461=K$23)),'Evidence-First Cell Queue'!$X$6:$X$461)</f>
        <v/>
      </c>
    </row>
    <row r="41">
      <c r="A41" s="0" t="inlineStr">
        <is>
          <t>RNR-H18</t>
        </is>
      </c>
      <c r="B41" s="0">
        <f>INDEX('Evidence-First Cell Queue'!$C$6:$C$461,MATCH($A41,'Evidence-First Cell Queue'!$B$6:$B$461,0))</f>
        <v/>
      </c>
      <c r="C41" s="0">
        <f>INDEX('Evidence-First Cell Queue'!$D$6:$D$461,MATCH($A41,'Evidence-First Cell Queue'!$B$6:$B$461,0))</f>
        <v/>
      </c>
      <c r="D41" s="36">
        <f>LOOKUP(2,1/(('Evidence-First Cell Queue'!$B$6:$B$461=$A41)*('Evidence-First Cell Queue'!$E$6:$E$461=D$23)),'Evidence-First Cell Queue'!$X$6:$X$461)</f>
        <v/>
      </c>
      <c r="E41" s="36">
        <f>LOOKUP(2,1/(('Evidence-First Cell Queue'!$B$6:$B$461=$A41)*('Evidence-First Cell Queue'!$E$6:$E$461=E$23)),'Evidence-First Cell Queue'!$X$6:$X$461)</f>
        <v/>
      </c>
      <c r="F41" s="36">
        <f>LOOKUP(2,1/(('Evidence-First Cell Queue'!$B$6:$B$461=$A41)*('Evidence-First Cell Queue'!$E$6:$E$461=F$23)),'Evidence-First Cell Queue'!$X$6:$X$461)</f>
        <v/>
      </c>
      <c r="G41" s="36">
        <f>LOOKUP(2,1/(('Evidence-First Cell Queue'!$B$6:$B$461=$A41)*('Evidence-First Cell Queue'!$E$6:$E$461=G$23)),'Evidence-First Cell Queue'!$X$6:$X$461)</f>
        <v/>
      </c>
      <c r="H41" s="36">
        <f>LOOKUP(2,1/(('Evidence-First Cell Queue'!$B$6:$B$461=$A41)*('Evidence-First Cell Queue'!$E$6:$E$461=H$23)),'Evidence-First Cell Queue'!$X$6:$X$461)</f>
        <v/>
      </c>
      <c r="I41" s="36">
        <f>LOOKUP(2,1/(('Evidence-First Cell Queue'!$B$6:$B$461=$A41)*('Evidence-First Cell Queue'!$E$6:$E$461=I$23)),'Evidence-First Cell Queue'!$X$6:$X$461)</f>
        <v/>
      </c>
      <c r="J41" s="36">
        <f>LOOKUP(2,1/(('Evidence-First Cell Queue'!$B$6:$B$461=$A41)*('Evidence-First Cell Queue'!$E$6:$E$461=J$23)),'Evidence-First Cell Queue'!$X$6:$X$461)</f>
        <v/>
      </c>
      <c r="K41" s="36">
        <f>LOOKUP(2,1/(('Evidence-First Cell Queue'!$B$6:$B$461=$A41)*('Evidence-First Cell Queue'!$E$6:$E$461=K$23)),'Evidence-First Cell Queue'!$X$6:$X$461)</f>
        <v/>
      </c>
    </row>
    <row r="42">
      <c r="A42" s="0" t="inlineStr">
        <is>
          <t>RNR-H19</t>
        </is>
      </c>
      <c r="B42" s="0">
        <f>INDEX('Evidence-First Cell Queue'!$C$6:$C$461,MATCH($A42,'Evidence-First Cell Queue'!$B$6:$B$461,0))</f>
        <v/>
      </c>
      <c r="C42" s="0">
        <f>INDEX('Evidence-First Cell Queue'!$D$6:$D$461,MATCH($A42,'Evidence-First Cell Queue'!$B$6:$B$461,0))</f>
        <v/>
      </c>
      <c r="D42" s="36">
        <f>LOOKUP(2,1/(('Evidence-First Cell Queue'!$B$6:$B$461=$A42)*('Evidence-First Cell Queue'!$E$6:$E$461=D$23)),'Evidence-First Cell Queue'!$X$6:$X$461)</f>
        <v/>
      </c>
      <c r="E42" s="36">
        <f>LOOKUP(2,1/(('Evidence-First Cell Queue'!$B$6:$B$461=$A42)*('Evidence-First Cell Queue'!$E$6:$E$461=E$23)),'Evidence-First Cell Queue'!$X$6:$X$461)</f>
        <v/>
      </c>
      <c r="F42" s="36">
        <f>LOOKUP(2,1/(('Evidence-First Cell Queue'!$B$6:$B$461=$A42)*('Evidence-First Cell Queue'!$E$6:$E$461=F$23)),'Evidence-First Cell Queue'!$X$6:$X$461)</f>
        <v/>
      </c>
      <c r="G42" s="36">
        <f>LOOKUP(2,1/(('Evidence-First Cell Queue'!$B$6:$B$461=$A42)*('Evidence-First Cell Queue'!$E$6:$E$461=G$23)),'Evidence-First Cell Queue'!$X$6:$X$461)</f>
        <v/>
      </c>
      <c r="H42" s="36">
        <f>LOOKUP(2,1/(('Evidence-First Cell Queue'!$B$6:$B$461=$A42)*('Evidence-First Cell Queue'!$E$6:$E$461=H$23)),'Evidence-First Cell Queue'!$X$6:$X$461)</f>
        <v/>
      </c>
      <c r="I42" s="36">
        <f>LOOKUP(2,1/(('Evidence-First Cell Queue'!$B$6:$B$461=$A42)*('Evidence-First Cell Queue'!$E$6:$E$461=I$23)),'Evidence-First Cell Queue'!$X$6:$X$461)</f>
        <v/>
      </c>
      <c r="J42" s="36">
        <f>LOOKUP(2,1/(('Evidence-First Cell Queue'!$B$6:$B$461=$A42)*('Evidence-First Cell Queue'!$E$6:$E$461=J$23)),'Evidence-First Cell Queue'!$X$6:$X$461)</f>
        <v/>
      </c>
      <c r="K42" s="36">
        <f>LOOKUP(2,1/(('Evidence-First Cell Queue'!$B$6:$B$461=$A42)*('Evidence-First Cell Queue'!$E$6:$E$461=K$23)),'Evidence-First Cell Queue'!$X$6:$X$461)</f>
        <v/>
      </c>
    </row>
    <row r="43">
      <c r="A43" s="0" t="inlineStr">
        <is>
          <t>RNR-H20</t>
        </is>
      </c>
      <c r="B43" s="0">
        <f>INDEX('Evidence-First Cell Queue'!$C$6:$C$461,MATCH($A43,'Evidence-First Cell Queue'!$B$6:$B$461,0))</f>
        <v/>
      </c>
      <c r="C43" s="0">
        <f>INDEX('Evidence-First Cell Queue'!$D$6:$D$461,MATCH($A43,'Evidence-First Cell Queue'!$B$6:$B$461,0))</f>
        <v/>
      </c>
      <c r="D43" s="36">
        <f>LOOKUP(2,1/(('Evidence-First Cell Queue'!$B$6:$B$461=$A43)*('Evidence-First Cell Queue'!$E$6:$E$461=D$23)),'Evidence-First Cell Queue'!$X$6:$X$461)</f>
        <v/>
      </c>
      <c r="E43" s="36">
        <f>LOOKUP(2,1/(('Evidence-First Cell Queue'!$B$6:$B$461=$A43)*('Evidence-First Cell Queue'!$E$6:$E$461=E$23)),'Evidence-First Cell Queue'!$X$6:$X$461)</f>
        <v/>
      </c>
      <c r="F43" s="36">
        <f>LOOKUP(2,1/(('Evidence-First Cell Queue'!$B$6:$B$461=$A43)*('Evidence-First Cell Queue'!$E$6:$E$461=F$23)),'Evidence-First Cell Queue'!$X$6:$X$461)</f>
        <v/>
      </c>
      <c r="G43" s="36">
        <f>LOOKUP(2,1/(('Evidence-First Cell Queue'!$B$6:$B$461=$A43)*('Evidence-First Cell Queue'!$E$6:$E$461=G$23)),'Evidence-First Cell Queue'!$X$6:$X$461)</f>
        <v/>
      </c>
      <c r="H43" s="36">
        <f>LOOKUP(2,1/(('Evidence-First Cell Queue'!$B$6:$B$461=$A43)*('Evidence-First Cell Queue'!$E$6:$E$461=H$23)),'Evidence-First Cell Queue'!$X$6:$X$461)</f>
        <v/>
      </c>
      <c r="I43" s="36">
        <f>LOOKUP(2,1/(('Evidence-First Cell Queue'!$B$6:$B$461=$A43)*('Evidence-First Cell Queue'!$E$6:$E$461=I$23)),'Evidence-First Cell Queue'!$X$6:$X$461)</f>
        <v/>
      </c>
      <c r="J43" s="36">
        <f>LOOKUP(2,1/(('Evidence-First Cell Queue'!$B$6:$B$461=$A43)*('Evidence-First Cell Queue'!$E$6:$E$461=J$23)),'Evidence-First Cell Queue'!$X$6:$X$461)</f>
        <v/>
      </c>
      <c r="K43" s="36">
        <f>LOOKUP(2,1/(('Evidence-First Cell Queue'!$B$6:$B$461=$A43)*('Evidence-First Cell Queue'!$E$6:$E$461=K$23)),'Evidence-First Cell Queue'!$X$6:$X$461)</f>
        <v/>
      </c>
    </row>
    <row r="44">
      <c r="A44" s="0" t="inlineStr">
        <is>
          <t>RNR-H21</t>
        </is>
      </c>
      <c r="B44" s="0">
        <f>INDEX('Evidence-First Cell Queue'!$C$6:$C$461,MATCH($A44,'Evidence-First Cell Queue'!$B$6:$B$461,0))</f>
        <v/>
      </c>
      <c r="C44" s="0">
        <f>INDEX('Evidence-First Cell Queue'!$D$6:$D$461,MATCH($A44,'Evidence-First Cell Queue'!$B$6:$B$461,0))</f>
        <v/>
      </c>
      <c r="D44" s="36">
        <f>LOOKUP(2,1/(('Evidence-First Cell Queue'!$B$6:$B$461=$A44)*('Evidence-First Cell Queue'!$E$6:$E$461=D$23)),'Evidence-First Cell Queue'!$X$6:$X$461)</f>
        <v/>
      </c>
      <c r="E44" s="36">
        <f>LOOKUP(2,1/(('Evidence-First Cell Queue'!$B$6:$B$461=$A44)*('Evidence-First Cell Queue'!$E$6:$E$461=E$23)),'Evidence-First Cell Queue'!$X$6:$X$461)</f>
        <v/>
      </c>
      <c r="F44" s="36">
        <f>LOOKUP(2,1/(('Evidence-First Cell Queue'!$B$6:$B$461=$A44)*('Evidence-First Cell Queue'!$E$6:$E$461=F$23)),'Evidence-First Cell Queue'!$X$6:$X$461)</f>
        <v/>
      </c>
      <c r="G44" s="36">
        <f>LOOKUP(2,1/(('Evidence-First Cell Queue'!$B$6:$B$461=$A44)*('Evidence-First Cell Queue'!$E$6:$E$461=G$23)),'Evidence-First Cell Queue'!$X$6:$X$461)</f>
        <v/>
      </c>
      <c r="H44" s="36">
        <f>LOOKUP(2,1/(('Evidence-First Cell Queue'!$B$6:$B$461=$A44)*('Evidence-First Cell Queue'!$E$6:$E$461=H$23)),'Evidence-First Cell Queue'!$X$6:$X$461)</f>
        <v/>
      </c>
      <c r="I44" s="36">
        <f>LOOKUP(2,1/(('Evidence-First Cell Queue'!$B$6:$B$461=$A44)*('Evidence-First Cell Queue'!$E$6:$E$461=I$23)),'Evidence-First Cell Queue'!$X$6:$X$461)</f>
        <v/>
      </c>
      <c r="J44" s="36">
        <f>LOOKUP(2,1/(('Evidence-First Cell Queue'!$B$6:$B$461=$A44)*('Evidence-First Cell Queue'!$E$6:$E$461=J$23)),'Evidence-First Cell Queue'!$X$6:$X$461)</f>
        <v/>
      </c>
      <c r="K44" s="36">
        <f>LOOKUP(2,1/(('Evidence-First Cell Queue'!$B$6:$B$461=$A44)*('Evidence-First Cell Queue'!$E$6:$E$461=K$23)),'Evidence-First Cell Queue'!$X$6:$X$461)</f>
        <v/>
      </c>
    </row>
    <row r="45">
      <c r="A45" s="0" t="inlineStr">
        <is>
          <t>RNR-H22</t>
        </is>
      </c>
      <c r="B45" s="0">
        <f>INDEX('Evidence-First Cell Queue'!$C$6:$C$461,MATCH($A45,'Evidence-First Cell Queue'!$B$6:$B$461,0))</f>
        <v/>
      </c>
      <c r="C45" s="0">
        <f>INDEX('Evidence-First Cell Queue'!$D$6:$D$461,MATCH($A45,'Evidence-First Cell Queue'!$B$6:$B$461,0))</f>
        <v/>
      </c>
      <c r="D45" s="36">
        <f>LOOKUP(2,1/(('Evidence-First Cell Queue'!$B$6:$B$461=$A45)*('Evidence-First Cell Queue'!$E$6:$E$461=D$23)),'Evidence-First Cell Queue'!$X$6:$X$461)</f>
        <v/>
      </c>
      <c r="E45" s="36">
        <f>LOOKUP(2,1/(('Evidence-First Cell Queue'!$B$6:$B$461=$A45)*('Evidence-First Cell Queue'!$E$6:$E$461=E$23)),'Evidence-First Cell Queue'!$X$6:$X$461)</f>
        <v/>
      </c>
      <c r="F45" s="36">
        <f>LOOKUP(2,1/(('Evidence-First Cell Queue'!$B$6:$B$461=$A45)*('Evidence-First Cell Queue'!$E$6:$E$461=F$23)),'Evidence-First Cell Queue'!$X$6:$X$461)</f>
        <v/>
      </c>
      <c r="G45" s="36">
        <f>LOOKUP(2,1/(('Evidence-First Cell Queue'!$B$6:$B$461=$A45)*('Evidence-First Cell Queue'!$E$6:$E$461=G$23)),'Evidence-First Cell Queue'!$X$6:$X$461)</f>
        <v/>
      </c>
      <c r="H45" s="36">
        <f>LOOKUP(2,1/(('Evidence-First Cell Queue'!$B$6:$B$461=$A45)*('Evidence-First Cell Queue'!$E$6:$E$461=H$23)),'Evidence-First Cell Queue'!$X$6:$X$461)</f>
        <v/>
      </c>
      <c r="I45" s="36">
        <f>LOOKUP(2,1/(('Evidence-First Cell Queue'!$B$6:$B$461=$A45)*('Evidence-First Cell Queue'!$E$6:$E$461=I$23)),'Evidence-First Cell Queue'!$X$6:$X$461)</f>
        <v/>
      </c>
      <c r="J45" s="36">
        <f>LOOKUP(2,1/(('Evidence-First Cell Queue'!$B$6:$B$461=$A45)*('Evidence-First Cell Queue'!$E$6:$E$461=J$23)),'Evidence-First Cell Queue'!$X$6:$X$461)</f>
        <v/>
      </c>
      <c r="K45" s="36">
        <f>LOOKUP(2,1/(('Evidence-First Cell Queue'!$B$6:$B$461=$A45)*('Evidence-First Cell Queue'!$E$6:$E$461=K$23)),'Evidence-First Cell Queue'!$X$6:$X$461)</f>
        <v/>
      </c>
    </row>
    <row r="46">
      <c r="A46" s="0" t="inlineStr">
        <is>
          <t>RNR-H23</t>
        </is>
      </c>
      <c r="B46" s="0">
        <f>INDEX('Evidence-First Cell Queue'!$C$6:$C$461,MATCH($A46,'Evidence-First Cell Queue'!$B$6:$B$461,0))</f>
        <v/>
      </c>
      <c r="C46" s="0">
        <f>INDEX('Evidence-First Cell Queue'!$D$6:$D$461,MATCH($A46,'Evidence-First Cell Queue'!$B$6:$B$461,0))</f>
        <v/>
      </c>
      <c r="D46" s="36">
        <f>LOOKUP(2,1/(('Evidence-First Cell Queue'!$B$6:$B$461=$A46)*('Evidence-First Cell Queue'!$E$6:$E$461=D$23)),'Evidence-First Cell Queue'!$X$6:$X$461)</f>
        <v/>
      </c>
      <c r="E46" s="36">
        <f>LOOKUP(2,1/(('Evidence-First Cell Queue'!$B$6:$B$461=$A46)*('Evidence-First Cell Queue'!$E$6:$E$461=E$23)),'Evidence-First Cell Queue'!$X$6:$X$461)</f>
        <v/>
      </c>
      <c r="F46" s="36">
        <f>LOOKUP(2,1/(('Evidence-First Cell Queue'!$B$6:$B$461=$A46)*('Evidence-First Cell Queue'!$E$6:$E$461=F$23)),'Evidence-First Cell Queue'!$X$6:$X$461)</f>
        <v/>
      </c>
      <c r="G46" s="36">
        <f>LOOKUP(2,1/(('Evidence-First Cell Queue'!$B$6:$B$461=$A46)*('Evidence-First Cell Queue'!$E$6:$E$461=G$23)),'Evidence-First Cell Queue'!$X$6:$X$461)</f>
        <v/>
      </c>
      <c r="H46" s="36">
        <f>LOOKUP(2,1/(('Evidence-First Cell Queue'!$B$6:$B$461=$A46)*('Evidence-First Cell Queue'!$E$6:$E$461=H$23)),'Evidence-First Cell Queue'!$X$6:$X$461)</f>
        <v/>
      </c>
      <c r="I46" s="36">
        <f>LOOKUP(2,1/(('Evidence-First Cell Queue'!$B$6:$B$461=$A46)*('Evidence-First Cell Queue'!$E$6:$E$461=I$23)),'Evidence-First Cell Queue'!$X$6:$X$461)</f>
        <v/>
      </c>
      <c r="J46" s="36">
        <f>LOOKUP(2,1/(('Evidence-First Cell Queue'!$B$6:$B$461=$A46)*('Evidence-First Cell Queue'!$E$6:$E$461=J$23)),'Evidence-First Cell Queue'!$X$6:$X$461)</f>
        <v/>
      </c>
      <c r="K46" s="36">
        <f>LOOKUP(2,1/(('Evidence-First Cell Queue'!$B$6:$B$461=$A46)*('Evidence-First Cell Queue'!$E$6:$E$461=K$23)),'Evidence-First Cell Queue'!$X$6:$X$461)</f>
        <v/>
      </c>
    </row>
    <row r="47">
      <c r="A47" s="0" t="inlineStr">
        <is>
          <t>RNR-H24</t>
        </is>
      </c>
      <c r="B47" s="0">
        <f>INDEX('Evidence-First Cell Queue'!$C$6:$C$461,MATCH($A47,'Evidence-First Cell Queue'!$B$6:$B$461,0))</f>
        <v/>
      </c>
      <c r="C47" s="0">
        <f>INDEX('Evidence-First Cell Queue'!$D$6:$D$461,MATCH($A47,'Evidence-First Cell Queue'!$B$6:$B$461,0))</f>
        <v/>
      </c>
      <c r="D47" s="36">
        <f>LOOKUP(2,1/(('Evidence-First Cell Queue'!$B$6:$B$461=$A47)*('Evidence-First Cell Queue'!$E$6:$E$461=D$23)),'Evidence-First Cell Queue'!$X$6:$X$461)</f>
        <v/>
      </c>
      <c r="E47" s="36">
        <f>LOOKUP(2,1/(('Evidence-First Cell Queue'!$B$6:$B$461=$A47)*('Evidence-First Cell Queue'!$E$6:$E$461=E$23)),'Evidence-First Cell Queue'!$X$6:$X$461)</f>
        <v/>
      </c>
      <c r="F47" s="36">
        <f>LOOKUP(2,1/(('Evidence-First Cell Queue'!$B$6:$B$461=$A47)*('Evidence-First Cell Queue'!$E$6:$E$461=F$23)),'Evidence-First Cell Queue'!$X$6:$X$461)</f>
        <v/>
      </c>
      <c r="G47" s="36">
        <f>LOOKUP(2,1/(('Evidence-First Cell Queue'!$B$6:$B$461=$A47)*('Evidence-First Cell Queue'!$E$6:$E$461=G$23)),'Evidence-First Cell Queue'!$X$6:$X$461)</f>
        <v/>
      </c>
      <c r="H47" s="36">
        <f>LOOKUP(2,1/(('Evidence-First Cell Queue'!$B$6:$B$461=$A47)*('Evidence-First Cell Queue'!$E$6:$E$461=H$23)),'Evidence-First Cell Queue'!$X$6:$X$461)</f>
        <v/>
      </c>
      <c r="I47" s="36">
        <f>LOOKUP(2,1/(('Evidence-First Cell Queue'!$B$6:$B$461=$A47)*('Evidence-First Cell Queue'!$E$6:$E$461=I$23)),'Evidence-First Cell Queue'!$X$6:$X$461)</f>
        <v/>
      </c>
      <c r="J47" s="36">
        <f>LOOKUP(2,1/(('Evidence-First Cell Queue'!$B$6:$B$461=$A47)*('Evidence-First Cell Queue'!$E$6:$E$461=J$23)),'Evidence-First Cell Queue'!$X$6:$X$461)</f>
        <v/>
      </c>
      <c r="K47" s="36">
        <f>LOOKUP(2,1/(('Evidence-First Cell Queue'!$B$6:$B$461=$A47)*('Evidence-First Cell Queue'!$E$6:$E$461=K$23)),'Evidence-First Cell Queue'!$X$6:$X$461)</f>
        <v/>
      </c>
    </row>
    <row r="48">
      <c r="A48" s="0" t="inlineStr">
        <is>
          <t>RNR-H25</t>
        </is>
      </c>
      <c r="B48" s="0">
        <f>INDEX('Evidence-First Cell Queue'!$C$6:$C$461,MATCH($A48,'Evidence-First Cell Queue'!$B$6:$B$461,0))</f>
        <v/>
      </c>
      <c r="C48" s="0">
        <f>INDEX('Evidence-First Cell Queue'!$D$6:$D$461,MATCH($A48,'Evidence-First Cell Queue'!$B$6:$B$461,0))</f>
        <v/>
      </c>
      <c r="D48" s="36">
        <f>LOOKUP(2,1/(('Evidence-First Cell Queue'!$B$6:$B$461=$A48)*('Evidence-First Cell Queue'!$E$6:$E$461=D$23)),'Evidence-First Cell Queue'!$X$6:$X$461)</f>
        <v/>
      </c>
      <c r="E48" s="36">
        <f>LOOKUP(2,1/(('Evidence-First Cell Queue'!$B$6:$B$461=$A48)*('Evidence-First Cell Queue'!$E$6:$E$461=E$23)),'Evidence-First Cell Queue'!$X$6:$X$461)</f>
        <v/>
      </c>
      <c r="F48" s="36">
        <f>LOOKUP(2,1/(('Evidence-First Cell Queue'!$B$6:$B$461=$A48)*('Evidence-First Cell Queue'!$E$6:$E$461=F$23)),'Evidence-First Cell Queue'!$X$6:$X$461)</f>
        <v/>
      </c>
      <c r="G48" s="36">
        <f>LOOKUP(2,1/(('Evidence-First Cell Queue'!$B$6:$B$461=$A48)*('Evidence-First Cell Queue'!$E$6:$E$461=G$23)),'Evidence-First Cell Queue'!$X$6:$X$461)</f>
        <v/>
      </c>
      <c r="H48" s="36">
        <f>LOOKUP(2,1/(('Evidence-First Cell Queue'!$B$6:$B$461=$A48)*('Evidence-First Cell Queue'!$E$6:$E$461=H$23)),'Evidence-First Cell Queue'!$X$6:$X$461)</f>
        <v/>
      </c>
      <c r="I48" s="36">
        <f>LOOKUP(2,1/(('Evidence-First Cell Queue'!$B$6:$B$461=$A48)*('Evidence-First Cell Queue'!$E$6:$E$461=I$23)),'Evidence-First Cell Queue'!$X$6:$X$461)</f>
        <v/>
      </c>
      <c r="J48" s="36">
        <f>LOOKUP(2,1/(('Evidence-First Cell Queue'!$B$6:$B$461=$A48)*('Evidence-First Cell Queue'!$E$6:$E$461=J$23)),'Evidence-First Cell Queue'!$X$6:$X$461)</f>
        <v/>
      </c>
      <c r="K48" s="36">
        <f>LOOKUP(2,1/(('Evidence-First Cell Queue'!$B$6:$B$461=$A48)*('Evidence-First Cell Queue'!$E$6:$E$461=K$23)),'Evidence-First Cell Queue'!$X$6:$X$461)</f>
        <v/>
      </c>
    </row>
    <row r="49">
      <c r="A49" s="0" t="inlineStr">
        <is>
          <t>RNR-H26</t>
        </is>
      </c>
      <c r="B49" s="0">
        <f>INDEX('Evidence-First Cell Queue'!$C$6:$C$461,MATCH($A49,'Evidence-First Cell Queue'!$B$6:$B$461,0))</f>
        <v/>
      </c>
      <c r="C49" s="0">
        <f>INDEX('Evidence-First Cell Queue'!$D$6:$D$461,MATCH($A49,'Evidence-First Cell Queue'!$B$6:$B$461,0))</f>
        <v/>
      </c>
      <c r="D49" s="36">
        <f>LOOKUP(2,1/(('Evidence-First Cell Queue'!$B$6:$B$461=$A49)*('Evidence-First Cell Queue'!$E$6:$E$461=D$23)),'Evidence-First Cell Queue'!$X$6:$X$461)</f>
        <v/>
      </c>
      <c r="E49" s="36">
        <f>LOOKUP(2,1/(('Evidence-First Cell Queue'!$B$6:$B$461=$A49)*('Evidence-First Cell Queue'!$E$6:$E$461=E$23)),'Evidence-First Cell Queue'!$X$6:$X$461)</f>
        <v/>
      </c>
      <c r="F49" s="36">
        <f>LOOKUP(2,1/(('Evidence-First Cell Queue'!$B$6:$B$461=$A49)*('Evidence-First Cell Queue'!$E$6:$E$461=F$23)),'Evidence-First Cell Queue'!$X$6:$X$461)</f>
        <v/>
      </c>
      <c r="G49" s="36">
        <f>LOOKUP(2,1/(('Evidence-First Cell Queue'!$B$6:$B$461=$A49)*('Evidence-First Cell Queue'!$E$6:$E$461=G$23)),'Evidence-First Cell Queue'!$X$6:$X$461)</f>
        <v/>
      </c>
      <c r="H49" s="36">
        <f>LOOKUP(2,1/(('Evidence-First Cell Queue'!$B$6:$B$461=$A49)*('Evidence-First Cell Queue'!$E$6:$E$461=H$23)),'Evidence-First Cell Queue'!$X$6:$X$461)</f>
        <v/>
      </c>
      <c r="I49" s="36">
        <f>LOOKUP(2,1/(('Evidence-First Cell Queue'!$B$6:$B$461=$A49)*('Evidence-First Cell Queue'!$E$6:$E$461=I$23)),'Evidence-First Cell Queue'!$X$6:$X$461)</f>
        <v/>
      </c>
      <c r="J49" s="36">
        <f>LOOKUP(2,1/(('Evidence-First Cell Queue'!$B$6:$B$461=$A49)*('Evidence-First Cell Queue'!$E$6:$E$461=J$23)),'Evidence-First Cell Queue'!$X$6:$X$461)</f>
        <v/>
      </c>
      <c r="K49" s="36">
        <f>LOOKUP(2,1/(('Evidence-First Cell Queue'!$B$6:$B$461=$A49)*('Evidence-First Cell Queue'!$E$6:$E$461=K$23)),'Evidence-First Cell Queue'!$X$6:$X$461)</f>
        <v/>
      </c>
    </row>
    <row r="50">
      <c r="A50" s="0" t="inlineStr">
        <is>
          <t>RNR-H27</t>
        </is>
      </c>
      <c r="B50" s="0">
        <f>INDEX('Evidence-First Cell Queue'!$C$6:$C$461,MATCH($A50,'Evidence-First Cell Queue'!$B$6:$B$461,0))</f>
        <v/>
      </c>
      <c r="C50" s="0">
        <f>INDEX('Evidence-First Cell Queue'!$D$6:$D$461,MATCH($A50,'Evidence-First Cell Queue'!$B$6:$B$461,0))</f>
        <v/>
      </c>
      <c r="D50" s="36">
        <f>LOOKUP(2,1/(('Evidence-First Cell Queue'!$B$6:$B$461=$A50)*('Evidence-First Cell Queue'!$E$6:$E$461=D$23)),'Evidence-First Cell Queue'!$X$6:$X$461)</f>
        <v/>
      </c>
      <c r="E50" s="36">
        <f>LOOKUP(2,1/(('Evidence-First Cell Queue'!$B$6:$B$461=$A50)*('Evidence-First Cell Queue'!$E$6:$E$461=E$23)),'Evidence-First Cell Queue'!$X$6:$X$461)</f>
        <v/>
      </c>
      <c r="F50" s="36">
        <f>LOOKUP(2,1/(('Evidence-First Cell Queue'!$B$6:$B$461=$A50)*('Evidence-First Cell Queue'!$E$6:$E$461=F$23)),'Evidence-First Cell Queue'!$X$6:$X$461)</f>
        <v/>
      </c>
      <c r="G50" s="36">
        <f>LOOKUP(2,1/(('Evidence-First Cell Queue'!$B$6:$B$461=$A50)*('Evidence-First Cell Queue'!$E$6:$E$461=G$23)),'Evidence-First Cell Queue'!$X$6:$X$461)</f>
        <v/>
      </c>
      <c r="H50" s="36">
        <f>LOOKUP(2,1/(('Evidence-First Cell Queue'!$B$6:$B$461=$A50)*('Evidence-First Cell Queue'!$E$6:$E$461=H$23)),'Evidence-First Cell Queue'!$X$6:$X$461)</f>
        <v/>
      </c>
      <c r="I50" s="36">
        <f>LOOKUP(2,1/(('Evidence-First Cell Queue'!$B$6:$B$461=$A50)*('Evidence-First Cell Queue'!$E$6:$E$461=I$23)),'Evidence-First Cell Queue'!$X$6:$X$461)</f>
        <v/>
      </c>
      <c r="J50" s="36">
        <f>LOOKUP(2,1/(('Evidence-First Cell Queue'!$B$6:$B$461=$A50)*('Evidence-First Cell Queue'!$E$6:$E$461=J$23)),'Evidence-First Cell Queue'!$X$6:$X$461)</f>
        <v/>
      </c>
      <c r="K50" s="36">
        <f>LOOKUP(2,1/(('Evidence-First Cell Queue'!$B$6:$B$461=$A50)*('Evidence-First Cell Queue'!$E$6:$E$461=K$23)),'Evidence-First Cell Queue'!$X$6:$X$461)</f>
        <v/>
      </c>
    </row>
    <row r="51">
      <c r="A51" s="0" t="inlineStr">
        <is>
          <t>RNR-H28</t>
        </is>
      </c>
      <c r="B51" s="0">
        <f>INDEX('Evidence-First Cell Queue'!$C$6:$C$461,MATCH($A51,'Evidence-First Cell Queue'!$B$6:$B$461,0))</f>
        <v/>
      </c>
      <c r="C51" s="0">
        <f>INDEX('Evidence-First Cell Queue'!$D$6:$D$461,MATCH($A51,'Evidence-First Cell Queue'!$B$6:$B$461,0))</f>
        <v/>
      </c>
      <c r="D51" s="36">
        <f>LOOKUP(2,1/(('Evidence-First Cell Queue'!$B$6:$B$461=$A51)*('Evidence-First Cell Queue'!$E$6:$E$461=D$23)),'Evidence-First Cell Queue'!$X$6:$X$461)</f>
        <v/>
      </c>
      <c r="E51" s="36">
        <f>LOOKUP(2,1/(('Evidence-First Cell Queue'!$B$6:$B$461=$A51)*('Evidence-First Cell Queue'!$E$6:$E$461=E$23)),'Evidence-First Cell Queue'!$X$6:$X$461)</f>
        <v/>
      </c>
      <c r="F51" s="36">
        <f>LOOKUP(2,1/(('Evidence-First Cell Queue'!$B$6:$B$461=$A51)*('Evidence-First Cell Queue'!$E$6:$E$461=F$23)),'Evidence-First Cell Queue'!$X$6:$X$461)</f>
        <v/>
      </c>
      <c r="G51" s="36">
        <f>LOOKUP(2,1/(('Evidence-First Cell Queue'!$B$6:$B$461=$A51)*('Evidence-First Cell Queue'!$E$6:$E$461=G$23)),'Evidence-First Cell Queue'!$X$6:$X$461)</f>
        <v/>
      </c>
      <c r="H51" s="36">
        <f>LOOKUP(2,1/(('Evidence-First Cell Queue'!$B$6:$B$461=$A51)*('Evidence-First Cell Queue'!$E$6:$E$461=H$23)),'Evidence-First Cell Queue'!$X$6:$X$461)</f>
        <v/>
      </c>
      <c r="I51" s="36">
        <f>LOOKUP(2,1/(('Evidence-First Cell Queue'!$B$6:$B$461=$A51)*('Evidence-First Cell Queue'!$E$6:$E$461=I$23)),'Evidence-First Cell Queue'!$X$6:$X$461)</f>
        <v/>
      </c>
      <c r="J51" s="36">
        <f>LOOKUP(2,1/(('Evidence-First Cell Queue'!$B$6:$B$461=$A51)*('Evidence-First Cell Queue'!$E$6:$E$461=J$23)),'Evidence-First Cell Queue'!$X$6:$X$461)</f>
        <v/>
      </c>
      <c r="K51" s="36">
        <f>LOOKUP(2,1/(('Evidence-First Cell Queue'!$B$6:$B$461=$A51)*('Evidence-First Cell Queue'!$E$6:$E$461=K$23)),'Evidence-First Cell Queue'!$X$6:$X$461)</f>
        <v/>
      </c>
    </row>
    <row r="52">
      <c r="A52" s="0" t="inlineStr">
        <is>
          <t>RNR-H29</t>
        </is>
      </c>
      <c r="B52" s="0">
        <f>INDEX('Evidence-First Cell Queue'!$C$6:$C$461,MATCH($A52,'Evidence-First Cell Queue'!$B$6:$B$461,0))</f>
        <v/>
      </c>
      <c r="C52" s="0">
        <f>INDEX('Evidence-First Cell Queue'!$D$6:$D$461,MATCH($A52,'Evidence-First Cell Queue'!$B$6:$B$461,0))</f>
        <v/>
      </c>
      <c r="D52" s="36">
        <f>LOOKUP(2,1/(('Evidence-First Cell Queue'!$B$6:$B$461=$A52)*('Evidence-First Cell Queue'!$E$6:$E$461=D$23)),'Evidence-First Cell Queue'!$X$6:$X$461)</f>
        <v/>
      </c>
      <c r="E52" s="36">
        <f>LOOKUP(2,1/(('Evidence-First Cell Queue'!$B$6:$B$461=$A52)*('Evidence-First Cell Queue'!$E$6:$E$461=E$23)),'Evidence-First Cell Queue'!$X$6:$X$461)</f>
        <v/>
      </c>
      <c r="F52" s="36">
        <f>LOOKUP(2,1/(('Evidence-First Cell Queue'!$B$6:$B$461=$A52)*('Evidence-First Cell Queue'!$E$6:$E$461=F$23)),'Evidence-First Cell Queue'!$X$6:$X$461)</f>
        <v/>
      </c>
      <c r="G52" s="36">
        <f>LOOKUP(2,1/(('Evidence-First Cell Queue'!$B$6:$B$461=$A52)*('Evidence-First Cell Queue'!$E$6:$E$461=G$23)),'Evidence-First Cell Queue'!$X$6:$X$461)</f>
        <v/>
      </c>
      <c r="H52" s="36">
        <f>LOOKUP(2,1/(('Evidence-First Cell Queue'!$B$6:$B$461=$A52)*('Evidence-First Cell Queue'!$E$6:$E$461=H$23)),'Evidence-First Cell Queue'!$X$6:$X$461)</f>
        <v/>
      </c>
      <c r="I52" s="36">
        <f>LOOKUP(2,1/(('Evidence-First Cell Queue'!$B$6:$B$461=$A52)*('Evidence-First Cell Queue'!$E$6:$E$461=I$23)),'Evidence-First Cell Queue'!$X$6:$X$461)</f>
        <v/>
      </c>
      <c r="J52" s="36">
        <f>LOOKUP(2,1/(('Evidence-First Cell Queue'!$B$6:$B$461=$A52)*('Evidence-First Cell Queue'!$E$6:$E$461=J$23)),'Evidence-First Cell Queue'!$X$6:$X$461)</f>
        <v/>
      </c>
      <c r="K52" s="36">
        <f>LOOKUP(2,1/(('Evidence-First Cell Queue'!$B$6:$B$461=$A52)*('Evidence-First Cell Queue'!$E$6:$E$461=K$23)),'Evidence-First Cell Queue'!$X$6:$X$461)</f>
        <v/>
      </c>
    </row>
    <row r="53">
      <c r="A53" s="0" t="inlineStr">
        <is>
          <t>RNR-H30</t>
        </is>
      </c>
      <c r="B53" s="0">
        <f>INDEX('Evidence-First Cell Queue'!$C$6:$C$461,MATCH($A53,'Evidence-First Cell Queue'!$B$6:$B$461,0))</f>
        <v/>
      </c>
      <c r="C53" s="0">
        <f>INDEX('Evidence-First Cell Queue'!$D$6:$D$461,MATCH($A53,'Evidence-First Cell Queue'!$B$6:$B$461,0))</f>
        <v/>
      </c>
      <c r="D53" s="36">
        <f>LOOKUP(2,1/(('Evidence-First Cell Queue'!$B$6:$B$461=$A53)*('Evidence-First Cell Queue'!$E$6:$E$461=D$23)),'Evidence-First Cell Queue'!$X$6:$X$461)</f>
        <v/>
      </c>
      <c r="E53" s="36">
        <f>LOOKUP(2,1/(('Evidence-First Cell Queue'!$B$6:$B$461=$A53)*('Evidence-First Cell Queue'!$E$6:$E$461=E$23)),'Evidence-First Cell Queue'!$X$6:$X$461)</f>
        <v/>
      </c>
      <c r="F53" s="36">
        <f>LOOKUP(2,1/(('Evidence-First Cell Queue'!$B$6:$B$461=$A53)*('Evidence-First Cell Queue'!$E$6:$E$461=F$23)),'Evidence-First Cell Queue'!$X$6:$X$461)</f>
        <v/>
      </c>
      <c r="G53" s="36">
        <f>LOOKUP(2,1/(('Evidence-First Cell Queue'!$B$6:$B$461=$A53)*('Evidence-First Cell Queue'!$E$6:$E$461=G$23)),'Evidence-First Cell Queue'!$X$6:$X$461)</f>
        <v/>
      </c>
      <c r="H53" s="36">
        <f>LOOKUP(2,1/(('Evidence-First Cell Queue'!$B$6:$B$461=$A53)*('Evidence-First Cell Queue'!$E$6:$E$461=H$23)),'Evidence-First Cell Queue'!$X$6:$X$461)</f>
        <v/>
      </c>
      <c r="I53" s="36">
        <f>LOOKUP(2,1/(('Evidence-First Cell Queue'!$B$6:$B$461=$A53)*('Evidence-First Cell Queue'!$E$6:$E$461=I$23)),'Evidence-First Cell Queue'!$X$6:$X$461)</f>
        <v/>
      </c>
      <c r="J53" s="36">
        <f>LOOKUP(2,1/(('Evidence-First Cell Queue'!$B$6:$B$461=$A53)*('Evidence-First Cell Queue'!$E$6:$E$461=J$23)),'Evidence-First Cell Queue'!$X$6:$X$461)</f>
        <v/>
      </c>
      <c r="K53" s="36">
        <f>LOOKUP(2,1/(('Evidence-First Cell Queue'!$B$6:$B$461=$A53)*('Evidence-First Cell Queue'!$E$6:$E$461=K$23)),'Evidence-First Cell Queue'!$X$6:$X$461)</f>
        <v/>
      </c>
    </row>
    <row r="54">
      <c r="A54" s="0" t="inlineStr">
        <is>
          <t>RNR-H31</t>
        </is>
      </c>
      <c r="B54" s="0">
        <f>INDEX('Evidence-First Cell Queue'!$C$6:$C$461,MATCH($A54,'Evidence-First Cell Queue'!$B$6:$B$461,0))</f>
        <v/>
      </c>
      <c r="C54" s="0">
        <f>INDEX('Evidence-First Cell Queue'!$D$6:$D$461,MATCH($A54,'Evidence-First Cell Queue'!$B$6:$B$461,0))</f>
        <v/>
      </c>
      <c r="D54" s="36">
        <f>LOOKUP(2,1/(('Evidence-First Cell Queue'!$B$6:$B$461=$A54)*('Evidence-First Cell Queue'!$E$6:$E$461=D$23)),'Evidence-First Cell Queue'!$X$6:$X$461)</f>
        <v/>
      </c>
      <c r="E54" s="36">
        <f>LOOKUP(2,1/(('Evidence-First Cell Queue'!$B$6:$B$461=$A54)*('Evidence-First Cell Queue'!$E$6:$E$461=E$23)),'Evidence-First Cell Queue'!$X$6:$X$461)</f>
        <v/>
      </c>
      <c r="F54" s="36">
        <f>LOOKUP(2,1/(('Evidence-First Cell Queue'!$B$6:$B$461=$A54)*('Evidence-First Cell Queue'!$E$6:$E$461=F$23)),'Evidence-First Cell Queue'!$X$6:$X$461)</f>
        <v/>
      </c>
      <c r="G54" s="36">
        <f>LOOKUP(2,1/(('Evidence-First Cell Queue'!$B$6:$B$461=$A54)*('Evidence-First Cell Queue'!$E$6:$E$461=G$23)),'Evidence-First Cell Queue'!$X$6:$X$461)</f>
        <v/>
      </c>
      <c r="H54" s="36">
        <f>LOOKUP(2,1/(('Evidence-First Cell Queue'!$B$6:$B$461=$A54)*('Evidence-First Cell Queue'!$E$6:$E$461=H$23)),'Evidence-First Cell Queue'!$X$6:$X$461)</f>
        <v/>
      </c>
      <c r="I54" s="36">
        <f>LOOKUP(2,1/(('Evidence-First Cell Queue'!$B$6:$B$461=$A54)*('Evidence-First Cell Queue'!$E$6:$E$461=I$23)),'Evidence-First Cell Queue'!$X$6:$X$461)</f>
        <v/>
      </c>
      <c r="J54" s="36">
        <f>LOOKUP(2,1/(('Evidence-First Cell Queue'!$B$6:$B$461=$A54)*('Evidence-First Cell Queue'!$E$6:$E$461=J$23)),'Evidence-First Cell Queue'!$X$6:$X$461)</f>
        <v/>
      </c>
      <c r="K54" s="36">
        <f>LOOKUP(2,1/(('Evidence-First Cell Queue'!$B$6:$B$461=$A54)*('Evidence-First Cell Queue'!$E$6:$E$461=K$23)),'Evidence-First Cell Queue'!$X$6:$X$461)</f>
        <v/>
      </c>
    </row>
    <row r="55">
      <c r="A55" s="0" t="inlineStr">
        <is>
          <t>RNR-H32</t>
        </is>
      </c>
      <c r="B55" s="0">
        <f>INDEX('Evidence-First Cell Queue'!$C$6:$C$461,MATCH($A55,'Evidence-First Cell Queue'!$B$6:$B$461,0))</f>
        <v/>
      </c>
      <c r="C55" s="0">
        <f>INDEX('Evidence-First Cell Queue'!$D$6:$D$461,MATCH($A55,'Evidence-First Cell Queue'!$B$6:$B$461,0))</f>
        <v/>
      </c>
      <c r="D55" s="36">
        <f>LOOKUP(2,1/(('Evidence-First Cell Queue'!$B$6:$B$461=$A55)*('Evidence-First Cell Queue'!$E$6:$E$461=D$23)),'Evidence-First Cell Queue'!$X$6:$X$461)</f>
        <v/>
      </c>
      <c r="E55" s="36">
        <f>LOOKUP(2,1/(('Evidence-First Cell Queue'!$B$6:$B$461=$A55)*('Evidence-First Cell Queue'!$E$6:$E$461=E$23)),'Evidence-First Cell Queue'!$X$6:$X$461)</f>
        <v/>
      </c>
      <c r="F55" s="36">
        <f>LOOKUP(2,1/(('Evidence-First Cell Queue'!$B$6:$B$461=$A55)*('Evidence-First Cell Queue'!$E$6:$E$461=F$23)),'Evidence-First Cell Queue'!$X$6:$X$461)</f>
        <v/>
      </c>
      <c r="G55" s="36">
        <f>LOOKUP(2,1/(('Evidence-First Cell Queue'!$B$6:$B$461=$A55)*('Evidence-First Cell Queue'!$E$6:$E$461=G$23)),'Evidence-First Cell Queue'!$X$6:$X$461)</f>
        <v/>
      </c>
      <c r="H55" s="36">
        <f>LOOKUP(2,1/(('Evidence-First Cell Queue'!$B$6:$B$461=$A55)*('Evidence-First Cell Queue'!$E$6:$E$461=H$23)),'Evidence-First Cell Queue'!$X$6:$X$461)</f>
        <v/>
      </c>
      <c r="I55" s="36">
        <f>LOOKUP(2,1/(('Evidence-First Cell Queue'!$B$6:$B$461=$A55)*('Evidence-First Cell Queue'!$E$6:$E$461=I$23)),'Evidence-First Cell Queue'!$X$6:$X$461)</f>
        <v/>
      </c>
      <c r="J55" s="36">
        <f>LOOKUP(2,1/(('Evidence-First Cell Queue'!$B$6:$B$461=$A55)*('Evidence-First Cell Queue'!$E$6:$E$461=J$23)),'Evidence-First Cell Queue'!$X$6:$X$461)</f>
        <v/>
      </c>
      <c r="K55" s="36">
        <f>LOOKUP(2,1/(('Evidence-First Cell Queue'!$B$6:$B$461=$A55)*('Evidence-First Cell Queue'!$E$6:$E$461=K$23)),'Evidence-First Cell Queue'!$X$6:$X$461)</f>
        <v/>
      </c>
    </row>
    <row r="56">
      <c r="A56" s="0" t="inlineStr">
        <is>
          <t>RNR-H33</t>
        </is>
      </c>
      <c r="B56" s="0">
        <f>INDEX('Evidence-First Cell Queue'!$C$6:$C$461,MATCH($A56,'Evidence-First Cell Queue'!$B$6:$B$461,0))</f>
        <v/>
      </c>
      <c r="C56" s="0">
        <f>INDEX('Evidence-First Cell Queue'!$D$6:$D$461,MATCH($A56,'Evidence-First Cell Queue'!$B$6:$B$461,0))</f>
        <v/>
      </c>
      <c r="D56" s="36">
        <f>LOOKUP(2,1/(('Evidence-First Cell Queue'!$B$6:$B$461=$A56)*('Evidence-First Cell Queue'!$E$6:$E$461=D$23)),'Evidence-First Cell Queue'!$X$6:$X$461)</f>
        <v/>
      </c>
      <c r="E56" s="36">
        <f>LOOKUP(2,1/(('Evidence-First Cell Queue'!$B$6:$B$461=$A56)*('Evidence-First Cell Queue'!$E$6:$E$461=E$23)),'Evidence-First Cell Queue'!$X$6:$X$461)</f>
        <v/>
      </c>
      <c r="F56" s="36">
        <f>LOOKUP(2,1/(('Evidence-First Cell Queue'!$B$6:$B$461=$A56)*('Evidence-First Cell Queue'!$E$6:$E$461=F$23)),'Evidence-First Cell Queue'!$X$6:$X$461)</f>
        <v/>
      </c>
      <c r="G56" s="36">
        <f>LOOKUP(2,1/(('Evidence-First Cell Queue'!$B$6:$B$461=$A56)*('Evidence-First Cell Queue'!$E$6:$E$461=G$23)),'Evidence-First Cell Queue'!$X$6:$X$461)</f>
        <v/>
      </c>
      <c r="H56" s="36">
        <f>LOOKUP(2,1/(('Evidence-First Cell Queue'!$B$6:$B$461=$A56)*('Evidence-First Cell Queue'!$E$6:$E$461=H$23)),'Evidence-First Cell Queue'!$X$6:$X$461)</f>
        <v/>
      </c>
      <c r="I56" s="36">
        <f>LOOKUP(2,1/(('Evidence-First Cell Queue'!$B$6:$B$461=$A56)*('Evidence-First Cell Queue'!$E$6:$E$461=I$23)),'Evidence-First Cell Queue'!$X$6:$X$461)</f>
        <v/>
      </c>
      <c r="J56" s="36">
        <f>LOOKUP(2,1/(('Evidence-First Cell Queue'!$B$6:$B$461=$A56)*('Evidence-First Cell Queue'!$E$6:$E$461=J$23)),'Evidence-First Cell Queue'!$X$6:$X$461)</f>
        <v/>
      </c>
      <c r="K56" s="36">
        <f>LOOKUP(2,1/(('Evidence-First Cell Queue'!$B$6:$B$461=$A56)*('Evidence-First Cell Queue'!$E$6:$E$461=K$23)),'Evidence-First Cell Queue'!$X$6:$X$461)</f>
        <v/>
      </c>
    </row>
    <row r="57">
      <c r="A57" s="0" t="inlineStr">
        <is>
          <t>RNR-H34</t>
        </is>
      </c>
      <c r="B57" s="0">
        <f>INDEX('Evidence-First Cell Queue'!$C$6:$C$461,MATCH($A57,'Evidence-First Cell Queue'!$B$6:$B$461,0))</f>
        <v/>
      </c>
      <c r="C57" s="0">
        <f>INDEX('Evidence-First Cell Queue'!$D$6:$D$461,MATCH($A57,'Evidence-First Cell Queue'!$B$6:$B$461,0))</f>
        <v/>
      </c>
      <c r="D57" s="36">
        <f>LOOKUP(2,1/(('Evidence-First Cell Queue'!$B$6:$B$461=$A57)*('Evidence-First Cell Queue'!$E$6:$E$461=D$23)),'Evidence-First Cell Queue'!$X$6:$X$461)</f>
        <v/>
      </c>
      <c r="E57" s="36">
        <f>LOOKUP(2,1/(('Evidence-First Cell Queue'!$B$6:$B$461=$A57)*('Evidence-First Cell Queue'!$E$6:$E$461=E$23)),'Evidence-First Cell Queue'!$X$6:$X$461)</f>
        <v/>
      </c>
      <c r="F57" s="36">
        <f>LOOKUP(2,1/(('Evidence-First Cell Queue'!$B$6:$B$461=$A57)*('Evidence-First Cell Queue'!$E$6:$E$461=F$23)),'Evidence-First Cell Queue'!$X$6:$X$461)</f>
        <v/>
      </c>
      <c r="G57" s="36">
        <f>LOOKUP(2,1/(('Evidence-First Cell Queue'!$B$6:$B$461=$A57)*('Evidence-First Cell Queue'!$E$6:$E$461=G$23)),'Evidence-First Cell Queue'!$X$6:$X$461)</f>
        <v/>
      </c>
      <c r="H57" s="36">
        <f>LOOKUP(2,1/(('Evidence-First Cell Queue'!$B$6:$B$461=$A57)*('Evidence-First Cell Queue'!$E$6:$E$461=H$23)),'Evidence-First Cell Queue'!$X$6:$X$461)</f>
        <v/>
      </c>
      <c r="I57" s="36">
        <f>LOOKUP(2,1/(('Evidence-First Cell Queue'!$B$6:$B$461=$A57)*('Evidence-First Cell Queue'!$E$6:$E$461=I$23)),'Evidence-First Cell Queue'!$X$6:$X$461)</f>
        <v/>
      </c>
      <c r="J57" s="36">
        <f>LOOKUP(2,1/(('Evidence-First Cell Queue'!$B$6:$B$461=$A57)*('Evidence-First Cell Queue'!$E$6:$E$461=J$23)),'Evidence-First Cell Queue'!$X$6:$X$461)</f>
        <v/>
      </c>
      <c r="K57" s="36">
        <f>LOOKUP(2,1/(('Evidence-First Cell Queue'!$B$6:$B$461=$A57)*('Evidence-First Cell Queue'!$E$6:$E$461=K$23)),'Evidence-First Cell Queue'!$X$6:$X$461)</f>
        <v/>
      </c>
    </row>
    <row r="58">
      <c r="A58" s="0" t="inlineStr">
        <is>
          <t>RNR-H35</t>
        </is>
      </c>
      <c r="B58" s="0">
        <f>INDEX('Evidence-First Cell Queue'!$C$6:$C$461,MATCH($A58,'Evidence-First Cell Queue'!$B$6:$B$461,0))</f>
        <v/>
      </c>
      <c r="C58" s="0">
        <f>INDEX('Evidence-First Cell Queue'!$D$6:$D$461,MATCH($A58,'Evidence-First Cell Queue'!$B$6:$B$461,0))</f>
        <v/>
      </c>
      <c r="D58" s="36">
        <f>LOOKUP(2,1/(('Evidence-First Cell Queue'!$B$6:$B$461=$A58)*('Evidence-First Cell Queue'!$E$6:$E$461=D$23)),'Evidence-First Cell Queue'!$X$6:$X$461)</f>
        <v/>
      </c>
      <c r="E58" s="36">
        <f>LOOKUP(2,1/(('Evidence-First Cell Queue'!$B$6:$B$461=$A58)*('Evidence-First Cell Queue'!$E$6:$E$461=E$23)),'Evidence-First Cell Queue'!$X$6:$X$461)</f>
        <v/>
      </c>
      <c r="F58" s="36">
        <f>LOOKUP(2,1/(('Evidence-First Cell Queue'!$B$6:$B$461=$A58)*('Evidence-First Cell Queue'!$E$6:$E$461=F$23)),'Evidence-First Cell Queue'!$X$6:$X$461)</f>
        <v/>
      </c>
      <c r="G58" s="36">
        <f>LOOKUP(2,1/(('Evidence-First Cell Queue'!$B$6:$B$461=$A58)*('Evidence-First Cell Queue'!$E$6:$E$461=G$23)),'Evidence-First Cell Queue'!$X$6:$X$461)</f>
        <v/>
      </c>
      <c r="H58" s="36">
        <f>LOOKUP(2,1/(('Evidence-First Cell Queue'!$B$6:$B$461=$A58)*('Evidence-First Cell Queue'!$E$6:$E$461=H$23)),'Evidence-First Cell Queue'!$X$6:$X$461)</f>
        <v/>
      </c>
      <c r="I58" s="36">
        <f>LOOKUP(2,1/(('Evidence-First Cell Queue'!$B$6:$B$461=$A58)*('Evidence-First Cell Queue'!$E$6:$E$461=I$23)),'Evidence-First Cell Queue'!$X$6:$X$461)</f>
        <v/>
      </c>
      <c r="J58" s="36">
        <f>LOOKUP(2,1/(('Evidence-First Cell Queue'!$B$6:$B$461=$A58)*('Evidence-First Cell Queue'!$E$6:$E$461=J$23)),'Evidence-First Cell Queue'!$X$6:$X$461)</f>
        <v/>
      </c>
      <c r="K58" s="36">
        <f>LOOKUP(2,1/(('Evidence-First Cell Queue'!$B$6:$B$461=$A58)*('Evidence-First Cell Queue'!$E$6:$E$461=K$23)),'Evidence-First Cell Queue'!$X$6:$X$461)</f>
        <v/>
      </c>
    </row>
    <row r="59">
      <c r="A59" s="0" t="inlineStr">
        <is>
          <t>RNR-H36</t>
        </is>
      </c>
      <c r="B59" s="0">
        <f>INDEX('Evidence-First Cell Queue'!$C$6:$C$461,MATCH($A59,'Evidence-First Cell Queue'!$B$6:$B$461,0))</f>
        <v/>
      </c>
      <c r="C59" s="0">
        <f>INDEX('Evidence-First Cell Queue'!$D$6:$D$461,MATCH($A59,'Evidence-First Cell Queue'!$B$6:$B$461,0))</f>
        <v/>
      </c>
      <c r="D59" s="36">
        <f>LOOKUP(2,1/(('Evidence-First Cell Queue'!$B$6:$B$461=$A59)*('Evidence-First Cell Queue'!$E$6:$E$461=D$23)),'Evidence-First Cell Queue'!$X$6:$X$461)</f>
        <v/>
      </c>
      <c r="E59" s="36">
        <f>LOOKUP(2,1/(('Evidence-First Cell Queue'!$B$6:$B$461=$A59)*('Evidence-First Cell Queue'!$E$6:$E$461=E$23)),'Evidence-First Cell Queue'!$X$6:$X$461)</f>
        <v/>
      </c>
      <c r="F59" s="36">
        <f>LOOKUP(2,1/(('Evidence-First Cell Queue'!$B$6:$B$461=$A59)*('Evidence-First Cell Queue'!$E$6:$E$461=F$23)),'Evidence-First Cell Queue'!$X$6:$X$461)</f>
        <v/>
      </c>
      <c r="G59" s="36">
        <f>LOOKUP(2,1/(('Evidence-First Cell Queue'!$B$6:$B$461=$A59)*('Evidence-First Cell Queue'!$E$6:$E$461=G$23)),'Evidence-First Cell Queue'!$X$6:$X$461)</f>
        <v/>
      </c>
      <c r="H59" s="36">
        <f>LOOKUP(2,1/(('Evidence-First Cell Queue'!$B$6:$B$461=$A59)*('Evidence-First Cell Queue'!$E$6:$E$461=H$23)),'Evidence-First Cell Queue'!$X$6:$X$461)</f>
        <v/>
      </c>
      <c r="I59" s="36">
        <f>LOOKUP(2,1/(('Evidence-First Cell Queue'!$B$6:$B$461=$A59)*('Evidence-First Cell Queue'!$E$6:$E$461=I$23)),'Evidence-First Cell Queue'!$X$6:$X$461)</f>
        <v/>
      </c>
      <c r="J59" s="36">
        <f>LOOKUP(2,1/(('Evidence-First Cell Queue'!$B$6:$B$461=$A59)*('Evidence-First Cell Queue'!$E$6:$E$461=J$23)),'Evidence-First Cell Queue'!$X$6:$X$461)</f>
        <v/>
      </c>
      <c r="K59" s="36">
        <f>LOOKUP(2,1/(('Evidence-First Cell Queue'!$B$6:$B$461=$A59)*('Evidence-First Cell Queue'!$E$6:$E$461=K$23)),'Evidence-First Cell Queue'!$X$6:$X$461)</f>
        <v/>
      </c>
    </row>
    <row r="60">
      <c r="A60" s="0" t="inlineStr">
        <is>
          <t>RNR-H37</t>
        </is>
      </c>
      <c r="B60" s="0">
        <f>INDEX('Evidence-First Cell Queue'!$C$6:$C$461,MATCH($A60,'Evidence-First Cell Queue'!$B$6:$B$461,0))</f>
        <v/>
      </c>
      <c r="C60" s="0">
        <f>INDEX('Evidence-First Cell Queue'!$D$6:$D$461,MATCH($A60,'Evidence-First Cell Queue'!$B$6:$B$461,0))</f>
        <v/>
      </c>
      <c r="D60" s="36">
        <f>LOOKUP(2,1/(('Evidence-First Cell Queue'!$B$6:$B$461=$A60)*('Evidence-First Cell Queue'!$E$6:$E$461=D$23)),'Evidence-First Cell Queue'!$X$6:$X$461)</f>
        <v/>
      </c>
      <c r="E60" s="36">
        <f>LOOKUP(2,1/(('Evidence-First Cell Queue'!$B$6:$B$461=$A60)*('Evidence-First Cell Queue'!$E$6:$E$461=E$23)),'Evidence-First Cell Queue'!$X$6:$X$461)</f>
        <v/>
      </c>
      <c r="F60" s="36">
        <f>LOOKUP(2,1/(('Evidence-First Cell Queue'!$B$6:$B$461=$A60)*('Evidence-First Cell Queue'!$E$6:$E$461=F$23)),'Evidence-First Cell Queue'!$X$6:$X$461)</f>
        <v/>
      </c>
      <c r="G60" s="36">
        <f>LOOKUP(2,1/(('Evidence-First Cell Queue'!$B$6:$B$461=$A60)*('Evidence-First Cell Queue'!$E$6:$E$461=G$23)),'Evidence-First Cell Queue'!$X$6:$X$461)</f>
        <v/>
      </c>
      <c r="H60" s="36">
        <f>LOOKUP(2,1/(('Evidence-First Cell Queue'!$B$6:$B$461=$A60)*('Evidence-First Cell Queue'!$E$6:$E$461=H$23)),'Evidence-First Cell Queue'!$X$6:$X$461)</f>
        <v/>
      </c>
      <c r="I60" s="36">
        <f>LOOKUP(2,1/(('Evidence-First Cell Queue'!$B$6:$B$461=$A60)*('Evidence-First Cell Queue'!$E$6:$E$461=I$23)),'Evidence-First Cell Queue'!$X$6:$X$461)</f>
        <v/>
      </c>
      <c r="J60" s="36">
        <f>LOOKUP(2,1/(('Evidence-First Cell Queue'!$B$6:$B$461=$A60)*('Evidence-First Cell Queue'!$E$6:$E$461=J$23)),'Evidence-First Cell Queue'!$X$6:$X$461)</f>
        <v/>
      </c>
      <c r="K60" s="36">
        <f>LOOKUP(2,1/(('Evidence-First Cell Queue'!$B$6:$B$461=$A60)*('Evidence-First Cell Queue'!$E$6:$E$461=K$23)),'Evidence-First Cell Queue'!$X$6:$X$461)</f>
        <v/>
      </c>
    </row>
    <row r="61">
      <c r="A61" s="0" t="inlineStr">
        <is>
          <t>RNR-H38</t>
        </is>
      </c>
      <c r="B61" s="0">
        <f>INDEX('Evidence-First Cell Queue'!$C$6:$C$461,MATCH($A61,'Evidence-First Cell Queue'!$B$6:$B$461,0))</f>
        <v/>
      </c>
      <c r="C61" s="0">
        <f>INDEX('Evidence-First Cell Queue'!$D$6:$D$461,MATCH($A61,'Evidence-First Cell Queue'!$B$6:$B$461,0))</f>
        <v/>
      </c>
      <c r="D61" s="36">
        <f>LOOKUP(2,1/(('Evidence-First Cell Queue'!$B$6:$B$461=$A61)*('Evidence-First Cell Queue'!$E$6:$E$461=D$23)),'Evidence-First Cell Queue'!$X$6:$X$461)</f>
        <v/>
      </c>
      <c r="E61" s="36">
        <f>LOOKUP(2,1/(('Evidence-First Cell Queue'!$B$6:$B$461=$A61)*('Evidence-First Cell Queue'!$E$6:$E$461=E$23)),'Evidence-First Cell Queue'!$X$6:$X$461)</f>
        <v/>
      </c>
      <c r="F61" s="36">
        <f>LOOKUP(2,1/(('Evidence-First Cell Queue'!$B$6:$B$461=$A61)*('Evidence-First Cell Queue'!$E$6:$E$461=F$23)),'Evidence-First Cell Queue'!$X$6:$X$461)</f>
        <v/>
      </c>
      <c r="G61" s="36">
        <f>LOOKUP(2,1/(('Evidence-First Cell Queue'!$B$6:$B$461=$A61)*('Evidence-First Cell Queue'!$E$6:$E$461=G$23)),'Evidence-First Cell Queue'!$X$6:$X$461)</f>
        <v/>
      </c>
      <c r="H61" s="36">
        <f>LOOKUP(2,1/(('Evidence-First Cell Queue'!$B$6:$B$461=$A61)*('Evidence-First Cell Queue'!$E$6:$E$461=H$23)),'Evidence-First Cell Queue'!$X$6:$X$461)</f>
        <v/>
      </c>
      <c r="I61" s="36">
        <f>LOOKUP(2,1/(('Evidence-First Cell Queue'!$B$6:$B$461=$A61)*('Evidence-First Cell Queue'!$E$6:$E$461=I$23)),'Evidence-First Cell Queue'!$X$6:$X$461)</f>
        <v/>
      </c>
      <c r="J61" s="36">
        <f>LOOKUP(2,1/(('Evidence-First Cell Queue'!$B$6:$B$461=$A61)*('Evidence-First Cell Queue'!$E$6:$E$461=J$23)),'Evidence-First Cell Queue'!$X$6:$X$461)</f>
        <v/>
      </c>
      <c r="K61" s="36">
        <f>LOOKUP(2,1/(('Evidence-First Cell Queue'!$B$6:$B$461=$A61)*('Evidence-First Cell Queue'!$E$6:$E$461=K$23)),'Evidence-First Cell Queue'!$X$6:$X$461)</f>
        <v/>
      </c>
    </row>
    <row r="62">
      <c r="A62" s="0" t="inlineStr">
        <is>
          <t>RNR-H39</t>
        </is>
      </c>
      <c r="B62" s="0">
        <f>INDEX('Evidence-First Cell Queue'!$C$6:$C$461,MATCH($A62,'Evidence-First Cell Queue'!$B$6:$B$461,0))</f>
        <v/>
      </c>
      <c r="C62" s="0">
        <f>INDEX('Evidence-First Cell Queue'!$D$6:$D$461,MATCH($A62,'Evidence-First Cell Queue'!$B$6:$B$461,0))</f>
        <v/>
      </c>
      <c r="D62" s="36">
        <f>LOOKUP(2,1/(('Evidence-First Cell Queue'!$B$6:$B$461=$A62)*('Evidence-First Cell Queue'!$E$6:$E$461=D$23)),'Evidence-First Cell Queue'!$X$6:$X$461)</f>
        <v/>
      </c>
      <c r="E62" s="36">
        <f>LOOKUP(2,1/(('Evidence-First Cell Queue'!$B$6:$B$461=$A62)*('Evidence-First Cell Queue'!$E$6:$E$461=E$23)),'Evidence-First Cell Queue'!$X$6:$X$461)</f>
        <v/>
      </c>
      <c r="F62" s="36">
        <f>LOOKUP(2,1/(('Evidence-First Cell Queue'!$B$6:$B$461=$A62)*('Evidence-First Cell Queue'!$E$6:$E$461=F$23)),'Evidence-First Cell Queue'!$X$6:$X$461)</f>
        <v/>
      </c>
      <c r="G62" s="36">
        <f>LOOKUP(2,1/(('Evidence-First Cell Queue'!$B$6:$B$461=$A62)*('Evidence-First Cell Queue'!$E$6:$E$461=G$23)),'Evidence-First Cell Queue'!$X$6:$X$461)</f>
        <v/>
      </c>
      <c r="H62" s="36">
        <f>LOOKUP(2,1/(('Evidence-First Cell Queue'!$B$6:$B$461=$A62)*('Evidence-First Cell Queue'!$E$6:$E$461=H$23)),'Evidence-First Cell Queue'!$X$6:$X$461)</f>
        <v/>
      </c>
      <c r="I62" s="36">
        <f>LOOKUP(2,1/(('Evidence-First Cell Queue'!$B$6:$B$461=$A62)*('Evidence-First Cell Queue'!$E$6:$E$461=I$23)),'Evidence-First Cell Queue'!$X$6:$X$461)</f>
        <v/>
      </c>
      <c r="J62" s="36">
        <f>LOOKUP(2,1/(('Evidence-First Cell Queue'!$B$6:$B$461=$A62)*('Evidence-First Cell Queue'!$E$6:$E$461=J$23)),'Evidence-First Cell Queue'!$X$6:$X$461)</f>
        <v/>
      </c>
      <c r="K62" s="36">
        <f>LOOKUP(2,1/(('Evidence-First Cell Queue'!$B$6:$B$461=$A62)*('Evidence-First Cell Queue'!$E$6:$E$461=K$23)),'Evidence-First Cell Queue'!$X$6:$X$461)</f>
        <v/>
      </c>
    </row>
    <row r="63">
      <c r="A63" s="0" t="inlineStr">
        <is>
          <t>RNR-H40</t>
        </is>
      </c>
      <c r="B63" s="0">
        <f>INDEX('Evidence-First Cell Queue'!$C$6:$C$461,MATCH($A63,'Evidence-First Cell Queue'!$B$6:$B$461,0))</f>
        <v/>
      </c>
      <c r="C63" s="0">
        <f>INDEX('Evidence-First Cell Queue'!$D$6:$D$461,MATCH($A63,'Evidence-First Cell Queue'!$B$6:$B$461,0))</f>
        <v/>
      </c>
      <c r="D63" s="36">
        <f>LOOKUP(2,1/(('Evidence-First Cell Queue'!$B$6:$B$461=$A63)*('Evidence-First Cell Queue'!$E$6:$E$461=D$23)),'Evidence-First Cell Queue'!$X$6:$X$461)</f>
        <v/>
      </c>
      <c r="E63" s="36">
        <f>LOOKUP(2,1/(('Evidence-First Cell Queue'!$B$6:$B$461=$A63)*('Evidence-First Cell Queue'!$E$6:$E$461=E$23)),'Evidence-First Cell Queue'!$X$6:$X$461)</f>
        <v/>
      </c>
      <c r="F63" s="36">
        <f>LOOKUP(2,1/(('Evidence-First Cell Queue'!$B$6:$B$461=$A63)*('Evidence-First Cell Queue'!$E$6:$E$461=F$23)),'Evidence-First Cell Queue'!$X$6:$X$461)</f>
        <v/>
      </c>
      <c r="G63" s="36">
        <f>LOOKUP(2,1/(('Evidence-First Cell Queue'!$B$6:$B$461=$A63)*('Evidence-First Cell Queue'!$E$6:$E$461=G$23)),'Evidence-First Cell Queue'!$X$6:$X$461)</f>
        <v/>
      </c>
      <c r="H63" s="36">
        <f>LOOKUP(2,1/(('Evidence-First Cell Queue'!$B$6:$B$461=$A63)*('Evidence-First Cell Queue'!$E$6:$E$461=H$23)),'Evidence-First Cell Queue'!$X$6:$X$461)</f>
        <v/>
      </c>
      <c r="I63" s="36">
        <f>LOOKUP(2,1/(('Evidence-First Cell Queue'!$B$6:$B$461=$A63)*('Evidence-First Cell Queue'!$E$6:$E$461=I$23)),'Evidence-First Cell Queue'!$X$6:$X$461)</f>
        <v/>
      </c>
      <c r="J63" s="36">
        <f>LOOKUP(2,1/(('Evidence-First Cell Queue'!$B$6:$B$461=$A63)*('Evidence-First Cell Queue'!$E$6:$E$461=J$23)),'Evidence-First Cell Queue'!$X$6:$X$461)</f>
        <v/>
      </c>
      <c r="K63" s="36">
        <f>LOOKUP(2,1/(('Evidence-First Cell Queue'!$B$6:$B$461=$A63)*('Evidence-First Cell Queue'!$E$6:$E$461=K$23)),'Evidence-First Cell Queue'!$X$6:$X$461)</f>
        <v/>
      </c>
    </row>
    <row r="64">
      <c r="A64" s="0" t="inlineStr">
        <is>
          <t>RNR-H41</t>
        </is>
      </c>
      <c r="B64" s="0">
        <f>INDEX('Evidence-First Cell Queue'!$C$6:$C$461,MATCH($A64,'Evidence-First Cell Queue'!$B$6:$B$461,0))</f>
        <v/>
      </c>
      <c r="C64" s="0">
        <f>INDEX('Evidence-First Cell Queue'!$D$6:$D$461,MATCH($A64,'Evidence-First Cell Queue'!$B$6:$B$461,0))</f>
        <v/>
      </c>
      <c r="D64" s="36">
        <f>LOOKUP(2,1/(('Evidence-First Cell Queue'!$B$6:$B$461=$A64)*('Evidence-First Cell Queue'!$E$6:$E$461=D$23)),'Evidence-First Cell Queue'!$X$6:$X$461)</f>
        <v/>
      </c>
      <c r="E64" s="36">
        <f>LOOKUP(2,1/(('Evidence-First Cell Queue'!$B$6:$B$461=$A64)*('Evidence-First Cell Queue'!$E$6:$E$461=E$23)),'Evidence-First Cell Queue'!$X$6:$X$461)</f>
        <v/>
      </c>
      <c r="F64" s="36">
        <f>LOOKUP(2,1/(('Evidence-First Cell Queue'!$B$6:$B$461=$A64)*('Evidence-First Cell Queue'!$E$6:$E$461=F$23)),'Evidence-First Cell Queue'!$X$6:$X$461)</f>
        <v/>
      </c>
      <c r="G64" s="36">
        <f>LOOKUP(2,1/(('Evidence-First Cell Queue'!$B$6:$B$461=$A64)*('Evidence-First Cell Queue'!$E$6:$E$461=G$23)),'Evidence-First Cell Queue'!$X$6:$X$461)</f>
        <v/>
      </c>
      <c r="H64" s="36">
        <f>LOOKUP(2,1/(('Evidence-First Cell Queue'!$B$6:$B$461=$A64)*('Evidence-First Cell Queue'!$E$6:$E$461=H$23)),'Evidence-First Cell Queue'!$X$6:$X$461)</f>
        <v/>
      </c>
      <c r="I64" s="36">
        <f>LOOKUP(2,1/(('Evidence-First Cell Queue'!$B$6:$B$461=$A64)*('Evidence-First Cell Queue'!$E$6:$E$461=I$23)),'Evidence-First Cell Queue'!$X$6:$X$461)</f>
        <v/>
      </c>
      <c r="J64" s="36">
        <f>LOOKUP(2,1/(('Evidence-First Cell Queue'!$B$6:$B$461=$A64)*('Evidence-First Cell Queue'!$E$6:$E$461=J$23)),'Evidence-First Cell Queue'!$X$6:$X$461)</f>
        <v/>
      </c>
      <c r="K64" s="36">
        <f>LOOKUP(2,1/(('Evidence-First Cell Queue'!$B$6:$B$461=$A64)*('Evidence-First Cell Queue'!$E$6:$E$461=K$23)),'Evidence-First Cell Queue'!$X$6:$X$461)</f>
        <v/>
      </c>
    </row>
    <row r="65">
      <c r="A65" s="0" t="inlineStr">
        <is>
          <t>RNR-H42</t>
        </is>
      </c>
      <c r="B65" s="0">
        <f>INDEX('Evidence-First Cell Queue'!$C$6:$C$461,MATCH($A65,'Evidence-First Cell Queue'!$B$6:$B$461,0))</f>
        <v/>
      </c>
      <c r="C65" s="0">
        <f>INDEX('Evidence-First Cell Queue'!$D$6:$D$461,MATCH($A65,'Evidence-First Cell Queue'!$B$6:$B$461,0))</f>
        <v/>
      </c>
      <c r="D65" s="36">
        <f>LOOKUP(2,1/(('Evidence-First Cell Queue'!$B$6:$B$461=$A65)*('Evidence-First Cell Queue'!$E$6:$E$461=D$23)),'Evidence-First Cell Queue'!$X$6:$X$461)</f>
        <v/>
      </c>
      <c r="E65" s="36">
        <f>LOOKUP(2,1/(('Evidence-First Cell Queue'!$B$6:$B$461=$A65)*('Evidence-First Cell Queue'!$E$6:$E$461=E$23)),'Evidence-First Cell Queue'!$X$6:$X$461)</f>
        <v/>
      </c>
      <c r="F65" s="36">
        <f>LOOKUP(2,1/(('Evidence-First Cell Queue'!$B$6:$B$461=$A65)*('Evidence-First Cell Queue'!$E$6:$E$461=F$23)),'Evidence-First Cell Queue'!$X$6:$X$461)</f>
        <v/>
      </c>
      <c r="G65" s="36">
        <f>LOOKUP(2,1/(('Evidence-First Cell Queue'!$B$6:$B$461=$A65)*('Evidence-First Cell Queue'!$E$6:$E$461=G$23)),'Evidence-First Cell Queue'!$X$6:$X$461)</f>
        <v/>
      </c>
      <c r="H65" s="36">
        <f>LOOKUP(2,1/(('Evidence-First Cell Queue'!$B$6:$B$461=$A65)*('Evidence-First Cell Queue'!$E$6:$E$461=H$23)),'Evidence-First Cell Queue'!$X$6:$X$461)</f>
        <v/>
      </c>
      <c r="I65" s="36">
        <f>LOOKUP(2,1/(('Evidence-First Cell Queue'!$B$6:$B$461=$A65)*('Evidence-First Cell Queue'!$E$6:$E$461=I$23)),'Evidence-First Cell Queue'!$X$6:$X$461)</f>
        <v/>
      </c>
      <c r="J65" s="36">
        <f>LOOKUP(2,1/(('Evidence-First Cell Queue'!$B$6:$B$461=$A65)*('Evidence-First Cell Queue'!$E$6:$E$461=J$23)),'Evidence-First Cell Queue'!$X$6:$X$461)</f>
        <v/>
      </c>
      <c r="K65" s="36">
        <f>LOOKUP(2,1/(('Evidence-First Cell Queue'!$B$6:$B$461=$A65)*('Evidence-First Cell Queue'!$E$6:$E$461=K$23)),'Evidence-First Cell Queue'!$X$6:$X$461)</f>
        <v/>
      </c>
    </row>
    <row r="66">
      <c r="A66" s="0" t="inlineStr">
        <is>
          <t>RNR-H43</t>
        </is>
      </c>
      <c r="B66" s="0">
        <f>INDEX('Evidence-First Cell Queue'!$C$6:$C$461,MATCH($A66,'Evidence-First Cell Queue'!$B$6:$B$461,0))</f>
        <v/>
      </c>
      <c r="C66" s="0">
        <f>INDEX('Evidence-First Cell Queue'!$D$6:$D$461,MATCH($A66,'Evidence-First Cell Queue'!$B$6:$B$461,0))</f>
        <v/>
      </c>
      <c r="D66" s="36">
        <f>LOOKUP(2,1/(('Evidence-First Cell Queue'!$B$6:$B$461=$A66)*('Evidence-First Cell Queue'!$E$6:$E$461=D$23)),'Evidence-First Cell Queue'!$X$6:$X$461)</f>
        <v/>
      </c>
      <c r="E66" s="36">
        <f>LOOKUP(2,1/(('Evidence-First Cell Queue'!$B$6:$B$461=$A66)*('Evidence-First Cell Queue'!$E$6:$E$461=E$23)),'Evidence-First Cell Queue'!$X$6:$X$461)</f>
        <v/>
      </c>
      <c r="F66" s="36">
        <f>LOOKUP(2,1/(('Evidence-First Cell Queue'!$B$6:$B$461=$A66)*('Evidence-First Cell Queue'!$E$6:$E$461=F$23)),'Evidence-First Cell Queue'!$X$6:$X$461)</f>
        <v/>
      </c>
      <c r="G66" s="36">
        <f>LOOKUP(2,1/(('Evidence-First Cell Queue'!$B$6:$B$461=$A66)*('Evidence-First Cell Queue'!$E$6:$E$461=G$23)),'Evidence-First Cell Queue'!$X$6:$X$461)</f>
        <v/>
      </c>
      <c r="H66" s="36">
        <f>LOOKUP(2,1/(('Evidence-First Cell Queue'!$B$6:$B$461=$A66)*('Evidence-First Cell Queue'!$E$6:$E$461=H$23)),'Evidence-First Cell Queue'!$X$6:$X$461)</f>
        <v/>
      </c>
      <c r="I66" s="36">
        <f>LOOKUP(2,1/(('Evidence-First Cell Queue'!$B$6:$B$461=$A66)*('Evidence-First Cell Queue'!$E$6:$E$461=I$23)),'Evidence-First Cell Queue'!$X$6:$X$461)</f>
        <v/>
      </c>
      <c r="J66" s="36">
        <f>LOOKUP(2,1/(('Evidence-First Cell Queue'!$B$6:$B$461=$A66)*('Evidence-First Cell Queue'!$E$6:$E$461=J$23)),'Evidence-First Cell Queue'!$X$6:$X$461)</f>
        <v/>
      </c>
      <c r="K66" s="36">
        <f>LOOKUP(2,1/(('Evidence-First Cell Queue'!$B$6:$B$461=$A66)*('Evidence-First Cell Queue'!$E$6:$E$461=K$23)),'Evidence-First Cell Queue'!$X$6:$X$461)</f>
        <v/>
      </c>
    </row>
    <row r="67">
      <c r="A67" s="0" t="inlineStr">
        <is>
          <t>RNR-H44</t>
        </is>
      </c>
      <c r="B67" s="0">
        <f>INDEX('Evidence-First Cell Queue'!$C$6:$C$461,MATCH($A67,'Evidence-First Cell Queue'!$B$6:$B$461,0))</f>
        <v/>
      </c>
      <c r="C67" s="0">
        <f>INDEX('Evidence-First Cell Queue'!$D$6:$D$461,MATCH($A67,'Evidence-First Cell Queue'!$B$6:$B$461,0))</f>
        <v/>
      </c>
      <c r="D67" s="36">
        <f>LOOKUP(2,1/(('Evidence-First Cell Queue'!$B$6:$B$461=$A67)*('Evidence-First Cell Queue'!$E$6:$E$461=D$23)),'Evidence-First Cell Queue'!$X$6:$X$461)</f>
        <v/>
      </c>
      <c r="E67" s="36">
        <f>LOOKUP(2,1/(('Evidence-First Cell Queue'!$B$6:$B$461=$A67)*('Evidence-First Cell Queue'!$E$6:$E$461=E$23)),'Evidence-First Cell Queue'!$X$6:$X$461)</f>
        <v/>
      </c>
      <c r="F67" s="36">
        <f>LOOKUP(2,1/(('Evidence-First Cell Queue'!$B$6:$B$461=$A67)*('Evidence-First Cell Queue'!$E$6:$E$461=F$23)),'Evidence-First Cell Queue'!$X$6:$X$461)</f>
        <v/>
      </c>
      <c r="G67" s="36">
        <f>LOOKUP(2,1/(('Evidence-First Cell Queue'!$B$6:$B$461=$A67)*('Evidence-First Cell Queue'!$E$6:$E$461=G$23)),'Evidence-First Cell Queue'!$X$6:$X$461)</f>
        <v/>
      </c>
      <c r="H67" s="36">
        <f>LOOKUP(2,1/(('Evidence-First Cell Queue'!$B$6:$B$461=$A67)*('Evidence-First Cell Queue'!$E$6:$E$461=H$23)),'Evidence-First Cell Queue'!$X$6:$X$461)</f>
        <v/>
      </c>
      <c r="I67" s="36">
        <f>LOOKUP(2,1/(('Evidence-First Cell Queue'!$B$6:$B$461=$A67)*('Evidence-First Cell Queue'!$E$6:$E$461=I$23)),'Evidence-First Cell Queue'!$X$6:$X$461)</f>
        <v/>
      </c>
      <c r="J67" s="36">
        <f>LOOKUP(2,1/(('Evidence-First Cell Queue'!$B$6:$B$461=$A67)*('Evidence-First Cell Queue'!$E$6:$E$461=J$23)),'Evidence-First Cell Queue'!$X$6:$X$461)</f>
        <v/>
      </c>
      <c r="K67" s="36">
        <f>LOOKUP(2,1/(('Evidence-First Cell Queue'!$B$6:$B$461=$A67)*('Evidence-First Cell Queue'!$E$6:$E$461=K$23)),'Evidence-First Cell Queue'!$X$6:$X$461)</f>
        <v/>
      </c>
    </row>
    <row r="68">
      <c r="A68" s="0" t="inlineStr">
        <is>
          <t>RNR-H45</t>
        </is>
      </c>
      <c r="B68" s="0">
        <f>INDEX('Evidence-First Cell Queue'!$C$6:$C$461,MATCH($A68,'Evidence-First Cell Queue'!$B$6:$B$461,0))</f>
        <v/>
      </c>
      <c r="C68" s="0">
        <f>INDEX('Evidence-First Cell Queue'!$D$6:$D$461,MATCH($A68,'Evidence-First Cell Queue'!$B$6:$B$461,0))</f>
        <v/>
      </c>
      <c r="D68" s="36">
        <f>LOOKUP(2,1/(('Evidence-First Cell Queue'!$B$6:$B$461=$A68)*('Evidence-First Cell Queue'!$E$6:$E$461=D$23)),'Evidence-First Cell Queue'!$X$6:$X$461)</f>
        <v/>
      </c>
      <c r="E68" s="36">
        <f>LOOKUP(2,1/(('Evidence-First Cell Queue'!$B$6:$B$461=$A68)*('Evidence-First Cell Queue'!$E$6:$E$461=E$23)),'Evidence-First Cell Queue'!$X$6:$X$461)</f>
        <v/>
      </c>
      <c r="F68" s="36">
        <f>LOOKUP(2,1/(('Evidence-First Cell Queue'!$B$6:$B$461=$A68)*('Evidence-First Cell Queue'!$E$6:$E$461=F$23)),'Evidence-First Cell Queue'!$X$6:$X$461)</f>
        <v/>
      </c>
      <c r="G68" s="36">
        <f>LOOKUP(2,1/(('Evidence-First Cell Queue'!$B$6:$B$461=$A68)*('Evidence-First Cell Queue'!$E$6:$E$461=G$23)),'Evidence-First Cell Queue'!$X$6:$X$461)</f>
        <v/>
      </c>
      <c r="H68" s="36">
        <f>LOOKUP(2,1/(('Evidence-First Cell Queue'!$B$6:$B$461=$A68)*('Evidence-First Cell Queue'!$E$6:$E$461=H$23)),'Evidence-First Cell Queue'!$X$6:$X$461)</f>
        <v/>
      </c>
      <c r="I68" s="36">
        <f>LOOKUP(2,1/(('Evidence-First Cell Queue'!$B$6:$B$461=$A68)*('Evidence-First Cell Queue'!$E$6:$E$461=I$23)),'Evidence-First Cell Queue'!$X$6:$X$461)</f>
        <v/>
      </c>
      <c r="J68" s="36">
        <f>LOOKUP(2,1/(('Evidence-First Cell Queue'!$B$6:$B$461=$A68)*('Evidence-First Cell Queue'!$E$6:$E$461=J$23)),'Evidence-First Cell Queue'!$X$6:$X$461)</f>
        <v/>
      </c>
      <c r="K68" s="36">
        <f>LOOKUP(2,1/(('Evidence-First Cell Queue'!$B$6:$B$461=$A68)*('Evidence-First Cell Queue'!$E$6:$E$461=K$23)),'Evidence-First Cell Queue'!$X$6:$X$461)</f>
        <v/>
      </c>
    </row>
    <row r="69">
      <c r="A69" s="0" t="inlineStr">
        <is>
          <t>RNR-H46</t>
        </is>
      </c>
      <c r="B69" s="0">
        <f>INDEX('Evidence-First Cell Queue'!$C$6:$C$461,MATCH($A69,'Evidence-First Cell Queue'!$B$6:$B$461,0))</f>
        <v/>
      </c>
      <c r="C69" s="0">
        <f>INDEX('Evidence-First Cell Queue'!$D$6:$D$461,MATCH($A69,'Evidence-First Cell Queue'!$B$6:$B$461,0))</f>
        <v/>
      </c>
      <c r="D69" s="36">
        <f>LOOKUP(2,1/(('Evidence-First Cell Queue'!$B$6:$B$461=$A69)*('Evidence-First Cell Queue'!$E$6:$E$461=D$23)),'Evidence-First Cell Queue'!$X$6:$X$461)</f>
        <v/>
      </c>
      <c r="E69" s="36">
        <f>LOOKUP(2,1/(('Evidence-First Cell Queue'!$B$6:$B$461=$A69)*('Evidence-First Cell Queue'!$E$6:$E$461=E$23)),'Evidence-First Cell Queue'!$X$6:$X$461)</f>
        <v/>
      </c>
      <c r="F69" s="36">
        <f>LOOKUP(2,1/(('Evidence-First Cell Queue'!$B$6:$B$461=$A69)*('Evidence-First Cell Queue'!$E$6:$E$461=F$23)),'Evidence-First Cell Queue'!$X$6:$X$461)</f>
        <v/>
      </c>
      <c r="G69" s="36">
        <f>LOOKUP(2,1/(('Evidence-First Cell Queue'!$B$6:$B$461=$A69)*('Evidence-First Cell Queue'!$E$6:$E$461=G$23)),'Evidence-First Cell Queue'!$X$6:$X$461)</f>
        <v/>
      </c>
      <c r="H69" s="36">
        <f>LOOKUP(2,1/(('Evidence-First Cell Queue'!$B$6:$B$461=$A69)*('Evidence-First Cell Queue'!$E$6:$E$461=H$23)),'Evidence-First Cell Queue'!$X$6:$X$461)</f>
        <v/>
      </c>
      <c r="I69" s="36">
        <f>LOOKUP(2,1/(('Evidence-First Cell Queue'!$B$6:$B$461=$A69)*('Evidence-First Cell Queue'!$E$6:$E$461=I$23)),'Evidence-First Cell Queue'!$X$6:$X$461)</f>
        <v/>
      </c>
      <c r="J69" s="36">
        <f>LOOKUP(2,1/(('Evidence-First Cell Queue'!$B$6:$B$461=$A69)*('Evidence-First Cell Queue'!$E$6:$E$461=J$23)),'Evidence-First Cell Queue'!$X$6:$X$461)</f>
        <v/>
      </c>
      <c r="K69" s="36">
        <f>LOOKUP(2,1/(('Evidence-First Cell Queue'!$B$6:$B$461=$A69)*('Evidence-First Cell Queue'!$E$6:$E$461=K$23)),'Evidence-First Cell Queue'!$X$6:$X$461)</f>
        <v/>
      </c>
    </row>
    <row r="70">
      <c r="A70" s="0" t="inlineStr">
        <is>
          <t>RNR-H47</t>
        </is>
      </c>
      <c r="B70" s="0">
        <f>INDEX('Evidence-First Cell Queue'!$C$6:$C$461,MATCH($A70,'Evidence-First Cell Queue'!$B$6:$B$461,0))</f>
        <v/>
      </c>
      <c r="C70" s="0">
        <f>INDEX('Evidence-First Cell Queue'!$D$6:$D$461,MATCH($A70,'Evidence-First Cell Queue'!$B$6:$B$461,0))</f>
        <v/>
      </c>
      <c r="D70" s="36">
        <f>LOOKUP(2,1/(('Evidence-First Cell Queue'!$B$6:$B$461=$A70)*('Evidence-First Cell Queue'!$E$6:$E$461=D$23)),'Evidence-First Cell Queue'!$X$6:$X$461)</f>
        <v/>
      </c>
      <c r="E70" s="36">
        <f>LOOKUP(2,1/(('Evidence-First Cell Queue'!$B$6:$B$461=$A70)*('Evidence-First Cell Queue'!$E$6:$E$461=E$23)),'Evidence-First Cell Queue'!$X$6:$X$461)</f>
        <v/>
      </c>
      <c r="F70" s="36">
        <f>LOOKUP(2,1/(('Evidence-First Cell Queue'!$B$6:$B$461=$A70)*('Evidence-First Cell Queue'!$E$6:$E$461=F$23)),'Evidence-First Cell Queue'!$X$6:$X$461)</f>
        <v/>
      </c>
      <c r="G70" s="36">
        <f>LOOKUP(2,1/(('Evidence-First Cell Queue'!$B$6:$B$461=$A70)*('Evidence-First Cell Queue'!$E$6:$E$461=G$23)),'Evidence-First Cell Queue'!$X$6:$X$461)</f>
        <v/>
      </c>
      <c r="H70" s="36">
        <f>LOOKUP(2,1/(('Evidence-First Cell Queue'!$B$6:$B$461=$A70)*('Evidence-First Cell Queue'!$E$6:$E$461=H$23)),'Evidence-First Cell Queue'!$X$6:$X$461)</f>
        <v/>
      </c>
      <c r="I70" s="36">
        <f>LOOKUP(2,1/(('Evidence-First Cell Queue'!$B$6:$B$461=$A70)*('Evidence-First Cell Queue'!$E$6:$E$461=I$23)),'Evidence-First Cell Queue'!$X$6:$X$461)</f>
        <v/>
      </c>
      <c r="J70" s="36">
        <f>LOOKUP(2,1/(('Evidence-First Cell Queue'!$B$6:$B$461=$A70)*('Evidence-First Cell Queue'!$E$6:$E$461=J$23)),'Evidence-First Cell Queue'!$X$6:$X$461)</f>
        <v/>
      </c>
      <c r="K70" s="36">
        <f>LOOKUP(2,1/(('Evidence-First Cell Queue'!$B$6:$B$461=$A70)*('Evidence-First Cell Queue'!$E$6:$E$461=K$23)),'Evidence-First Cell Queue'!$X$6:$X$461)</f>
        <v/>
      </c>
    </row>
    <row r="71">
      <c r="A71" s="0" t="inlineStr">
        <is>
          <t>RNR-H48</t>
        </is>
      </c>
      <c r="B71" s="0">
        <f>INDEX('Evidence-First Cell Queue'!$C$6:$C$461,MATCH($A71,'Evidence-First Cell Queue'!$B$6:$B$461,0))</f>
        <v/>
      </c>
      <c r="C71" s="0">
        <f>INDEX('Evidence-First Cell Queue'!$D$6:$D$461,MATCH($A71,'Evidence-First Cell Queue'!$B$6:$B$461,0))</f>
        <v/>
      </c>
      <c r="D71" s="36">
        <f>LOOKUP(2,1/(('Evidence-First Cell Queue'!$B$6:$B$461=$A71)*('Evidence-First Cell Queue'!$E$6:$E$461=D$23)),'Evidence-First Cell Queue'!$X$6:$X$461)</f>
        <v/>
      </c>
      <c r="E71" s="36">
        <f>LOOKUP(2,1/(('Evidence-First Cell Queue'!$B$6:$B$461=$A71)*('Evidence-First Cell Queue'!$E$6:$E$461=E$23)),'Evidence-First Cell Queue'!$X$6:$X$461)</f>
        <v/>
      </c>
      <c r="F71" s="36">
        <f>LOOKUP(2,1/(('Evidence-First Cell Queue'!$B$6:$B$461=$A71)*('Evidence-First Cell Queue'!$E$6:$E$461=F$23)),'Evidence-First Cell Queue'!$X$6:$X$461)</f>
        <v/>
      </c>
      <c r="G71" s="36">
        <f>LOOKUP(2,1/(('Evidence-First Cell Queue'!$B$6:$B$461=$A71)*('Evidence-First Cell Queue'!$E$6:$E$461=G$23)),'Evidence-First Cell Queue'!$X$6:$X$461)</f>
        <v/>
      </c>
      <c r="H71" s="36">
        <f>LOOKUP(2,1/(('Evidence-First Cell Queue'!$B$6:$B$461=$A71)*('Evidence-First Cell Queue'!$E$6:$E$461=H$23)),'Evidence-First Cell Queue'!$X$6:$X$461)</f>
        <v/>
      </c>
      <c r="I71" s="36">
        <f>LOOKUP(2,1/(('Evidence-First Cell Queue'!$B$6:$B$461=$A71)*('Evidence-First Cell Queue'!$E$6:$E$461=I$23)),'Evidence-First Cell Queue'!$X$6:$X$461)</f>
        <v/>
      </c>
      <c r="J71" s="36">
        <f>LOOKUP(2,1/(('Evidence-First Cell Queue'!$B$6:$B$461=$A71)*('Evidence-First Cell Queue'!$E$6:$E$461=J$23)),'Evidence-First Cell Queue'!$X$6:$X$461)</f>
        <v/>
      </c>
      <c r="K71" s="36">
        <f>LOOKUP(2,1/(('Evidence-First Cell Queue'!$B$6:$B$461=$A71)*('Evidence-First Cell Queue'!$E$6:$E$461=K$23)),'Evidence-First Cell Queue'!$X$6:$X$461)</f>
        <v/>
      </c>
    </row>
    <row r="72">
      <c r="A72" s="0" t="inlineStr">
        <is>
          <t>RNR-H49</t>
        </is>
      </c>
      <c r="B72" s="0">
        <f>INDEX('Evidence-First Cell Queue'!$C$6:$C$461,MATCH($A72,'Evidence-First Cell Queue'!$B$6:$B$461,0))</f>
        <v/>
      </c>
      <c r="C72" s="0">
        <f>INDEX('Evidence-First Cell Queue'!$D$6:$D$461,MATCH($A72,'Evidence-First Cell Queue'!$B$6:$B$461,0))</f>
        <v/>
      </c>
      <c r="D72" s="36">
        <f>LOOKUP(2,1/(('Evidence-First Cell Queue'!$B$6:$B$461=$A72)*('Evidence-First Cell Queue'!$E$6:$E$461=D$23)),'Evidence-First Cell Queue'!$X$6:$X$461)</f>
        <v/>
      </c>
      <c r="E72" s="36">
        <f>LOOKUP(2,1/(('Evidence-First Cell Queue'!$B$6:$B$461=$A72)*('Evidence-First Cell Queue'!$E$6:$E$461=E$23)),'Evidence-First Cell Queue'!$X$6:$X$461)</f>
        <v/>
      </c>
      <c r="F72" s="36">
        <f>LOOKUP(2,1/(('Evidence-First Cell Queue'!$B$6:$B$461=$A72)*('Evidence-First Cell Queue'!$E$6:$E$461=F$23)),'Evidence-First Cell Queue'!$X$6:$X$461)</f>
        <v/>
      </c>
      <c r="G72" s="36">
        <f>LOOKUP(2,1/(('Evidence-First Cell Queue'!$B$6:$B$461=$A72)*('Evidence-First Cell Queue'!$E$6:$E$461=G$23)),'Evidence-First Cell Queue'!$X$6:$X$461)</f>
        <v/>
      </c>
      <c r="H72" s="36">
        <f>LOOKUP(2,1/(('Evidence-First Cell Queue'!$B$6:$B$461=$A72)*('Evidence-First Cell Queue'!$E$6:$E$461=H$23)),'Evidence-First Cell Queue'!$X$6:$X$461)</f>
        <v/>
      </c>
      <c r="I72" s="36">
        <f>LOOKUP(2,1/(('Evidence-First Cell Queue'!$B$6:$B$461=$A72)*('Evidence-First Cell Queue'!$E$6:$E$461=I$23)),'Evidence-First Cell Queue'!$X$6:$X$461)</f>
        <v/>
      </c>
      <c r="J72" s="36">
        <f>LOOKUP(2,1/(('Evidence-First Cell Queue'!$B$6:$B$461=$A72)*('Evidence-First Cell Queue'!$E$6:$E$461=J$23)),'Evidence-First Cell Queue'!$X$6:$X$461)</f>
        <v/>
      </c>
      <c r="K72" s="36">
        <f>LOOKUP(2,1/(('Evidence-First Cell Queue'!$B$6:$B$461=$A72)*('Evidence-First Cell Queue'!$E$6:$E$461=K$23)),'Evidence-First Cell Queue'!$X$6:$X$461)</f>
        <v/>
      </c>
    </row>
    <row r="73">
      <c r="A73" s="0" t="inlineStr">
        <is>
          <t>RNR-H50</t>
        </is>
      </c>
      <c r="B73" s="0">
        <f>INDEX('Evidence-First Cell Queue'!$C$6:$C$461,MATCH($A73,'Evidence-First Cell Queue'!$B$6:$B$461,0))</f>
        <v/>
      </c>
      <c r="C73" s="0">
        <f>INDEX('Evidence-First Cell Queue'!$D$6:$D$461,MATCH($A73,'Evidence-First Cell Queue'!$B$6:$B$461,0))</f>
        <v/>
      </c>
      <c r="D73" s="36">
        <f>LOOKUP(2,1/(('Evidence-First Cell Queue'!$B$6:$B$461=$A73)*('Evidence-First Cell Queue'!$E$6:$E$461=D$23)),'Evidence-First Cell Queue'!$X$6:$X$461)</f>
        <v/>
      </c>
      <c r="E73" s="36">
        <f>LOOKUP(2,1/(('Evidence-First Cell Queue'!$B$6:$B$461=$A73)*('Evidence-First Cell Queue'!$E$6:$E$461=E$23)),'Evidence-First Cell Queue'!$X$6:$X$461)</f>
        <v/>
      </c>
      <c r="F73" s="36">
        <f>LOOKUP(2,1/(('Evidence-First Cell Queue'!$B$6:$B$461=$A73)*('Evidence-First Cell Queue'!$E$6:$E$461=F$23)),'Evidence-First Cell Queue'!$X$6:$X$461)</f>
        <v/>
      </c>
      <c r="G73" s="36">
        <f>LOOKUP(2,1/(('Evidence-First Cell Queue'!$B$6:$B$461=$A73)*('Evidence-First Cell Queue'!$E$6:$E$461=G$23)),'Evidence-First Cell Queue'!$X$6:$X$461)</f>
        <v/>
      </c>
      <c r="H73" s="36">
        <f>LOOKUP(2,1/(('Evidence-First Cell Queue'!$B$6:$B$461=$A73)*('Evidence-First Cell Queue'!$E$6:$E$461=H$23)),'Evidence-First Cell Queue'!$X$6:$X$461)</f>
        <v/>
      </c>
      <c r="I73" s="36">
        <f>LOOKUP(2,1/(('Evidence-First Cell Queue'!$B$6:$B$461=$A73)*('Evidence-First Cell Queue'!$E$6:$E$461=I$23)),'Evidence-First Cell Queue'!$X$6:$X$461)</f>
        <v/>
      </c>
      <c r="J73" s="36">
        <f>LOOKUP(2,1/(('Evidence-First Cell Queue'!$B$6:$B$461=$A73)*('Evidence-First Cell Queue'!$E$6:$E$461=J$23)),'Evidence-First Cell Queue'!$X$6:$X$461)</f>
        <v/>
      </c>
      <c r="K73" s="36">
        <f>LOOKUP(2,1/(('Evidence-First Cell Queue'!$B$6:$B$461=$A73)*('Evidence-First Cell Queue'!$E$6:$E$461=K$23)),'Evidence-First Cell Queue'!$X$6:$X$461)</f>
        <v/>
      </c>
    </row>
    <row r="74">
      <c r="A74" s="0" t="inlineStr">
        <is>
          <t>RNR-H51</t>
        </is>
      </c>
      <c r="B74" s="0">
        <f>INDEX('Evidence-First Cell Queue'!$C$6:$C$461,MATCH($A74,'Evidence-First Cell Queue'!$B$6:$B$461,0))</f>
        <v/>
      </c>
      <c r="C74" s="0">
        <f>INDEX('Evidence-First Cell Queue'!$D$6:$D$461,MATCH($A74,'Evidence-First Cell Queue'!$B$6:$B$461,0))</f>
        <v/>
      </c>
      <c r="D74" s="36">
        <f>LOOKUP(2,1/(('Evidence-First Cell Queue'!$B$6:$B$461=$A74)*('Evidence-First Cell Queue'!$E$6:$E$461=D$23)),'Evidence-First Cell Queue'!$X$6:$X$461)</f>
        <v/>
      </c>
      <c r="E74" s="36">
        <f>LOOKUP(2,1/(('Evidence-First Cell Queue'!$B$6:$B$461=$A74)*('Evidence-First Cell Queue'!$E$6:$E$461=E$23)),'Evidence-First Cell Queue'!$X$6:$X$461)</f>
        <v/>
      </c>
      <c r="F74" s="36">
        <f>LOOKUP(2,1/(('Evidence-First Cell Queue'!$B$6:$B$461=$A74)*('Evidence-First Cell Queue'!$E$6:$E$461=F$23)),'Evidence-First Cell Queue'!$X$6:$X$461)</f>
        <v/>
      </c>
      <c r="G74" s="36">
        <f>LOOKUP(2,1/(('Evidence-First Cell Queue'!$B$6:$B$461=$A74)*('Evidence-First Cell Queue'!$E$6:$E$461=G$23)),'Evidence-First Cell Queue'!$X$6:$X$461)</f>
        <v/>
      </c>
      <c r="H74" s="36">
        <f>LOOKUP(2,1/(('Evidence-First Cell Queue'!$B$6:$B$461=$A74)*('Evidence-First Cell Queue'!$E$6:$E$461=H$23)),'Evidence-First Cell Queue'!$X$6:$X$461)</f>
        <v/>
      </c>
      <c r="I74" s="36">
        <f>LOOKUP(2,1/(('Evidence-First Cell Queue'!$B$6:$B$461=$A74)*('Evidence-First Cell Queue'!$E$6:$E$461=I$23)),'Evidence-First Cell Queue'!$X$6:$X$461)</f>
        <v/>
      </c>
      <c r="J74" s="36">
        <f>LOOKUP(2,1/(('Evidence-First Cell Queue'!$B$6:$B$461=$A74)*('Evidence-First Cell Queue'!$E$6:$E$461=J$23)),'Evidence-First Cell Queue'!$X$6:$X$461)</f>
        <v/>
      </c>
      <c r="K74" s="36">
        <f>LOOKUP(2,1/(('Evidence-First Cell Queue'!$B$6:$B$461=$A74)*('Evidence-First Cell Queue'!$E$6:$E$461=K$23)),'Evidence-First Cell Queue'!$X$6:$X$461)</f>
        <v/>
      </c>
    </row>
    <row r="75">
      <c r="A75" s="0" t="inlineStr">
        <is>
          <t>RNR-H52</t>
        </is>
      </c>
      <c r="B75" s="0">
        <f>INDEX('Evidence-First Cell Queue'!$C$6:$C$461,MATCH($A75,'Evidence-First Cell Queue'!$B$6:$B$461,0))</f>
        <v/>
      </c>
      <c r="C75" s="0">
        <f>INDEX('Evidence-First Cell Queue'!$D$6:$D$461,MATCH($A75,'Evidence-First Cell Queue'!$B$6:$B$461,0))</f>
        <v/>
      </c>
      <c r="D75" s="36">
        <f>LOOKUP(2,1/(('Evidence-First Cell Queue'!$B$6:$B$461=$A75)*('Evidence-First Cell Queue'!$E$6:$E$461=D$23)),'Evidence-First Cell Queue'!$X$6:$X$461)</f>
        <v/>
      </c>
      <c r="E75" s="36">
        <f>LOOKUP(2,1/(('Evidence-First Cell Queue'!$B$6:$B$461=$A75)*('Evidence-First Cell Queue'!$E$6:$E$461=E$23)),'Evidence-First Cell Queue'!$X$6:$X$461)</f>
        <v/>
      </c>
      <c r="F75" s="36">
        <f>LOOKUP(2,1/(('Evidence-First Cell Queue'!$B$6:$B$461=$A75)*('Evidence-First Cell Queue'!$E$6:$E$461=F$23)),'Evidence-First Cell Queue'!$X$6:$X$461)</f>
        <v/>
      </c>
      <c r="G75" s="36">
        <f>LOOKUP(2,1/(('Evidence-First Cell Queue'!$B$6:$B$461=$A75)*('Evidence-First Cell Queue'!$E$6:$E$461=G$23)),'Evidence-First Cell Queue'!$X$6:$X$461)</f>
        <v/>
      </c>
      <c r="H75" s="36">
        <f>LOOKUP(2,1/(('Evidence-First Cell Queue'!$B$6:$B$461=$A75)*('Evidence-First Cell Queue'!$E$6:$E$461=H$23)),'Evidence-First Cell Queue'!$X$6:$X$461)</f>
        <v/>
      </c>
      <c r="I75" s="36">
        <f>LOOKUP(2,1/(('Evidence-First Cell Queue'!$B$6:$B$461=$A75)*('Evidence-First Cell Queue'!$E$6:$E$461=I$23)),'Evidence-First Cell Queue'!$X$6:$X$461)</f>
        <v/>
      </c>
      <c r="J75" s="36">
        <f>LOOKUP(2,1/(('Evidence-First Cell Queue'!$B$6:$B$461=$A75)*('Evidence-First Cell Queue'!$E$6:$E$461=J$23)),'Evidence-First Cell Queue'!$X$6:$X$461)</f>
        <v/>
      </c>
      <c r="K75" s="36">
        <f>LOOKUP(2,1/(('Evidence-First Cell Queue'!$B$6:$B$461=$A75)*('Evidence-First Cell Queue'!$E$6:$E$461=K$23)),'Evidence-First Cell Queue'!$X$6:$X$461)</f>
        <v/>
      </c>
    </row>
    <row r="76">
      <c r="A76" s="0" t="inlineStr">
        <is>
          <t>RNR-H53</t>
        </is>
      </c>
      <c r="B76" s="0">
        <f>INDEX('Evidence-First Cell Queue'!$C$6:$C$461,MATCH($A76,'Evidence-First Cell Queue'!$B$6:$B$461,0))</f>
        <v/>
      </c>
      <c r="C76" s="0">
        <f>INDEX('Evidence-First Cell Queue'!$D$6:$D$461,MATCH($A76,'Evidence-First Cell Queue'!$B$6:$B$461,0))</f>
        <v/>
      </c>
      <c r="D76" s="36">
        <f>LOOKUP(2,1/(('Evidence-First Cell Queue'!$B$6:$B$461=$A76)*('Evidence-First Cell Queue'!$E$6:$E$461=D$23)),'Evidence-First Cell Queue'!$X$6:$X$461)</f>
        <v/>
      </c>
      <c r="E76" s="36">
        <f>LOOKUP(2,1/(('Evidence-First Cell Queue'!$B$6:$B$461=$A76)*('Evidence-First Cell Queue'!$E$6:$E$461=E$23)),'Evidence-First Cell Queue'!$X$6:$X$461)</f>
        <v/>
      </c>
      <c r="F76" s="36">
        <f>LOOKUP(2,1/(('Evidence-First Cell Queue'!$B$6:$B$461=$A76)*('Evidence-First Cell Queue'!$E$6:$E$461=F$23)),'Evidence-First Cell Queue'!$X$6:$X$461)</f>
        <v/>
      </c>
      <c r="G76" s="36">
        <f>LOOKUP(2,1/(('Evidence-First Cell Queue'!$B$6:$B$461=$A76)*('Evidence-First Cell Queue'!$E$6:$E$461=G$23)),'Evidence-First Cell Queue'!$X$6:$X$461)</f>
        <v/>
      </c>
      <c r="H76" s="36">
        <f>LOOKUP(2,1/(('Evidence-First Cell Queue'!$B$6:$B$461=$A76)*('Evidence-First Cell Queue'!$E$6:$E$461=H$23)),'Evidence-First Cell Queue'!$X$6:$X$461)</f>
        <v/>
      </c>
      <c r="I76" s="36">
        <f>LOOKUP(2,1/(('Evidence-First Cell Queue'!$B$6:$B$461=$A76)*('Evidence-First Cell Queue'!$E$6:$E$461=I$23)),'Evidence-First Cell Queue'!$X$6:$X$461)</f>
        <v/>
      </c>
      <c r="J76" s="36">
        <f>LOOKUP(2,1/(('Evidence-First Cell Queue'!$B$6:$B$461=$A76)*('Evidence-First Cell Queue'!$E$6:$E$461=J$23)),'Evidence-First Cell Queue'!$X$6:$X$461)</f>
        <v/>
      </c>
      <c r="K76" s="36">
        <f>LOOKUP(2,1/(('Evidence-First Cell Queue'!$B$6:$B$461=$A76)*('Evidence-First Cell Queue'!$E$6:$E$461=K$23)),'Evidence-First Cell Queue'!$X$6:$X$461)</f>
        <v/>
      </c>
    </row>
    <row r="77">
      <c r="A77" s="0" t="inlineStr">
        <is>
          <t>RNR-H54</t>
        </is>
      </c>
      <c r="B77" s="0">
        <f>INDEX('Evidence-First Cell Queue'!$C$6:$C$461,MATCH($A77,'Evidence-First Cell Queue'!$B$6:$B$461,0))</f>
        <v/>
      </c>
      <c r="C77" s="0">
        <f>INDEX('Evidence-First Cell Queue'!$D$6:$D$461,MATCH($A77,'Evidence-First Cell Queue'!$B$6:$B$461,0))</f>
        <v/>
      </c>
      <c r="D77" s="36">
        <f>LOOKUP(2,1/(('Evidence-First Cell Queue'!$B$6:$B$461=$A77)*('Evidence-First Cell Queue'!$E$6:$E$461=D$23)),'Evidence-First Cell Queue'!$X$6:$X$461)</f>
        <v/>
      </c>
      <c r="E77" s="36">
        <f>LOOKUP(2,1/(('Evidence-First Cell Queue'!$B$6:$B$461=$A77)*('Evidence-First Cell Queue'!$E$6:$E$461=E$23)),'Evidence-First Cell Queue'!$X$6:$X$461)</f>
        <v/>
      </c>
      <c r="F77" s="36">
        <f>LOOKUP(2,1/(('Evidence-First Cell Queue'!$B$6:$B$461=$A77)*('Evidence-First Cell Queue'!$E$6:$E$461=F$23)),'Evidence-First Cell Queue'!$X$6:$X$461)</f>
        <v/>
      </c>
      <c r="G77" s="36">
        <f>LOOKUP(2,1/(('Evidence-First Cell Queue'!$B$6:$B$461=$A77)*('Evidence-First Cell Queue'!$E$6:$E$461=G$23)),'Evidence-First Cell Queue'!$X$6:$X$461)</f>
        <v/>
      </c>
      <c r="H77" s="36">
        <f>LOOKUP(2,1/(('Evidence-First Cell Queue'!$B$6:$B$461=$A77)*('Evidence-First Cell Queue'!$E$6:$E$461=H$23)),'Evidence-First Cell Queue'!$X$6:$X$461)</f>
        <v/>
      </c>
      <c r="I77" s="36">
        <f>LOOKUP(2,1/(('Evidence-First Cell Queue'!$B$6:$B$461=$A77)*('Evidence-First Cell Queue'!$E$6:$E$461=I$23)),'Evidence-First Cell Queue'!$X$6:$X$461)</f>
        <v/>
      </c>
      <c r="J77" s="36">
        <f>LOOKUP(2,1/(('Evidence-First Cell Queue'!$B$6:$B$461=$A77)*('Evidence-First Cell Queue'!$E$6:$E$461=J$23)),'Evidence-First Cell Queue'!$X$6:$X$461)</f>
        <v/>
      </c>
      <c r="K77" s="36">
        <f>LOOKUP(2,1/(('Evidence-First Cell Queue'!$B$6:$B$461=$A77)*('Evidence-First Cell Queue'!$E$6:$E$461=K$23)),'Evidence-First Cell Queue'!$X$6:$X$461)</f>
        <v/>
      </c>
    </row>
    <row r="78">
      <c r="A78" s="0" t="inlineStr">
        <is>
          <t>RNR-H55</t>
        </is>
      </c>
      <c r="B78" s="0">
        <f>INDEX('Evidence-First Cell Queue'!$C$6:$C$461,MATCH($A78,'Evidence-First Cell Queue'!$B$6:$B$461,0))</f>
        <v/>
      </c>
      <c r="C78" s="0">
        <f>INDEX('Evidence-First Cell Queue'!$D$6:$D$461,MATCH($A78,'Evidence-First Cell Queue'!$B$6:$B$461,0))</f>
        <v/>
      </c>
      <c r="D78" s="36">
        <f>LOOKUP(2,1/(('Evidence-First Cell Queue'!$B$6:$B$461=$A78)*('Evidence-First Cell Queue'!$E$6:$E$461=D$23)),'Evidence-First Cell Queue'!$X$6:$X$461)</f>
        <v/>
      </c>
      <c r="E78" s="36">
        <f>LOOKUP(2,1/(('Evidence-First Cell Queue'!$B$6:$B$461=$A78)*('Evidence-First Cell Queue'!$E$6:$E$461=E$23)),'Evidence-First Cell Queue'!$X$6:$X$461)</f>
        <v/>
      </c>
      <c r="F78" s="36">
        <f>LOOKUP(2,1/(('Evidence-First Cell Queue'!$B$6:$B$461=$A78)*('Evidence-First Cell Queue'!$E$6:$E$461=F$23)),'Evidence-First Cell Queue'!$X$6:$X$461)</f>
        <v/>
      </c>
      <c r="G78" s="36">
        <f>LOOKUP(2,1/(('Evidence-First Cell Queue'!$B$6:$B$461=$A78)*('Evidence-First Cell Queue'!$E$6:$E$461=G$23)),'Evidence-First Cell Queue'!$X$6:$X$461)</f>
        <v/>
      </c>
      <c r="H78" s="36">
        <f>LOOKUP(2,1/(('Evidence-First Cell Queue'!$B$6:$B$461=$A78)*('Evidence-First Cell Queue'!$E$6:$E$461=H$23)),'Evidence-First Cell Queue'!$X$6:$X$461)</f>
        <v/>
      </c>
      <c r="I78" s="36">
        <f>LOOKUP(2,1/(('Evidence-First Cell Queue'!$B$6:$B$461=$A78)*('Evidence-First Cell Queue'!$E$6:$E$461=I$23)),'Evidence-First Cell Queue'!$X$6:$X$461)</f>
        <v/>
      </c>
      <c r="J78" s="36">
        <f>LOOKUP(2,1/(('Evidence-First Cell Queue'!$B$6:$B$461=$A78)*('Evidence-First Cell Queue'!$E$6:$E$461=J$23)),'Evidence-First Cell Queue'!$X$6:$X$461)</f>
        <v/>
      </c>
      <c r="K78" s="36">
        <f>LOOKUP(2,1/(('Evidence-First Cell Queue'!$B$6:$B$461=$A78)*('Evidence-First Cell Queue'!$E$6:$E$461=K$23)),'Evidence-First Cell Queue'!$X$6:$X$461)</f>
        <v/>
      </c>
    </row>
    <row r="79">
      <c r="A79" s="0" t="inlineStr">
        <is>
          <t>RNR-H56</t>
        </is>
      </c>
      <c r="B79" s="0">
        <f>INDEX('Evidence-First Cell Queue'!$C$6:$C$461,MATCH($A79,'Evidence-First Cell Queue'!$B$6:$B$461,0))</f>
        <v/>
      </c>
      <c r="C79" s="0">
        <f>INDEX('Evidence-First Cell Queue'!$D$6:$D$461,MATCH($A79,'Evidence-First Cell Queue'!$B$6:$B$461,0))</f>
        <v/>
      </c>
      <c r="D79" s="36">
        <f>LOOKUP(2,1/(('Evidence-First Cell Queue'!$B$6:$B$461=$A79)*('Evidence-First Cell Queue'!$E$6:$E$461=D$23)),'Evidence-First Cell Queue'!$X$6:$X$461)</f>
        <v/>
      </c>
      <c r="E79" s="36">
        <f>LOOKUP(2,1/(('Evidence-First Cell Queue'!$B$6:$B$461=$A79)*('Evidence-First Cell Queue'!$E$6:$E$461=E$23)),'Evidence-First Cell Queue'!$X$6:$X$461)</f>
        <v/>
      </c>
      <c r="F79" s="36">
        <f>LOOKUP(2,1/(('Evidence-First Cell Queue'!$B$6:$B$461=$A79)*('Evidence-First Cell Queue'!$E$6:$E$461=F$23)),'Evidence-First Cell Queue'!$X$6:$X$461)</f>
        <v/>
      </c>
      <c r="G79" s="36">
        <f>LOOKUP(2,1/(('Evidence-First Cell Queue'!$B$6:$B$461=$A79)*('Evidence-First Cell Queue'!$E$6:$E$461=G$23)),'Evidence-First Cell Queue'!$X$6:$X$461)</f>
        <v/>
      </c>
      <c r="H79" s="36">
        <f>LOOKUP(2,1/(('Evidence-First Cell Queue'!$B$6:$B$461=$A79)*('Evidence-First Cell Queue'!$E$6:$E$461=H$23)),'Evidence-First Cell Queue'!$X$6:$X$461)</f>
        <v/>
      </c>
      <c r="I79" s="36">
        <f>LOOKUP(2,1/(('Evidence-First Cell Queue'!$B$6:$B$461=$A79)*('Evidence-First Cell Queue'!$E$6:$E$461=I$23)),'Evidence-First Cell Queue'!$X$6:$X$461)</f>
        <v/>
      </c>
      <c r="J79" s="36">
        <f>LOOKUP(2,1/(('Evidence-First Cell Queue'!$B$6:$B$461=$A79)*('Evidence-First Cell Queue'!$E$6:$E$461=J$23)),'Evidence-First Cell Queue'!$X$6:$X$461)</f>
        <v/>
      </c>
      <c r="K79" s="36">
        <f>LOOKUP(2,1/(('Evidence-First Cell Queue'!$B$6:$B$461=$A79)*('Evidence-First Cell Queue'!$E$6:$E$461=K$23)),'Evidence-First Cell Queue'!$X$6:$X$461)</f>
        <v/>
      </c>
    </row>
    <row r="80">
      <c r="A80" s="0" t="inlineStr">
        <is>
          <t>RNR-H57</t>
        </is>
      </c>
      <c r="B80" s="0">
        <f>INDEX('Evidence-First Cell Queue'!$C$6:$C$461,MATCH($A80,'Evidence-First Cell Queue'!$B$6:$B$461,0))</f>
        <v/>
      </c>
      <c r="C80" s="0">
        <f>INDEX('Evidence-First Cell Queue'!$D$6:$D$461,MATCH($A80,'Evidence-First Cell Queue'!$B$6:$B$461,0))</f>
        <v/>
      </c>
      <c r="D80" s="36">
        <f>LOOKUP(2,1/(('Evidence-First Cell Queue'!$B$6:$B$461=$A80)*('Evidence-First Cell Queue'!$E$6:$E$461=D$23)),'Evidence-First Cell Queue'!$X$6:$X$461)</f>
        <v/>
      </c>
      <c r="E80" s="36">
        <f>LOOKUP(2,1/(('Evidence-First Cell Queue'!$B$6:$B$461=$A80)*('Evidence-First Cell Queue'!$E$6:$E$461=E$23)),'Evidence-First Cell Queue'!$X$6:$X$461)</f>
        <v/>
      </c>
      <c r="F80" s="36">
        <f>LOOKUP(2,1/(('Evidence-First Cell Queue'!$B$6:$B$461=$A80)*('Evidence-First Cell Queue'!$E$6:$E$461=F$23)),'Evidence-First Cell Queue'!$X$6:$X$461)</f>
        <v/>
      </c>
      <c r="G80" s="36">
        <f>LOOKUP(2,1/(('Evidence-First Cell Queue'!$B$6:$B$461=$A80)*('Evidence-First Cell Queue'!$E$6:$E$461=G$23)),'Evidence-First Cell Queue'!$X$6:$X$461)</f>
        <v/>
      </c>
      <c r="H80" s="36">
        <f>LOOKUP(2,1/(('Evidence-First Cell Queue'!$B$6:$B$461=$A80)*('Evidence-First Cell Queue'!$E$6:$E$461=H$23)),'Evidence-First Cell Queue'!$X$6:$X$461)</f>
        <v/>
      </c>
      <c r="I80" s="36">
        <f>LOOKUP(2,1/(('Evidence-First Cell Queue'!$B$6:$B$461=$A80)*('Evidence-First Cell Queue'!$E$6:$E$461=I$23)),'Evidence-First Cell Queue'!$X$6:$X$461)</f>
        <v/>
      </c>
      <c r="J80" s="36">
        <f>LOOKUP(2,1/(('Evidence-First Cell Queue'!$B$6:$B$461=$A80)*('Evidence-First Cell Queue'!$E$6:$E$461=J$23)),'Evidence-First Cell Queue'!$X$6:$X$461)</f>
        <v/>
      </c>
      <c r="K80" s="36">
        <f>LOOKUP(2,1/(('Evidence-First Cell Queue'!$B$6:$B$461=$A80)*('Evidence-First Cell Queue'!$E$6:$E$461=K$23)),'Evidence-First Cell Queue'!$X$6:$X$461)</f>
        <v/>
      </c>
    </row>
  </sheetData>
  <mergeCells count="1">
    <mergeCell ref="A2:R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queue contains 141 released A/Q/D metric cells and 315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10 to 37 cells across branches (spread 27),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Latter-day Saint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141 released result cells / 315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10–37 (spread 27)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Latter-day Saint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Latter-day Saint source/example</t>
        </is>
      </c>
      <c r="F5" s="5" t="inlineStr">
        <is>
          <t>Latter-day Saint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 — in the Nicene Creed and in the Articles of Faith alike. Shared naming does not establish identical Trinity/Godhead ontology.</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 and confessional Christianity commonly affirms one divine essence or nature shared by Father, Son, and Spirit. Do not reduce all Christian Trinitarian traditions to one philosophical theory.</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 account of the Father and the Son. This panel is explanatory; it does not create a new A/Q/D row.</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 The exact meaning of divine unity must be stated tradition by tradition.</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T51"/>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style="29" min="1" max="1"/>
    <col width="22" customWidth="1" style="29" min="2" max="2"/>
    <col width="52" customWidth="1" style="29" min="3" max="3"/>
    <col width="24" customWidth="1" style="29" min="4" max="4"/>
    <col width="40" customWidth="1" style="29" min="5" max="5"/>
    <col width="24" customWidth="1" style="29" min="6" max="6"/>
    <col width="70" customWidth="1" style="29" min="7" max="7"/>
    <col width="62" customWidth="1" style="29" min="8" max="8"/>
    <col width="24" customWidth="1" style="29" min="9" max="9"/>
    <col width="62" customWidth="1" style="29" min="10" max="10"/>
    <col width="22" customWidth="1" style="29" min="11" max="11"/>
    <col width="18" customWidth="1" style="29" min="12" max="12"/>
    <col width="20" customWidth="1" style="29" min="13" max="13"/>
    <col width="20" customWidth="1" style="29" min="14" max="14"/>
    <col width="18" customWidth="1" style="29" min="15" max="15"/>
    <col width="44" customWidth="1" style="29" min="16" max="16"/>
    <col width="14" customWidth="1" style="29" min="17" max="17"/>
    <col width="40" customWidth="1" style="29" min="18" max="18"/>
    <col width="10" customWidth="1" style="29" min="19" max="19"/>
    <col width="14" customWidth="1" style="29" min="20" max="20"/>
  </cols>
  <sheetData>
    <row r="1">
      <c r="A1" s="43" t="inlineStr">
        <is>
          <t>Branch Source Registry — author-ratified standards each branch may be cited from (Gate 5, v2.25r3 AN03 MIGRATION VATICANNEWS)</t>
        </is>
      </c>
    </row>
    <row r="2">
      <c r="A2" s="44" t="inlineStr">
        <is>
          <t>Registry-only enforcement: a cell may cite a source only if its publisher_domain appears in this sheet for that branch with status AUTHOR_RATIFIED. Rows with status RETIRED or DRAFT are not citable. LINEAGE rows are third-party hosts already cited by released cells and are marked in draft_recommendation. text_hash is set by the corpus builder at first fetch; drift halts the run.</t>
        </is>
      </c>
    </row>
    <row r="4">
      <c r="A4" s="45" t="inlineStr">
        <is>
          <t>registry_id</t>
        </is>
      </c>
      <c r="B4" s="45" t="inlineStr">
        <is>
          <t>branch</t>
        </is>
      </c>
      <c r="C4" s="45" t="inlineStr">
        <is>
          <t>standard_title</t>
        </is>
      </c>
      <c r="D4" s="45" t="inlineStr">
        <is>
          <t>authority_tier</t>
        </is>
      </c>
      <c r="E4" s="45" t="inlineStr">
        <is>
          <t>speaks_for</t>
        </is>
      </c>
      <c r="F4" s="45" t="inlineStr">
        <is>
          <t>reception_scope</t>
        </is>
      </c>
      <c r="G4" s="45" t="inlineStr">
        <is>
          <t>reception_note</t>
        </is>
      </c>
      <c r="H4" s="45" t="inlineStr">
        <is>
          <t>scope_caveat</t>
        </is>
      </c>
      <c r="I4" s="45" t="inlineStr">
        <is>
          <t>publisher_domain</t>
        </is>
      </c>
      <c r="J4" s="45" t="inlineStr">
        <is>
          <t>canonical_url</t>
        </is>
      </c>
      <c r="K4" s="45" t="inlineStr">
        <is>
          <t>fetch_mode</t>
        </is>
      </c>
      <c r="L4" s="45" t="inlineStr">
        <is>
          <t>text_hash</t>
        </is>
      </c>
      <c r="M4" s="45" t="inlineStr">
        <is>
          <t>status</t>
        </is>
      </c>
      <c r="N4" s="45" t="inlineStr">
        <is>
          <t>author_decision</t>
        </is>
      </c>
      <c r="O4" s="45" t="inlineStr">
        <is>
          <t>reason_code</t>
        </is>
      </c>
      <c r="P4" s="45" t="inlineStr">
        <is>
          <t>author_note</t>
        </is>
      </c>
      <c r="Q4" s="45" t="inlineStr">
        <is>
          <t>released_cells</t>
        </is>
      </c>
      <c r="R4" s="45" t="inlineStr">
        <is>
          <t>draft_recommendation</t>
        </is>
      </c>
      <c r="S4" s="45" t="inlineStr">
        <is>
          <t>initials</t>
        </is>
      </c>
      <c r="T4" s="45" t="inlineStr">
        <is>
          <t>decision_date</t>
        </is>
      </c>
    </row>
    <row r="5">
      <c r="A5" s="41" t="inlineStr">
        <is>
          <t>BSR-RC-01</t>
        </is>
      </c>
      <c r="B5" s="41" t="inlineStr">
        <is>
          <t>Roman Catholic</t>
        </is>
      </c>
      <c r="C5" s="41" t="inlineStr">
        <is>
          <t>Catechism of the Catholic Church (English), Part One §2</t>
        </is>
      </c>
      <c r="D5" s="41" t="inlineStr">
        <is>
          <t>CATECHETICAL</t>
        </is>
      </c>
      <c r="E5" s="41" t="inlineStr">
        <is>
          <t>Universal Church</t>
        </is>
      </c>
      <c r="F5" s="41" t="inlineStr">
        <is>
          <t>UNIVERSAL</t>
        </is>
      </c>
      <c r="G5" s="41" t="inlineStr"/>
      <c r="H5" s="41" t="inlineStr">
        <is>
          <t>These standards bind the whole Catholic Church; the Catechism is a synthesis of conciliar and magisterial teaching, not itself a council.</t>
        </is>
      </c>
      <c r="I5" s="41" t="inlineStr">
        <is>
          <t>vatican.va</t>
        </is>
      </c>
      <c r="J5" s="41" t="inlineStr">
        <is>
          <t>https://www.vatican.va/content/catechism/en/part_one/section_two/chapter_one/article_1/paragraph_1_i_believe_in_god.html</t>
        </is>
      </c>
      <c r="K5" s="41" t="inlineStr">
        <is>
          <t>HTML</t>
        </is>
      </c>
      <c r="L5" s="41" t="inlineStr"/>
      <c r="M5" s="41" t="inlineStr">
        <is>
          <t>AUTHOR_RATIFIED</t>
        </is>
      </c>
      <c r="N5" s="41" t="inlineStr">
        <is>
          <t>APPROVE</t>
        </is>
      </c>
      <c r="O5" s="41" t="inlineStr"/>
      <c r="P5" s="41" t="inlineStr"/>
      <c r="Q5" s="41" t="inlineStr"/>
      <c r="R5" s="41" t="inlineStr">
        <is>
          <t>INCLUDE</t>
        </is>
      </c>
      <c r="S5" s="41" t="inlineStr">
        <is>
          <t>AJP</t>
        </is>
      </c>
      <c r="T5" s="41" t="inlineStr">
        <is>
          <t>2026-09-10</t>
        </is>
      </c>
    </row>
    <row r="6">
      <c r="A6" s="41" t="inlineStr">
        <is>
          <t>BSR-RC-02</t>
        </is>
      </c>
      <c r="B6" s="41" t="inlineStr">
        <is>
          <t>Roman Catholic</t>
        </is>
      </c>
      <c r="C6" s="41" t="inlineStr">
        <is>
          <t>Vatican I, *Dei Filius* (Latin, official)</t>
        </is>
      </c>
      <c r="D6" s="41" t="inlineStr">
        <is>
          <t>CONCILIAR</t>
        </is>
      </c>
      <c r="E6" s="41" t="inlineStr">
        <is>
          <t>Universal Church</t>
        </is>
      </c>
      <c r="F6" s="41" t="inlineStr">
        <is>
          <t>UNIVERSAL</t>
        </is>
      </c>
      <c r="G6" s="41" t="inlineStr"/>
      <c r="H6" s="41" t="inlineStr">
        <is>
          <t>These standards bind the whole Catholic Church; the Catechism is a synthesis of conciliar and magisterial teaching, not itself a council.</t>
        </is>
      </c>
      <c r="I6" s="41" t="inlineStr">
        <is>
          <t>vatican.va</t>
        </is>
      </c>
      <c r="J6" s="41" t="inlineStr">
        <is>
          <t>https://www.vatican.va/archive/hist_councils/i-vatican-council/documents/vat-i_const_18700424_dei-filius_la.html</t>
        </is>
      </c>
      <c r="K6" s="41" t="inlineStr">
        <is>
          <t>HTML</t>
        </is>
      </c>
      <c r="L6" s="41" t="inlineStr"/>
      <c r="M6" s="41" t="inlineStr">
        <is>
          <t>AUTHOR_RATIFIED</t>
        </is>
      </c>
      <c r="N6" s="41" t="inlineStr">
        <is>
          <t>APPROVE</t>
        </is>
      </c>
      <c r="O6" s="41" t="inlineStr"/>
      <c r="P6" s="41" t="inlineStr"/>
      <c r="Q6" s="41" t="inlineStr"/>
      <c r="R6" s="41" t="inlineStr">
        <is>
          <t>INCLUDE (Latin controls; English witness below)</t>
        </is>
      </c>
      <c r="S6" s="41" t="inlineStr">
        <is>
          <t>AJP</t>
        </is>
      </c>
      <c r="T6" s="41" t="inlineStr">
        <is>
          <t>2026-09-10</t>
        </is>
      </c>
    </row>
    <row r="7">
      <c r="A7" s="41" t="inlineStr">
        <is>
          <t>BSR-RC-03</t>
        </is>
      </c>
      <c r="B7" s="41" t="inlineStr">
        <is>
          <t>Roman Catholic</t>
        </is>
      </c>
      <c r="C7" s="41" t="inlineStr">
        <is>
          <t>*Dei Filius* English (EWTN)</t>
        </is>
      </c>
      <c r="D7" s="41" t="inlineStr">
        <is>
          <t>CONCILIAR (translation)</t>
        </is>
      </c>
      <c r="E7" s="41" t="inlineStr">
        <is>
          <t>—</t>
        </is>
      </c>
      <c r="F7" s="41" t="inlineStr">
        <is>
          <t>TRANSLATION_WITNESS</t>
        </is>
      </c>
      <c r="G7" s="41" t="inlineStr"/>
      <c r="H7" s="41" t="inlineStr">
        <is>
          <t>These standards bind the whole Catholic Church; the Catechism is a synthesis of conciliar and magisterial teaching, not itself a council.</t>
        </is>
      </c>
      <c r="I7" s="41" t="inlineStr">
        <is>
          <t>ewtn.com</t>
        </is>
      </c>
      <c r="J7" s="41" t="inlineStr">
        <is>
          <t>https://www.ewtn.com/catholicism/teachings/vatican-i-dogmatic-constitution-dei-filius-on-the-catholic-faith-241</t>
        </is>
      </c>
      <c r="K7" s="41" t="inlineStr">
        <is>
          <t>RENDERED (fetch returned ~200 words; likely paginated)</t>
        </is>
      </c>
      <c r="L7" s="41" t="inlineStr"/>
      <c r="M7" s="41" t="inlineStr">
        <is>
          <t>AUTHOR_RATIFIED</t>
        </is>
      </c>
      <c r="N7" s="41" t="inlineStr">
        <is>
          <t>APPROVE</t>
        </is>
      </c>
      <c r="O7" s="41" t="inlineStr"/>
      <c r="P7" s="41" t="inlineStr"/>
      <c r="Q7" s="41" t="n">
        <v>7</v>
      </c>
      <c r="R7" s="41" t="inlineStr">
        <is>
          <t>LINEAGE (7 released cells)</t>
        </is>
      </c>
      <c r="S7" s="41" t="inlineStr">
        <is>
          <t>AJP</t>
        </is>
      </c>
      <c r="T7" s="41" t="inlineStr">
        <is>
          <t>2026-09-10</t>
        </is>
      </c>
    </row>
    <row r="8">
      <c r="A8" s="41" t="inlineStr">
        <is>
          <t>BSR-RC-04</t>
        </is>
      </c>
      <c r="B8" s="41" t="inlineStr">
        <is>
          <t>Roman Catholic</t>
        </is>
      </c>
      <c r="C8" s="41" t="inlineStr">
        <is>
          <t>Fourth Lateran Council, canons 1-2 (Firmiter credimus; Damnamus ergo)</t>
        </is>
      </c>
      <c r="D8" s="41" t="inlineStr">
        <is>
          <t>CONCILIAR</t>
        </is>
      </c>
      <c r="E8" s="41" t="inlineStr">
        <is>
          <t>Universal Church</t>
        </is>
      </c>
      <c r="F8" s="41" t="inlineStr">
        <is>
          <t>UNIVERSAL</t>
        </is>
      </c>
      <c r="G8" s="41" t="inlineStr"/>
      <c r="H8" s="41" t="inlineStr">
        <is>
          <t>These standards bind the whole Catholic Church; the Catechism is a synthesis of conciliar and magisterial teaching, not itself a council.</t>
        </is>
      </c>
      <c r="I8" s="41" t="inlineStr">
        <is>
          <t>papalencyclicals.net</t>
        </is>
      </c>
      <c r="J8" s="41" t="inlineStr">
        <is>
          <t>https://www.papalencyclicals.net/councils/ecum12-2.htm</t>
        </is>
      </c>
      <c r="K8" s="41" t="inlineStr">
        <is>
          <t>HTML</t>
        </is>
      </c>
      <c r="L8" s="41" t="inlineStr"/>
      <c r="M8" s="41" t="inlineStr">
        <is>
          <t>AUTHOR_RATIFIED</t>
        </is>
      </c>
      <c r="N8" s="41" t="inlineStr">
        <is>
          <t>APPROVE</t>
        </is>
      </c>
      <c r="O8" s="41" t="inlineStr"/>
      <c r="P8" s="41" t="inlineStr"/>
      <c r="Q8" s="41" t="inlineStr"/>
      <c r="R8" s="41" t="inlineStr">
        <is>
          <t>INCLUDE WITH CAVEAT (third-party host; Tanner translation unattributed on page)</t>
        </is>
      </c>
      <c r="S8" s="41" t="inlineStr">
        <is>
          <t>AJP</t>
        </is>
      </c>
      <c r="T8" s="41" t="inlineStr">
        <is>
          <t>2026-09-10</t>
        </is>
      </c>
    </row>
    <row r="9">
      <c r="A9" s="41" t="inlineStr">
        <is>
          <t>BSR-RC-05</t>
        </is>
      </c>
      <c r="B9" s="41" t="inlineStr">
        <is>
          <t>Roman Catholic</t>
        </is>
      </c>
      <c r="C9" s="41" t="inlineStr">
        <is>
          <t>Fourth Lateran (Fordham sourcebook)</t>
        </is>
      </c>
      <c r="D9" s="41" t="inlineStr">
        <is>
          <t>CONCILIAR (translation)</t>
        </is>
      </c>
      <c r="E9" s="41" t="inlineStr">
        <is>
          <t>—</t>
        </is>
      </c>
      <c r="F9" s="41" t="inlineStr">
        <is>
          <t>TRANSLATION_WITNESS</t>
        </is>
      </c>
      <c r="G9" s="41" t="inlineStr"/>
      <c r="H9" s="41" t="inlineStr">
        <is>
          <t>These standards bind the whole Catholic Church; the Catechism is a synthesis of conciliar and magisterial teaching, not itself a council.</t>
        </is>
      </c>
      <c r="I9" s="41" t="inlineStr">
        <is>
          <t>sourcebooks.web.fordham.edu</t>
        </is>
      </c>
      <c r="J9" s="41" t="inlineStr">
        <is>
          <t>sourcebooks.web.fordham.edu (as cited in 4 released cells)</t>
        </is>
      </c>
      <c r="K9" s="41" t="inlineStr">
        <is>
          <t>HTML</t>
        </is>
      </c>
      <c r="L9" s="41" t="inlineStr"/>
      <c r="M9" s="41" t="inlineStr">
        <is>
          <t>AUTHOR_RATIFIED</t>
        </is>
      </c>
      <c r="N9" s="41" t="inlineStr">
        <is>
          <t>APPROVE</t>
        </is>
      </c>
      <c r="O9" s="41" t="inlineStr"/>
      <c r="P9" s="41" t="inlineStr"/>
      <c r="Q9" s="41" t="n">
        <v>4</v>
      </c>
      <c r="R9" s="41" t="inlineStr">
        <is>
          <t>LINEAGE</t>
        </is>
      </c>
      <c r="S9" s="41" t="inlineStr">
        <is>
          <t>AJP</t>
        </is>
      </c>
      <c r="T9" s="41" t="inlineStr">
        <is>
          <t>2026-09-10</t>
        </is>
      </c>
    </row>
    <row r="10">
      <c r="A10" s="41" t="inlineStr">
        <is>
          <t>BSR-RC-06</t>
        </is>
      </c>
      <c r="B10" s="41" t="inlineStr">
        <is>
          <t>Roman Catholic</t>
        </is>
      </c>
      <c r="C10" s="41" t="inlineStr">
        <is>
          <t>Creeds as received (Apostles', Nicene, Athanasian), Vatican-hosted</t>
        </is>
      </c>
      <c r="D10" s="41" t="inlineStr">
        <is>
          <t>CONFESSIONAL (row floor; Nicene and Athanasian resolve CONCILIAR)</t>
        </is>
      </c>
      <c r="E10" s="41" t="inlineStr">
        <is>
          <t>Universal Church</t>
        </is>
      </c>
      <c r="F10" s="41" t="inlineStr">
        <is>
          <t>UNIVERSAL</t>
        </is>
      </c>
      <c r="G10" s="41" t="inlineStr">
        <is>
          <t>Title de-domained 2026-09-12: the phrase "on vatican.va / vaticannews.va" was leaking a domain into the R001 allowlist through standard_title. The vaticannews.va outlet is now BSR-RC-08.</t>
        </is>
      </c>
      <c r="H10" s="41" t="inlineStr">
        <is>
          <t>These standards bind the whole Catholic Church; the Catechism is a synthesis of conciliar and magisterial teaching, not itself a council.</t>
        </is>
      </c>
      <c r="I10" s="41" t="inlineStr">
        <is>
          <t>vatican.va</t>
        </is>
      </c>
      <c r="J10" s="41" t="inlineStr">
        <is>
          <t>https://www.vatican.va/archive/ENG0015/__P13.HTM</t>
        </is>
      </c>
      <c r="K10" s="41" t="inlineStr">
        <is>
          <t>HTML</t>
        </is>
      </c>
      <c r="L10" s="41" t="inlineStr"/>
      <c r="M10" s="41" t="inlineStr">
        <is>
          <t>AUTHOR_RATIFIED</t>
        </is>
      </c>
      <c r="N10" s="41" t="inlineStr">
        <is>
          <t>APPROVE</t>
        </is>
      </c>
      <c r="O10" s="41" t="inlineStr"/>
      <c r="P10" s="41" t="inlineStr">
        <is>
          <t>Title de-domained 2026-09-12: "on vatican.va / vaticannews.va" was leaking a domain into the R001 allowlist through standard_title. The vaticannews.va outlet is now its own row, BSR-RC-08.</t>
        </is>
      </c>
      <c r="Q10" s="41" t="inlineStr"/>
      <c r="R10" s="41" t="inlineStr">
        <is>
          <t>INCLUDE</t>
        </is>
      </c>
      <c r="S10" s="41" t="inlineStr">
        <is>
          <t>AJP</t>
        </is>
      </c>
      <c r="T10" s="41" t="inlineStr">
        <is>
          <t>2026-09-11</t>
        </is>
      </c>
    </row>
    <row r="11">
      <c r="A11" s="41" t="inlineStr">
        <is>
          <t>BSR-RC-07</t>
        </is>
      </c>
      <c r="B11" s="41" t="inlineStr">
        <is>
          <t>Roman Catholic</t>
        </is>
      </c>
      <c r="C11" s="41" t="inlineStr">
        <is>
          <t>Compendium of the CCC</t>
        </is>
      </c>
      <c r="D11" s="41" t="inlineStr">
        <is>
          <t>CATECHETICAL</t>
        </is>
      </c>
      <c r="E11" s="41" t="inlineStr">
        <is>
          <t>Universal Church</t>
        </is>
      </c>
      <c r="F11" s="41" t="inlineStr">
        <is>
          <t>UNIVERSAL</t>
        </is>
      </c>
      <c r="G11" s="41" t="inlineStr"/>
      <c r="H11" s="41" t="inlineStr">
        <is>
          <t>These standards bind the whole Catholic Church; the Catechism is a synthesis of conciliar and magisterial teaching, not itself a council.</t>
        </is>
      </c>
      <c r="I11" s="41" t="inlineStr">
        <is>
          <t>vatican.va</t>
        </is>
      </c>
      <c r="J11" s="41" t="inlineStr">
        <is>
          <t>vatican.va (as cited, 1 released cell)</t>
        </is>
      </c>
      <c r="K11" s="41" t="inlineStr">
        <is>
          <t>HTML</t>
        </is>
      </c>
      <c r="L11" s="41" t="inlineStr"/>
      <c r="M11" s="41" t="inlineStr">
        <is>
          <t>AUTHOR_RATIFIED</t>
        </is>
      </c>
      <c r="N11" s="41" t="inlineStr">
        <is>
          <t>APPROVE</t>
        </is>
      </c>
      <c r="O11" s="41" t="inlineStr"/>
      <c r="P11" s="41" t="inlineStr"/>
      <c r="Q11" s="41" t="n">
        <v>1</v>
      </c>
      <c r="R11" s="41" t="inlineStr">
        <is>
          <t>INCLUDE</t>
        </is>
      </c>
      <c r="S11" s="41" t="inlineStr">
        <is>
          <t>AJP</t>
        </is>
      </c>
      <c r="T11" s="41" t="inlineStr">
        <is>
          <t>2026-09-10</t>
        </is>
      </c>
    </row>
    <row r="12">
      <c r="A12" s="41" t="inlineStr">
        <is>
          <t>BSR-RC-08</t>
        </is>
      </c>
      <c r="B12" s="41" t="inlineStr">
        <is>
          <t>Roman Catholic</t>
        </is>
      </c>
      <c r="C12" s="41" t="inlineStr">
        <is>
          <t>Apostles' and Nicene Creeds (Credo), Vatican News prayer text</t>
        </is>
      </c>
      <c r="D12" s="41" t="inlineStr">
        <is>
          <t>CONFESSIONAL (row floor; Nicene resolves CONCILIAR)</t>
        </is>
      </c>
      <c r="E12" s="41" t="inlineStr">
        <is>
          <t>Universal Church; published by the Holy See's Dicastery for Communication</t>
        </is>
      </c>
      <c r="F12" s="41" t="inlineStr">
        <is>
          <t>UNIVERSAL</t>
        </is>
      </c>
      <c r="G12" s="41" t="inlineStr">
        <is>
          <t>Host warrant triangulated 2026-09-12: page footer reads "Dicasterium pro Communicatione"; the Roman Curia structure page on vatican.va names the "Vatican Radio - Vatican News" editorial directorate; comunicazione.va contacts lists www.vaticannews.va as a Dicastery web property. LOCATOR CAUTION: the URL slug names the Apostles' Creed but the page carries both creeds under one Credo heading, and "judge the living and the dead" appears in both, so locator-scoped validation must target the named creed block, not the page.</t>
        </is>
      </c>
      <c r="H12" s="41" t="inlineStr">
        <is>
          <t>These standards bind the whole Catholic Church; the Catechism is a synthesis of conciliar and magisterial teaching, not itself a council.</t>
        </is>
      </c>
      <c r="I12" s="41" t="inlineStr">
        <is>
          <t>vaticannews.va</t>
        </is>
      </c>
      <c r="J12" s="41" t="inlineStr">
        <is>
          <t>https://www.vaticannews.va/en/prayers/the-apostles_-creed.html</t>
        </is>
      </c>
      <c r="K12" s="41" t="inlineStr">
        <is>
          <t>HTML</t>
        </is>
      </c>
      <c r="L12" s="41" t="inlineStr"/>
      <c r="M12" s="41" t="inlineStr">
        <is>
          <t>AUTHOR_RATIFIED</t>
        </is>
      </c>
      <c r="N12" s="41" t="inlineStr">
        <is>
          <t>APPROVE</t>
        </is>
      </c>
      <c r="O12" s="41" t="inlineStr"/>
      <c r="P12" s="41" t="inlineStr">
        <is>
          <t>New row. Ratified in conversation 2026-09-12. Resolves R001 on Q-169 and the three released cells RNR-H22, RNR-H26 and RNR-H38, which cite vaticannews.va. Registered as its own row rather than folded into BSR-RC-06 or admitted under AC-15: AC-15 covers a body's controlled file storage, not a second publishing outlet. Host warrant triangulated on three artifacts (page footer Dicasterium pro Communicatione; the Roman Curia structure page on vatican.va; the comunicazione.va contacts listing). Tier follows the ratified BSR-RC-06 formula, TIER_PER_CITED_DOCUMENT with a CONFESSIONAL row floor and the Nicene text resolving CONCILIAR.</t>
        </is>
      </c>
      <c r="Q12" s="41" t="n">
        <v>3</v>
      </c>
      <c r="R12" s="41" t="inlineStr">
        <is>
          <t>INCLUDE — second Holy See publishing outlet, distinct from vatican.va; carries 3 released cells (RNR-H22, RNR-H26, RNR-H38)</t>
        </is>
      </c>
      <c r="S12" s="41" t="inlineStr">
        <is>
          <t>AJP</t>
        </is>
      </c>
      <c r="T12" s="41" t="inlineStr">
        <is>
          <t>2026-09-12</t>
        </is>
      </c>
    </row>
    <row r="13">
      <c r="A13" s="41" t="inlineStr">
        <is>
          <t>BSR-EO-01</t>
        </is>
      </c>
      <c r="B13" s="41" t="inlineStr">
        <is>
          <t>Eastern Orthodox</t>
        </is>
      </c>
      <c r="C13" s="41" t="inlineStr">
        <is>
          <t>Nicene-Constantinopolitan Creed / Symbol of Faith (OCA)</t>
        </is>
      </c>
      <c r="D13" s="41" t="inlineStr">
        <is>
          <t>CONCILIAR</t>
        </is>
      </c>
      <c r="E13" s="41" t="inlineStr">
        <is>
          <t>All Orthodox</t>
        </is>
      </c>
      <c r="F13" s="41" t="inlineStr">
        <is>
          <t>UNIVERSAL</t>
        </is>
      </c>
      <c r="G13" s="41" t="inlineStr"/>
      <c r="H13"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3" s="41" t="inlineStr">
        <is>
          <t>oca.org</t>
        </is>
      </c>
      <c r="J13" s="41" t="inlineStr">
        <is>
          <t>https://www.oca.org/orthodoxy/the-orthodox-faith/doctrine-scripture/the-symbol-of-faith/god</t>
        </is>
      </c>
      <c r="K13" s="41" t="inlineStr">
        <is>
          <t>HTML</t>
        </is>
      </c>
      <c r="L13" s="41" t="inlineStr"/>
      <c r="M13" s="41" t="inlineStr">
        <is>
          <t>AUTHOR_RATIFIED</t>
        </is>
      </c>
      <c r="N13" s="41" t="inlineStr">
        <is>
          <t>APPROVE</t>
        </is>
      </c>
      <c r="O13" s="41" t="inlineStr"/>
      <c r="P13" s="41" t="inlineStr"/>
      <c r="Q13" s="41" t="inlineStr"/>
      <c r="R13" s="41" t="inlineStr">
        <is>
          <t>INCLUDE</t>
        </is>
      </c>
      <c r="S13" s="41" t="inlineStr">
        <is>
          <t>AJP</t>
        </is>
      </c>
      <c r="T13" s="41" t="inlineStr">
        <is>
          <t>2026-09-11</t>
        </is>
      </c>
    </row>
    <row r="14">
      <c r="A14" s="41" t="inlineStr">
        <is>
          <t>BSR-EO-02</t>
        </is>
      </c>
      <c r="B14" s="41" t="inlineStr">
        <is>
          <t>Eastern Orthodox</t>
        </is>
      </c>
      <c r="C14" s="41" t="inlineStr">
        <is>
          <t>*The Orthodox Faith*, Vol. I Doctrine and Scripture (Hopko) — Holy Trinity</t>
        </is>
      </c>
      <c r="D14" s="41" t="inlineStr">
        <is>
          <t>CATECHETICAL</t>
        </is>
      </c>
      <c r="E14" s="41" t="inlineStr">
        <is>
          <t>OCA (catechetical series by one author, published by the OCA)</t>
        </is>
      </c>
      <c r="F14" s="41" t="inlineStr">
        <is>
          <t>JURISDICTIONAL</t>
        </is>
      </c>
      <c r="G14" s="41" t="inlineStr"/>
      <c r="H1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4" s="41" t="inlineStr">
        <is>
          <t>oca.org</t>
        </is>
      </c>
      <c r="J14" s="41" t="inlineStr">
        <is>
          <t>https://www.oca.org/orthodoxy/the-orthodox-faith/doctrine-scripture/the-holy-trinity/the-doctrine-of-the-holy-trinity</t>
        </is>
      </c>
      <c r="K14" s="41" t="inlineStr">
        <is>
          <t>HTML</t>
        </is>
      </c>
      <c r="L14" s="41" t="inlineStr"/>
      <c r="M14" s="41" t="inlineStr">
        <is>
          <t>AUTHOR_RATIFIED</t>
        </is>
      </c>
      <c r="N14" s="41" t="inlineStr">
        <is>
          <t>APPROVE</t>
        </is>
      </c>
      <c r="O14" s="41" t="inlineStr"/>
      <c r="P14" s="41" t="inlineStr"/>
      <c r="Q14" s="41" t="inlineStr"/>
      <c r="R14" s="41" t="inlineStr">
        <is>
          <t>INCLUDE WITH CAVEAT (already the H37 role)</t>
        </is>
      </c>
      <c r="S14" s="41" t="inlineStr">
        <is>
          <t>AJP</t>
        </is>
      </c>
      <c r="T14" s="41" t="inlineStr">
        <is>
          <t>2026-09-10</t>
        </is>
      </c>
    </row>
    <row r="15">
      <c r="A15" s="41" t="inlineStr">
        <is>
          <t>BSR-EO-03</t>
        </is>
      </c>
      <c r="B15" s="41" t="inlineStr">
        <is>
          <t>Eastern Orthodox</t>
        </is>
      </c>
      <c r="C15" s="41" t="inlineStr">
        <is>
          <t>Greek Orthodox Archdiocese — "Basic Sources of the Teachings" and sibling articles</t>
        </is>
      </c>
      <c r="D15" s="41" t="inlineStr">
        <is>
          <t>OFFICIAL_EXPOSITION</t>
        </is>
      </c>
      <c r="E15" s="41" t="inlineStr">
        <is>
          <t>GOARCH (educational articles)</t>
        </is>
      </c>
      <c r="F15" s="41" t="inlineStr">
        <is>
          <t>JURISDICTIONAL</t>
        </is>
      </c>
      <c r="G15" s="41" t="inlineStr"/>
      <c r="H1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5" s="41" t="inlineStr">
        <is>
          <t>goarch.org</t>
        </is>
      </c>
      <c r="J15" s="41" t="inlineStr">
        <is>
          <t>https://www.goarch.org/-/the-basic-sources-of-the-teachings-of-the-eastern-orthodox-church</t>
        </is>
      </c>
      <c r="K15" s="41" t="inlineStr">
        <is>
          <t>RENDERED - one-time archived fetch, provenance recorded</t>
        </is>
      </c>
      <c r="L15" s="41" t="inlineStr"/>
      <c r="M15" s="41" t="inlineStr">
        <is>
          <t>AUTHOR_RATIFIED</t>
        </is>
      </c>
      <c r="N15" s="41" t="inlineStr">
        <is>
          <t>APPROVE</t>
        </is>
      </c>
      <c r="O15" s="41" t="inlineStr"/>
      <c r="P15" s="41" t="inlineStr"/>
      <c r="Q15" s="41" t="inlineStr"/>
      <c r="R15" s="41" t="inlineStr">
        <is>
          <t>INCLUDE WITH CAVEAT; Playwright fetch required</t>
        </is>
      </c>
      <c r="S15" s="41" t="inlineStr">
        <is>
          <t>AJP</t>
        </is>
      </c>
      <c r="T15" s="41" t="inlineStr">
        <is>
          <t>2026-09-11</t>
        </is>
      </c>
    </row>
    <row r="16">
      <c r="A16" s="41" t="inlineStr">
        <is>
          <t>BSR-EO-04</t>
        </is>
      </c>
      <c r="B16" s="41" t="inlineStr">
        <is>
          <t>Eastern Orthodox</t>
        </is>
      </c>
      <c r="C16" s="41" t="inlineStr">
        <is>
          <t>Longer Catechism of St. Philaret (1839)</t>
        </is>
      </c>
      <c r="D16" s="41" t="inlineStr">
        <is>
          <t>CATECHETICAL (historic)</t>
        </is>
      </c>
      <c r="E16" s="41" t="inlineStr">
        <is>
          <t>Russian Church synodal approval; widely received</t>
        </is>
      </c>
      <c r="F16" s="41" t="inlineStr">
        <is>
          <t>MULTILATERAL</t>
        </is>
      </c>
      <c r="G16" s="41" t="inlineStr"/>
      <c r="H16"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6" s="41" t="inlineStr">
        <is>
          <t>pravoslavieto.com</t>
        </is>
      </c>
      <c r="J16" s="41" t="inlineStr">
        <is>
          <t>https://www.pravoslavieto.com/docs/eng/Orthodox_Catechism_of_Philaret.htm</t>
        </is>
      </c>
      <c r="K16" s="41" t="inlineStr">
        <is>
          <t>HTML</t>
        </is>
      </c>
      <c r="L16" s="41" t="inlineStr"/>
      <c r="M16" s="41" t="inlineStr">
        <is>
          <t>AUTHOR_RATIFIED</t>
        </is>
      </c>
      <c r="N16" s="41" t="inlineStr">
        <is>
          <t>APPROVE</t>
        </is>
      </c>
      <c r="O16" s="41" t="inlineStr"/>
      <c r="P16" s="41" t="inlineStr"/>
      <c r="Q16" s="41" t="inlineStr"/>
      <c r="R16" s="41" t="inlineStr">
        <is>
          <t>AUTHOR CALL — richest apophatic/attribute source available; host is not jurisdictional</t>
        </is>
      </c>
      <c r="S16" s="41" t="inlineStr">
        <is>
          <t>AJP</t>
        </is>
      </c>
      <c r="T16" s="41" t="inlineStr">
        <is>
          <t>2026-09-10</t>
        </is>
      </c>
    </row>
    <row r="17">
      <c r="A17" s="41" t="inlineStr">
        <is>
          <t>BSR-EO-05</t>
        </is>
      </c>
      <c r="B17" s="41" t="inlineStr">
        <is>
          <t>Eastern Orthodox</t>
        </is>
      </c>
      <c r="C17" s="41" t="inlineStr">
        <is>
          <t>Confession of Dositheus (Synod of Jerusalem 1672)</t>
        </is>
      </c>
      <c r="D17" s="41" t="inlineStr">
        <is>
          <t>CONFESSIONAL (local synod)</t>
        </is>
      </c>
      <c r="E17" s="41" t="inlineStr">
        <is>
          <t>Contested; later qualified by Orthodox theologians</t>
        </is>
      </c>
      <c r="F17" s="41" t="inlineStr">
        <is>
          <t>CONTESTED</t>
        </is>
      </c>
      <c r="G17" s="41" t="inlineStr">
        <is>
          <t>Reception is disputed between Orthodox jurisdictions, and both sides are published on official domains. The Greek Orthodox Archdiocese of America holds that decisions of synods after the eighth century "are of secondary significance ... pending ratification by an Ecumenical Synod, and may be accepted, corrected or not accepted" (goarch.org, The Basic Sources of the Teachings of the Eastern Orthodox Church). The Orthodox Church in America holds that the 1848 Encyclical of the Eastern Patriarchs "is considered to be the most authoritative doctrinal statement in modern Orthodox Church history" (oca.org, Relations Between the Churches East and West). Ratified AC-12, 2026-09-11: the registry records the disagreement and does not resolve it.</t>
        </is>
      </c>
      <c r="H17"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I17" s="41" t="inlineStr">
        <is>
          <t>maximologia.org</t>
        </is>
      </c>
      <c r="J17" s="41" t="inlineStr">
        <is>
          <t>https://maximologia.org/the-confession-of-patriarch-dositheos-of-jerusalem-1672/</t>
        </is>
      </c>
      <c r="K17" s="41" t="inlineStr">
        <is>
          <t>HTML</t>
        </is>
      </c>
      <c r="L17" s="41" t="inlineStr"/>
      <c r="M17" s="41" t="inlineStr">
        <is>
          <t>AUTHOR_RATIFIED</t>
        </is>
      </c>
      <c r="N17" s="41" t="inlineStr">
        <is>
          <t>APPROVE_REVISED</t>
        </is>
      </c>
      <c r="O17" s="41" t="inlineStr"/>
      <c r="P17" s="41" t="inlineStr">
        <is>
          <t>Text is Robertson's 1899 translation (Acts and Decrees of the Synod of Jerusalem, ch. 6), reproduced here without translator credit. The published edition is archive.org/details/actsdecreesofsyn00orth, registered as an authority reference only — no text extraction. Locators are Decree 1–18 and Question 1–4.</t>
        </is>
      </c>
      <c r="Q17" s="41" t="inlineStr"/>
      <c r="R17" s="41" t="inlineStr">
        <is>
          <t>AUTHOR CALL — recommend EXCLUDE for v1</t>
        </is>
      </c>
      <c r="S17" s="41" t="inlineStr">
        <is>
          <t>AJP</t>
        </is>
      </c>
      <c r="T17" s="41" t="inlineStr">
        <is>
          <t>2026-09-10</t>
        </is>
      </c>
    </row>
    <row r="18">
      <c r="A18" s="41" t="inlineStr">
        <is>
          <t>BSR-EO-06</t>
        </is>
      </c>
      <c r="B18" s="41" t="inlineStr">
        <is>
          <t>Eastern Orthodox</t>
        </is>
      </c>
      <c r="C18" s="41" t="inlineStr">
        <is>
          <t>Chalcedon (451) and Third Constantinople (680-681) - the Definitions of Faith (NPNF2-14, Percival)</t>
        </is>
      </c>
      <c r="D18" s="41" t="inlineStr">
        <is>
          <t>CONCILIAR</t>
        </is>
      </c>
      <c r="E18" s="41" t="inlineStr">
        <is>
          <t>All Orthodox</t>
        </is>
      </c>
      <c r="F18" s="41" t="inlineStr">
        <is>
          <t>UNIVERSAL</t>
        </is>
      </c>
      <c r="G18" s="41" t="inlineStr"/>
      <c r="H18"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8" s="41" t="inlineStr">
        <is>
          <t>ccel.org</t>
        </is>
      </c>
      <c r="J18" s="41" t="inlineStr">
        <is>
          <t>https://www.ccel.org/ccel/schaff/npnf214.xi.xiii.html</t>
        </is>
      </c>
      <c r="K18" s="41" t="inlineStr">
        <is>
          <t>HTML - exclude editorial-note blocks from chunking</t>
        </is>
      </c>
      <c r="L18" s="41" t="inlineStr"/>
      <c r="M18" s="41" t="inlineStr">
        <is>
          <t>AUTHOR_RATIFIED</t>
        </is>
      </c>
      <c r="N18" s="41" t="inlineStr">
        <is>
          <t>APPROVE</t>
        </is>
      </c>
      <c r="O18" s="41" t="inlineStr"/>
      <c r="P18" s="41" t="inlineStr"/>
      <c r="Q18" s="41" t="n">
        <v>1</v>
      </c>
      <c r="R18" s="41" t="inlineStr">
        <is>
          <t>INCLUDE (ccel.org, NPNF2-14 Percival) - 1 released cell; Q-434 asserted phrase must be re-cut from this translation</t>
        </is>
      </c>
      <c r="S18" s="41" t="inlineStr">
        <is>
          <t>AJP</t>
        </is>
      </c>
      <c r="T18" s="41" t="inlineStr">
        <is>
          <t>2026-09-11</t>
        </is>
      </c>
    </row>
    <row r="19">
      <c r="A19" s="41" t="inlineStr">
        <is>
          <t>BSR-LU-01</t>
        </is>
      </c>
      <c r="B19" s="41" t="inlineStr">
        <is>
          <t>Lutheran</t>
        </is>
      </c>
      <c r="C19" s="41" t="inlineStr">
        <is>
          <t>Book of Concord (Augsburg Confession, Apology, Smalcald, Catechisms, Formula) — bookofconcord.org</t>
        </is>
      </c>
      <c r="D19" s="41" t="inlineStr">
        <is>
          <t>CONFESSIONAL</t>
        </is>
      </c>
      <c r="E19" s="41" t="inlineStr">
        <is>
          <t>Lutheran churches subscribing the Book of Concord</t>
        </is>
      </c>
      <c r="F19" s="41" t="inlineStr">
        <is>
          <t>MULTILATERAL</t>
        </is>
      </c>
      <c r="G19" s="41" t="inlineStr"/>
      <c r="H19" s="41" t="inlineStr">
        <is>
          <t>The Book of Concord is subscribed by Lutheran churches worldwide; the online text used here is a public-domain translation on a private site, and the LCMS and ELCA differ in how strictly they subscribe.</t>
        </is>
      </c>
      <c r="I19" s="41" t="inlineStr">
        <is>
          <t>bookofconcord.org</t>
        </is>
      </c>
      <c r="J19" s="41" t="inlineStr">
        <is>
          <t>https://bookofconcord.org/augsburg-confession/of-god/</t>
        </is>
      </c>
      <c r="K19" s="41" t="inlineStr">
        <is>
          <t>HTML (intermittent timeouts)</t>
        </is>
      </c>
      <c r="L19" s="41" t="inlineStr"/>
      <c r="M19" s="41" t="inlineStr">
        <is>
          <t>AUTHOR_RATIFIED</t>
        </is>
      </c>
      <c r="N19" s="41" t="inlineStr">
        <is>
          <t>APPROVE</t>
        </is>
      </c>
      <c r="O19" s="41" t="inlineStr"/>
      <c r="P19" s="41" t="inlineStr"/>
      <c r="Q19" s="41" t="n">
        <v>15</v>
      </c>
      <c r="R19" s="41" t="inlineStr">
        <is>
          <t>LINEAGE → INCLUDE WITH CAVEAT (private site hosting the public-domain 1921 Triglotta text; all 15 released Lutheran cells cite it; no denominational HTML host exists)</t>
        </is>
      </c>
      <c r="S19" s="41" t="inlineStr">
        <is>
          <t>AJP</t>
        </is>
      </c>
      <c r="T19" s="41" t="inlineStr">
        <is>
          <t>2026-09-10</t>
        </is>
      </c>
    </row>
    <row r="20">
      <c r="A20" s="41" t="inlineStr">
        <is>
          <t>BSR-LU-02</t>
        </is>
      </c>
      <c r="B20" s="41" t="inlineStr">
        <is>
          <t>Lutheran</t>
        </is>
      </c>
      <c r="C20" s="41" t="inlineStr">
        <is>
          <t>Augsburg Confession, LCMS file library</t>
        </is>
      </c>
      <c r="D20" s="41" t="inlineStr">
        <is>
          <t>CONFESSIONAL</t>
        </is>
      </c>
      <c r="E20" s="41" t="inlineStr">
        <is>
          <t>LCMS</t>
        </is>
      </c>
      <c r="F20" s="41" t="inlineStr">
        <is>
          <t>JURISDICTIONAL</t>
        </is>
      </c>
      <c r="G20" s="41" t="inlineStr"/>
      <c r="H20" s="41" t="inlineStr">
        <is>
          <t>The Book of Concord is subscribed by Lutheran churches worldwide; the online text used here is a public-domain translation on a private site, and the LCMS and ELCA differ in how strictly they subscribe.</t>
        </is>
      </c>
      <c r="I20" s="41" t="inlineStr">
        <is>
          <t>files.lcms.org</t>
        </is>
      </c>
      <c r="J20" s="41" t="inlineStr">
        <is>
          <t>https://files.lcms.org/file/preview/96D5ADA9-4E71-4C9F-9939-9D40E4E9AD8E</t>
        </is>
      </c>
      <c r="K20" s="41" t="inlineStr">
        <is>
          <t>PDF behind client viewer</t>
        </is>
      </c>
      <c r="L20" s="41" t="inlineStr"/>
      <c r="M20" s="41" t="inlineStr">
        <is>
          <t>AUTHOR_RATIFIED</t>
        </is>
      </c>
      <c r="N20" s="41" t="inlineStr">
        <is>
          <t>APPROVE</t>
        </is>
      </c>
      <c r="O20" s="41" t="inlineStr"/>
      <c r="P20" s="41" t="inlineStr"/>
      <c r="Q20" s="41" t="inlineStr"/>
      <c r="R20" s="41" t="inlineStr">
        <is>
          <t>INCLUDE as authority/adoption URL only</t>
        </is>
      </c>
      <c r="S20" s="41" t="inlineStr">
        <is>
          <t>AJP</t>
        </is>
      </c>
      <c r="T20" s="41" t="inlineStr">
        <is>
          <t>2026-09-10</t>
        </is>
      </c>
    </row>
    <row r="21">
      <c r="A21" s="41" t="inlineStr">
        <is>
          <t>BSR-LU-03</t>
        </is>
      </c>
      <c r="B21" s="41" t="inlineStr">
        <is>
          <t>Lutheran</t>
        </is>
      </c>
      <c r="C21" s="41" t="inlineStr">
        <is>
          <t>Luther's Small Catechism, Creed First Article (CPH, linked by LCMS)</t>
        </is>
      </c>
      <c r="D21" s="41" t="inlineStr">
        <is>
          <t>CATECHETICAL</t>
        </is>
      </c>
      <c r="E21" s="41" t="inlineStr">
        <is>
          <t>LCMS</t>
        </is>
      </c>
      <c r="F21" s="41" t="inlineStr">
        <is>
          <t>JURISDICTIONAL</t>
        </is>
      </c>
      <c r="G21" s="41" t="inlineStr"/>
      <c r="H21" s="41" t="inlineStr">
        <is>
          <t>The Book of Concord is subscribed by Lutheran churches worldwide; the online text used here is a public-domain translation on a private site, and the LCMS and ELCA differ in how strictly they subscribe.</t>
        </is>
      </c>
      <c r="I21" s="41" t="inlineStr">
        <is>
          <t>catechism.cph.org</t>
        </is>
      </c>
      <c r="J21" s="41" t="inlineStr">
        <is>
          <t>https://catechism.cph.org/en/creed-first-article-part-one.html</t>
        </is>
      </c>
      <c r="K21" s="41" t="inlineStr">
        <is>
          <t>HTML</t>
        </is>
      </c>
      <c r="L21" s="41" t="inlineStr"/>
      <c r="M21" s="41" t="inlineStr">
        <is>
          <t>AUTHOR_RATIFIED</t>
        </is>
      </c>
      <c r="N21" s="41" t="inlineStr">
        <is>
          <t>APPROVE</t>
        </is>
      </c>
      <c r="O21" s="41" t="inlineStr"/>
      <c r="P21" s="41" t="inlineStr"/>
      <c r="Q21" s="41" t="inlineStr"/>
      <c r="R21" s="41" t="inlineStr">
        <is>
          <t>INCLUDE WITH CAVEAT (2017 explanation edition; official status implied by lcms.org link)</t>
        </is>
      </c>
      <c r="S21" s="41" t="inlineStr">
        <is>
          <t>AJP</t>
        </is>
      </c>
      <c r="T21" s="41" t="inlineStr">
        <is>
          <t>2026-09-10</t>
        </is>
      </c>
    </row>
    <row r="22">
      <c r="A22" s="41" t="inlineStr">
        <is>
          <t>BSR-LU-04</t>
        </is>
      </c>
      <c r="B22" s="41" t="inlineStr">
        <is>
          <t>Lutheran</t>
        </is>
      </c>
      <c r="C22" s="41" t="inlineStr">
        <is>
          <t>ELCA teaching pages</t>
        </is>
      </c>
      <c r="D22" s="41" t="inlineStr">
        <is>
          <t>OFFICIAL_EXPOSITION</t>
        </is>
      </c>
      <c r="E22" s="41" t="inlineStr">
        <is>
          <t>ELCA</t>
        </is>
      </c>
      <c r="F22" s="41" t="inlineStr">
        <is>
          <t>JURISDICTIONAL</t>
        </is>
      </c>
      <c r="G22" s="41" t="inlineStr"/>
      <c r="H22" s="41" t="inlineStr">
        <is>
          <t>The Book of Concord is subscribed by Lutheran churches worldwide; the online text used here is a public-domain translation on a private site, and the LCMS and ELCA differ in how strictly they subscribe.</t>
        </is>
      </c>
      <c r="I22" s="41" t="inlineStr">
        <is>
          <t>elca.org</t>
        </is>
      </c>
      <c r="J22" s="41" t="inlineStr">
        <is>
          <t>https://www.elca.org/en/Faith/ELCA-Teaching/Scripture-Creeds-Confessions</t>
        </is>
      </c>
      <c r="K22" s="41" t="inlineStr">
        <is>
          <t>HTML</t>
        </is>
      </c>
      <c r="L22" s="41" t="inlineStr"/>
      <c r="M22" s="41" t="inlineStr">
        <is>
          <t>RETIRED</t>
        </is>
      </c>
      <c r="N22" s="41" t="inlineStr">
        <is>
          <t>EXCLUDE</t>
        </is>
      </c>
      <c r="O22" s="41" t="inlineStr">
        <is>
          <t>OTHER</t>
        </is>
      </c>
      <c r="P22" s="41" t="inlineStr">
        <is>
          <t>Adoption witness only — the page hosts no confession text; the Book of Concord entry (BSR-LU-01) carries the Lutheran standards.</t>
        </is>
      </c>
      <c r="Q22" s="41" t="inlineStr"/>
      <c r="R22" s="41" t="inlineStr">
        <is>
          <t>EXCLUDE (adoption witness only)</t>
        </is>
      </c>
      <c r="S22" s="41" t="inlineStr">
        <is>
          <t>AJP</t>
        </is>
      </c>
      <c r="T22" s="41" t="inlineStr">
        <is>
          <t>2026-09-10</t>
        </is>
      </c>
    </row>
    <row r="23">
      <c r="A23" s="41" t="inlineStr">
        <is>
          <t>BSR-RP-01</t>
        </is>
      </c>
      <c r="B23" s="41" t="inlineStr">
        <is>
          <t>Reformed / Presbyterian</t>
        </is>
      </c>
      <c r="C23" s="41" t="inlineStr">
        <is>
          <t>Westminster Confession (1647 with 1788 American revisions) — OPC</t>
        </is>
      </c>
      <c r="D23" s="41" t="inlineStr">
        <is>
          <t>CONFESSIONAL</t>
        </is>
      </c>
      <c r="E23" s="41" t="inlineStr">
        <is>
          <t>OPC and Westminster churches</t>
        </is>
      </c>
      <c r="F23" s="41" t="inlineStr">
        <is>
          <t>JURISDICTIONAL</t>
        </is>
      </c>
      <c r="G23" s="41" t="inlineStr"/>
      <c r="H23" s="41" t="inlineStr">
        <is>
          <t>“Reformed / Presbyterian” gathers several bodies with overlapping but distinct standards; the Westminster text differs between the OPC and PC(USA) editions, and the Three Forms of Unity speak for the continental Reformed churches.</t>
        </is>
      </c>
      <c r="I23" s="41" t="inlineStr">
        <is>
          <t>opc.org</t>
        </is>
      </c>
      <c r="J23" s="41" t="inlineStr">
        <is>
          <t>https://opc.org/wcf.html</t>
        </is>
      </c>
      <c r="K23" s="41" t="inlineStr">
        <is>
          <t>HTML</t>
        </is>
      </c>
      <c r="L23" s="41" t="inlineStr"/>
      <c r="M23" s="41" t="inlineStr">
        <is>
          <t>AUTHOR_RATIFIED</t>
        </is>
      </c>
      <c r="N23" s="41" t="inlineStr">
        <is>
          <t>APPROVE</t>
        </is>
      </c>
      <c r="O23" s="41" t="inlineStr"/>
      <c r="P23" s="41" t="inlineStr"/>
      <c r="Q23" s="41" t="n">
        <v>18</v>
      </c>
      <c r="R23" s="41" t="inlineStr">
        <is>
          <t>INCLUDE (18 released cells)</t>
        </is>
      </c>
      <c r="S23" s="41" t="inlineStr">
        <is>
          <t>AJP</t>
        </is>
      </c>
      <c r="T23" s="41" t="inlineStr">
        <is>
          <t>2026-09-10</t>
        </is>
      </c>
    </row>
    <row r="24">
      <c r="A24" s="41" t="inlineStr">
        <is>
          <t>BSR-RP-02</t>
        </is>
      </c>
      <c r="B24" s="41" t="inlineStr">
        <is>
          <t>Reformed / Presbyterian</t>
        </is>
      </c>
      <c r="C24" s="41" t="inlineStr">
        <is>
          <t>Westminster Shorter Catechism — OPC</t>
        </is>
      </c>
      <c r="D24" s="41" t="inlineStr">
        <is>
          <t>CONFESSIONAL</t>
        </is>
      </c>
      <c r="E24" s="41" t="inlineStr">
        <is>
          <t>as above</t>
        </is>
      </c>
      <c r="F24" s="41" t="inlineStr">
        <is>
          <t>JURISDICTIONAL</t>
        </is>
      </c>
      <c r="G24" s="41" t="inlineStr"/>
      <c r="H24" s="41" t="inlineStr">
        <is>
          <t>“Reformed / Presbyterian” gathers several bodies with overlapping but distinct standards; the Westminster text differs between the OPC and PC(USA) editions, and the Three Forms of Unity speak for the continental Reformed churches.</t>
        </is>
      </c>
      <c r="I24" s="41" t="inlineStr">
        <is>
          <t>opc.org</t>
        </is>
      </c>
      <c r="J24" s="41" t="inlineStr">
        <is>
          <t>https://opc.org/sc.html</t>
        </is>
      </c>
      <c r="K24" s="41" t="inlineStr">
        <is>
          <t>HTML</t>
        </is>
      </c>
      <c r="L24" s="41" t="inlineStr"/>
      <c r="M24" s="41" t="inlineStr">
        <is>
          <t>AUTHOR_RATIFIED</t>
        </is>
      </c>
      <c r="N24" s="41" t="inlineStr">
        <is>
          <t>APPROVE</t>
        </is>
      </c>
      <c r="O24" s="41" t="inlineStr"/>
      <c r="P24" s="41" t="inlineStr"/>
      <c r="Q24" s="41" t="inlineStr"/>
      <c r="R24" s="41" t="inlineStr">
        <is>
          <t>INCLUDE</t>
        </is>
      </c>
      <c r="S24" s="41" t="inlineStr">
        <is>
          <t>AJP</t>
        </is>
      </c>
      <c r="T24" s="41" t="inlineStr">
        <is>
          <t>2026-09-10</t>
        </is>
      </c>
    </row>
    <row r="25">
      <c r="A25" s="41" t="inlineStr">
        <is>
          <t>BSR-RP-03</t>
        </is>
      </c>
      <c r="B25" s="41" t="inlineStr">
        <is>
          <t>Reformed / Presbyterian</t>
        </is>
      </c>
      <c r="C25" s="41" t="inlineStr">
        <is>
          <t>Westminster Larger Catechism — OPC</t>
        </is>
      </c>
      <c r="D25" s="41" t="inlineStr">
        <is>
          <t>CONFESSIONAL</t>
        </is>
      </c>
      <c r="E25" s="41" t="inlineStr">
        <is>
          <t>as above</t>
        </is>
      </c>
      <c r="F25" s="41" t="inlineStr">
        <is>
          <t>JURISDICTIONAL</t>
        </is>
      </c>
      <c r="G25" s="41" t="inlineStr"/>
      <c r="H25" s="41" t="inlineStr">
        <is>
          <t>“Reformed / Presbyterian” gathers several bodies with overlapping but distinct standards; the Westminster text differs between the OPC and PC(USA) editions, and the Three Forms of Unity speak for the continental Reformed churches.</t>
        </is>
      </c>
      <c r="I25" s="41" t="inlineStr">
        <is>
          <t>opc.org</t>
        </is>
      </c>
      <c r="J25" s="41" t="inlineStr">
        <is>
          <t>https://opc.org/lc.html</t>
        </is>
      </c>
      <c r="K25" s="41" t="inlineStr">
        <is>
          <t>HTML</t>
        </is>
      </c>
      <c r="L25" s="41" t="inlineStr"/>
      <c r="M25" s="41" t="inlineStr">
        <is>
          <t>AUTHOR_RATIFIED</t>
        </is>
      </c>
      <c r="N25" s="41" t="inlineStr">
        <is>
          <t>APPROVE</t>
        </is>
      </c>
      <c r="O25" s="41" t="inlineStr"/>
      <c r="P25" s="41" t="inlineStr"/>
      <c r="Q25" s="41" t="inlineStr"/>
      <c r="R25" s="41" t="inlineStr">
        <is>
          <t>INCLUDE</t>
        </is>
      </c>
      <c r="S25" s="41" t="inlineStr">
        <is>
          <t>AJP</t>
        </is>
      </c>
      <c r="T25" s="41" t="inlineStr">
        <is>
          <t>2026-09-10</t>
        </is>
      </c>
    </row>
    <row r="26">
      <c r="A26" s="41" t="inlineStr">
        <is>
          <t>BSR-RP-04</t>
        </is>
      </c>
      <c r="B26" s="41" t="inlineStr">
        <is>
          <t>Reformed / Presbyterian</t>
        </is>
      </c>
      <c r="C26" s="41" t="inlineStr">
        <is>
          <t>PC(USA) Book of Confessions 2016 (Nicene, Apostles', Scots, Heidelberg, Second Helvetic, Westminster edited recension, Barmen, C67, Belhar, Brief Statement)</t>
        </is>
      </c>
      <c r="D26" s="41" t="inlineStr">
        <is>
          <t>CONFESSIONAL</t>
        </is>
      </c>
      <c r="E26" s="41" t="inlineStr">
        <is>
          <t>PC(USA); "subordinate standards" affirmed at ordination</t>
        </is>
      </c>
      <c r="F26" s="41" t="inlineStr">
        <is>
          <t>JURISDICTIONAL</t>
        </is>
      </c>
      <c r="G26" s="41" t="inlineStr"/>
      <c r="H26" s="41" t="inlineStr">
        <is>
          <t>“Reformed / Presbyterian” gathers several bodies with overlapping but distinct standards; the Westminster text differs between the OPC and PC(USA) editions, and the Three Forms of Unity speak for the continental Reformed churches.</t>
        </is>
      </c>
      <c r="I26" s="41" t="inlineStr">
        <is>
          <t>pcusa.org</t>
        </is>
      </c>
      <c r="J26" s="41" t="inlineStr">
        <is>
          <t>https://pcusa.org/sites/default/files/boc2016.pdf</t>
        </is>
      </c>
      <c r="K26" s="41" t="inlineStr">
        <is>
          <t>PDF (large; normalize)</t>
        </is>
      </c>
      <c r="L26" s="41" t="inlineStr"/>
      <c r="M26" s="41" t="inlineStr">
        <is>
          <t>AUTHOR_RATIFIED</t>
        </is>
      </c>
      <c r="N26" s="41" t="inlineStr">
        <is>
          <t>APPROVE</t>
        </is>
      </c>
      <c r="O26" s="41" t="inlineStr"/>
      <c r="P26" s="41" t="inlineStr"/>
      <c r="Q26" s="41" t="n">
        <v>8</v>
      </c>
      <c r="R26" s="41" t="inlineStr">
        <is>
          <t>INCLUDE WITH CAVEAT — register as a distinct recension from OPC (8 released cells)</t>
        </is>
      </c>
      <c r="S26" s="41" t="inlineStr">
        <is>
          <t>AJP</t>
        </is>
      </c>
      <c r="T26" s="41" t="inlineStr">
        <is>
          <t>2026-09-10</t>
        </is>
      </c>
    </row>
    <row r="27">
      <c r="A27" s="41" t="inlineStr">
        <is>
          <t>BSR-RP-05</t>
        </is>
      </c>
      <c r="B27" s="41" t="inlineStr">
        <is>
          <t>Reformed / Presbyterian</t>
        </is>
      </c>
      <c r="C27" s="41" t="inlineStr">
        <is>
          <t>Heidelberg Catechism (CRC/RCA 2011 joint translation)</t>
        </is>
      </c>
      <c r="D27" s="41" t="inlineStr">
        <is>
          <t>CONFESSIONAL</t>
        </is>
      </c>
      <c r="E27" s="41" t="inlineStr">
        <is>
          <t>CRCNA and RCA</t>
        </is>
      </c>
      <c r="F27" s="41" t="inlineStr">
        <is>
          <t>JURISDICTIONAL</t>
        </is>
      </c>
      <c r="G27" s="41" t="inlineStr"/>
      <c r="H27" s="41" t="inlineStr">
        <is>
          <t>“Reformed / Presbyterian” gathers several bodies with overlapping but distinct standards; the Westminster text differs between the OPC and PC(USA) editions, and the Three Forms of Unity speak for the continental Reformed churches.</t>
        </is>
      </c>
      <c r="I27" s="41" t="inlineStr">
        <is>
          <t>crcna.org</t>
        </is>
      </c>
      <c r="J27" s="41" t="inlineStr">
        <is>
          <t>https://www.crcna.org/welcome/beliefs/confessions/heidelberg-catechism</t>
        </is>
      </c>
      <c r="K27" s="41" t="inlineStr">
        <is>
          <t>HTML</t>
        </is>
      </c>
      <c r="L27" s="41" t="inlineStr"/>
      <c r="M27" s="41" t="inlineStr">
        <is>
          <t>AUTHOR_RATIFIED</t>
        </is>
      </c>
      <c r="N27" s="41" t="inlineStr">
        <is>
          <t>APPROVE</t>
        </is>
      </c>
      <c r="O27" s="41" t="inlineStr"/>
      <c r="P27" s="41" t="inlineStr"/>
      <c r="Q27" s="41" t="inlineStr"/>
      <c r="R27" s="41" t="inlineStr">
        <is>
          <t>INCLUDE</t>
        </is>
      </c>
      <c r="S27" s="41" t="inlineStr">
        <is>
          <t>AJP</t>
        </is>
      </c>
      <c r="T27" s="41" t="inlineStr">
        <is>
          <t>2026-09-10</t>
        </is>
      </c>
    </row>
    <row r="28">
      <c r="A28" s="41" t="inlineStr">
        <is>
          <t>BSR-RP-06</t>
        </is>
      </c>
      <c r="B28" s="41" t="inlineStr">
        <is>
          <t>Reformed / Presbyterian</t>
        </is>
      </c>
      <c r="C28" s="41" t="inlineStr">
        <is>
          <t>Belgic Confession (CRC/RCA 2011)</t>
        </is>
      </c>
      <c r="D28" s="41" t="inlineStr">
        <is>
          <t>CONFESSIONAL</t>
        </is>
      </c>
      <c r="E28" s="41" t="inlineStr">
        <is>
          <t>CRCNA and RCA; Dort required subscription</t>
        </is>
      </c>
      <c r="F28" s="41" t="inlineStr">
        <is>
          <t>JURISDICTIONAL</t>
        </is>
      </c>
      <c r="G28" s="41" t="inlineStr"/>
      <c r="H28" s="41" t="inlineStr">
        <is>
          <t>“Reformed / Presbyterian” gathers several bodies with overlapping but distinct standards; the Westminster text differs between the OPC and PC(USA) editions, and the Three Forms of Unity speak for the continental Reformed churches.</t>
        </is>
      </c>
      <c r="I28" s="41" t="inlineStr">
        <is>
          <t>crcna.org</t>
        </is>
      </c>
      <c r="J28" s="41" t="inlineStr">
        <is>
          <t>https://www.crcna.org/welcome/beliefs/confessions/belgic-confession</t>
        </is>
      </c>
      <c r="K28" s="41" t="inlineStr">
        <is>
          <t>HTML</t>
        </is>
      </c>
      <c r="L28" s="41" t="inlineStr"/>
      <c r="M28" s="41" t="inlineStr">
        <is>
          <t>AUTHOR_RATIFIED</t>
        </is>
      </c>
      <c r="N28" s="41" t="inlineStr">
        <is>
          <t>APPROVE</t>
        </is>
      </c>
      <c r="O28" s="41" t="inlineStr"/>
      <c r="P28" s="41" t="inlineStr"/>
      <c r="Q28" s="41" t="n">
        <v>9</v>
      </c>
      <c r="R28" s="41" t="inlineStr">
        <is>
          <t>INCLUDE (9 released cells)</t>
        </is>
      </c>
      <c r="S28" s="41" t="inlineStr">
        <is>
          <t>AJP</t>
        </is>
      </c>
      <c r="T28" s="41" t="inlineStr">
        <is>
          <t>2026-09-10</t>
        </is>
      </c>
    </row>
    <row r="29">
      <c r="A29" s="41" t="inlineStr">
        <is>
          <t>BSR-AN-01</t>
        </is>
      </c>
      <c r="B29" s="41" t="inlineStr">
        <is>
          <t>Anglican</t>
        </is>
      </c>
      <c r="C29" s="41" t="inlineStr">
        <is>
          <t>Thirty-Nine Articles (Church of England)</t>
        </is>
      </c>
      <c r="D29" s="41" t="inlineStr">
        <is>
          <t>CONFESSIONAL (historic formulary; Canon A5)</t>
        </is>
      </c>
      <c r="E29" s="41" t="inlineStr">
        <is>
          <t>Church of England; received across the Communion</t>
        </is>
      </c>
      <c r="F29" s="41" t="inlineStr">
        <is>
          <t>MULTILATERAL</t>
        </is>
      </c>
      <c r="G29" s="41" t="inlineStr"/>
      <c r="H29" s="41" t="inlineStr">
        <is>
          <t>The Thirty-Nine Articles are a historic formulary of the Church of England received in different ways across the Anglican Communion; the catechisms speak for the province that adopted them.</t>
        </is>
      </c>
      <c r="I29" s="41" t="inlineStr">
        <is>
          <t>churchofengland.org</t>
        </is>
      </c>
      <c r="J29" s="41" t="inlineStr">
        <is>
          <t>https://www.churchofengland.org/prayer-and-worship/worship-texts-and-resources/book-common-prayer/articles-religion</t>
        </is>
      </c>
      <c r="K29" s="41" t="inlineStr">
        <is>
          <t>RENDERED (body not exposed to plain fetch)</t>
        </is>
      </c>
      <c r="L29" s="41" t="inlineStr"/>
      <c r="M29" s="41" t="inlineStr">
        <is>
          <t>AUTHOR_RATIFIED</t>
        </is>
      </c>
      <c r="N29" s="41" t="inlineStr">
        <is>
          <t>APPROVE</t>
        </is>
      </c>
      <c r="O29" s="41" t="inlineStr"/>
      <c r="P29" s="41" t="inlineStr"/>
      <c r="Q29" s="41" t="inlineStr"/>
      <c r="R29" s="41" t="inlineStr">
        <is>
          <t>INCLUDE — Playwright fetch mode</t>
        </is>
      </c>
      <c r="S29" s="41" t="inlineStr">
        <is>
          <t>AJP</t>
        </is>
      </c>
      <c r="T29" s="41" t="inlineStr">
        <is>
          <t>2026-09-10</t>
        </is>
      </c>
    </row>
    <row r="30">
      <c r="A30" s="41" t="inlineStr">
        <is>
          <t>BSR-AN-02</t>
        </is>
      </c>
      <c r="B30" s="41" t="inlineStr">
        <is>
          <t>Anglican</t>
        </is>
      </c>
      <c r="C30" s="41" t="inlineStr">
        <is>
          <t>BCP 1662 Catechism (Church of England)</t>
        </is>
      </c>
      <c r="D30" s="41" t="inlineStr">
        <is>
          <t>CATECHETICAL</t>
        </is>
      </c>
      <c r="E30" s="41" t="inlineStr">
        <is>
          <t>Church of England</t>
        </is>
      </c>
      <c r="F30" s="41" t="inlineStr">
        <is>
          <t>JURISDICTIONAL</t>
        </is>
      </c>
      <c r="G30" s="41" t="inlineStr"/>
      <c r="H30" s="41" t="inlineStr">
        <is>
          <t>The Thirty-Nine Articles are a historic formulary of the Church of England received in different ways across the Anglican Communion; the catechisms speak for the province that adopted them.</t>
        </is>
      </c>
      <c r="I30" s="41" t="inlineStr">
        <is>
          <t>churchofengland.org</t>
        </is>
      </c>
      <c r="J30" s="41" t="inlineStr">
        <is>
          <t>https://www.churchofengland.org/prayer-and-worship/worship-texts-and-resources/book-common-prayer/catechism</t>
        </is>
      </c>
      <c r="K30" s="41" t="inlineStr">
        <is>
          <t>RENDERED</t>
        </is>
      </c>
      <c r="L30" s="41" t="inlineStr"/>
      <c r="M30" s="41" t="inlineStr">
        <is>
          <t>AUTHOR_RATIFIED</t>
        </is>
      </c>
      <c r="N30" s="41" t="inlineStr">
        <is>
          <t>APPROVE</t>
        </is>
      </c>
      <c r="O30" s="41" t="inlineStr"/>
      <c r="P30" s="41" t="inlineStr"/>
      <c r="Q30" s="41" t="inlineStr"/>
      <c r="R30" s="41" t="inlineStr">
        <is>
          <t>INCLUDE — Playwright fetch mode</t>
        </is>
      </c>
      <c r="S30" s="41" t="inlineStr">
        <is>
          <t>AJP</t>
        </is>
      </c>
      <c r="T30" s="41" t="inlineStr">
        <is>
          <t>2026-09-10</t>
        </is>
      </c>
    </row>
    <row r="31">
      <c r="A31" s="41" t="inlineStr">
        <is>
          <t>BSR-AN-03</t>
        </is>
      </c>
      <c r="B31" s="41" t="inlineStr">
        <is>
          <t>Anglican</t>
        </is>
      </c>
      <c r="C31" s="41" t="inlineStr">
        <is>
          <t>Athanasian Creed (Quicunque Vult), BCP</t>
        </is>
      </c>
      <c r="D31" s="41" t="inlineStr">
        <is>
          <t>CONFESSIONAL</t>
        </is>
      </c>
      <c r="E31" s="41" t="inlineStr">
        <is>
          <t>Church of England (appointed in the BCP)</t>
        </is>
      </c>
      <c r="F31" s="41" t="inlineStr">
        <is>
          <t>JURISDICTIONAL</t>
        </is>
      </c>
      <c r="G31" s="41" t="inlineStr">
        <is>
          <t>ccel.org retired as lineage host by this migration. The churchofengland.org BCP 1662 PDF is disallowed by robots.txt and cannot serve as a fetchable fallback, so the rendered HTML page is the only viable official artifact.</t>
        </is>
      </c>
      <c r="H31" s="41" t="inlineStr">
        <is>
          <t>The Thirty-Nine Articles are a historic formulary of the Church of England received in different ways across the Anglican Communion; the catechisms speak for the province that adopted them.</t>
        </is>
      </c>
      <c r="I31" s="41" t="inlineStr">
        <is>
          <t>churchofengland.org</t>
        </is>
      </c>
      <c r="J31" s="41" t="inlineStr">
        <is>
          <t>https://www.churchofengland.org/prayer-and-worship/worship-texts-and-resources/book-common-prayer/creed-s-athanasius</t>
        </is>
      </c>
      <c r="K31" s="41" t="inlineStr">
        <is>
          <t>RENDERED (body not exposed to plain fetch — verified 2026-09-12)</t>
        </is>
      </c>
      <c r="L31" s="41" t="inlineStr"/>
      <c r="M31" s="41" t="inlineStr">
        <is>
          <t>AUTHOR_RATIFIED</t>
        </is>
      </c>
      <c r="N31" s="41" t="inlineStr">
        <is>
          <t>APPROVE</t>
        </is>
      </c>
      <c r="O31" s="41" t="inlineStr"/>
      <c r="P31" s="41" t="inlineStr">
        <is>
          <t>Host migration ratified in conversation 2026-09-12. AC-02 MIGRATE_WHERE_OFFICIAL governs: canonical_url and publisher_domain move from ccel.org to the Church of England's own BCP page. Cowork verified the page carries the full Quicunque Vult, the BCP rubric and the Crown/CUP provenance line before the URL was written. Body is not exposed to plain fetch, so fetch_mode is RENDERED; the churchofengland.org BCP 1662 PDF is robots-disallowed and is not a fallback. Re-chunk required.</t>
        </is>
      </c>
      <c r="Q31" s="41" t="n">
        <v>1</v>
      </c>
      <c r="R31" s="41" t="inlineStr">
        <is>
          <t>INCLUDE — migrated to churchofengland.org per AC-02 MIGRATE_WHERE_OFFICIAL; re-chunk required (1 released cell was fetched from the retired ccel.org host)</t>
        </is>
      </c>
      <c r="S31" s="41" t="inlineStr">
        <is>
          <t>AJP</t>
        </is>
      </c>
      <c r="T31" s="41" t="inlineStr">
        <is>
          <t>2026-09-12</t>
        </is>
      </c>
    </row>
    <row r="32">
      <c r="A32" s="41" t="inlineStr">
        <is>
          <t>BSR-AN-04</t>
        </is>
      </c>
      <c r="B32" s="41" t="inlineStr">
        <is>
          <t>Anglican</t>
        </is>
      </c>
      <c r="C32" s="41" t="inlineStr">
        <is>
          <t>The Episcopal Church BCP 1979, "An Outline of the Faith"</t>
        </is>
      </c>
      <c r="D32" s="41" t="inlineStr">
        <is>
          <t>CATECHETICAL</t>
        </is>
      </c>
      <c r="E32" s="41" t="inlineStr">
        <is>
          <t>The Episcopal Church (certified Standard Book)</t>
        </is>
      </c>
      <c r="F32" s="41" t="inlineStr">
        <is>
          <t>JURISDICTIONAL</t>
        </is>
      </c>
      <c r="G32" s="41" t="inlineStr"/>
      <c r="H32" s="41" t="inlineStr">
        <is>
          <t>The Thirty-Nine Articles are a historic formulary of the Church of England received in different ways across the Anglican Communion; the catechisms speak for the province that adopted them.</t>
        </is>
      </c>
      <c r="I32" s="41" t="inlineStr">
        <is>
          <t>episcopalchurch.org</t>
        </is>
      </c>
      <c r="J32" s="41" t="inlineStr">
        <is>
          <t>https://www.episcopalchurch.org/wp-content/uploads/2023/06/book_of_common_prayer.pdf</t>
        </is>
      </c>
      <c r="K32" s="41" t="inlineStr">
        <is>
          <t>PDF</t>
        </is>
      </c>
      <c r="L32" s="41" t="inlineStr"/>
      <c r="M32" s="41" t="inlineStr">
        <is>
          <t>AUTHOR_RATIFIED</t>
        </is>
      </c>
      <c r="N32" s="41" t="inlineStr">
        <is>
          <t>APPROVE</t>
        </is>
      </c>
      <c r="O32" s="41" t="inlineStr"/>
      <c r="P32" s="41" t="inlineStr"/>
      <c r="Q32" s="41" t="inlineStr"/>
      <c r="R32" s="41" t="inlineStr">
        <is>
          <t>INCLUDE WITH CAVEAT (cite the PDF; use bcponline for reading only)</t>
        </is>
      </c>
      <c r="S32" s="41" t="inlineStr">
        <is>
          <t>AJP</t>
        </is>
      </c>
      <c r="T32" s="41" t="inlineStr">
        <is>
          <t>2026-09-10</t>
        </is>
      </c>
    </row>
    <row r="33">
      <c r="A33" s="41" t="inlineStr">
        <is>
          <t>BSR-AN-05</t>
        </is>
      </c>
      <c r="B33" s="41" t="inlineStr">
        <is>
          <t>Anglican</t>
        </is>
      </c>
      <c r="C33" s="41" t="inlineStr">
        <is>
          <t>ACNA "To Be a Christian" (2020 approved edition)</t>
        </is>
      </c>
      <c r="D33" s="41" t="inlineStr">
        <is>
          <t>CATECHETICAL</t>
        </is>
      </c>
      <c r="E33" s="41" t="inlineStr">
        <is>
          <t>Anglican Church in North America (College of Bishops)</t>
        </is>
      </c>
      <c r="F33" s="41" t="inlineStr">
        <is>
          <t>JURISDICTIONAL</t>
        </is>
      </c>
      <c r="G33" s="41" t="inlineStr"/>
      <c r="H33" s="41" t="inlineStr">
        <is>
          <t>The Thirty-Nine Articles are a historic formulary of the Church of England received in different ways across the Anglican Communion; the catechisms speak for the province that adopted them.</t>
        </is>
      </c>
      <c r="I33" s="41" t="inlineStr">
        <is>
          <t>anglicanchurch.net</t>
        </is>
      </c>
      <c r="J33" s="41" t="inlineStr">
        <is>
          <t>https://anglicanchurch.net/wp-content/uploads/2020/06/To-Be-a-Christian.pdf</t>
        </is>
      </c>
      <c r="K33" s="41" t="inlineStr">
        <is>
          <t>PDF</t>
        </is>
      </c>
      <c r="L33" s="41" t="inlineStr"/>
      <c r="M33" s="41" t="inlineStr">
        <is>
          <t>AUTHOR_RATIFIED</t>
        </is>
      </c>
      <c r="N33" s="41" t="inlineStr">
        <is>
          <t>APPROVE</t>
        </is>
      </c>
      <c r="O33" s="41" t="inlineStr"/>
      <c r="P33" s="41" t="inlineStr"/>
      <c r="Q33" s="41" t="inlineStr"/>
      <c r="R33" s="41" t="inlineStr">
        <is>
          <t>AUTHOR CALL — adds a current catechetical witness; ACNA is not in communion with Canterbury</t>
        </is>
      </c>
      <c r="S33" s="41" t="inlineStr">
        <is>
          <t>AJP</t>
        </is>
      </c>
      <c r="T33" s="41" t="inlineStr">
        <is>
          <t>2026-09-10</t>
        </is>
      </c>
    </row>
    <row r="34">
      <c r="A34" s="41" t="inlineStr">
        <is>
          <t>BSR-BA-01</t>
        </is>
      </c>
      <c r="B34" s="41" t="inlineStr">
        <is>
          <t>Baptist</t>
        </is>
      </c>
      <c r="C34" s="41" t="inlineStr">
        <is>
          <t>Baptist Faith and Message 2000</t>
        </is>
      </c>
      <c r="D34" s="41" t="inlineStr">
        <is>
          <t>CONFESSIONAL (statement of faith, not a creed)</t>
        </is>
      </c>
      <c r="E34" s="41" t="inlineStr">
        <is>
          <t>Southern Baptist Convention</t>
        </is>
      </c>
      <c r="F34" s="41" t="inlineStr">
        <is>
          <t>JURISDICTIONAL</t>
        </is>
      </c>
      <c r="G34" s="41" t="inlineStr"/>
      <c r="H34" s="41" t="inlineStr">
        <is>
          <t>Baptists confess without creeds; the Baptist Faith and Message speaks for the Southern Baptist Convention, the 1689 Confession for churches that subscribe it, and neither for all Baptists.</t>
        </is>
      </c>
      <c r="I34" s="41" t="inlineStr">
        <is>
          <t>bfm.sbc.net</t>
        </is>
      </c>
      <c r="J34" s="41" t="inlineStr">
        <is>
          <t>https://bfm.sbc.net/bfm2000/</t>
        </is>
      </c>
      <c r="K34" s="41" t="inlineStr">
        <is>
          <t>HTML</t>
        </is>
      </c>
      <c r="L34" s="41" t="inlineStr"/>
      <c r="M34" s="41" t="inlineStr">
        <is>
          <t>AUTHOR_RATIFIED</t>
        </is>
      </c>
      <c r="N34" s="41" t="inlineStr">
        <is>
          <t>APPROVE</t>
        </is>
      </c>
      <c r="O34" s="41" t="inlineStr"/>
      <c r="P34" s="41" t="inlineStr"/>
      <c r="Q34" s="41" t="n">
        <v>16</v>
      </c>
      <c r="R34" s="41" t="inlineStr">
        <is>
          <t>INCLUDE (16 released cells)</t>
        </is>
      </c>
      <c r="S34" s="41" t="inlineStr">
        <is>
          <t>AJP</t>
        </is>
      </c>
      <c r="T34" s="41" t="inlineStr">
        <is>
          <t>2026-09-10</t>
        </is>
      </c>
    </row>
    <row r="35">
      <c r="A35" s="41" t="inlineStr">
        <is>
          <t>BSR-BA-02</t>
        </is>
      </c>
      <c r="B35" s="41" t="inlineStr">
        <is>
          <t>Baptist</t>
        </is>
      </c>
      <c r="C35" s="41" t="inlineStr">
        <is>
          <t>Second London Confession 1689, ch. 2</t>
        </is>
      </c>
      <c r="D35" s="41" t="inlineStr">
        <is>
          <t>CONFESSIONAL (voluntary church-level subscription)</t>
        </is>
      </c>
      <c r="E35" s="41" t="inlineStr">
        <is>
          <t>Reformed Baptist churches and associations</t>
        </is>
      </c>
      <c r="F35" s="41" t="inlineStr">
        <is>
          <t>JURISDICTIONAL</t>
        </is>
      </c>
      <c r="G35" s="41" t="inlineStr"/>
      <c r="H35" s="41" t="inlineStr">
        <is>
          <t>Baptists confess without creeds; the Baptist Faith and Message speaks for the Southern Baptist Convention, the 1689 Confession for churches that subscribe it, and neither for all Baptists.</t>
        </is>
      </c>
      <c r="I35" s="41" t="inlineStr">
        <is>
          <t>the1689confession.com</t>
        </is>
      </c>
      <c r="J35" s="41" t="inlineStr">
        <is>
          <t>https://the1689confession.com/1689/chapter-2</t>
        </is>
      </c>
      <c r="K35" s="41" t="inlineStr">
        <is>
          <t>HTML</t>
        </is>
      </c>
      <c r="L35" s="41" t="inlineStr"/>
      <c r="M35" s="41" t="inlineStr">
        <is>
          <t>AUTHOR_RATIFIED</t>
        </is>
      </c>
      <c r="N35" s="41" t="inlineStr">
        <is>
          <t>APPROVE</t>
        </is>
      </c>
      <c r="O35" s="41" t="inlineStr"/>
      <c r="P35" s="41" t="inlineStr"/>
      <c r="Q35" s="41" t="inlineStr"/>
      <c r="R35" s="41" t="inlineStr">
        <is>
          <t>AUTHOR CALL — richest attribute text in the Baptist family; host is a single congregation</t>
        </is>
      </c>
      <c r="S35" s="41" t="inlineStr">
        <is>
          <t>AJP</t>
        </is>
      </c>
      <c r="T35" s="41" t="inlineStr">
        <is>
          <t>2026-09-10</t>
        </is>
      </c>
    </row>
    <row r="36">
      <c r="A36" s="41" t="inlineStr">
        <is>
          <t>BSR-BA-03</t>
        </is>
      </c>
      <c r="B36" s="41" t="inlineStr">
        <is>
          <t>Baptist</t>
        </is>
      </c>
      <c r="C36" s="41" t="inlineStr">
        <is>
          <t>American Baptist Churches USA belief pages</t>
        </is>
      </c>
      <c r="D36" s="41" t="inlineStr">
        <is>
          <t>OFFICIAL_EXPOSITION</t>
        </is>
      </c>
      <c r="E36" s="41" t="inlineStr">
        <is>
          <t>ABC-USA (descriptive, non-binding)</t>
        </is>
      </c>
      <c r="F36" s="41" t="inlineStr">
        <is>
          <t>JURISDICTIONAL</t>
        </is>
      </c>
      <c r="G36" s="41" t="inlineStr"/>
      <c r="H36" s="41" t="inlineStr">
        <is>
          <t>Baptists confess without creeds; the Baptist Faith and Message speaks for the Southern Baptist Convention, the 1689 Confession for churches that subscribe it, and neither for all Baptists.</t>
        </is>
      </c>
      <c r="I36" s="41" t="inlineStr">
        <is>
          <t>abc-usa.org</t>
        </is>
      </c>
      <c r="J36" s="41" t="inlineStr">
        <is>
          <t>https://www.abc-usa.org/10facts</t>
        </is>
      </c>
      <c r="K36" s="41" t="inlineStr">
        <is>
          <t>HTML</t>
        </is>
      </c>
      <c r="L36" s="41" t="inlineStr"/>
      <c r="M36" s="41" t="inlineStr">
        <is>
          <t>AUTHOR_RATIFIED</t>
        </is>
      </c>
      <c r="N36" s="41" t="inlineStr">
        <is>
          <t>APPROVE</t>
        </is>
      </c>
      <c r="O36" s="41" t="inlineStr"/>
      <c r="P36" s="41" t="inlineStr"/>
      <c r="Q36" s="41" t="inlineStr"/>
      <c r="R36" s="41" t="inlineStr">
        <is>
          <t>INCLUDE WITH CAVEAT as CURRENT_OFFICIAL_WITNESS</t>
        </is>
      </c>
      <c r="S36" s="41" t="inlineStr">
        <is>
          <t>AJP</t>
        </is>
      </c>
      <c r="T36" s="41" t="inlineStr">
        <is>
          <t>2026-09-10</t>
        </is>
      </c>
    </row>
    <row r="37">
      <c r="A37" s="41" t="inlineStr">
        <is>
          <t>BSR-MW-01</t>
        </is>
      </c>
      <c r="B37" s="41" t="inlineStr">
        <is>
          <t>Methodist / Wesleyan</t>
        </is>
      </c>
      <c r="C37" s="41" t="inlineStr">
        <is>
          <t>Articles of Religion of The Methodist Church (Book of Discipline)</t>
        </is>
      </c>
      <c r="D37" s="41" t="inlineStr">
        <is>
          <t>CONFESSIONAL (protected by Restrictive Rules)</t>
        </is>
      </c>
      <c r="E37" s="41" t="inlineStr">
        <is>
          <t>United Methodist Church</t>
        </is>
      </c>
      <c r="F37" s="41" t="inlineStr">
        <is>
          <t>JURISDICTIONAL</t>
        </is>
      </c>
      <c r="G37" s="41" t="inlineStr"/>
      <c r="H37"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7" s="41" t="inlineStr">
        <is>
          <t>umc.org</t>
        </is>
      </c>
      <c r="J37" s="41" t="inlineStr">
        <is>
          <t>https://www.umc.org/en/content/articles-of-religion</t>
        </is>
      </c>
      <c r="K37" s="41" t="inlineStr">
        <is>
          <t>HTML (rendered)</t>
        </is>
      </c>
      <c r="L37" s="41" t="inlineStr"/>
      <c r="M37" s="41" t="inlineStr">
        <is>
          <t>AUTHOR_RATIFIED</t>
        </is>
      </c>
      <c r="N37" s="41" t="inlineStr">
        <is>
          <t>APPROVE</t>
        </is>
      </c>
      <c r="O37" s="41" t="inlineStr"/>
      <c r="P37" s="41" t="inlineStr"/>
      <c r="Q37" s="41" t="n">
        <v>10</v>
      </c>
      <c r="R37" s="41" t="inlineStr">
        <is>
          <t>INCLUDE (10 released cells)</t>
        </is>
      </c>
      <c r="S37" s="41" t="inlineStr">
        <is>
          <t>AJP</t>
        </is>
      </c>
      <c r="T37" s="41" t="inlineStr">
        <is>
          <t>2026-09-10</t>
        </is>
      </c>
    </row>
    <row r="38">
      <c r="A38" s="41" t="inlineStr">
        <is>
          <t>BSR-MW-02</t>
        </is>
      </c>
      <c r="B38" s="41" t="inlineStr">
        <is>
          <t>Methodist / Wesleyan</t>
        </is>
      </c>
      <c r="C38" s="41" t="inlineStr">
        <is>
          <t>Confession of Faith of the Evangelical United Brethren Church</t>
        </is>
      </c>
      <c r="D38" s="41" t="inlineStr">
        <is>
          <t>CONFESSIONAL (Restrictive Rules)</t>
        </is>
      </c>
      <c r="E38" s="41" t="inlineStr">
        <is>
          <t>United Methodist Church</t>
        </is>
      </c>
      <c r="F38" s="41" t="inlineStr">
        <is>
          <t>JURISDICTIONAL</t>
        </is>
      </c>
      <c r="G38" s="41" t="inlineStr"/>
      <c r="H38"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8" s="41" t="inlineStr">
        <is>
          <t>umc.org</t>
        </is>
      </c>
      <c r="J38" s="41" t="inlineStr">
        <is>
          <t>https://www.umc.org/en/content/confession-of-faith</t>
        </is>
      </c>
      <c r="K38" s="41" t="inlineStr">
        <is>
          <t>HTML</t>
        </is>
      </c>
      <c r="L38" s="41" t="inlineStr"/>
      <c r="M38" s="41" t="inlineStr">
        <is>
          <t>AUTHOR_RATIFIED</t>
        </is>
      </c>
      <c r="N38" s="41" t="inlineStr">
        <is>
          <t>APPROVE</t>
        </is>
      </c>
      <c r="O38" s="41" t="inlineStr"/>
      <c r="P38" s="41" t="inlineStr"/>
      <c r="Q38" s="41" t="n">
        <v>8</v>
      </c>
      <c r="R38" s="41" t="inlineStr">
        <is>
          <t>INCLUDE (8 released cells)</t>
        </is>
      </c>
      <c r="S38" s="41" t="inlineStr">
        <is>
          <t>AJP</t>
        </is>
      </c>
      <c r="T38" s="41" t="inlineStr">
        <is>
          <t>2026-09-10</t>
        </is>
      </c>
    </row>
    <row r="39">
      <c r="A39" s="41" t="inlineStr">
        <is>
          <t>BSR-MW-03</t>
        </is>
      </c>
      <c r="B39" s="41" t="inlineStr">
        <is>
          <t>Methodist / Wesleyan</t>
        </is>
      </c>
      <c r="C39" s="41" t="inlineStr">
        <is>
          <t>Global Methodist Church, 2024 Book of Doctrines and Discipline</t>
        </is>
      </c>
      <c r="D39" s="41" t="inlineStr">
        <is>
          <t>CONFESSIONAL</t>
        </is>
      </c>
      <c r="E39" s="41" t="inlineStr">
        <is>
          <t>Global Methodist Church</t>
        </is>
      </c>
      <c r="F39" s="41" t="inlineStr">
        <is>
          <t>JURISDICTIONAL</t>
        </is>
      </c>
      <c r="G39" s="41" t="inlineStr">
        <is>
          <t>LINKED FROM: https://www.globalmethodist.org/our-beliefs---governance - the church's official page, from which this file is the linked English edition. Admitted under the controlled-storage ruling of 12 Sep 2026: irp.cdn-website.com/1876eae9/ is the Global Methodist Church's own storage account with its website vendor, not a third-party republication. The 2024 edition supersedes the 2022 Transitional Discipline. Sample phrase corrected: the text reads 'wisdom, and good', NOT 'goodness' - the earlier registry wording would have failed verbatim assertion. Verified against the author's own copy of the 2024 edition.</t>
        </is>
      </c>
      <c r="H39"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9" s="41" t="inlineStr">
        <is>
          <t>irp.cdn-website.com</t>
        </is>
      </c>
      <c r="J39" s="41" t="inlineStr">
        <is>
          <t>https://irp.cdn-website.com/1876eae9/files/uploaded/2024-Book-of-Doctrines-Discipline-FINAL-15JAN2025.pdf</t>
        </is>
      </c>
      <c r="K39" s="41" t="inlineStr">
        <is>
          <t>PDF - text layer present; controlled storage, admitted under the 12 Sep 2026 ruling</t>
        </is>
      </c>
      <c r="L39" s="41" t="inlineStr"/>
      <c r="M39" s="41" t="inlineStr">
        <is>
          <t>AUTHOR_RATIFIED</t>
        </is>
      </c>
      <c r="N39" s="41" t="inlineStr">
        <is>
          <t>APPROVE</t>
        </is>
      </c>
      <c r="O39" s="41" t="inlineStr"/>
      <c r="P39" s="41" t="inlineStr">
        <is>
          <t>Re-pointed to the 2024 Book of Doctrines and Discipline on the church's controlled storage, linked from its official governance page. Sample phrase corrected to 'wisdom, and good'.</t>
        </is>
      </c>
      <c r="Q39" s="41" t="inlineStr"/>
      <c r="R39" s="41" t="inlineStr">
        <is>
          <t>INCLUDE - Articles of Religion, Article I onward</t>
        </is>
      </c>
      <c r="S39" s="41" t="inlineStr">
        <is>
          <t>AJP</t>
        </is>
      </c>
      <c r="T39" s="41" t="inlineStr">
        <is>
          <t>2026-09-12</t>
        </is>
      </c>
    </row>
    <row r="40">
      <c r="A40" s="41" t="inlineStr">
        <is>
          <t>BSR-MW-04</t>
        </is>
      </c>
      <c r="B40" s="41" t="inlineStr">
        <is>
          <t>Methodist / Wesleyan</t>
        </is>
      </c>
      <c r="C40" s="41" t="inlineStr">
        <is>
          <t>The Wesleyan Church Articles of Religion</t>
        </is>
      </c>
      <c r="D40" s="41" t="inlineStr">
        <is>
          <t>CONFESSIONAL</t>
        </is>
      </c>
      <c r="E40" s="41" t="inlineStr">
        <is>
          <t>The Wesleyan Church</t>
        </is>
      </c>
      <c r="F40" s="41" t="inlineStr">
        <is>
          <t>JURISDICTIONAL</t>
        </is>
      </c>
      <c r="G40" s="41" t="inlineStr"/>
      <c r="H40"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40" s="41" t="inlineStr">
        <is>
          <t>wesleyan.org</t>
        </is>
      </c>
      <c r="J40" s="41" t="inlineStr">
        <is>
          <t>https://www.wesleyan.org/about/articles-of-religion</t>
        </is>
      </c>
      <c r="K40" s="41" t="inlineStr">
        <is>
          <t>HTML</t>
        </is>
      </c>
      <c r="L40" s="41" t="inlineStr"/>
      <c r="M40" s="41" t="inlineStr">
        <is>
          <t>AUTHOR_RATIFIED</t>
        </is>
      </c>
      <c r="N40" s="41" t="inlineStr">
        <is>
          <t>APPROVE</t>
        </is>
      </c>
      <c r="O40" s="41" t="inlineStr"/>
      <c r="P40" s="41" t="inlineStr"/>
      <c r="Q40" s="41" t="inlineStr"/>
      <c r="R40" s="41" t="inlineStr">
        <is>
          <t>AUTHOR CALL — Wesleyan-holiness witness</t>
        </is>
      </c>
      <c r="S40" s="41" t="inlineStr">
        <is>
          <t>AJP</t>
        </is>
      </c>
      <c r="T40" s="41" t="inlineStr">
        <is>
          <t>2026-09-10</t>
        </is>
      </c>
    </row>
    <row r="41">
      <c r="A41" s="41" t="inlineStr">
        <is>
          <t>BSR-MA-01</t>
        </is>
      </c>
      <c r="B41" s="41" t="inlineStr">
        <is>
          <t>Mennonite / Anabaptist</t>
        </is>
      </c>
      <c r="C41" s="41" t="inlineStr">
        <is>
          <t>Confession of Faith in a Mennonite Perspective (1995), Article 1 and following</t>
        </is>
      </c>
      <c r="D41" s="41" t="inlineStr">
        <is>
          <t>CONFESSIONAL (adopted 1995; "guidelines," not a creed)</t>
        </is>
      </c>
      <c r="E41" s="41" t="inlineStr">
        <is>
          <t>Mennonite Church USA and Mennonite Church Canada</t>
        </is>
      </c>
      <c r="F41" s="41" t="inlineStr">
        <is>
          <t>JURISDICTIONAL</t>
        </is>
      </c>
      <c r="G41" s="41" t="inlineStr"/>
      <c r="H41" s="41" t="inlineStr">
        <is>
          <t>The 1995 Confession describes itself as guidance for belief and practice rather than a creed; it speaks for the two adopting denominations, and historic confessions are received differently by other Anabaptist bodies.</t>
        </is>
      </c>
      <c r="I41" s="41" t="inlineStr">
        <is>
          <t>mennoniteusa.org</t>
        </is>
      </c>
      <c r="J41" s="41" t="inlineStr">
        <is>
          <t>https://www.mennoniteusa.org/who-are-mennonites/what-we-believe/confession-of-faith/god/</t>
        </is>
      </c>
      <c r="K41" s="41" t="inlineStr">
        <is>
          <t>HTML + PDF</t>
        </is>
      </c>
      <c r="L41" s="41" t="inlineStr"/>
      <c r="M41" s="41" t="inlineStr">
        <is>
          <t>AUTHOR_RATIFIED</t>
        </is>
      </c>
      <c r="N41" s="41" t="inlineStr">
        <is>
          <t>APPROVE</t>
        </is>
      </c>
      <c r="O41" s="41" t="inlineStr"/>
      <c r="P41" s="41" t="inlineStr"/>
      <c r="Q41" s="41" t="n">
        <v>13</v>
      </c>
      <c r="R41" s="41" t="inlineStr">
        <is>
          <t>INCLUDE (13 released cells)</t>
        </is>
      </c>
      <c r="S41" s="41" t="inlineStr">
        <is>
          <t>AJP</t>
        </is>
      </c>
      <c r="T41" s="41" t="inlineStr">
        <is>
          <t>2026-09-10</t>
        </is>
      </c>
    </row>
    <row r="42">
      <c r="A42" s="41" t="inlineStr">
        <is>
          <t>BSR-MA-02</t>
        </is>
      </c>
      <c r="B42" s="41" t="inlineStr">
        <is>
          <t>Mennonite / Anabaptist</t>
        </is>
      </c>
      <c r="C42" s="41" t="inlineStr">
        <is>
          <t>Dordrecht Confession (1632)</t>
        </is>
      </c>
      <c r="D42" s="41" t="inlineStr">
        <is>
          <t>CONFESSIONAL (historic; received by conservative bodies)</t>
        </is>
      </c>
      <c r="E42" s="41" t="inlineStr">
        <is>
          <t>Historic; no current binding statement</t>
        </is>
      </c>
      <c r="F42" s="41" t="inlineStr">
        <is>
          <t>HISTORIC_NO_CURRENT_BODY</t>
        </is>
      </c>
      <c r="G42" s="41" t="inlineStr"/>
      <c r="H42" s="41" t="inlineStr">
        <is>
          <t>The 1995 Confession describes itself as guidance for belief and practice rather than a creed; it speaks for the two adopting denominations, and historic confessions are received differently by other Anabaptist bodies.</t>
        </is>
      </c>
      <c r="I42" s="41" t="inlineStr">
        <is>
          <t>anabaptistresources.org</t>
        </is>
      </c>
      <c r="J42" s="41" t="inlineStr">
        <is>
          <t>https://www.anabaptistresources.org/en/resources/details/932/dordrecht-confession-of-faith</t>
        </is>
      </c>
      <c r="K42" s="41" t="inlineStr">
        <is>
          <t>PDF</t>
        </is>
      </c>
      <c r="L42" s="41" t="inlineStr"/>
      <c r="M42" s="41" t="inlineStr">
        <is>
          <t>AUTHOR_RATIFIED</t>
        </is>
      </c>
      <c r="N42" s="41" t="inlineStr">
        <is>
          <t>APPROVE</t>
        </is>
      </c>
      <c r="O42" s="41" t="inlineStr"/>
      <c r="P42" s="41" t="inlineStr"/>
      <c r="Q42" s="41" t="inlineStr"/>
      <c r="R42" s="41" t="inlineStr">
        <is>
          <t>AUTHOR CALL — host operator unidentified; gameo is the scholarly source but blocks fetch</t>
        </is>
      </c>
      <c r="S42" s="41" t="inlineStr">
        <is>
          <t>AJP</t>
        </is>
      </c>
      <c r="T42" s="41" t="inlineStr">
        <is>
          <t>2026-09-10</t>
        </is>
      </c>
    </row>
    <row r="43">
      <c r="A43" s="41" t="inlineStr">
        <is>
          <t>BSR-MA-03</t>
        </is>
      </c>
      <c r="B43" s="41" t="inlineStr">
        <is>
          <t>Mennonite / Anabaptist</t>
        </is>
      </c>
      <c r="C43" s="41" t="inlineStr">
        <is>
          <t>Schleitheim Confession (1527)</t>
        </is>
      </c>
      <c r="D43" s="41" t="inlineStr">
        <is>
          <t>CONFESSIONAL (historic)</t>
        </is>
      </c>
      <c r="E43" s="41" t="inlineStr">
        <is>
          <t>Historic</t>
        </is>
      </c>
      <c r="F43" s="41" t="inlineStr">
        <is>
          <t>HISTORIC_NO_CURRENT_BODY</t>
        </is>
      </c>
      <c r="G43" s="41" t="inlineStr"/>
      <c r="H43" s="41" t="inlineStr">
        <is>
          <t>The 1995 Confession describes itself as guidance for belief and practice rather than a creed; it speaks for the two adopting denominations, and historic confessions are received differently by other Anabaptist bodies.</t>
        </is>
      </c>
      <c r="I43" s="41" t="inlineStr">
        <is>
          <t>anabaptists.org</t>
        </is>
      </c>
      <c r="J43" s="41" t="inlineStr">
        <is>
          <t>https://www.anabaptists.org/history/the-schleitheim-confession.html</t>
        </is>
      </c>
      <c r="K43" s="41" t="inlineStr">
        <is>
          <t>HTML</t>
        </is>
      </c>
      <c r="L43" s="41" t="inlineStr"/>
      <c r="M43" s="41" t="inlineStr">
        <is>
          <t>RETIRED</t>
        </is>
      </c>
      <c r="N43" s="41" t="inlineStr">
        <is>
          <t>EXCLUDE</t>
        </is>
      </c>
      <c r="O43" s="41" t="inlineStr">
        <is>
          <t>WRONG_SUBJECT</t>
        </is>
      </c>
      <c r="P43" s="41" t="inlineStr"/>
      <c r="Q43" s="41" t="inlineStr"/>
      <c r="R43" s="41" t="inlineStr">
        <is>
          <t>EXCLUDE (ecclesial/ethical articles only)</t>
        </is>
      </c>
      <c r="S43" s="41" t="inlineStr">
        <is>
          <t>AJP</t>
        </is>
      </c>
      <c r="T43" s="41" t="inlineStr">
        <is>
          <t>2026-09-10</t>
        </is>
      </c>
    </row>
    <row r="44">
      <c r="A44" s="41" t="inlineStr">
        <is>
          <t>BSR-EO-07</t>
        </is>
      </c>
      <c r="B44" s="41" t="inlineStr">
        <is>
          <t>Eastern Orthodox</t>
        </is>
      </c>
      <c r="C44" s="41" t="inlineStr">
        <is>
          <t>Divine Liturgy of St John Chrysostom (American Carpatho-Russian Orthodox Diocese)</t>
        </is>
      </c>
      <c r="D44" s="41" t="inlineStr">
        <is>
          <t>CONFESSIONAL (liturgically confessed; the Creed within resolves CONCILIAR)</t>
        </is>
      </c>
      <c r="E44" s="41" t="inlineStr">
        <is>
          <t>American Carpatho-Russian Orthodox Diocese of North America (Ecumenical Patriarchate); the rite of the whole Byzantine tradition</t>
        </is>
      </c>
      <c r="F44" s="41" t="inlineStr">
        <is>
          <t>UNIVERSAL</t>
        </is>
      </c>
      <c r="G44" s="41" t="inlineStr">
        <is>
          <t>Replaces the goarch.org host, which is unusable: its bot check fails for human users in a normal browser, so a citation there cannot be audited by a reader. This translation keeps all four adjectives, so the verifier gets a lexical match rather than a floor judgment. The Creed on the same page reads 'Creator of heaven and earth', not 'Maker' - cut every phrase from this file. RISK: the page footer discloses the site runs on the Department of Internet Ministries of the Greek Orthodox Archdiocese of America, the same platform as the failed host, so BSR-EO-14 exists as the independent-infrastructure alternate. No translator credited.</t>
        </is>
      </c>
      <c r="H4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4" s="41" t="inlineStr">
        <is>
          <t>acrod.org</t>
        </is>
      </c>
      <c r="J44" s="41" t="inlineStr">
        <is>
          <t>https://www.acrod.org/prayercorner/liturgicaltexts/divineliturgy</t>
        </is>
      </c>
      <c r="K44" s="41" t="inlineStr">
        <is>
          <t>HTML - plain, no JavaScript, no bot challenge</t>
        </is>
      </c>
      <c r="L44" s="41" t="inlineStr"/>
      <c r="M44" s="41" t="inlineStr">
        <is>
          <t>AUTHOR_RATIFIED</t>
        </is>
      </c>
      <c r="N44" s="41" t="inlineStr">
        <is>
          <t>APPROVE</t>
        </is>
      </c>
      <c r="O44" s="41" t="inlineStr"/>
      <c r="P44" s="41" t="inlineStr">
        <is>
          <t>Re-hosted to acrod.org. goarch.org retired as a registry host: its bot check fails for human users, so a citation there cannot be audited.</t>
        </is>
      </c>
      <c r="Q44" s="41" t="inlineStr"/>
      <c r="R44" s="41" t="inlineStr">
        <is>
          <t>INCLUDE - division THE ANAPHORA; carries all four adjectives</t>
        </is>
      </c>
      <c r="S44" s="41" t="inlineStr">
        <is>
          <t>AJP</t>
        </is>
      </c>
      <c r="T44" s="41" t="inlineStr">
        <is>
          <t>2026-09-12</t>
        </is>
      </c>
    </row>
    <row r="45">
      <c r="A45" s="41" t="inlineStr">
        <is>
          <t>BSR-EO-08</t>
        </is>
      </c>
      <c r="B45" s="41" t="inlineStr">
        <is>
          <t>Eastern Orthodox</t>
        </is>
      </c>
      <c r="C45" s="41" t="inlineStr">
        <is>
          <t>Anaphora of St Basil the Great (Romanian Orthodox Episcopate of America)</t>
        </is>
      </c>
      <c r="D45" s="41" t="inlineStr">
        <is>
          <t>CONFESSIONAL (liturgically confessed)</t>
        </is>
      </c>
      <c r="E45" s="41" t="inlineStr">
        <is>
          <t>Romanian Orthodox Episcopate of America; the rite of the whole Byzantine tradition</t>
        </is>
      </c>
      <c r="F45" s="41" t="inlineStr">
        <is>
          <t>UNIVERSAL</t>
        </is>
      </c>
      <c r="G45" s="41" t="inlineStr">
        <is>
          <t>This translation reads 'unseen' and 'immutable'; the words invisible, ineffable and unchangeable do not occur in it. Domain is roea.org - roeaoca.org does not resolve.</t>
        </is>
      </c>
      <c r="H4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5" s="41" t="inlineStr">
        <is>
          <t>roea.org</t>
        </is>
      </c>
      <c r="J45" s="41" t="inlineStr">
        <is>
          <t>https://roea.org/wp-content/uploads/2026/04/ST-BASIL-LITURGY-PRAYERS.pdf</t>
        </is>
      </c>
      <c r="K45" s="41" t="inlineStr">
        <is>
          <t>PDF - text layer present</t>
        </is>
      </c>
      <c r="L45" s="41" t="inlineStr"/>
      <c r="M45" s="41" t="inlineStr">
        <is>
          <t>AUTHOR_RATIFIED</t>
        </is>
      </c>
      <c r="N45" s="41" t="inlineStr">
        <is>
          <t>APPROVE</t>
        </is>
      </c>
      <c r="O45" s="41" t="inlineStr"/>
      <c r="P45" s="41" t="inlineStr"/>
      <c r="Q45" s="41" t="inlineStr"/>
      <c r="R45" s="41" t="inlineStr">
        <is>
          <t>INCLUDE - division 'The Prayer of Praise and Thanksgiving [Anaphora]'</t>
        </is>
      </c>
      <c r="S45" s="41" t="inlineStr">
        <is>
          <t>AJP</t>
        </is>
      </c>
      <c r="T45" s="41" t="inlineStr">
        <is>
          <t>2026-09-12</t>
        </is>
      </c>
    </row>
    <row r="46">
      <c r="A46" s="41" t="inlineStr">
        <is>
          <t>BSR-EO-09</t>
        </is>
      </c>
      <c r="B46" s="41" t="inlineStr">
        <is>
          <t>Eastern Orthodox</t>
        </is>
      </c>
      <c r="C46" s="41" t="inlineStr">
        <is>
          <t>The Synodikon of Orthodoxy (Romanian Orthodox Episcopate of America)</t>
        </is>
      </c>
      <c r="D46" s="41" t="inlineStr">
        <is>
          <t>CONFESSIONAL (liturgically proclaimed)</t>
        </is>
      </c>
      <c r="E46" s="41" t="inlineStr">
        <is>
          <t>Proclaimed on the Sunday of Orthodoxy across the Byzantine rite</t>
        </is>
      </c>
      <c r="F46" s="41" t="inlineStr">
        <is>
          <t>UNIVERSAL</t>
        </is>
      </c>
      <c r="G46" s="41" t="inlineStr">
        <is>
          <t>BLOCKING GUARD, not a caveat: most Trinitarian sentences here are anathematised propositions - 'To those who dare to say that the Son of God, and likewise the Holy Spirit, are not one in essence with the Father ... ANATHEMA!' Quoting the inner clause inverts the doctrine. The corpus builder must mark anathema-framed clauses non-citable and that guard must be tested before this row is released to the agents. Section 2 is the safe region.</t>
        </is>
      </c>
      <c r="H46"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6" s="41" t="inlineStr">
        <is>
          <t>roea.org</t>
        </is>
      </c>
      <c r="J46" s="41" t="inlineStr">
        <is>
          <t>https://roea.org/wp-content/uploads/2026/04/The-Synodikon-of-Orthodoxy-I.pdf</t>
        </is>
      </c>
      <c r="K46" s="41" t="inlineStr">
        <is>
          <t>PDF - text layer; BLOCKING GUARD: anathema-framed clauses non-citable</t>
        </is>
      </c>
      <c r="L46" s="41" t="inlineStr"/>
      <c r="M46" s="41" t="inlineStr">
        <is>
          <t>AUTHOR_RATIFIED</t>
        </is>
      </c>
      <c r="N46" s="41" t="inlineStr">
        <is>
          <t>APPROVE</t>
        </is>
      </c>
      <c r="O46" s="41" t="inlineStr"/>
      <c r="P46" s="41" t="inlineStr"/>
      <c r="Q46" s="41" t="inlineStr"/>
      <c r="R46" s="41" t="inlineStr">
        <is>
          <t>INCLUDE WITH BLOCKING CORPUS GUARD - sections 1-6; section 2 is The Symbol of Faith</t>
        </is>
      </c>
      <c r="S46" s="41" t="inlineStr">
        <is>
          <t>AJP</t>
        </is>
      </c>
      <c r="T46" s="41" t="inlineStr">
        <is>
          <t>2026-09-12</t>
        </is>
      </c>
    </row>
    <row r="47">
      <c r="A47" s="41" t="inlineStr">
        <is>
          <t>BSR-EO-10</t>
        </is>
      </c>
      <c r="B47" s="41" t="inlineStr">
        <is>
          <t>Eastern Orthodox</t>
        </is>
      </c>
      <c r="C47" s="41" t="inlineStr">
        <is>
          <t>Holy and Great Council of Crete (2016) - official documents</t>
        </is>
      </c>
      <c r="D47" s="41" t="inlineStr">
        <is>
          <t>CONCILIAR (participating churches)</t>
        </is>
      </c>
      <c r="E47" s="41" t="inlineStr">
        <is>
          <t>The ten autocephalous Churches that participated; Antioch, Russia, Bulgaria and Georgia did not</t>
        </is>
      </c>
      <c r="F47" s="41" t="inlineStr">
        <is>
          <t>PARTICIPATING_BODIES</t>
        </is>
      </c>
      <c r="G47" s="41" t="inlineStr">
        <is>
          <t>Four autocephalous Churches were absent, so this is not received pan-Orthodoxly. By the GOARCH criterion recorded on BSR-EO-05 it is also a post-eighth-century synod and therefore secondary. Every Crete text is pastoral, missional or ecclesiological in purpose, so its Trinitarian sentences are openings and doxologies rather than the documents' subject.</t>
        </is>
      </c>
      <c r="H47"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7" s="41" t="inlineStr">
        <is>
          <t>holycouncil.org</t>
        </is>
      </c>
      <c r="J47" s="41" t="inlineStr">
        <is>
          <t>https://www.holycouncil.org/rest-of-christian-world</t>
        </is>
      </c>
      <c r="K47" s="41" t="inlineStr">
        <is>
          <t>HTML - plain; parallel Greek/English/Russian/French</t>
        </is>
      </c>
      <c r="L47" s="41" t="inlineStr"/>
      <c r="M47" s="41" t="inlineStr">
        <is>
          <t>AUTHOR_RATIFIED</t>
        </is>
      </c>
      <c r="N47" s="41" t="inlineStr">
        <is>
          <t>APPROVE</t>
        </is>
      </c>
      <c r="O47" s="41" t="inlineStr"/>
      <c r="P47" s="41" t="inlineStr"/>
      <c r="Q47" s="41" t="inlineStr"/>
      <c r="R47" s="41" t="inlineStr">
        <is>
          <t>INCLUDE - flat-numbered paragraphs 1-24; Encyclical is sections I-VII with paragraphs 1-20</t>
        </is>
      </c>
      <c r="S47" s="41" t="inlineStr">
        <is>
          <t>AJP</t>
        </is>
      </c>
      <c r="T47" s="41" t="inlineStr">
        <is>
          <t>2026-09-12</t>
        </is>
      </c>
    </row>
    <row r="48">
      <c r="A48" s="41" t="inlineStr">
        <is>
          <t>BSR-EO-11</t>
        </is>
      </c>
      <c r="B48" s="41" t="inlineStr">
        <is>
          <t>Eastern Orthodox</t>
        </is>
      </c>
      <c r="C48" s="41" t="inlineStr">
        <is>
          <t>Chalcedon clause as witnessed by the Patriarchate of Antioch</t>
        </is>
      </c>
      <c r="D48" s="41" t="inlineStr">
        <is>
          <t>CONCILIAR (witness; translation)</t>
        </is>
      </c>
      <c r="E48" s="41" t="inlineStr">
        <is>
          <t>Greek Orthodox Patriarchate of Antioch - witness to a universally received council</t>
        </is>
      </c>
      <c r="F48" s="41" t="inlineStr">
        <is>
          <t>UNIVERSAL</t>
        </is>
      </c>
      <c r="G48" s="41" t="inlineStr">
        <is>
          <t>Carries the clause in English with the Greek and the Latin inline. But it is an unsigned, undated devotional article quoting a fragment of the horos, beginning mid-sentence, with no session or horos locator, no edition cited, and a typo ('Chirst') in the text. Nothing on 680-681. BSR-EO-06 remains the controlling conciliar text.</t>
        </is>
      </c>
      <c r="H48"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8" s="41" t="inlineStr">
        <is>
          <t>antiochpatriarchate.org</t>
        </is>
      </c>
      <c r="J48" s="41" t="inlineStr">
        <is>
          <t>https://antiochpatriarchate.org/en/page/whose-goings-forth-are-from-of-old-from-everlasting/2320/</t>
        </is>
      </c>
      <c r="K48" s="41" t="inlineStr">
        <is>
          <t>HTML - plain</t>
        </is>
      </c>
      <c r="L48" s="41" t="inlineStr"/>
      <c r="M48" s="41" t="inlineStr">
        <is>
          <t>AUTHOR_RATIFIED</t>
        </is>
      </c>
      <c r="N48" s="41" t="inlineStr">
        <is>
          <t>APPROVE</t>
        </is>
      </c>
      <c r="O48" s="41" t="inlineStr"/>
      <c r="P48" s="41" t="inlineStr"/>
      <c r="Q48" s="41" t="n">
        <v>1</v>
      </c>
      <c r="R48" s="41" t="inlineStr">
        <is>
          <t>INCLUDE AS WITNESS ONLY - not the controlling text; 1 released cell (Q-434)</t>
        </is>
      </c>
      <c r="S48" s="41" t="inlineStr">
        <is>
          <t>AJP</t>
        </is>
      </c>
      <c r="T48" s="41" t="inlineStr">
        <is>
          <t>2026-09-12</t>
        </is>
      </c>
    </row>
    <row r="49">
      <c r="A49" s="41" t="inlineStr">
        <is>
          <t>BSR-EO-12</t>
        </is>
      </c>
      <c r="B49" s="41" t="inlineStr">
        <is>
          <t>Eastern Orthodox</t>
        </is>
      </c>
      <c r="C49" s="41" t="inlineStr">
        <is>
          <t>Nicene-Constantinopolitan Creed in Greek (Metropolis of Monemvasia and Sparta)</t>
        </is>
      </c>
      <c r="D49" s="41" t="inlineStr">
        <is>
          <t>CONCILIAR (original language)</t>
        </is>
      </c>
      <c r="E49" s="41" t="inlineStr">
        <is>
          <t>A metropolis of the Church of Greece; the Creed of the whole Church</t>
        </is>
      </c>
      <c r="F49" s="41" t="inlineStr">
        <is>
          <t>UNIVERSAL</t>
        </is>
      </c>
      <c r="G49" s="41" t="inlineStr">
        <is>
          <t>The one place the Dei Filius pattern transfers cleanly: original-language text on an official ecclesiastical host controls, English is the reading witness. The Church of Greece library at myriobiblos.gr also carries the Creed in ancient Greek, but as transmitted in a letter of Photios - first-person Pisteuo rather than the conciliar Pisteuomen, and with no article divisions.</t>
        </is>
      </c>
      <c r="H49"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9" s="41" t="inlineStr">
        <is>
          <t>immspartis.gr</t>
        </is>
      </c>
      <c r="J49" s="41" t="inlineStr">
        <is>
          <t>https://immspartis.gr/ofelima/to-symvolo/</t>
        </is>
      </c>
      <c r="K49" s="41" t="inlineStr">
        <is>
          <t>HTML - plain, Greek</t>
        </is>
      </c>
      <c r="L49" s="41" t="inlineStr"/>
      <c r="M49" s="41" t="inlineStr">
        <is>
          <t>AUTHOR_RATIFIED</t>
        </is>
      </c>
      <c r="N49" s="41" t="inlineStr">
        <is>
          <t>APPROVE</t>
        </is>
      </c>
      <c r="O49" s="41" t="inlineStr"/>
      <c r="P49" s="41" t="inlineStr"/>
      <c r="Q49" s="41" t="inlineStr"/>
      <c r="R49" s="41" t="inlineStr">
        <is>
          <t>INCLUDE - twelve numbered articles; the original-language control</t>
        </is>
      </c>
      <c r="S49" s="41" t="inlineStr">
        <is>
          <t>AJP</t>
        </is>
      </c>
      <c r="T49" s="41" t="inlineStr">
        <is>
          <t>2026-09-12</t>
        </is>
      </c>
    </row>
    <row r="50">
      <c r="A50" s="41" t="inlineStr">
        <is>
          <t>BSR-EO-13</t>
        </is>
      </c>
      <c r="B50" s="41" t="inlineStr">
        <is>
          <t>Eastern Orthodox</t>
        </is>
      </c>
      <c r="C50" s="41" t="inlineStr">
        <is>
          <t>Third Council of Constantinople (New Advent transcription) - LINEAGE</t>
        </is>
      </c>
      <c r="D50" s="41" t="inlineStr">
        <is>
          <t>CONCILIAR (translation)</t>
        </is>
      </c>
      <c r="E50" s="41" t="inlineStr">
        <is>
          <t>-</t>
        </is>
      </c>
      <c r="F50" s="41" t="inlineStr">
        <is>
          <t>TRANSLATION_WITNESS</t>
        </is>
      </c>
      <c r="G50" s="41" t="inlineStr">
        <is>
          <t>Restores a domain that R001 admitted before 12 September and that the Draft2 edit dropped in error, breaking released cell Q-034. AC-02 ratified MIGRATE_WHERE_OFFICIAL - migrate where an official host exists - and a search across eleven Orthodox jurisdictions on 12 Sep 2026 established that none publishes the conciliar definitions, so the condition in the ratified decision keeps this host eligible. Registered as its own row rather than as a second domain on BSR-EO-06, following the BSR-RC-05 pattern, so that publisher_domain names it explicitly and R001 admits it by design rather than by parsing prose.</t>
        </is>
      </c>
      <c r="H50"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50" s="41" t="inlineStr">
        <is>
          <t>newadvent.org</t>
        </is>
      </c>
      <c r="J50" s="41" t="inlineStr">
        <is>
          <t>https://www.newadvent.org/fathers/3813.htm</t>
        </is>
      </c>
      <c r="K50" s="41" t="inlineStr">
        <is>
          <t>HTML - pages truncate on retrieval; witness role only</t>
        </is>
      </c>
      <c r="L50" s="41" t="inlineStr"/>
      <c r="M50" s="41" t="inlineStr">
        <is>
          <t>AUTHOR_RATIFIED</t>
        </is>
      </c>
      <c r="N50" s="41" t="inlineStr">
        <is>
          <t>APPROVE</t>
        </is>
      </c>
      <c r="O50" s="41" t="inlineStr"/>
      <c r="P50" s="41" t="inlineStr">
        <is>
          <t>Ratified in conversation 2026-09-12. Restores the newadvent.org domain that R001 admitted before the Draft2 edit of BSR-EO-06 dropped it, breaking released cell Q-034. Registered as its own LINEAGE row on the BSR-RC-05 pattern so publisher_domain names the host explicitly, rather than as prose inside another row's canonical_url.</t>
        </is>
      </c>
      <c r="Q50" s="41" t="n">
        <v>1</v>
      </c>
      <c r="R50" s="41" t="inlineStr">
        <is>
          <t>LINEAGE - 1 released cell (Q-034); retained under AC-02</t>
        </is>
      </c>
      <c r="S50" s="41" t="inlineStr">
        <is>
          <t>AJP</t>
        </is>
      </c>
      <c r="T50" s="41" t="inlineStr">
        <is>
          <t>2026-09-12</t>
        </is>
      </c>
    </row>
    <row r="51">
      <c r="A51" s="41" t="inlineStr">
        <is>
          <t>BSR-EO-14</t>
        </is>
      </c>
      <c r="B51" s="41" t="inlineStr">
        <is>
          <t>Eastern Orthodox</t>
        </is>
      </c>
      <c r="C51" s="41" t="inlineStr">
        <is>
          <t>Divine Liturgy of St John Chrysostom (Greek Orthodox Archdiocese of Canada)</t>
        </is>
      </c>
      <c r="D51" s="41" t="inlineStr">
        <is>
          <t>CONFESSIONAL (liturgically confessed; the Creed within resolves CONCILIAR)</t>
        </is>
      </c>
      <c r="E51" s="41" t="inlineStr">
        <is>
          <t>Greek Orthodox Archdiocese of Canada (Ecumenical Patriarchate); the rite of the whole Byzantine tradition</t>
        </is>
      </c>
      <c r="F51" s="41" t="inlineStr">
        <is>
          <t>UNIVERSAL</t>
        </is>
      </c>
      <c r="G51" s="41" t="inlineStr">
        <is>
          <t>Registered alongside BSR-EO-07 so the branch does not depend on a single host again. Independent infrastructure - its own WordPress, not the GOARCH Internet Ministries platform - and dual format, so the text survives a page restructure. WORDING DIFFERS from BSR-EO-07: this translation reads 'beyond comprehension' and 'beyond understanding' where ACROD reads 'inconceivable' and 'incomprehensible'. Both are faithful; a cell must quote whichever file it cites. The Creed here reads 'Creator of heaven and earth and of all things visible and invisible' with no comma after 'earth'. No translator credited.</t>
        </is>
      </c>
      <c r="H51"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51" s="41" t="inlineStr">
        <is>
          <t>goarchdiocese.ca</t>
        </is>
      </c>
      <c r="J51" s="41" t="inlineStr">
        <is>
          <t>https://goarchdiocese.ca/divine-liturgy-of-saint-john-chrysostom/</t>
        </is>
      </c>
      <c r="K51" s="41" t="inlineStr">
        <is>
          <t>HTML plus text-layer PDF at /wp-content/uploads/2011/10/Divine-Liturgy-of-Saint-John-Chrysostom-PDF.pdf</t>
        </is>
      </c>
      <c r="L51" s="41" t="inlineStr"/>
      <c r="M51" s="41" t="inlineStr">
        <is>
          <t>AUTHOR_RATIFIED</t>
        </is>
      </c>
      <c r="N51" s="41" t="inlineStr">
        <is>
          <t>APPROVE</t>
        </is>
      </c>
      <c r="O51" s="41" t="inlineStr"/>
      <c r="P51" s="41" t="inlineStr">
        <is>
          <t>New row. Registered alongside BSR-EO-07 for independent infrastructure and dual format.</t>
        </is>
      </c>
      <c r="Q51" s="41" t="inlineStr"/>
      <c r="R51" s="41" t="inlineStr">
        <is>
          <t>INCLUDE - division THE HOLY ANAPHORA; the durable alternate to BSR-EO-07</t>
        </is>
      </c>
      <c r="S51" s="41" t="inlineStr">
        <is>
          <t>AJP</t>
        </is>
      </c>
      <c r="T51" s="41" t="inlineStr">
        <is>
          <t>2026-09-12</t>
        </is>
      </c>
    </row>
  </sheetData>
  <mergeCells count="2">
    <mergeCell ref="A1:T1"/>
    <mergeCell ref="A2:T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Latter-day Saint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c r="A34" s="0" t="inlineStr">
        <is>
          <t>H43 Eastern Orthodox note (learner-facing)</t>
        </is>
      </c>
      <c r="B34" s="0" t="inlineStr">
        <is>
          <t>Eastern Orthodox teaching affirms divine simplicity, but the Orthodox distinction between God's essence and His energies means the Western formula "without parts" is not simply equivalent; this cell stays pending review rather than being coded D.</t>
        </is>
      </c>
    </row>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Latter-day Saint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Latter-day Saint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Latter-day Saint–like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Latter-day Saint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Latter-day Saint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Latter-day Saint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Latter-day Saint comparators</t>
        </is>
      </c>
      <c r="D11" s="4" t="inlineStr">
        <is>
          <t>57 two-sided citation rows; H43 cites D&amp;C 130:22.</t>
        </is>
      </c>
      <c r="E11" s="4" t="inlineStr">
        <is>
          <t>SOURCE</t>
        </is>
      </c>
      <c r="F11" s="4" t="inlineStr">
        <is>
          <t>57 Latter-day Saint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c r="A54" s="0" t="inlineStr">
        <is>
          <t>Internal branch analytics</t>
        </is>
      </c>
      <c r="B54" s="0" t="inlineStr">
        <is>
          <t>ADDED</t>
        </is>
      </c>
      <c r="C54" s="0" t="inlineStr">
        <is>
          <t>Branch Study</t>
        </is>
      </c>
      <c r="D54" s="0" t="inlineStr">
        <is>
          <t>Personal-study counts/percentages by branch, formula-driven from the queue; never emitted to src/_data.</t>
        </is>
      </c>
      <c r="E54" s="0" t="inlineStr">
        <is>
          <t>GOVERNANCE</t>
        </is>
      </c>
      <c r="F54" s="0" t="inlineStr">
        <is>
          <t>APP CONFIG internal_stats_public</t>
        </is>
      </c>
      <c r="G54" s="0" t="inlineStr">
        <is>
          <t>PASS</t>
        </is>
      </c>
      <c r="H54" s="0" t="inlineStr">
        <is>
          <t>Coverage vs agreement-among-located kept on separate denominators; eligibility flag for Gate 8.</t>
        </is>
      </c>
    </row>
    <row r="55" ht="15.75" customHeight="1" s="29">
      <c r="A55" s="41" t="inlineStr">
        <is>
          <t>Branch source registries</t>
        </is>
      </c>
      <c r="B55" s="42" t="inlineStr">
        <is>
          <t>ADDED</t>
        </is>
      </c>
      <c r="C55" s="41" t="inlineStr">
        <is>
          <t>Decision Console sitting gate5-registries-20260910</t>
        </is>
      </c>
      <c r="D55" s="41" t="inlineStr">
        <is>
          <t>38 standards ratified, 0 retired, 0 held; scope caveats inherited per branch.</t>
        </is>
      </c>
      <c r="E55" s="42" t="inlineStr">
        <is>
          <t>SOURCE GOVERNANCE</t>
        </is>
      </c>
      <c r="F55" s="41" t="inlineStr">
        <is>
          <t>R001 registry-only citation check; APP CONFIG registry_only_enforcement</t>
        </is>
      </c>
      <c r="G55" s="42" t="inlineStr">
        <is>
          <t>PASS</t>
        </is>
      </c>
      <c r="H55" s="41" t="inlineStr">
        <is>
          <t>Merged by sjn_merge_decisions.py on 2026-09-10 from the console decisions JSON. No doctrinal, copy, count, or gate-value change outside the registry.</t>
        </is>
      </c>
    </row>
    <row r="56" ht="15.75" customHeight="1" s="29">
      <c r="A56" s="41" t="inlineStr">
        <is>
          <t>Branch source registries</t>
        </is>
      </c>
      <c r="B56" s="42" t="inlineStr">
        <is>
          <t>REVISED</t>
        </is>
      </c>
      <c r="C56" s="41" t="inlineStr">
        <is>
          <t>Decision Console sitting gate5-registries-20260910</t>
        </is>
      </c>
      <c r="D56" s="41" t="inlineStr">
        <is>
          <t>36 standards ratified, 2 retired, 0 held; scope caveats inherited per branch. Corrections pass — registry rows re-merged from the console.</t>
        </is>
      </c>
      <c r="E56" s="42" t="inlineStr">
        <is>
          <t>SOURCE GOVERNANCE</t>
        </is>
      </c>
      <c r="F56" s="41" t="inlineStr">
        <is>
          <t>R001 registry-only citation check; APP CONFIG registry_only_enforcement</t>
        </is>
      </c>
      <c r="G56" s="42" t="inlineStr">
        <is>
          <t>PASS</t>
        </is>
      </c>
      <c r="H56" s="41" t="inlineStr">
        <is>
          <t>Merged by sjn_merge_decisions.py on 2026-09-10 from the console decisions JSON. No doctrinal, copy, count, or gate-value change outside the registry.</t>
        </is>
      </c>
    </row>
    <row r="57" ht="15.75" customHeight="1" s="29">
      <c r="A57" s="41" t="inlineStr">
        <is>
          <t>Branch source registries</t>
        </is>
      </c>
      <c r="B57" s="42" t="inlineStr">
        <is>
          <t>REVISED</t>
        </is>
      </c>
      <c r="C57" s="41" t="inlineStr">
        <is>
          <t>Decision Console sitting gate5-registries-20260910 + gate7-registry-corrections-20260911</t>
        </is>
      </c>
      <c r="D57" s="41" t="inlineStr">
        <is>
          <t>36 standards ratified, 2 retired, 0 held; scope caveats inherited per branch. Corrections pass — registry rows re-merged from the console.</t>
        </is>
      </c>
      <c r="E57" s="42" t="inlineStr">
        <is>
          <t>SOURCE GOVERNANCE</t>
        </is>
      </c>
      <c r="F57" s="41" t="inlineStr">
        <is>
          <t>R001 registry-only citation check; APP CONFIG registry_only_enforcement</t>
        </is>
      </c>
      <c r="G57" s="42" t="inlineStr">
        <is>
          <t>PASS</t>
        </is>
      </c>
      <c r="H57" s="41" t="inlineStr">
        <is>
          <t>Merged by sjn_merge_decisions.py on 2026-09-12 from the console decisions JSON. No doctrinal, copy, count, or gate-value change outside the registry.</t>
        </is>
      </c>
    </row>
    <row r="58" ht="15.75" customHeight="1" s="29">
      <c r="A58" s="41" t="inlineStr">
        <is>
          <t>Branch source registries</t>
        </is>
      </c>
      <c r="B58" s="42" t="inlineStr">
        <is>
          <t>REVISED</t>
        </is>
      </c>
      <c r="C58" s="41" t="inlineStr">
        <is>
          <t>Decision Console sitting gate5-registries-20260910 + gate7-registry-corrections-20260911 + gate7b-reception-axis-20260912</t>
        </is>
      </c>
      <c r="D58" s="41" t="inlineStr">
        <is>
          <t>42 standards ratified, 2 retired, 0 held; scope caveats inherited per branch. Corrections pass — registry rows re-merged from the console.</t>
        </is>
      </c>
      <c r="E58" s="42" t="inlineStr">
        <is>
          <t>SOURCE GOVERNANCE</t>
        </is>
      </c>
      <c r="F58" s="41" t="inlineStr">
        <is>
          <t>R001 registry-only citation check; APP CONFIG registry_only_enforcement</t>
        </is>
      </c>
      <c r="G58" s="42" t="inlineStr">
        <is>
          <t>PASS</t>
        </is>
      </c>
      <c r="H58" s="41" t="inlineStr">
        <is>
          <t>Merged by sjn_merge_decisions.py on 2026-09-12 from the console decisions JSON. No doctrinal, copy, count, or gate-value change outside the registry.</t>
        </is>
      </c>
    </row>
    <row r="59" ht="15.75" customHeight="1" s="29">
      <c r="A59" s="41" t="inlineStr">
        <is>
          <t>Branch source registries</t>
        </is>
      </c>
      <c r="B59" s="42" t="inlineStr">
        <is>
          <t>REVISED</t>
        </is>
      </c>
      <c r="C59" s="41" t="inlineStr">
        <is>
          <t>Decision Console sitting gate5-registries-20260910 + gate7-registry-corrections-20260911 + gate7b-reception-axis-20260912 + EO-13 repair 20260912</t>
        </is>
      </c>
      <c r="D59" s="41" t="inlineStr">
        <is>
          <t>43 standards ratified, 2 retired, 0 held; scope caveats inherited per branch. Corrections pass — registry rows re-merged from the console.</t>
        </is>
      </c>
      <c r="E59" s="42" t="inlineStr">
        <is>
          <t>SOURCE GOVERNANCE</t>
        </is>
      </c>
      <c r="F59" s="41" t="inlineStr">
        <is>
          <t>R001 registry-only citation check; APP CONFIG registry_only_enforcement</t>
        </is>
      </c>
      <c r="G59" s="42" t="inlineStr">
        <is>
          <t>PASS</t>
        </is>
      </c>
      <c r="H59" s="41" t="inlineStr">
        <is>
          <t>Merged by sjn_merge_decisions.py on 2026-09-12 from the console decisions JSON. No doctrinal, copy, count, or gate-value change outside the registry.</t>
        </is>
      </c>
    </row>
    <row r="60" ht="15.75" customHeight="1" s="29">
      <c r="A60" s="41" t="inlineStr">
        <is>
          <t>Branch source registries</t>
        </is>
      </c>
      <c r="B60" s="42" t="inlineStr">
        <is>
          <t>REVISED</t>
        </is>
      </c>
      <c r="C60" s="41" t="inlineStr">
        <is>
          <t>Decision Console sitting gate5-registries-20260910 + gate7-registry-corrections-20260911 + gate7b-reception-axis-20260912 + EO-13 repair 20260912 + EO-07/EO-14/MW-03 + AC-15 20260912</t>
        </is>
      </c>
      <c r="D60" s="41" t="inlineStr">
        <is>
          <t>44 standards ratified, 2 retired, 0 held; scope caveats inherited per branch. Corrections pass — registry rows re-merged from the console.</t>
        </is>
      </c>
      <c r="E60" s="42" t="inlineStr">
        <is>
          <t>SOURCE GOVERNANCE</t>
        </is>
      </c>
      <c r="F60" s="41" t="inlineStr">
        <is>
          <t>R001 registry-only citation check; APP CONFIG registry_only_enforcement</t>
        </is>
      </c>
      <c r="G60" s="42" t="inlineStr">
        <is>
          <t>PASS</t>
        </is>
      </c>
      <c r="H60" s="41" t="inlineStr">
        <is>
          <t>Merged by sjn_merge_decisions.py on 2026-09-12 from the console decisions JSON. No doctrinal, copy, count, or gate-value change outside the registry.</t>
        </is>
      </c>
    </row>
    <row r="61" ht="15.75" customHeight="1" s="29">
      <c r="A61" s="41" t="inlineStr">
        <is>
          <t>Branch source registries</t>
        </is>
      </c>
      <c r="B61" s="42" t="inlineStr">
        <is>
          <t>REVISED</t>
        </is>
      </c>
      <c r="C61" s="41" t="inlineStr">
        <is>
          <t>Decision Console sitting gate5-registries-20260910 + gate7-registry-corrections-20260911 + gate7b-reception-axis-20260912 + EO-13 repair 20260912 + EO-07/EO-14/MW-03 + AC-15 20260912 + AN-03 migration / RC-08 vaticannews 20260912</t>
        </is>
      </c>
      <c r="D61" s="41" t="inlineStr">
        <is>
          <t>45 standards ratified, 2 retired, 0 held; scope caveats inherited per branch. Corrections pass — registry rows re-merged from the console.</t>
        </is>
      </c>
      <c r="E61" s="42" t="inlineStr">
        <is>
          <t>SOURCE GOVERNANCE</t>
        </is>
      </c>
      <c r="F61" s="41" t="inlineStr">
        <is>
          <t>R001 registry-only citation check; APP CONFIG registry_only_enforcement</t>
        </is>
      </c>
      <c r="G61" s="42" t="inlineStr">
        <is>
          <t>PASS</t>
        </is>
      </c>
      <c r="H61" s="41" t="inlineStr">
        <is>
          <t>Merged by sjn_merge_decisions.py on 2026-09-12 from the console decisions JSON. No doctrinal, copy, count, or gate-value change outside the registry.</t>
        </is>
      </c>
    </row>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Latter-day Saint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26</v>
      </c>
      <c r="E68" s="7" t="n">
        <v>26</v>
      </c>
      <c r="F68" s="7">
        <f>IF(TEXT(E68,"@")=TEXT(D68,"@"),"PASS","FAIL")</f>
        <v/>
      </c>
      <c r="G68" s="7" t="inlineStr">
        <is>
          <t>YES</t>
        </is>
      </c>
      <c r="H68" s="7" t="inlineStr">
        <is>
          <t>H05/H22/H43 × 8 branches (24) + Q-290 Eastern Orthodox H37 supplemental targets (2) = 26 rows in sheet.</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142</v>
      </c>
      <c r="E79" s="7" t="n">
        <v>142</v>
      </c>
      <c r="F79" s="7">
        <f>IF(TEXT(E79,"@")=TEXT(D79,"@"),"PASS","FAIL")</f>
        <v/>
      </c>
      <c r="G79" s="7" t="inlineStr">
        <is>
          <t>YES</t>
        </is>
      </c>
      <c r="H79" s="7" t="inlineStr">
        <is>
          <t>56 + 63 + 21 + 2 (Q-290 queue-cell) content assertions.</t>
        </is>
      </c>
    </row>
    <row r="80" ht="15.75" customHeight="1" s="29">
      <c r="A80" s="7" t="inlineStr">
        <is>
          <t>V075</t>
        </is>
      </c>
      <c r="B80" s="7" t="inlineStr">
        <is>
          <t>ERROR</t>
        </is>
      </c>
      <c r="C80" s="7" t="inlineStr">
        <is>
          <t>Interpretive Clarification case rows</t>
        </is>
      </c>
      <c r="D80" s="7" t="n">
        <v>2</v>
      </c>
      <c r="E80" s="7" t="n">
        <v>2</v>
      </c>
      <c r="F80" s="7">
        <f>IF(TEXT(E80,"@")=TEXT(D80,"@"),"PASS","FAIL")</f>
        <v/>
      </c>
      <c r="G80" s="7" t="inlineStr">
        <is>
          <t>YES</t>
        </is>
      </c>
      <c r="H80" s="7" t="inlineStr">
        <is>
          <t>ICC-001 and ICC-002 (paired).</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0</v>
      </c>
      <c r="E82" s="7" t="n">
        <v>0</v>
      </c>
      <c r="F82" s="7">
        <f>IF(TEXT(E82,"@")=TEXT(D82,"@"),"PASS","FAIL")</f>
        <v/>
      </c>
      <c r="G82" s="7" t="inlineStr">
        <is>
          <t>NO</t>
        </is>
      </c>
      <c r="H82" s="7" t="inlineStr">
        <is>
          <t>Both cases author-approved 2026-09-09.</t>
        </is>
      </c>
    </row>
    <row r="83" ht="15.75" customHeight="1" s="29">
      <c r="A83" s="7" t="inlineStr">
        <is>
          <t>V078</t>
        </is>
      </c>
      <c r="B83" s="7" t="inlineStr">
        <is>
          <t>ERROR</t>
        </is>
      </c>
      <c r="C83" s="7" t="inlineStr">
        <is>
          <t>Clarification Trigger Map rows</t>
        </is>
      </c>
      <c r="D83" s="7" t="n">
        <v>35</v>
      </c>
      <c r="E83" s="7" t="n">
        <v>35</v>
      </c>
      <c r="F83" s="7">
        <f>IF(TEXT(E83,"@")=TEXT(D83,"@"),"PASS","FAIL")</f>
        <v/>
      </c>
      <c r="G83" s="7" t="inlineStr">
        <is>
          <t>YES</t>
        </is>
      </c>
      <c r="H83" s="7" t="inlineStr">
        <is>
          <t>18 ICC-001 + 17 ICC-002 triggers.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20</v>
      </c>
      <c r="E85" s="7" t="n">
        <v>20</v>
      </c>
      <c r="F85" s="7">
        <f>IF(TEXT(E85,"@")=TEXT(D85,"@"),"PASS","FAIL")</f>
        <v/>
      </c>
      <c r="G85" s="7" t="inlineStr">
        <is>
          <t>YES</t>
        </is>
      </c>
      <c r="H85" s="7" t="inlineStr">
        <is>
          <t>10 ICC-001 + 10 ICC-002 sources.</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20</v>
      </c>
      <c r="E92" s="7" t="n">
        <v>20</v>
      </c>
      <c r="F92" s="7">
        <f>IF(TEXT(E92,"@")=TEXT(D92,"@"),"PASS","FAIL")</f>
        <v/>
      </c>
      <c r="G92" s="7" t="inlineStr">
        <is>
          <t>YES</t>
        </is>
      </c>
      <c r="H92" s="7" t="inlineStr">
        <is>
          <t>P025 validates all 20; ICS-020 pending rendered fetch.</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162</v>
      </c>
      <c r="E94" s="7" t="n">
        <v>162</v>
      </c>
      <c r="F94" s="7">
        <f>IF(TEXT(E94,"@")=TEXT(D94,"@"),"PASS","FAIL")</f>
        <v/>
      </c>
      <c r="G94" s="7" t="inlineStr">
        <is>
          <t>YES</t>
        </is>
      </c>
      <c r="H94" s="7" t="inlineStr">
        <is>
          <t>56 + 63 + 21 + 2 + 20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41" t="inlineStr">
        <is>
          <t>Current Item rows when author attention exists (conditional: expected only while actionable author work remains)</t>
        </is>
      </c>
      <c r="D105" s="46">
        <f>IF(COUNTIF('Author Decision Queue'!$AF$2:$AF$105,"YES")&gt;0,1,0)</f>
        <v/>
      </c>
      <c r="E105" s="7">
        <f>COUNTIF('Author Decision Queue'!$AG$2:$AG$105,"CURRENT")</f>
        <v/>
      </c>
      <c r="F105" s="7">
        <f>IF(TEXT(E105,"@")=TEXT(D105,"@"),"PASS","FAIL")</f>
        <v/>
      </c>
      <c r="G105" s="7" t="inlineStr">
        <is>
          <t>YES</t>
        </is>
      </c>
      <c r="H105" s="41" t="inlineStr">
        <is>
          <t>Expected mirrors Needs Author Attention (column AF): exactly one current item while any decision still needs attention, zero when the queue is complete. Author decision SETUP-01, 2026-09-12.</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Latter-day Saint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s="0" t="inlineStr">
        <is>
          <t>https://www.oca.org/orthodoxy/the-orthodox-faith/doctrine-scripture/the-holy-trinity/one-god-one-father</t>
        </is>
      </c>
      <c r="B91" s="0" t="inlineStr">
        <is>
          <t>2026-09-09</t>
        </is>
      </c>
      <c r="C91" s="0" t="inlineStr">
        <is>
          <t>REACHABLE</t>
        </is>
      </c>
      <c r="D91" s="0" t="inlineStr">
        <is>
          <t>WEB OPEN OK (Claude fetch; phrase present)</t>
        </is>
      </c>
      <c r="E91" s="0" t="inlineStr">
        <is>
          <t>200–399 required at build</t>
        </is>
      </c>
      <c r="F91" s="0" t="inlineStr">
        <is>
          <t>H37 Eastern Orthodox controlling source; phrase "There is only one God because there is only one Father" verified present.</t>
        </is>
      </c>
    </row>
    <row r="92" ht="15.75" customHeight="1" s="29">
      <c r="A92" s="0" t="inlineStr">
        <is>
          <t>https://www.oca.org/orthodoxy/the-orthodox-faith/doctrine-scripture/the-symbol-of-faith/son-of-god</t>
        </is>
      </c>
      <c r="B92" s="0" t="inlineStr">
        <is>
          <t>2026-09-09</t>
        </is>
      </c>
      <c r="C92" s="0" t="inlineStr">
        <is>
          <t>REACHABLE</t>
        </is>
      </c>
      <c r="D92" s="0" t="inlineStr">
        <is>
          <t>WEB OPEN OK (Claude fetch; phrase present)</t>
        </is>
      </c>
      <c r="E92" s="0" t="inlineStr">
        <is>
          <t>200–399 required at build</t>
        </is>
      </c>
      <c r="F92" s="0"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Latter-day Saint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made flesh</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Phrase corrected to source reading 2026-09-09 (pipeline override ratified); 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the Maker, and Preserver of all things</t>
        </is>
      </c>
      <c r="J14" s="7" t="n">
        <v>7</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Phrase corrected to source reading 2026-09-09 (pipeline override ratified); 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the Creator, Redeemer, Preserver, and Ruler of the universe</t>
        </is>
      </c>
      <c r="J15" s="7" t="n">
        <v>9</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Phrase corrected to source reading 2026-09-09 (pipeline override ratified); 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c r="A26" s="0" t="inlineStr">
        <is>
          <t>Q-290</t>
        </is>
      </c>
      <c r="B26" s="0" t="inlineStr">
        <is>
          <t>RNR-H37</t>
        </is>
      </c>
      <c r="C26" s="0" t="inlineStr">
        <is>
          <t>Eastern Orthodox</t>
        </is>
      </c>
      <c r="D26" s="0" t="inlineStr">
        <is>
          <t>Q</t>
        </is>
      </c>
      <c r="E26" s="0" t="inlineStr">
        <is>
          <t>ASSERT</t>
        </is>
      </c>
      <c r="F26" s="0" t="inlineStr">
        <is>
          <t>The Orthodox Faith, Vol. I — The Holy Trinity: One God, One Father</t>
        </is>
      </c>
      <c r="G26" s="0" t="inlineStr">
        <is>
          <t>One God, One Father (OCA official catechesis)</t>
        </is>
      </c>
      <c r="H26" s="0" t="inlineStr">
        <is>
          <t>https://www.oca.org/orthodoxy/the-orthodox-faith/doctrine-scripture/the-holy-trinity/one-god-one-father</t>
        </is>
      </c>
      <c r="I26" s="0" t="inlineStr">
        <is>
          <t>There is only one God because there is only one Father</t>
        </is>
      </c>
      <c r="J26" s="0" t="n">
        <v>11</v>
      </c>
      <c r="K26" s="0" t="inlineStr">
        <is>
          <t>CURRENT OFFICIAL CATECHETICAL WITNESS</t>
        </is>
      </c>
      <c r="L26" s="0" t="inlineStr">
        <is>
          <t>HTML</t>
        </is>
      </c>
      <c r="M26" s="0" t="inlineStr">
        <is>
          <t>HTML→visible text; NFKC; casefold; normalize whitespace; normalize curly quotes/apostrophes/dashes.</t>
        </is>
      </c>
      <c r="N26" s="0" t="inlineStr">
        <is>
          <t>Extract cited article/section/creed clause before matching; fail scoped extraction when target is ASSERT.</t>
        </is>
      </c>
      <c r="O26" s="0" t="inlineStr">
        <is>
          <t>Normalized locator-scoped text MUST contain quoted phrase</t>
        </is>
      </c>
      <c r="P26" s="0" t="inlineStr">
        <is>
          <t>Released non-case-study cell (H37 Eastern Orthodox); primary target; author source-role approval AUTH-ORTH-H37.</t>
        </is>
      </c>
    </row>
    <row r="27" ht="15.75" customHeight="1" s="29">
      <c r="A27" s="0" t="inlineStr">
        <is>
          <t>Q-290</t>
        </is>
      </c>
      <c r="B27" s="0" t="inlineStr">
        <is>
          <t>RNR-H37</t>
        </is>
      </c>
      <c r="C27" s="0" t="inlineStr">
        <is>
          <t>Eastern Orthodox</t>
        </is>
      </c>
      <c r="D27" s="0" t="inlineStr">
        <is>
          <t>Q</t>
        </is>
      </c>
      <c r="E27" s="0" t="inlineStr">
        <is>
          <t>ASSERT</t>
        </is>
      </c>
      <c r="F27" s="0" t="inlineStr">
        <is>
          <t>The Orthodox Faith, Vol. I — The Symbol of Faith: Son of God</t>
        </is>
      </c>
      <c r="G27" s="0" t="inlineStr">
        <is>
          <t>Son of God (OCA official catechesis)</t>
        </is>
      </c>
      <c r="H27" s="0" t="inlineStr">
        <is>
          <t>https://www.oca.org/orthodoxy/the-orthodox-faith/doctrine-scripture/the-symbol-of-faith/son-of-god</t>
        </is>
      </c>
      <c r="I27" s="0" t="inlineStr">
        <is>
          <t>God is an eternal Father by nature</t>
        </is>
      </c>
      <c r="J27" s="0" t="n">
        <v>7</v>
      </c>
      <c r="K27" s="0" t="inlineStr">
        <is>
          <t>CURRENT OFFICIAL CATECHETICAL WITNESS</t>
        </is>
      </c>
      <c r="L27" s="0" t="inlineStr">
        <is>
          <t>HTML</t>
        </is>
      </c>
      <c r="M27" s="0" t="inlineStr">
        <is>
          <t>HTML→visible text; NFKC; casefold; normalize whitespace; normalize curly quotes/apostrophes/dashes.</t>
        </is>
      </c>
      <c r="N27" s="0" t="inlineStr">
        <is>
          <t>Extract cited article/section/creed clause before matching; fail scoped extraction when target is ASSERT.</t>
        </is>
      </c>
      <c r="O27" s="0" t="inlineStr">
        <is>
          <t>Normalized locator-scoped text MUST contain quoted phrase</t>
        </is>
      </c>
      <c r="P27" s="0" t="inlineStr">
        <is>
          <t>Supplemental target for Q-290.</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c r="A44" s="0" t="inlineStr">
        <is>
          <t>Source Role</t>
        </is>
      </c>
      <c r="B44" s="0" t="inlineStr">
        <is>
          <t>CANONICAL_SCRIPTURE</t>
        </is>
      </c>
      <c r="C44" s="0" t="inlineStr">
        <is>
          <t>Canonized scripture of the tradition (for Latter-day Saints: the standard works).</t>
        </is>
      </c>
      <c r="D44" s="0" t="inlineStr">
        <is>
          <t>Highest authority tier for that tradition; cite verse-level locator.</t>
        </is>
      </c>
    </row>
    <row r="45" ht="15.75" customHeight="1" s="29">
      <c r="A45" s="0" t="inlineStr">
        <is>
          <t>Source Role</t>
        </is>
      </c>
      <c r="B45" s="0" t="inlineStr">
        <is>
          <t>OFFICIAL_EXPOSITION</t>
        </is>
      </c>
      <c r="C45" s="0" t="inlineStr">
        <is>
          <t>Official but non-canonical exposition by the tradition's authorized leaders (e.g., General Conference address published by the Church).</t>
        </is>
      </c>
      <c r="D45" s="0" t="inlineStr">
        <is>
          <t>Use with speaker, occasion, and date; may express current emphasis rather than dogma.</t>
        </is>
      </c>
    </row>
    <row r="46" ht="15.75" customHeight="1" s="29">
      <c r="A46" s="0" t="inlineStr">
        <is>
          <t>Fetch mode</t>
        </is>
      </c>
      <c r="B46" s="0" t="inlineStr">
        <is>
          <t>RENDERED</t>
        </is>
      </c>
      <c r="C46" s="0" t="inlineStr">
        <is>
          <t>churchofjesuschrist.org pages render text client-side; phrase assertions require Playwright or the Church content API.</t>
        </is>
      </c>
      <c r="D46" s="0" t="inlineStr">
        <is>
          <t>P006/P020 must use rendered fetch for this host.</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AVAILABLE — PAIRED RELEASE WITH ICC-002 (engineering gates)</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 2026-09-09: lens-balance satisfied by ICC-002 approval; release hold lifted.</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A3" s="0" t="inlineStr">
        <is>
          <t>ICC-002</t>
        </is>
      </c>
      <c r="B3" s="0" t="inlineStr">
        <is>
          <t>By Grace, After All We Can Do</t>
        </is>
      </c>
      <c r="C3" s="0" t="inlineStr">
        <is>
          <t>Latter-day Saint grace and "after all we can do"</t>
        </is>
      </c>
      <c r="D3" s="0" t="inlineStr">
        <is>
          <t>APPARENT_TENSION_RESOLUTION</t>
        </is>
      </c>
      <c r="E3" s="0" t="inlineStr">
        <is>
          <t>Latter-day Saint</t>
        </is>
      </c>
      <c r="F3" s="0" t="inlineStr">
        <is>
          <t>The Church of Jesus Christ of Latter-day Saints (canonical scripture + official General Conference and Gospel Topics teaching)</t>
        </is>
      </c>
      <c r="G3" s="0" t="b">
        <v>0</v>
      </c>
      <c r="H3" s="0" t="inlineStr">
        <is>
          <t>NONE — NOT COUNTED</t>
        </is>
      </c>
      <c r="I3" s="0" t="inlineStr">
        <is>
          <t>SLOGAN_COMPRESSION</t>
        </is>
      </c>
      <c r="J3" s="0" t="inlineStr">
        <is>
          <t>APPARENT_CONTRADICTION | SAME_WORD_DIFFERENT_MEANING | SEMANTIC_FLOOR</t>
        </is>
      </c>
      <c r="K3" s="0" t="inlineStr">
        <is>
          <t>HIGH</t>
        </is>
      </c>
      <c r="L3" s="0" t="inlineStr">
        <is>
          <t>AUTO_CUE_MANUAL_EXPANSION</t>
        </is>
      </c>
      <c r="M3" s="0" t="n">
        <v>1</v>
      </c>
      <c r="N3" s="8" t="inlineStr">
        <is>
          <t>APPROVED</t>
        </is>
      </c>
      <c r="O3" s="0" t="inlineStr">
        <is>
          <t>AVAILABLE — PAIRED RELEASE WITH ICC-001 (engineering gates)</t>
        </is>
      </c>
      <c r="P3" s="0" t="inlineStr">
        <is>
          <t>APPROVED_CASE</t>
        </is>
      </c>
      <c r="Q3" s="0" t="inlineStr">
        <is>
          <t>If Latter-day Saints believe they are saved by grace, why does the Book of Mormon say "after all we can do," and why do the Articles of Faith say salvation comes "by obedience to the laws and ordinances of the Gospel"? Does that mean Latter-day Saints earn salvation by works?</t>
        </is>
      </c>
      <c r="R3" s="0" t="inlineStr">
        <is>
          <t>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is>
      </c>
      <c r="S3" s="0" t="inlineStr">
        <is>
          <t>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is>
      </c>
      <c r="T3" s="0" t="inlineStr">
        <is>
          <t>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is>
      </c>
      <c r="U3" s="0" t="inlineStr">
        <is>
          <t>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is>
      </c>
      <c r="V3" s="0" t="inlineStr">
        <is>
          <t>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is>
      </c>
      <c r="W3" s="0" t="inlineStr">
        <is>
          <t>How can Latter-day Saints say they are saved by grace "after all we can do"? See the distinction.</t>
        </is>
      </c>
      <c r="X3" s="0" t="inlineStr">
        <is>
          <t>Salvation &amp; discipleship</t>
        </is>
      </c>
      <c r="Y3" s="0" t="inlineStr">
        <is>
          <t>RNR-H16 (Gracious); RNR-H27 (Savior); RNR-A19 (become like God — exaltation vocabulary)</t>
        </is>
      </c>
      <c r="Z3" s="8" t="inlineStr">
        <is>
          <t>APPROVED</t>
        </is>
      </c>
      <c r="AA3" s="0" t="inlineStr">
        <is>
          <t>AJP 2026-09-09: case content approved; cue approved; vocabulary additions CANONICAL_SCRIPTURE and OFFICIAL_EXPOSITION confirmed. Mirror of ICC-001 under AUTH-ARCH-005.</t>
        </is>
      </c>
      <c r="AB3" s="0" t="inlineStr">
        <is>
          <t>APPROVED</t>
        </is>
      </c>
      <c r="AC3" s="0" t="inlineStr">
        <is>
          <t>AJP 2026-09-09</t>
        </is>
      </c>
      <c r="AD3" s="0" t="inlineStr">
        <is>
          <t>APPROVED</t>
        </is>
      </c>
      <c r="AE3" s="0" t="inlineStr">
        <is>
          <t>AJP 2026-09-09</t>
        </is>
      </c>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c r="A51" s="0" t="n"/>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0">
      <c r="A20" s="0" t="inlineStr">
        <is>
          <t>ICT-019</t>
        </is>
      </c>
      <c r="B20" s="0" t="inlineStr">
        <is>
          <t>ICC-002</t>
        </is>
      </c>
      <c r="C20" s="0" t="inlineStr">
        <is>
          <t>TERM</t>
        </is>
      </c>
      <c r="D20" s="0" t="inlineStr">
        <is>
          <t>after all we can do</t>
        </is>
      </c>
      <c r="E20" s="0" t="inlineStr">
        <is>
          <t>CONTEXT_BUNDLED</t>
        </is>
      </c>
      <c r="F20" s="0" t="inlineStr">
        <is>
          <t>Latter-day Saint</t>
        </is>
      </c>
      <c r="H20" s="0" t="inlineStr">
        <is>
          <t>YES</t>
        </is>
      </c>
      <c r="I20" s="0" t="inlineStr">
        <is>
          <t>HIGH</t>
        </is>
      </c>
      <c r="J20" s="0" t="n">
        <v>100</v>
      </c>
      <c r="K20" s="0" t="inlineStr">
        <is>
          <t>YES</t>
        </is>
      </c>
      <c r="L20" s="0" t="inlineStr">
        <is>
          <t>Primary slogan trigger; require Latter-day Saint context.</t>
        </is>
      </c>
      <c r="M20" s="0" t="inlineStr">
        <is>
          <t>YES</t>
        </is>
      </c>
    </row>
    <row r="21" ht="15.75" customHeight="1" s="29">
      <c r="A21" s="0" t="inlineStr">
        <is>
          <t>ICT-020</t>
        </is>
      </c>
      <c r="B21" s="0" t="inlineStr">
        <is>
          <t>ICC-002</t>
        </is>
      </c>
      <c r="C21" s="0" t="inlineStr">
        <is>
          <t>TERM</t>
        </is>
      </c>
      <c r="D21" s="0" t="inlineStr">
        <is>
          <t>saved by grace</t>
        </is>
      </c>
      <c r="E21" s="0" t="inlineStr">
        <is>
          <t>CONTEXT_BUNDLED</t>
        </is>
      </c>
      <c r="F21" s="0" t="inlineStr">
        <is>
          <t>Latter-day Saint</t>
        </is>
      </c>
      <c r="G21" s="0" t="inlineStr">
        <is>
          <t>Salvation</t>
        </is>
      </c>
      <c r="H21" s="0" t="inlineStr">
        <is>
          <t>YES</t>
        </is>
      </c>
      <c r="I21" s="0" t="inlineStr">
        <is>
          <t>HIGH</t>
        </is>
      </c>
      <c r="J21" s="0" t="n">
        <v>95</v>
      </c>
      <c r="K21" s="0" t="inlineStr">
        <is>
          <t>YES</t>
        </is>
      </c>
      <c r="L21" s="0" t="inlineStr">
        <is>
          <t>Apparent tension with obedience language.</t>
        </is>
      </c>
      <c r="M21" s="0" t="inlineStr">
        <is>
          <t>YES</t>
        </is>
      </c>
    </row>
    <row r="22" ht="15.75" customHeight="1" s="29">
      <c r="A22" s="0" t="inlineStr">
        <is>
          <t>ICT-021</t>
        </is>
      </c>
      <c r="B22" s="0" t="inlineStr">
        <is>
          <t>ICC-002</t>
        </is>
      </c>
      <c r="C22" s="0" t="inlineStr">
        <is>
          <t>TERM</t>
        </is>
      </c>
      <c r="D22" s="0" t="inlineStr">
        <is>
          <t>earn salvation</t>
        </is>
      </c>
      <c r="E22" s="0" t="inlineStr">
        <is>
          <t>CONTEXT_BUNDLED</t>
        </is>
      </c>
      <c r="F22" s="0" t="inlineStr">
        <is>
          <t>Latter-day Saint</t>
        </is>
      </c>
      <c r="H22" s="0" t="inlineStr">
        <is>
          <t>YES</t>
        </is>
      </c>
      <c r="I22" s="0" t="inlineStr">
        <is>
          <t>HIGH</t>
        </is>
      </c>
      <c r="J22" s="0" t="n">
        <v>95</v>
      </c>
      <c r="K22" s="0" t="inlineStr">
        <is>
          <t>YES</t>
        </is>
      </c>
      <c r="L22" s="0" t="inlineStr">
        <is>
          <t>Common misreading the case corrects.</t>
        </is>
      </c>
      <c r="M22" s="0" t="inlineStr">
        <is>
          <t>YES</t>
        </is>
      </c>
    </row>
    <row r="23" ht="15.75" customHeight="1" s="29">
      <c r="A23" s="0" t="inlineStr">
        <is>
          <t>ICT-022</t>
        </is>
      </c>
      <c r="B23" s="0" t="inlineStr">
        <is>
          <t>ICC-002</t>
        </is>
      </c>
      <c r="C23" s="0" t="inlineStr">
        <is>
          <t>TERM</t>
        </is>
      </c>
      <c r="D23" s="0" t="inlineStr">
        <is>
          <t>works</t>
        </is>
      </c>
      <c r="E23" s="0" t="inlineStr">
        <is>
          <t>CONTEXT_BUNDLED</t>
        </is>
      </c>
      <c r="F23" s="0" t="inlineStr">
        <is>
          <t>Latter-day Saint</t>
        </is>
      </c>
      <c r="G23" s="0" t="inlineStr">
        <is>
          <t>Salvation</t>
        </is>
      </c>
      <c r="H23" s="0" t="inlineStr">
        <is>
          <t>YES</t>
        </is>
      </c>
      <c r="I23" s="0" t="inlineStr">
        <is>
          <t>HIGH</t>
        </is>
      </c>
      <c r="J23" s="0" t="n">
        <v>80</v>
      </c>
      <c r="K23" s="0" t="inlineStr">
        <is>
          <t>YES</t>
        </is>
      </c>
      <c r="L23" s="0" t="inlineStr">
        <is>
          <t>Use only with Latter-day Saint + salvation context to avoid over-triggering.</t>
        </is>
      </c>
      <c r="M23" s="0" t="inlineStr">
        <is>
          <t>YES</t>
        </is>
      </c>
    </row>
    <row r="24" ht="15.75" customHeight="1" s="29">
      <c r="A24" s="0" t="inlineStr">
        <is>
          <t>ICT-023</t>
        </is>
      </c>
      <c r="B24" s="0" t="inlineStr">
        <is>
          <t>ICC-002</t>
        </is>
      </c>
      <c r="C24" s="0" t="inlineStr">
        <is>
          <t>TERM</t>
        </is>
      </c>
      <c r="D24" s="0" t="inlineStr">
        <is>
          <t>obedience</t>
        </is>
      </c>
      <c r="E24" s="0" t="inlineStr">
        <is>
          <t>CONTEXT_BUNDLED</t>
        </is>
      </c>
      <c r="F24" s="0" t="inlineStr">
        <is>
          <t>Latter-day Saint</t>
        </is>
      </c>
      <c r="G24" s="0" t="inlineStr">
        <is>
          <t>Salvation</t>
        </is>
      </c>
      <c r="H24" s="0" t="inlineStr">
        <is>
          <t>YES</t>
        </is>
      </c>
      <c r="I24" s="0" t="inlineStr">
        <is>
          <t>HIGH</t>
        </is>
      </c>
      <c r="J24" s="0" t="n">
        <v>85</v>
      </c>
      <c r="K24" s="0" t="inlineStr">
        <is>
          <t>YES</t>
        </is>
      </c>
      <c r="L24" s="0" t="inlineStr">
        <is>
          <t>Articles of Faith 1:3 language; clarifies covenant response versus price.</t>
        </is>
      </c>
      <c r="M24" s="0" t="inlineStr">
        <is>
          <t>YES</t>
        </is>
      </c>
    </row>
    <row r="25" ht="15.75" customHeight="1" s="29">
      <c r="A25" s="0" t="inlineStr">
        <is>
          <t>ICT-024</t>
        </is>
      </c>
      <c r="B25" s="0" t="inlineStr">
        <is>
          <t>ICC-002</t>
        </is>
      </c>
      <c r="C25" s="0" t="inlineStr">
        <is>
          <t>TERM</t>
        </is>
      </c>
      <c r="D25" s="0" t="inlineStr">
        <is>
          <t>exaltation</t>
        </is>
      </c>
      <c r="E25" s="0" t="inlineStr">
        <is>
          <t>CONTEXT_BUNDLED</t>
        </is>
      </c>
      <c r="F25" s="0" t="inlineStr">
        <is>
          <t>Latter-day Saint</t>
        </is>
      </c>
      <c r="G25" s="0" t="inlineStr">
        <is>
          <t>Salvation</t>
        </is>
      </c>
      <c r="H25" s="0" t="inlineStr">
        <is>
          <t>YES</t>
        </is>
      </c>
      <c r="I25" s="0" t="inlineStr">
        <is>
          <t>HIGH</t>
        </is>
      </c>
      <c r="J25" s="0" t="n">
        <v>85</v>
      </c>
      <c r="K25" s="0" t="inlineStr">
        <is>
          <t>YES</t>
        </is>
      </c>
      <c r="L25" s="0" t="inlineStr">
        <is>
          <t>Clarifies salvation/exaltation vocabulary layer.</t>
        </is>
      </c>
      <c r="M25" s="0" t="inlineStr">
        <is>
          <t>YES</t>
        </is>
      </c>
    </row>
    <row r="26" ht="15.75" customHeight="1" s="29">
      <c r="A26" s="0" t="inlineStr">
        <is>
          <t>ICT-025</t>
        </is>
      </c>
      <c r="B26" s="0" t="inlineStr">
        <is>
          <t>ICC-002</t>
        </is>
      </c>
      <c r="C26" s="0" t="inlineStr">
        <is>
          <t>TERM</t>
        </is>
      </c>
      <c r="D26" s="0" t="inlineStr">
        <is>
          <t>laws and ordinances</t>
        </is>
      </c>
      <c r="E26" s="0" t="inlineStr">
        <is>
          <t>CONTEXT_BUNDLED</t>
        </is>
      </c>
      <c r="F26" s="0" t="inlineStr">
        <is>
          <t>Latter-day Saint</t>
        </is>
      </c>
      <c r="H26" s="0" t="inlineStr">
        <is>
          <t>YES</t>
        </is>
      </c>
      <c r="I26" s="0" t="inlineStr">
        <is>
          <t>HIGH</t>
        </is>
      </c>
      <c r="J26" s="0" t="n">
        <v>90</v>
      </c>
      <c r="K26" s="0" t="inlineStr">
        <is>
          <t>YES</t>
        </is>
      </c>
      <c r="L26" s="0" t="inlineStr">
        <is>
          <t>Articles of Faith 1:3 phrase.</t>
        </is>
      </c>
      <c r="M26" s="0" t="inlineStr">
        <is>
          <t>YES</t>
        </is>
      </c>
    </row>
    <row r="27" ht="15.75" customHeight="1" s="29">
      <c r="A27" s="0" t="inlineStr">
        <is>
          <t>ICT-026</t>
        </is>
      </c>
      <c r="B27" s="0" t="inlineStr">
        <is>
          <t>ICC-002</t>
        </is>
      </c>
      <c r="C27" s="0" t="inlineStr">
        <is>
          <t>TOPIC</t>
        </is>
      </c>
      <c r="D27" s="0" t="inlineStr">
        <is>
          <t>Grace</t>
        </is>
      </c>
      <c r="E27" s="0" t="inlineStr">
        <is>
          <t>CONTEXT_BUNDLED</t>
        </is>
      </c>
      <c r="F27" s="0" t="inlineStr">
        <is>
          <t>Latter-day Saint</t>
        </is>
      </c>
      <c r="H27" s="0" t="inlineStr">
        <is>
          <t>YES</t>
        </is>
      </c>
      <c r="I27" s="0" t="inlineStr">
        <is>
          <t>HIGH</t>
        </is>
      </c>
      <c r="J27" s="0" t="n">
        <v>90</v>
      </c>
      <c r="K27" s="0" t="inlineStr">
        <is>
          <t>YES</t>
        </is>
      </c>
      <c r="L27" s="0" t="inlineStr">
        <is>
          <t>Topic trigger when Latter-day Saint lens is selected.</t>
        </is>
      </c>
      <c r="M27" s="0" t="inlineStr">
        <is>
          <t>YES</t>
        </is>
      </c>
    </row>
    <row r="28" ht="15.75" customHeight="1" s="29">
      <c r="A28" s="0" t="inlineStr">
        <is>
          <t>ICT-027</t>
        </is>
      </c>
      <c r="B28" s="0" t="inlineStr">
        <is>
          <t>ICC-002</t>
        </is>
      </c>
      <c r="C28" s="0" t="inlineStr">
        <is>
          <t>TOPIC</t>
        </is>
      </c>
      <c r="D28" s="0" t="inlineStr">
        <is>
          <t>Salvation &amp; exaltation</t>
        </is>
      </c>
      <c r="E28" s="0" t="inlineStr">
        <is>
          <t>CONTEXT_BUNDLED</t>
        </is>
      </c>
      <c r="F28" s="0" t="inlineStr">
        <is>
          <t>Latter-day Saint</t>
        </is>
      </c>
      <c r="H28" s="0" t="inlineStr">
        <is>
          <t>YES</t>
        </is>
      </c>
      <c r="I28" s="0" t="inlineStr">
        <is>
          <t>HIGH</t>
        </is>
      </c>
      <c r="J28" s="0" t="n">
        <v>90</v>
      </c>
      <c r="K28" s="0" t="inlineStr">
        <is>
          <t>YES</t>
        </is>
      </c>
      <c r="L28" s="0" t="inlineStr">
        <is>
          <t>Topic trigger when Latter-day Saint lens is selected.</t>
        </is>
      </c>
      <c r="M28" s="0" t="inlineStr">
        <is>
          <t>YES</t>
        </is>
      </c>
    </row>
    <row r="29" ht="15.75" customHeight="1" s="29">
      <c r="A29" s="0" t="inlineStr">
        <is>
          <t>ICT-028</t>
        </is>
      </c>
      <c r="B29" s="0" t="inlineStr">
        <is>
          <t>ICC-002</t>
        </is>
      </c>
      <c r="C29" s="0" t="inlineStr">
        <is>
          <t>TRADITION</t>
        </is>
      </c>
      <c r="D29" s="0" t="inlineStr">
        <is>
          <t>Latter-day Saint</t>
        </is>
      </c>
      <c r="E29" s="0" t="inlineStr">
        <is>
          <t>EXACT</t>
        </is>
      </c>
      <c r="G29" s="0" t="inlineStr">
        <is>
          <t>Grace or salvation</t>
        </is>
      </c>
      <c r="H29" s="0" t="inlineStr">
        <is>
          <t>NO</t>
        </is>
      </c>
      <c r="I29" s="0" t="inlineStr">
        <is>
          <t>MEDIUM</t>
        </is>
      </c>
      <c r="J29" s="0" t="n">
        <v>60</v>
      </c>
      <c r="K29" s="0" t="inlineStr">
        <is>
          <t>YES</t>
        </is>
      </c>
      <c r="L29" s="0" t="inlineStr">
        <is>
          <t>Tradition alone never auto-surfaces; context is required.</t>
        </is>
      </c>
      <c r="M29" s="0" t="inlineStr">
        <is>
          <t>YES</t>
        </is>
      </c>
    </row>
    <row r="30" ht="15.75" customHeight="1" s="29">
      <c r="A30" s="0" t="inlineStr">
        <is>
          <t>ICT-029</t>
        </is>
      </c>
      <c r="B30" s="0" t="inlineStr">
        <is>
          <t>ICC-002</t>
        </is>
      </c>
      <c r="C30" s="0" t="inlineStr">
        <is>
          <t>PREDICATE_ID</t>
        </is>
      </c>
      <c r="D30" s="0" t="inlineStr">
        <is>
          <t>RNR-H16</t>
        </is>
      </c>
      <c r="E30" s="0" t="inlineStr">
        <is>
          <t>EXACT</t>
        </is>
      </c>
      <c r="H30" s="0" t="inlineStr">
        <is>
          <t>NO</t>
        </is>
      </c>
      <c r="I30" s="0" t="inlineStr">
        <is>
          <t>MEDIUM</t>
        </is>
      </c>
      <c r="J30" s="0" t="n">
        <v>70</v>
      </c>
      <c r="K30" s="0" t="inlineStr">
        <is>
          <t>YES</t>
        </is>
      </c>
      <c r="L30" s="0" t="inlineStr">
        <is>
          <t>Related clarification on the Gracious card (no auto-cue; the card is A).</t>
        </is>
      </c>
      <c r="M30" s="0" t="inlineStr">
        <is>
          <t>YES</t>
        </is>
      </c>
    </row>
    <row r="31" ht="15.75" customHeight="1" s="29">
      <c r="A31" s="0" t="inlineStr">
        <is>
          <t>ICT-030</t>
        </is>
      </c>
      <c r="B31" s="0" t="inlineStr">
        <is>
          <t>ICC-002</t>
        </is>
      </c>
      <c r="C31" s="0" t="inlineStr">
        <is>
          <t>PREDICATE_ID</t>
        </is>
      </c>
      <c r="D31" s="0" t="inlineStr">
        <is>
          <t>RNR-H27</t>
        </is>
      </c>
      <c r="E31" s="0" t="inlineStr">
        <is>
          <t>EXACT</t>
        </is>
      </c>
      <c r="H31" s="0" t="inlineStr">
        <is>
          <t>NO</t>
        </is>
      </c>
      <c r="I31" s="0" t="inlineStr">
        <is>
          <t>MEDIUM</t>
        </is>
      </c>
      <c r="J31" s="0" t="n">
        <v>70</v>
      </c>
      <c r="K31" s="0" t="inlineStr">
        <is>
          <t>YES</t>
        </is>
      </c>
      <c r="L31" s="0" t="inlineStr">
        <is>
          <t>Related clarification on the Savior card.</t>
        </is>
      </c>
      <c r="M31" s="0" t="inlineStr">
        <is>
          <t>YES</t>
        </is>
      </c>
    </row>
    <row r="32" ht="15.75" customHeight="1" s="29">
      <c r="A32" s="0" t="inlineStr">
        <is>
          <t>ICT-031</t>
        </is>
      </c>
      <c r="B32" s="0" t="inlineStr">
        <is>
          <t>ICC-002</t>
        </is>
      </c>
      <c r="C32" s="0" t="inlineStr">
        <is>
          <t>PREDICATE_ID</t>
        </is>
      </c>
      <c r="D32" s="0" t="inlineStr">
        <is>
          <t>RNR-A19</t>
        </is>
      </c>
      <c r="E32" s="0" t="inlineStr">
        <is>
          <t>EXACT</t>
        </is>
      </c>
      <c r="H32" s="0" t="inlineStr">
        <is>
          <t>NO</t>
        </is>
      </c>
      <c r="I32" s="0" t="inlineStr">
        <is>
          <t>MEDIUM</t>
        </is>
      </c>
      <c r="J32" s="0" t="n">
        <v>75</v>
      </c>
      <c r="K32" s="0" t="inlineStr">
        <is>
          <t>YES</t>
        </is>
      </c>
      <c r="L32" s="0" t="inlineStr">
        <is>
          <t>Related clarification on the exaltation addition card.</t>
        </is>
      </c>
      <c r="M32" s="0" t="inlineStr">
        <is>
          <t>YES</t>
        </is>
      </c>
    </row>
    <row r="33" ht="15.75" customHeight="1" s="29">
      <c r="A33" s="0" t="inlineStr">
        <is>
          <t>ICT-032</t>
        </is>
      </c>
      <c r="B33" s="0" t="inlineStr">
        <is>
          <t>ICC-002</t>
        </is>
      </c>
      <c r="C33" s="0" t="inlineStr">
        <is>
          <t>QUESTION_PATTERN</t>
        </is>
      </c>
      <c r="D33" s="0" t="inlineStr">
        <is>
          <t>Do Latter-day Saints believe they earn salvation by works?</t>
        </is>
      </c>
      <c r="E33" s="0" t="inlineStr">
        <is>
          <t>SEMANTIC</t>
        </is>
      </c>
      <c r="F33" s="0" t="inlineStr">
        <is>
          <t>Latter-day Saint</t>
        </is>
      </c>
      <c r="H33" s="0" t="inlineStr">
        <is>
          <t>YES</t>
        </is>
      </c>
      <c r="I33" s="0" t="inlineStr">
        <is>
          <t>HIGH</t>
        </is>
      </c>
      <c r="J33" s="0" t="n">
        <v>100</v>
      </c>
      <c r="K33" s="0" t="inlineStr">
        <is>
          <t>YES</t>
        </is>
      </c>
      <c r="L33" s="0" t="inlineStr">
        <is>
          <t>Conversational trigger.</t>
        </is>
      </c>
      <c r="M33" s="0" t="inlineStr">
        <is>
          <t>DEFERRED</t>
        </is>
      </c>
    </row>
    <row r="34" ht="15.75" customHeight="1" s="29">
      <c r="A34" s="0" t="inlineStr">
        <is>
          <t>ICT-033</t>
        </is>
      </c>
      <c r="B34" s="0" t="inlineStr">
        <is>
          <t>ICC-002</t>
        </is>
      </c>
      <c r="C34" s="0" t="inlineStr">
        <is>
          <t>QUESTION_PATTERN</t>
        </is>
      </c>
      <c r="D34" s="0" t="inlineStr">
        <is>
          <t>What does "after all we can do" mean?</t>
        </is>
      </c>
      <c r="E34" s="0" t="inlineStr">
        <is>
          <t>SEMANTIC</t>
        </is>
      </c>
      <c r="F34" s="0" t="inlineStr">
        <is>
          <t>Latter-day Saint</t>
        </is>
      </c>
      <c r="H34" s="0" t="inlineStr">
        <is>
          <t>YES</t>
        </is>
      </c>
      <c r="I34" s="0" t="inlineStr">
        <is>
          <t>HIGH</t>
        </is>
      </c>
      <c r="J34" s="0" t="n">
        <v>100</v>
      </c>
      <c r="K34" s="0" t="inlineStr">
        <is>
          <t>YES</t>
        </is>
      </c>
      <c r="L34" s="0" t="inlineStr">
        <is>
          <t>Conversational trigger.</t>
        </is>
      </c>
      <c r="M34" s="0" t="inlineStr">
        <is>
          <t>DEFERRED</t>
        </is>
      </c>
    </row>
    <row r="35" ht="15.75" customHeight="1" s="29">
      <c r="A35" s="0" t="inlineStr">
        <is>
          <t>ICT-034</t>
        </is>
      </c>
      <c r="B35" s="0" t="inlineStr">
        <is>
          <t>ICC-002</t>
        </is>
      </c>
      <c r="C35" s="0" t="inlineStr">
        <is>
          <t>QUESTION_PATTERN</t>
        </is>
      </c>
      <c r="D35" s="0" t="inlineStr">
        <is>
          <t>Do Mormons believe in grace?</t>
        </is>
      </c>
      <c r="E35" s="0" t="inlineStr">
        <is>
          <t>SEMANTIC</t>
        </is>
      </c>
      <c r="F35" s="0" t="inlineStr">
        <is>
          <t>Latter-day Saint</t>
        </is>
      </c>
      <c r="H35" s="0" t="inlineStr">
        <is>
          <t>YES</t>
        </is>
      </c>
      <c r="I35" s="0" t="inlineStr">
        <is>
          <t>HIGH</t>
        </is>
      </c>
      <c r="J35" s="0" t="n">
        <v>100</v>
      </c>
      <c r="K35" s="0" t="inlineStr">
        <is>
          <t>YES</t>
        </is>
      </c>
      <c r="L35" s="0" t="inlineStr">
        <is>
          <t>Conversational trigger; learner phrasing retained verbatim for matching only — never rendered.</t>
        </is>
      </c>
      <c r="M35" s="0" t="inlineStr">
        <is>
          <t>DEFERRED</t>
        </is>
      </c>
    </row>
    <row r="36" ht="15.75" customHeight="1" s="29">
      <c r="A36" s="0" t="inlineStr">
        <is>
          <t>ICT-035</t>
        </is>
      </c>
      <c r="B36" s="0" t="inlineStr">
        <is>
          <t>ICC-002</t>
        </is>
      </c>
      <c r="C36" s="0" t="inlineStr">
        <is>
          <t>HAZARD_TYPE</t>
        </is>
      </c>
      <c r="D36" s="0" t="inlineStr">
        <is>
          <t>SLOGAN_COMPRESSION</t>
        </is>
      </c>
      <c r="E36" s="0" t="inlineStr">
        <is>
          <t>EXACT</t>
        </is>
      </c>
      <c r="H36" s="0" t="inlineStr">
        <is>
          <t>NO</t>
        </is>
      </c>
      <c r="I36" s="0" t="inlineStr">
        <is>
          <t>MEDIUM</t>
        </is>
      </c>
      <c r="J36" s="0" t="n">
        <v>70</v>
      </c>
      <c r="K36" s="0" t="inlineStr">
        <is>
          <t>YES</t>
        </is>
      </c>
      <c r="L36" s="0" t="inlineStr">
        <is>
          <t>Explorer/filter classification.</t>
        </is>
      </c>
      <c r="M36" s="0" t="inlineStr">
        <is>
          <t>YES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12">
      <c r="A12" s="0" t="inlineStr">
        <is>
          <t>ICS-011</t>
        </is>
      </c>
      <c r="B12" s="0" t="inlineStr">
        <is>
          <t>ICC-002</t>
        </is>
      </c>
      <c r="C12" s="0" t="inlineStr">
        <is>
          <t>CANONICAL_SCRIPTURE</t>
        </is>
      </c>
      <c r="D12" s="0" t="inlineStr">
        <is>
          <t>The Church of Jesus Christ of Latter-day Saints</t>
        </is>
      </c>
      <c r="E12" s="0" t="inlineStr">
        <is>
          <t>Churchwide (canonical/official)</t>
        </is>
      </c>
      <c r="F12" s="0" t="inlineStr">
        <is>
          <t>Book of Mormon</t>
        </is>
      </c>
      <c r="G12" s="0" t="inlineStr">
        <is>
          <t>2 Nephi 25:23</t>
        </is>
      </c>
      <c r="H12" s="0" t="inlineStr">
        <is>
          <t>https://www.churchofjesuschrist.org/study/scriptures/bofm/2-ne/25?lang=eng&amp;id=p23#p23</t>
        </is>
      </c>
      <c r="I12" s="0" t="inlineStr">
        <is>
          <t>it is by grace that we are saved, after all we can do</t>
        </is>
      </c>
      <c r="J12" s="0" t="n">
        <v>13</v>
      </c>
      <c r="K12" s="0" t="inlineStr">
        <is>
          <t>The slogan itself in its canonical setting.</t>
        </is>
      </c>
      <c r="L12" s="0" t="inlineStr">
        <is>
          <t>Canonical scripture.</t>
        </is>
      </c>
      <c r="M12" s="0" t="inlineStr">
        <is>
          <t>RENDERED HTML locator-scoped phrase containment (Playwright/Church content API)</t>
        </is>
      </c>
      <c r="N12" s="0" t="inlineStr">
        <is>
          <t>VERIFIED</t>
        </is>
      </c>
      <c r="O12" s="0" t="b">
        <v>0</v>
      </c>
      <c r="P12" s="0" t="inlineStr">
        <is>
          <t>c. 559–545 BC (Nephi); published 1830</t>
        </is>
      </c>
      <c r="Q12" s="0" t="inlineStr">
        <is>
          <t>YES</t>
        </is>
      </c>
      <c r="R12" s="0" t="inlineStr">
        <is>
          <t>Slogan source; read with ICS-012 and ICS-013.</t>
        </is>
      </c>
    </row>
    <row r="13">
      <c r="A13" s="0" t="inlineStr">
        <is>
          <t>ICS-012</t>
        </is>
      </c>
      <c r="B13" s="0" t="inlineStr">
        <is>
          <t>ICC-002</t>
        </is>
      </c>
      <c r="C13" s="0" t="inlineStr">
        <is>
          <t>CANONICAL_SCRIPTURE</t>
        </is>
      </c>
      <c r="D13" s="0" t="inlineStr">
        <is>
          <t>The Church of Jesus Christ of Latter-day Saints</t>
        </is>
      </c>
      <c r="E13" s="0" t="inlineStr">
        <is>
          <t>Churchwide (canonical/official)</t>
        </is>
      </c>
      <c r="F13" s="0" t="inlineStr">
        <is>
          <t>Book of Mormon</t>
        </is>
      </c>
      <c r="G13" s="0" t="inlineStr">
        <is>
          <t>2 Nephi 10:24</t>
        </is>
      </c>
      <c r="H13" s="0" t="inlineStr">
        <is>
          <t>https://www.churchofjesuschrist.org/study/scriptures/bofm/2-ne/10?lang=eng&amp;id=p24#p24</t>
        </is>
      </c>
      <c r="I13" s="0" t="inlineStr">
        <is>
          <t>only in and through the grace of God that ye are saved</t>
        </is>
      </c>
      <c r="J13" s="0" t="n">
        <v>12</v>
      </c>
      <c r="K13" s="0" t="inlineStr">
        <is>
          <t>Salvation is by grace alone in the same book that contains the slogan.</t>
        </is>
      </c>
      <c r="L13" s="0" t="inlineStr">
        <is>
          <t>Canonical scripture.</t>
        </is>
      </c>
      <c r="M13" s="0" t="inlineStr">
        <is>
          <t>RENDERED HTML locator-scoped phrase containment (Playwright/Church content API)</t>
        </is>
      </c>
      <c r="N13" s="0" t="inlineStr">
        <is>
          <t>VERIFIED</t>
        </is>
      </c>
      <c r="O13" s="0" t="b">
        <v>0</v>
      </c>
      <c r="P13" s="0" t="inlineStr">
        <is>
          <t>c. 559–545 BC (Jacob); published 1830</t>
        </is>
      </c>
      <c r="Q13" s="0" t="inlineStr">
        <is>
          <t>YES</t>
        </is>
      </c>
      <c r="R13" s="0" t="inlineStr">
        <is>
          <t>Controls the reading of 2 Nephi 25:23.</t>
        </is>
      </c>
    </row>
    <row r="14">
      <c r="A14" s="0" t="inlineStr">
        <is>
          <t>ICS-013</t>
        </is>
      </c>
      <c r="B14" s="0" t="inlineStr">
        <is>
          <t>ICC-002</t>
        </is>
      </c>
      <c r="C14" s="0" t="inlineStr">
        <is>
          <t>CANONICAL_SCRIPTURE</t>
        </is>
      </c>
      <c r="D14" s="0" t="inlineStr">
        <is>
          <t>The Church of Jesus Christ of Latter-day Saints</t>
        </is>
      </c>
      <c r="E14" s="0" t="inlineStr">
        <is>
          <t>Churchwide (canonical/official)</t>
        </is>
      </c>
      <c r="F14" s="0" t="inlineStr">
        <is>
          <t>Book of Mormon</t>
        </is>
      </c>
      <c r="G14" s="0" t="inlineStr">
        <is>
          <t>Alma 24:11</t>
        </is>
      </c>
      <c r="H14" s="0" t="inlineStr">
        <is>
          <t>https://www.churchofjesuschrist.org/study/scriptures/bofm/alma/24?lang=eng&amp;id=p10-p11#p10</t>
        </is>
      </c>
      <c r="I14" s="0" t="inlineStr">
        <is>
          <t>it was all we could do to repent sufficiently before God</t>
        </is>
      </c>
      <c r="J14" s="0" t="n">
        <v>11</v>
      </c>
      <c r="K14" s="0" t="inlineStr">
        <is>
          <t>In Book of Mormon usage, "all we could do" is repentance, not merit.</t>
        </is>
      </c>
      <c r="L14" s="0" t="inlineStr">
        <is>
          <t>Canonical scripture.</t>
        </is>
      </c>
      <c r="M14" s="0" t="inlineStr">
        <is>
          <t>RENDERED HTML locator-scoped phrase containment (Playwright/Church content API)</t>
        </is>
      </c>
      <c r="N14" s="0" t="inlineStr">
        <is>
          <t>VERIFIED</t>
        </is>
      </c>
      <c r="O14" s="0" t="b">
        <v>0</v>
      </c>
      <c r="P14" s="0" t="inlineStr">
        <is>
          <t>c. 90–77 BC; published 1830</t>
        </is>
      </c>
      <c r="Q14" s="0" t="inlineStr">
        <is>
          <t>YES</t>
        </is>
      </c>
      <c r="R14" s="0" t="inlineStr">
        <is>
          <t>Semantic control on "all we can do."</t>
        </is>
      </c>
    </row>
    <row r="15">
      <c r="A15" s="0" t="inlineStr">
        <is>
          <t>ICS-014</t>
        </is>
      </c>
      <c r="B15" s="0" t="inlineStr">
        <is>
          <t>ICC-002</t>
        </is>
      </c>
      <c r="C15" s="0" t="inlineStr">
        <is>
          <t>CANONICAL_SCRIPTURE</t>
        </is>
      </c>
      <c r="D15" s="0" t="inlineStr">
        <is>
          <t>The Church of Jesus Christ of Latter-day Saints</t>
        </is>
      </c>
      <c r="E15" s="0" t="inlineStr">
        <is>
          <t>Churchwide (canonical/official)</t>
        </is>
      </c>
      <c r="F15" s="0" t="inlineStr">
        <is>
          <t>Book of Mormon</t>
        </is>
      </c>
      <c r="G15" s="0" t="inlineStr">
        <is>
          <t>Moroni 10:32</t>
        </is>
      </c>
      <c r="H15" s="0" t="inlineStr">
        <is>
          <t>https://www.churchofjesuschrist.org/study/scriptures/bofm/moro/10?lang=eng&amp;id=p32#p32</t>
        </is>
      </c>
      <c r="I15" s="0" t="inlineStr">
        <is>
          <t>then is his grace sufficient for you</t>
        </is>
      </c>
      <c r="J15" s="0" t="n">
        <v>7</v>
      </c>
      <c r="K15" s="0" t="inlineStr">
        <is>
          <t>Grace enables the disciple to be perfect in Christ; effort is response, not price.</t>
        </is>
      </c>
      <c r="L15" s="0" t="inlineStr">
        <is>
          <t>Canonical scripture.</t>
        </is>
      </c>
      <c r="M15" s="0" t="inlineStr">
        <is>
          <t>RENDERED HTML locator-scoped phrase containment (Playwright/Church content API)</t>
        </is>
      </c>
      <c r="N15" s="0" t="inlineStr">
        <is>
          <t>VERIFIED</t>
        </is>
      </c>
      <c r="O15" s="0" t="b">
        <v>0</v>
      </c>
      <c r="P15" s="0" t="inlineStr">
        <is>
          <t>c. AD 421; published 1830</t>
        </is>
      </c>
      <c r="Q15" s="0" t="inlineStr">
        <is>
          <t>YES</t>
        </is>
      </c>
      <c r="R15" s="0" t="inlineStr">
        <is>
          <t>Enabling-grace witness.</t>
        </is>
      </c>
    </row>
    <row r="16">
      <c r="A16" s="0" t="inlineStr">
        <is>
          <t>ICS-015</t>
        </is>
      </c>
      <c r="B16" s="0" t="inlineStr">
        <is>
          <t>ICC-002</t>
        </is>
      </c>
      <c r="C16" s="0" t="inlineStr">
        <is>
          <t>CANONICAL_SCRIPTURE</t>
        </is>
      </c>
      <c r="D16" s="0" t="inlineStr">
        <is>
          <t>The Church of Jesus Christ of Latter-day Saints</t>
        </is>
      </c>
      <c r="E16" s="0" t="inlineStr">
        <is>
          <t>Churchwide (canonical/official)</t>
        </is>
      </c>
      <c r="F16" s="0" t="inlineStr">
        <is>
          <t>Pearl of Great Price</t>
        </is>
      </c>
      <c r="G16" s="0" t="inlineStr">
        <is>
          <t>Articles of Faith 1:3</t>
        </is>
      </c>
      <c r="H16" s="0" t="inlineStr">
        <is>
          <t>https://www.churchofjesuschrist.org/study/scriptures/pgp/a-of-f/1?lang=eng&amp;id=p3#p3</t>
        </is>
      </c>
      <c r="I16" s="0" t="inlineStr">
        <is>
          <t>by obedience to the laws and ordinances of the Gospel</t>
        </is>
      </c>
      <c r="J16" s="0" t="n">
        <v>10</v>
      </c>
      <c r="K16" s="0" t="inlineStr">
        <is>
          <t>The obedience clause that creates the apparent tension.</t>
        </is>
      </c>
      <c r="L16" s="0" t="inlineStr">
        <is>
          <t>Canonical scripture (1842 Wentworth letter; canonized 1880).</t>
        </is>
      </c>
      <c r="M16" s="0" t="inlineStr">
        <is>
          <t>RENDERED HTML locator-scoped phrase containment (Playwright/Church content API)</t>
        </is>
      </c>
      <c r="N16" s="0" t="inlineStr">
        <is>
          <t>VERIFIED</t>
        </is>
      </c>
      <c r="O16" s="0" t="b">
        <v>0</v>
      </c>
      <c r="P16" s="0" t="inlineStr">
        <is>
          <t>1842</t>
        </is>
      </c>
      <c r="Q16" s="0" t="inlineStr">
        <is>
          <t>YES</t>
        </is>
      </c>
      <c r="R16" s="0" t="inlineStr">
        <is>
          <t>Tension side; read with ICS-018.</t>
        </is>
      </c>
    </row>
    <row r="17">
      <c r="A17" s="0" t="inlineStr">
        <is>
          <t>ICS-016</t>
        </is>
      </c>
      <c r="B17" s="0" t="inlineStr">
        <is>
          <t>ICC-002</t>
        </is>
      </c>
      <c r="C17" s="0" t="inlineStr">
        <is>
          <t>CURRENT_INSTITUTIONAL</t>
        </is>
      </c>
      <c r="D17" s="0" t="inlineStr">
        <is>
          <t>The Church of Jesus Christ of Latter-day Saints</t>
        </is>
      </c>
      <c r="E17" s="0" t="inlineStr">
        <is>
          <t>Churchwide (canonical/official)</t>
        </is>
      </c>
      <c r="F17" s="0" t="inlineStr">
        <is>
          <t>Gospel Topics: Grace</t>
        </is>
      </c>
      <c r="G17" s="0" t="inlineStr">
        <is>
          <t>Opening definition</t>
        </is>
      </c>
      <c r="H17" s="0" t="inlineStr">
        <is>
          <t>https://www.churchofjesuschrist.org/study/manual/gospel-topics/grace?lang=eng</t>
        </is>
      </c>
      <c r="I17" s="0" t="inlineStr">
        <is>
          <t>the divine help or strength extended to us through the Atonement</t>
        </is>
      </c>
      <c r="J17" s="0" t="n">
        <v>11</v>
      </c>
      <c r="K17" s="0" t="inlineStr">
        <is>
          <t>Official definition: grace as enabling help, not reward.</t>
        </is>
      </c>
      <c r="L17" s="0" t="inlineStr">
        <is>
          <t>Official Church doctrinal summary.</t>
        </is>
      </c>
      <c r="M17" s="0" t="inlineStr">
        <is>
          <t>RENDERED HTML locator-scoped phrase containment (Playwright/Church content API)</t>
        </is>
      </c>
      <c r="N17" s="0" t="inlineStr">
        <is>
          <t>VERIFIED</t>
        </is>
      </c>
      <c r="O17" s="0" t="b">
        <v>0</v>
      </c>
      <c r="P17" s="0" t="inlineStr">
        <is>
          <t>current</t>
        </is>
      </c>
      <c r="Q17" s="0" t="inlineStr">
        <is>
          <t>YES</t>
        </is>
      </c>
      <c r="R17" s="0" t="inlineStr">
        <is>
          <t>Use for definition of grace.</t>
        </is>
      </c>
    </row>
    <row r="18">
      <c r="A18" s="0" t="inlineStr">
        <is>
          <t>ICS-017</t>
        </is>
      </c>
      <c r="B18" s="0" t="inlineStr">
        <is>
          <t>ICC-002</t>
        </is>
      </c>
      <c r="C18" s="0" t="inlineStr">
        <is>
          <t>OFFICIAL_EXPOSITION</t>
        </is>
      </c>
      <c r="D18" s="0" t="inlineStr">
        <is>
          <t>The Church of Jesus Christ of Latter-day Saints</t>
        </is>
      </c>
      <c r="E18" s="0" t="inlineStr">
        <is>
          <t>Churchwide (canonical/official)</t>
        </is>
      </c>
      <c r="F18" s="0" t="inlineStr">
        <is>
          <t>Dieter F. Uchtdorf, "The Gift of Grace," April 2015 General Conference</t>
        </is>
      </c>
      <c r="G18" s="0" t="inlineStr">
        <is>
          <t>Section "The Gift of Grace"</t>
        </is>
      </c>
      <c r="H18" s="0" t="inlineStr">
        <is>
          <t>https://www.churchofjesuschrist.org/study/general-conference/2015/04/the-gift-of-grace?lang=eng</t>
        </is>
      </c>
      <c r="I18" s="0" t="inlineStr">
        <is>
          <t>We cannot earn our way into heaven</t>
        </is>
      </c>
      <c r="J18" s="0" t="n">
        <v>7</v>
      </c>
      <c r="K18" s="0" t="inlineStr">
        <is>
          <t>Explicit official denial that salvation is earned.</t>
        </is>
      </c>
      <c r="L18" s="0" t="inlineStr">
        <is>
          <t>General Conference address by a member of the First Presidency; official publication.</t>
        </is>
      </c>
      <c r="M18" s="0" t="inlineStr">
        <is>
          <t>RENDERED HTML locator-scoped phrase containment (Playwright/Church content API)</t>
        </is>
      </c>
      <c r="N18" s="0" t="inlineStr">
        <is>
          <t>VERIFIED</t>
        </is>
      </c>
      <c r="O18" s="0" t="b">
        <v>0</v>
      </c>
      <c r="P18" s="0" t="inlineStr">
        <is>
          <t>2015</t>
        </is>
      </c>
      <c r="Q18" s="0" t="inlineStr">
        <is>
          <t>YES</t>
        </is>
      </c>
      <c r="R18" s="0" t="inlineStr">
        <is>
          <t>Primary "not earned" witness.</t>
        </is>
      </c>
    </row>
    <row r="19">
      <c r="A19" s="0" t="inlineStr">
        <is>
          <t>ICS-018</t>
        </is>
      </c>
      <c r="B19" s="0" t="inlineStr">
        <is>
          <t>ICC-002</t>
        </is>
      </c>
      <c r="C19" s="0" t="inlineStr">
        <is>
          <t>OFFICIAL_EXPOSITION</t>
        </is>
      </c>
      <c r="D19" s="0" t="inlineStr">
        <is>
          <t>The Church of Jesus Christ of Latter-day Saints</t>
        </is>
      </c>
      <c r="E19" s="0" t="inlineStr">
        <is>
          <t>Churchwide (canonical/official)</t>
        </is>
      </c>
      <c r="F19" s="0" t="inlineStr">
        <is>
          <t>Dieter F. Uchtdorf, "The Gift of Grace," April 2015 General Conference</t>
        </is>
      </c>
      <c r="G19" s="0" t="inlineStr">
        <is>
          <t>Section "The Gift of Grace"</t>
        </is>
      </c>
      <c r="H19" s="0" t="inlineStr">
        <is>
          <t>https://www.churchofjesuschrist.org/study/general-conference/2015/04/the-gift-of-grace?lang=eng</t>
        </is>
      </c>
      <c r="I19" s="0" t="inlineStr">
        <is>
          <t>Salvation cannot be bought with the currency of obedience</t>
        </is>
      </c>
      <c r="J19" s="0" t="n">
        <v>9</v>
      </c>
      <c r="K19" s="0" t="inlineStr">
        <is>
          <t>Obedience is not a purchase price.</t>
        </is>
      </c>
      <c r="L19" s="0" t="inlineStr">
        <is>
          <t>General Conference address; official publication.</t>
        </is>
      </c>
      <c r="M19" s="0" t="inlineStr">
        <is>
          <t>RENDERED HTML locator-scoped phrase containment (Playwright/Church content API)</t>
        </is>
      </c>
      <c r="N19" s="0" t="inlineStr">
        <is>
          <t>VERIFIED</t>
        </is>
      </c>
      <c r="O19" s="0" t="b">
        <v>0</v>
      </c>
      <c r="P19" s="0" t="inlineStr">
        <is>
          <t>2015</t>
        </is>
      </c>
      <c r="Q19" s="0" t="inlineStr">
        <is>
          <t>YES</t>
        </is>
      </c>
      <c r="R19" s="0" t="inlineStr">
        <is>
          <t>Pairs with Articles of Faith 1:3.</t>
        </is>
      </c>
    </row>
    <row r="20">
      <c r="A20" s="0" t="inlineStr">
        <is>
          <t>ICS-019</t>
        </is>
      </c>
      <c r="B20" s="0" t="inlineStr">
        <is>
          <t>ICC-002</t>
        </is>
      </c>
      <c r="C20" s="0" t="inlineStr">
        <is>
          <t>OFFICIAL_EXPOSITION</t>
        </is>
      </c>
      <c r="D20" s="0" t="inlineStr">
        <is>
          <t>The Church of Jesus Christ of Latter-day Saints</t>
        </is>
      </c>
      <c r="E20" s="0" t="inlineStr">
        <is>
          <t>Churchwide (canonical/official)</t>
        </is>
      </c>
      <c r="F20" s="0" t="inlineStr">
        <is>
          <t>Dieter F. Uchtdorf, "The Gift of Grace," April 2015 General Conference</t>
        </is>
      </c>
      <c r="G20" s="0" t="inlineStr">
        <is>
          <t>Section "Why Then Obey?"</t>
        </is>
      </c>
      <c r="H20" s="0" t="inlineStr">
        <is>
          <t>https://www.churchofjesuschrist.org/study/general-conference/2015/04/the-gift-of-grace?lang=eng</t>
        </is>
      </c>
      <c r="I20" s="0" t="inlineStr">
        <is>
          <t>the reaching out of our mortal hand to receive this sacred gift</t>
        </is>
      </c>
      <c r="J20" s="0" t="n">
        <v>12</v>
      </c>
      <c r="K20" s="0" t="inlineStr">
        <is>
          <t>Obedience as the receiving response to grace.</t>
        </is>
      </c>
      <c r="L20" s="0" t="inlineStr">
        <is>
          <t>General Conference address; official publication.</t>
        </is>
      </c>
      <c r="M20" s="0" t="inlineStr">
        <is>
          <t>RENDERED HTML locator-scoped phrase containment (Playwright/Church content API)</t>
        </is>
      </c>
      <c r="N20" s="0" t="inlineStr">
        <is>
          <t>VERIFIED</t>
        </is>
      </c>
      <c r="O20" s="0" t="b">
        <v>0</v>
      </c>
      <c r="P20" s="0" t="inlineStr">
        <is>
          <t>2015</t>
        </is>
      </c>
      <c r="Q20" s="0" t="inlineStr">
        <is>
          <t>YES</t>
        </is>
      </c>
      <c r="R20" s="0" t="inlineStr">
        <is>
          <t>Key distinction witness.</t>
        </is>
      </c>
    </row>
    <row r="21" ht="15.75" customHeight="1" s="29">
      <c r="A21" s="0" t="inlineStr">
        <is>
          <t>ICS-020</t>
        </is>
      </c>
      <c r="B21" s="0" t="inlineStr">
        <is>
          <t>ICC-002</t>
        </is>
      </c>
      <c r="C21" s="0" t="inlineStr">
        <is>
          <t>CURRENT_INSTITUTIONAL</t>
        </is>
      </c>
      <c r="D21" s="0" t="inlineStr">
        <is>
          <t>The Church of Jesus Christ of Latter-day Saints</t>
        </is>
      </c>
      <c r="E21" s="0" t="inlineStr">
        <is>
          <t>Churchwide (canonical/official)</t>
        </is>
      </c>
      <c r="F21" s="0" t="inlineStr">
        <is>
          <t>Bible Dictionary: Grace</t>
        </is>
      </c>
      <c r="G21" s="0" t="inlineStr">
        <is>
          <t>Entry "Grace"</t>
        </is>
      </c>
      <c r="H21" s="0" t="inlineStr">
        <is>
          <t>https://www.churchofjesuschrist.org/study/scriptures/bd/grace?lang=eng</t>
        </is>
      </c>
      <c r="I21" s="0" t="inlineStr">
        <is>
          <t>after they have expended their own best efforts</t>
        </is>
      </c>
      <c r="J21" s="0" t="n">
        <v>8</v>
      </c>
      <c r="K21" s="0" t="inlineStr">
        <is>
          <t>Church study-aid gloss on 2 Nephi 25:23; states the temporal reading.</t>
        </is>
      </c>
      <c r="L21" s="0" t="inlineStr">
        <is>
          <t>Study aid published with the Church edition of the KJV; not canonical.</t>
        </is>
      </c>
      <c r="M21" s="0" t="inlineStr">
        <is>
          <t>RENDERED HTML locator-scoped phrase containment (Playwright/Church content API)</t>
        </is>
      </c>
      <c r="N21" s="0" t="inlineStr">
        <is>
          <t>PENDING FETCH — page is client-rendered; verify with Playwright</t>
        </is>
      </c>
      <c r="O21" s="0" t="b">
        <v>0</v>
      </c>
      <c r="P21" s="0" t="inlineStr">
        <is>
          <t>1979 ed.; current</t>
        </is>
      </c>
      <c r="Q21" s="0" t="inlineStr">
        <is>
          <t>YES</t>
        </is>
      </c>
      <c r="R21" s="0" t="inlineStr">
        <is>
          <t>Represents the temporal-sequence reading in Internal variation.</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0" t="inlineStr">
        <is>
          <t>Metric key</t>
        </is>
      </c>
      <c r="B1" s="0" t="inlineStr">
        <is>
          <t>Inference ID</t>
        </is>
      </c>
      <c r="C1" s="0" t="inlineStr">
        <is>
          <t>Count</t>
        </is>
      </c>
      <c r="D1" s="0" t="inlineStr">
        <is>
          <t>Denominator</t>
        </is>
      </c>
      <c r="E1" s="0" t="inlineStr">
        <is>
          <t>Raw percent</t>
        </is>
      </c>
      <c r="F1" s="0" t="inlineStr">
        <is>
          <t>Low percent</t>
        </is>
      </c>
      <c r="G1" s="0" t="inlineStr">
        <is>
          <t>High percent</t>
        </is>
      </c>
      <c r="H1" s="0" t="inlineStr">
        <is>
          <t>Basis</t>
        </is>
      </c>
      <c r="I1" s="0" t="inlineStr">
        <is>
          <t>Source</t>
        </is>
      </c>
      <c r="J1" s="0" t="inlineStr">
        <is>
          <t>Display rule</t>
        </is>
      </c>
    </row>
    <row r="2">
      <c r="A2" s="0" t="inlineStr">
        <is>
          <t>shared_floor_A_plus_Q</t>
        </is>
      </c>
      <c r="B2" s="0" t="inlineStr">
        <is>
          <t>INF-01</t>
        </is>
      </c>
      <c r="C2" s="0" t="n">
        <v>52</v>
      </c>
      <c r="D2" s="0" t="n">
        <v>57</v>
      </c>
      <c r="E2" s="0" t="n">
        <v>91.2</v>
      </c>
      <c r="F2" s="0" t="n">
        <v>87.8</v>
      </c>
      <c r="G2" s="0" t="n">
        <v>91.2</v>
      </c>
      <c r="H2" s="0" t="inlineStr">
        <is>
          <t>How this range moves: it shows where the count lands if some of the 57 descriptions are treated as more central to Christian teaching than others. Weighting them keeps the share between about 88% and 91%.</t>
        </is>
      </c>
      <c r="I2" s="0" t="inlineStr">
        <is>
          <t>Paper v3.2-MR1 §14, Appendix B</t>
        </is>
      </c>
      <c r="J2" s="0" t="inlineStr">
        <is>
          <t>count + percent + range; provisional</t>
        </is>
      </c>
    </row>
    <row r="3">
      <c r="A3" s="0" t="inlineStr">
        <is>
          <t>strict_A</t>
        </is>
      </c>
      <c r="B3" s="0" t="inlineStr">
        <is>
          <t>FAMILY</t>
        </is>
      </c>
      <c r="C3" s="0" t="n">
        <v>36</v>
      </c>
      <c r="D3" s="0" t="n">
        <v>57</v>
      </c>
      <c r="E3" s="0" t="n">
        <v>63.2</v>
      </c>
      <c r="F3" s="0" t="n">
        <v>51.7</v>
      </c>
      <c r="G3" s="0" t="n">
        <v>63.2</v>
      </c>
      <c r="H3" s="0" t="inlineStr">
        <is>
          <t>How this range moves: it shows where the count of full agreements lands if some descriptions are treated as more central than others. Weighting them keeps the share between about 52% and 63%.</t>
        </is>
      </c>
      <c r="I3" s="0" t="inlineStr">
        <is>
          <t>Paper v3.2-MR1 §14, Appendix B</t>
        </is>
      </c>
      <c r="J3" s="0" t="inlineStr">
        <is>
          <t>count + percent + range; provisional</t>
        </is>
      </c>
    </row>
    <row r="4">
      <c r="A4" s="0" t="inlineStr">
        <is>
          <t>direct_D</t>
        </is>
      </c>
      <c r="B4" s="0" t="inlineStr">
        <is>
          <t>INF-04</t>
        </is>
      </c>
      <c r="C4" s="0" t="n">
        <v>5</v>
      </c>
      <c r="D4" s="0" t="n">
        <v>57</v>
      </c>
      <c r="E4" s="0" t="n">
        <v>8.800000000000001</v>
      </c>
      <c r="F4" s="0" t="n">
        <v>8.800000000000001</v>
      </c>
      <c r="G4" s="0" t="n">
        <v>12.2</v>
      </c>
      <c r="H4" s="0" t="inlineStr">
        <is>
          <t>How this range moves: it shows where the count of direct disagreements lands if some descriptions are treated as more central than others. Weighting them keeps the share between about 9% and 12%.</t>
        </is>
      </c>
      <c r="I4" s="0" t="inlineStr">
        <is>
          <t>Paper v3.2-MR1 §14, Appendix B</t>
        </is>
      </c>
      <c r="J4" s="0" t="inlineStr">
        <is>
          <t>count + percent + range; provisional</t>
        </is>
      </c>
    </row>
    <row r="5">
      <c r="A5" s="0" t="inlineStr">
        <is>
          <t>positive_A_plus_Q</t>
        </is>
      </c>
      <c r="B5" s="0" t="inlineStr">
        <is>
          <t>INF-02</t>
        </is>
      </c>
      <c r="C5" s="0" t="n">
        <v>35</v>
      </c>
      <c r="D5" s="0" t="n">
        <v>35</v>
      </c>
      <c r="E5" s="0" t="n">
        <v>100</v>
      </c>
      <c r="F5" s="0" t="n">
        <v>100</v>
      </c>
      <c r="G5" s="0" t="n">
        <v>100</v>
      </c>
      <c r="H5" s="0" t="inlineStr">
        <is>
          <t>This figure is a plain count of the corpus as coded — no weighting was applied, so no range is shown, only the count and percentage.</t>
        </is>
      </c>
      <c r="I5" s="0" t="inlineStr">
        <is>
          <t>Paper §6</t>
        </is>
      </c>
      <c r="J5" s="0" t="inlineStr">
        <is>
          <t>count + percent; provisional</t>
        </is>
      </c>
    </row>
    <row r="6">
      <c r="A6" s="0" t="inlineStr">
        <is>
          <t>negative_Q_or_D</t>
        </is>
      </c>
      <c r="B6" s="0" t="inlineStr">
        <is>
          <t>INF-03</t>
        </is>
      </c>
      <c r="C6" s="0" t="n">
        <v>18</v>
      </c>
      <c r="D6" s="0" t="n">
        <v>22</v>
      </c>
      <c r="E6" s="0" t="n">
        <v>81.8</v>
      </c>
      <c r="H6" s="0" t="inlineStr">
        <is>
          <t>No weighting model was applied to this figure — only the count and percentage are shown.</t>
        </is>
      </c>
      <c r="I6" s="0" t="inlineStr">
        <is>
          <t>Paper §8</t>
        </is>
      </c>
      <c r="J6" s="0" t="inlineStr">
        <is>
          <t>count + percent; provisional</t>
        </is>
      </c>
    </row>
    <row r="7">
      <c r="A7" s="0" t="inlineStr">
        <is>
          <t>human_destiny_additions</t>
        </is>
      </c>
      <c r="B7" s="0" t="inlineStr">
        <is>
          <t>INF-11</t>
        </is>
      </c>
      <c r="C7" s="0" t="n">
        <v>15</v>
      </c>
      <c r="D7" s="0" t="n">
        <v>26</v>
      </c>
      <c r="E7" s="0" t="n">
        <v>57.7</v>
      </c>
      <c r="H7" s="0" t="inlineStr">
        <is>
          <t>This figure depends on how the Restoration additions are grouped by topic; no separate weighting model was applied.</t>
        </is>
      </c>
      <c r="I7" s="0" t="inlineStr">
        <is>
          <t>Paper §10</t>
        </is>
      </c>
      <c r="J7" s="0" t="inlineStr">
        <is>
          <t>count + percent; provisional</t>
        </is>
      </c>
    </row>
    <row r="8">
      <c r="A8" s="0" t="inlineStr">
        <is>
          <t>tier_I_II_additions</t>
        </is>
      </c>
      <c r="B8" s="0" t="inlineStr">
        <is>
          <t>INF-12</t>
        </is>
      </c>
      <c r="C8" s="0" t="n">
        <v>22</v>
      </c>
      <c r="D8" s="0" t="n">
        <v>26</v>
      </c>
      <c r="E8" s="0" t="n">
        <v>84.59999999999999</v>
      </c>
      <c r="H8" s="0" t="inlineStr">
        <is>
          <t>This figure is based on how each source is classified by its role, not on a weighting model.</t>
        </is>
      </c>
      <c r="I8" s="0" t="inlineStr">
        <is>
          <t>Paper §12</t>
        </is>
      </c>
      <c r="J8" s="0" t="inlineStr">
        <is>
          <t>count + percent; provisional</t>
        </is>
      </c>
    </row>
    <row r="9">
      <c r="A9" s="0" t="inlineStr">
        <is>
          <t>constructive_vs_subtractive</t>
        </is>
      </c>
      <c r="B9" s="0" t="inlineStr">
        <is>
          <t>INF-13</t>
        </is>
      </c>
      <c r="C9" s="0" t="n">
        <v>42</v>
      </c>
      <c r="D9" s="0" t="n">
        <v>47</v>
      </c>
      <c r="E9" s="0" t="n">
        <v>89.40000000000001</v>
      </c>
      <c r="H9" s="0" t="inlineStr">
        <is>
          <t>This figure is a plain tally of how each addition relates to the creeds — descriptive, not weighted.</t>
        </is>
      </c>
      <c r="I9" s="0" t="inlineStr">
        <is>
          <t>Paper §11</t>
        </is>
      </c>
      <c r="J9" s="0" t="inlineStr">
        <is>
          <t>count + percent; provisional</t>
        </is>
      </c>
    </row>
    <row r="11">
      <c r="A11" s="0" t="inlineStr">
        <is>
          <t>Rule</t>
        </is>
      </c>
      <c r="B11" s="0" t="inlineStr">
        <is>
          <t>Where a Low/High pair is blank the app shows count + percent only. Structural ranges computed by the pipeline (e.g., A-only vs A+Q) are not sensitivity ranges and must not be displayed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2026-09-12T18:28:29Z</dcterms:modified>
</cp:coreProperties>
</file>