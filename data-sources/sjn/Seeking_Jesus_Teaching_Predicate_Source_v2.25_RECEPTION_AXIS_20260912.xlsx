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Branch Study" sheetId="13" state="visible" r:id="rId13"/>
    <sheet xmlns:r="http://schemas.openxmlformats.org/officeDocument/2006/relationships" name="Inference Support" sheetId="14" state="visible" r:id="rId14"/>
    <sheet xmlns:r="http://schemas.openxmlformats.org/officeDocument/2006/relationships" name="Inference Evidence Map" sheetId="15" state="visible" r:id="rId15"/>
    <sheet xmlns:r="http://schemas.openxmlformats.org/officeDocument/2006/relationships" name="Matrix Case Studies" sheetId="16" state="visible" r:id="rId16"/>
    <sheet xmlns:r="http://schemas.openxmlformats.org/officeDocument/2006/relationships" name="Row Ratification" sheetId="17" state="visible" r:id="rId17"/>
    <sheet xmlns:r="http://schemas.openxmlformats.org/officeDocument/2006/relationships" name="Godhead Context" sheetId="18" state="visible" r:id="rId18"/>
    <sheet xmlns:r="http://schemas.openxmlformats.org/officeDocument/2006/relationships" name="Current Source Recovery" sheetId="19" state="visible" r:id="rId19"/>
    <sheet xmlns:r="http://schemas.openxmlformats.org/officeDocument/2006/relationships" name="Tradition Sources" sheetId="20" state="visible" r:id="rId20"/>
    <sheet xmlns:r="http://schemas.openxmlformats.org/officeDocument/2006/relationships" name="Branch Source Registry" sheetId="21" state="visible" r:id="rId21"/>
    <sheet xmlns:r="http://schemas.openxmlformats.org/officeDocument/2006/relationships" name="Glossary" sheetId="22" state="visible" r:id="rId22"/>
    <sheet xmlns:r="http://schemas.openxmlformats.org/officeDocument/2006/relationships" name="Antecedent Examples" sheetId="23" state="visible" r:id="rId23"/>
    <sheet xmlns:r="http://schemas.openxmlformats.org/officeDocument/2006/relationships" name="Related CTA Topics" sheetId="24" state="visible" r:id="rId24"/>
    <sheet xmlns:r="http://schemas.openxmlformats.org/officeDocument/2006/relationships" name="Public Readiness" sheetId="25" state="visible" r:id="rId25"/>
    <sheet xmlns:r="http://schemas.openxmlformats.org/officeDocument/2006/relationships" name="Lineage &amp; Merge Audit" sheetId="26" state="visible" r:id="rId26"/>
    <sheet xmlns:r="http://schemas.openxmlformats.org/officeDocument/2006/relationships" name="Build Validation" sheetId="27" state="visible" r:id="rId27"/>
    <sheet xmlns:r="http://schemas.openxmlformats.org/officeDocument/2006/relationships" name="Citation Selection Rules" sheetId="28" state="visible" r:id="rId28"/>
    <sheet xmlns:r="http://schemas.openxmlformats.org/officeDocument/2006/relationships" name="URL Validation Snapshot" sheetId="29" state="visible" r:id="rId29"/>
    <sheet xmlns:r="http://schemas.openxmlformats.org/officeDocument/2006/relationships" name="Pipeline Validation Spec" sheetId="30" state="visible" r:id="rId30"/>
    <sheet xmlns:r="http://schemas.openxmlformats.org/officeDocument/2006/relationships" name="Citation Phrase Targets" sheetId="31" state="visible" r:id="rId31"/>
    <sheet xmlns:r="http://schemas.openxmlformats.org/officeDocument/2006/relationships" name="Restoration Phrase Targets" sheetId="32" state="visible" r:id="rId32"/>
    <sheet xmlns:r="http://schemas.openxmlformats.org/officeDocument/2006/relationships" name="Case Study Phrase Targets" sheetId="33" state="visible" r:id="rId33"/>
    <sheet xmlns:r="http://schemas.openxmlformats.org/officeDocument/2006/relationships" name="Vector Family Captions" sheetId="34" state="visible" r:id="rId34"/>
    <sheet xmlns:r="http://schemas.openxmlformats.org/officeDocument/2006/relationships" name="Clarification Vocabulary" sheetId="35" state="visible" r:id="rId35"/>
    <sheet xmlns:r="http://schemas.openxmlformats.org/officeDocument/2006/relationships" name="Interpretive Clarifications" sheetId="36" state="visible" r:id="rId36"/>
    <sheet xmlns:r="http://schemas.openxmlformats.org/officeDocument/2006/relationships" name="Clarification Trigger Map" sheetId="37" state="visible" r:id="rId37"/>
    <sheet xmlns:r="http://schemas.openxmlformats.org/officeDocument/2006/relationships" name="Clarification Sources" sheetId="38" state="visible" r:id="rId38"/>
    <sheet xmlns:r="http://schemas.openxmlformats.org/officeDocument/2006/relationships" name="Author Decision Queue" sheetId="39" state="visible" r:id="rId39"/>
    <sheet xmlns:r="http://schemas.openxmlformats.org/officeDocument/2006/relationships" name="Author Gate Dashboard" sheetId="40" state="visible" r:id="rId40"/>
    <sheet xmlns:r="http://schemas.openxmlformats.org/officeDocument/2006/relationships" name="AUTHOR REVIEW CONSOLE" sheetId="41" state="visible" r:id="rId41"/>
    <sheet xmlns:r="http://schemas.openxmlformats.org/officeDocument/2006/relationships" name="Author Response Entry" sheetId="42" state="visible" r:id="rId42"/>
    <sheet xmlns:r="http://schemas.openxmlformats.org/officeDocument/2006/relationships" name="Sensitivity Ranges" sheetId="43" state="visible" r:id="rId4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
      <b val="1"/>
      <color rgb="FF203864"/>
      <sz val="13"/>
    </font>
    <font>
      <b val="1"/>
    </font>
    <font>
      <b val="1"/>
      <color rgb="FFFFFFFF"/>
    </font>
    <font>
      <name val="Carlito"/>
      <b val="1"/>
      <sz val="11"/>
    </font>
    <font>
      <name val="Carlito"/>
      <sz val="11"/>
    </font>
  </fonts>
  <fills count="10">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
      <patternFill patternType="solid">
        <fgColor rgb="FFFFF2CC"/>
      </patternFill>
    </fill>
    <fill>
      <patternFill patternType="solid">
        <fgColor rgb="FF2038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xf numFmtId="0" fontId="7" fillId="0" borderId="0" pivotButton="0" quotePrefix="0" xfId="0"/>
    <xf numFmtId="0" fontId="0" fillId="8" borderId="0" applyAlignment="1" pivotButton="0" quotePrefix="0" xfId="0">
      <alignment vertical="top" wrapText="1"/>
    </xf>
    <xf numFmtId="0" fontId="8" fillId="0" borderId="0" pivotButton="0" quotePrefix="0" xfId="0"/>
    <xf numFmtId="0" fontId="0" fillId="8" borderId="0" pivotButton="0" quotePrefix="0" xfId="0"/>
    <xf numFmtId="0" fontId="9" fillId="9" borderId="1" applyAlignment="1" pivotButton="0" quotePrefix="0" xfId="0">
      <alignment vertical="center" wrapText="1"/>
    </xf>
    <xf numFmtId="0" fontId="8" fillId="0"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9" borderId="1" applyAlignment="1" pivotButton="0" quotePrefix="0" xfId="0">
      <alignment wrapText="1"/>
    </xf>
    <xf numFmtId="0" fontId="11" fillId="0" borderId="0" applyAlignment="1" pivotButton="0" quotePrefix="0" xfId="0">
      <alignment wrapText="1"/>
    </xf>
    <xf numFmtId="0" fontId="11" fillId="0" borderId="0" applyAlignment="1" pivotButton="0" quotePrefix="0" xfId="0">
      <alignment vertical="top" wrapText="1"/>
    </xf>
    <xf numFmtId="0" fontId="11" fillId="0" borderId="0" pivotButton="0" quotePrefix="0" xfId="0"/>
    <xf numFmtId="0" fontId="1" fillId="9" borderId="0" pivotButton="0" quotePrefix="0" xfId="0"/>
    <xf numFmtId="0" fontId="10" fillId="8" borderId="0" applyAlignment="1" pivotButton="0" quotePrefix="0" xfId="0">
      <alignment vertical="top" wrapText="1"/>
    </xf>
    <xf numFmtId="0" fontId="2" fillId="9" borderId="0" applyAlignment="1" pivotButton="0" quotePrefix="0" xfId="0">
      <alignment vertical="center" wrapText="1"/>
    </xf>
    <xf numFmtId="0" fontId="11" fillId="0" borderId="0" applyAlignment="1" pivotButton="0" quotePrefix="0" xfId="0">
      <alignment vertical="center" wrapText="1"/>
    </xf>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27.xml.rels><Relationships xmlns="http://schemas.openxmlformats.org/package/2006/relationships"><Relationship Type="http://schemas.openxmlformats.org/officeDocument/2006/relationships/table" Target="/xl/tables/table12.xml" Id="rId1"/></Relationships>
</file>

<file path=xl/worksheets/_rels/sheet28.xml.rels><Relationships xmlns="http://schemas.openxmlformats.org/package/2006/relationships"><Relationship Type="http://schemas.openxmlformats.org/officeDocument/2006/relationships/table" Target="/xl/tables/table13.xml" Id="rId1"/></Relationships>
</file>

<file path=xl/worksheets/_rels/sheet29.xml.rels><Relationships xmlns="http://schemas.openxmlformats.org/package/2006/relationships"><Relationship Type="http://schemas.openxmlformats.org/officeDocument/2006/relationships/table" Target="/xl/tables/table14.xml" Id="rId1"/></Relationships>
</file>

<file path=xl/worksheets/_rels/sheet30.xml.rels><Relationships xmlns="http://schemas.openxmlformats.org/package/2006/relationships"><Relationship Type="http://schemas.openxmlformats.org/officeDocument/2006/relationships/table" Target="/xl/tables/table15.xml" Id="rId1"/></Relationships>
</file>

<file path=xl/worksheets/_rels/sheet31.xml.rels><Relationships xmlns="http://schemas.openxmlformats.org/package/2006/relationships"><Relationship Type="http://schemas.openxmlformats.org/officeDocument/2006/relationships/table" Target="/xl/tables/table16.xml" Id="rId1"/></Relationships>
</file>

<file path=xl/worksheets/_rels/sheet32.xml.rels><Relationships xmlns="http://schemas.openxmlformats.org/package/2006/relationships"><Relationship Type="http://schemas.openxmlformats.org/officeDocument/2006/relationships/table" Target="/xl/tables/table17.xml" Id="rId1"/></Relationships>
</file>

<file path=xl/worksheets/_rels/sheet33.xml.rels><Relationships xmlns="http://schemas.openxmlformats.org/package/2006/relationships"><Relationship Type="http://schemas.openxmlformats.org/officeDocument/2006/relationships/table" Target="/xl/tables/table18.xml" Id="rId1"/></Relationships>
</file>

<file path=xl/worksheets/_rels/sheet34.xml.rels><Relationships xmlns="http://schemas.openxmlformats.org/package/2006/relationships"><Relationship Type="http://schemas.openxmlformats.org/officeDocument/2006/relationships/table" Target="/xl/tables/table19.xml" Id="rId1"/></Relationships>
</file>

<file path=xl/worksheets/_rels/sheet35.xml.rels><Relationships xmlns="http://schemas.openxmlformats.org/package/2006/relationships"><Relationship Type="http://schemas.openxmlformats.org/officeDocument/2006/relationships/table" Target="/xl/tables/table20.xml" Id="rId1"/></Relationships>
</file>

<file path=xl/worksheets/_rels/sheet36.xml.rels><Relationships xmlns="http://schemas.openxmlformats.org/package/2006/relationships"><Relationship Type="http://schemas.openxmlformats.org/officeDocument/2006/relationships/table" Target="/xl/tables/table21.xml" Id="rId1"/></Relationships>
</file>

<file path=xl/worksheets/_rels/sheet37.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0.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112"/>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0" t="inlineStr">
        <is>
          <t>v2.25 RECEPTION AXIS</t>
        </is>
      </c>
      <c r="C6" s="41" t="inlineStr">
        <is>
          <t>Use this workbook as the single app-facing data authority.</t>
        </is>
      </c>
    </row>
    <row r="7">
      <c r="A7" s="4" t="inlineStr">
        <is>
          <t>build_date</t>
        </is>
      </c>
      <c r="B7" s="40" t="inlineStr">
        <is>
          <t>2026-09-12</t>
        </is>
      </c>
      <c r="C7" s="41"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c r="A86" s="0" t="inlineStr">
        <is>
          <t>internal_stats_sheet</t>
        </is>
      </c>
      <c r="B86" s="0" t="inlineStr">
        <is>
          <t>Branch Study</t>
        </is>
      </c>
      <c r="C86" s="0" t="inlineStr">
        <is>
          <t>Author personal-study analytics. Pipeline may emit to data-sources/sjn/branches-internal.json (outside src/_data). Never templated.</t>
        </is>
      </c>
    </row>
    <row r="87" ht="15.75" customHeight="1" s="29">
      <c r="A87" s="0" t="inlineStr">
        <is>
          <t>internal_stats_public</t>
        </is>
      </c>
      <c r="B87" s="0" t="b">
        <v>0</v>
      </c>
      <c r="C87" s="0" t="inlineStr">
        <is>
          <t>BLOCKING: sjn-verify must assert that no per-branch count or percent string appears in production HTML.</t>
        </is>
      </c>
    </row>
    <row r="88" ht="15.75" customHeight="1" s="29">
      <c r="A88" s="0" t="inlineStr">
        <is>
          <t>branch_view_enabled</t>
        </is>
      </c>
      <c r="B88" s="0" t="b">
        <v>0</v>
      </c>
      <c r="C88" s="0" t="inlineStr">
        <is>
          <t>Gate 8 "My Tradition" single-branch view on M1. Stays False until author enables after eligibility rule is ratified.</t>
        </is>
      </c>
    </row>
    <row r="89" ht="15.75" customHeight="1" s="29">
      <c r="A89" s="0" t="inlineStr">
        <is>
          <t>branch_eligibility_min_released</t>
        </is>
      </c>
      <c r="B89" s="0" t="n">
        <v>30</v>
      </c>
      <c r="C89" s="0" t="inlineStr">
        <is>
          <t>DRAFT. Branch qualifies for the single-branch view when released cells &gt;= this value (Branch Study!B4 mirrors). Author decision pending.</t>
        </is>
      </c>
    </row>
    <row r="90" ht="15.75" customHeight="1" s="29">
      <c r="A90" s="0" t="inlineStr">
        <is>
          <t>branch_view_no_ranking</t>
        </is>
      </c>
      <c r="B90" s="0" t="b">
        <v>1</v>
      </c>
      <c r="C90" s="0" t="inlineStr">
        <is>
          <t>Tradition views render states and sources only; no totals, percentages, or side-by-side counts. Standing rule.</t>
        </is>
      </c>
    </row>
    <row r="91" ht="15.75" customHeight="1" s="29">
      <c r="A91" s="0" t="inlineStr">
        <is>
          <t>expansion_plan</t>
        </is>
      </c>
      <c r="B91" s="0" t="inlineStr">
        <is>
          <t>WoP_SJN_ExpansionPlan_Gates5-9_20260910.md</t>
        </is>
      </c>
      <c r="C91" s="0" t="inlineStr">
        <is>
          <t>Gates 5-9: Branch Source Registries -&gt; Evidence Recovery Agent Team -&gt; Author Cell Ratification (Decision Console) -&gt; My Tradition view -&gt; Compare / M7 decision.</t>
        </is>
      </c>
    </row>
    <row r="92" ht="15.75" customHeight="1" s="29">
      <c r="A92" s="42" t="inlineStr">
        <is>
          <t>branch_source_registry_sheet</t>
        </is>
      </c>
      <c r="B92" s="42" t="inlineStr">
        <is>
          <t>Branch Source Registry</t>
        </is>
      </c>
      <c r="C92" s="41" t="inlineStr">
        <is>
          <t>Gate 5. Author-ratified standards per branch; the only sources a cell may cite.</t>
        </is>
      </c>
    </row>
    <row r="93" ht="15.75" customHeight="1" s="29">
      <c r="A93" s="42" t="inlineStr">
        <is>
          <t>registry_only_enforcement</t>
        </is>
      </c>
      <c r="B93" s="42" t="b">
        <v>1</v>
      </c>
      <c r="C93" s="41" t="inlineStr">
        <is>
          <t>BLOCKING: sjn-verify rule R001 — a cell citation whose domain is not in its branch's AUTHOR_RATIFIED registry rows is an error.</t>
        </is>
      </c>
    </row>
    <row r="94" ht="15.75" customHeight="1" s="29">
      <c r="A94" s="42" t="inlineStr">
        <is>
          <t>registry_entries_ratified</t>
        </is>
      </c>
      <c r="B94" s="42" t="n">
        <v>42</v>
      </c>
      <c r="C94" s="41" t="inlineStr">
        <is>
          <t>Count of AUTHOR_RATIFIED registry rows (2 retired, 0 draft/held).</t>
        </is>
      </c>
    </row>
    <row r="95" ht="15.75" customHeight="1" s="29">
      <c r="A95" s="42" t="inlineStr">
        <is>
          <t>registry_breadth</t>
        </is>
      </c>
      <c r="B95" s="42" t="inlineStr">
        <is>
          <t>TWO_TIERS</t>
        </is>
      </c>
      <c r="C95" s="41" t="inlineStr">
        <is>
          <t>Author call. TWO_TIERS = binding confession(s) plus one catechetical or current official witness per branch.</t>
        </is>
      </c>
    </row>
    <row r="96" ht="15.75" customHeight="1" s="29">
      <c r="A96" s="42" t="inlineStr">
        <is>
          <t>decision_console_medium</t>
        </is>
      </c>
      <c r="B96" s="42" t="inlineStr">
        <is>
          <t>ARTIFACT_DB</t>
        </is>
      </c>
      <c r="C96" s="41" t="inlineStr">
        <is>
          <t>Author call. Where Gate 7 cell ratification happens and how decisions reach the merge script.</t>
        </is>
      </c>
    </row>
    <row r="97" ht="15.75" customHeight="1" s="29">
      <c r="A97" s="42" t="inlineStr">
        <is>
          <t>lineage_host_policy</t>
        </is>
      </c>
      <c r="B97" s="42" t="inlineStr">
        <is>
          <t>MIGRATE_WHERE_OFFICIAL</t>
        </is>
      </c>
      <c r="C97" s="41" t="inlineStr">
        <is>
          <t>Author call. Treatment of third-party hosts already cited by released cells.</t>
        </is>
      </c>
    </row>
    <row r="98" ht="15.75" customHeight="1" s="29">
      <c r="A98" s="42" t="inlineStr">
        <is>
          <t>fetch_mode_confirmation</t>
        </is>
      </c>
      <c r="B98" s="42" t="inlineStr">
        <is>
          <t>CONFIRM_AS_DRAFTED</t>
        </is>
      </c>
      <c r="C98" s="41" t="inlineStr">
        <is>
          <t>Author call. Fetch modes confirmed for the Gate 6 corpus builder.</t>
        </is>
      </c>
    </row>
    <row r="99" ht="15.75" customHeight="1" s="29">
      <c r="A99" s="42" t="inlineStr">
        <is>
          <t>registry_fallback_only_rows</t>
        </is>
      </c>
      <c r="B99" s="42" t="inlineStr">
        <is>
          <t>BSR-AN-05</t>
        </is>
      </c>
      <c r="C99" s="41" t="inlineStr">
        <is>
          <t>Author call. These registry rows are citable ONLY where no higher-tier row in the same branch yields a candidate for the predicate. The Gate 6 packet builder must prefer non-fallback candidates and admit a fallback row only on an empty result; a fallback citation never renders alongside or against a non-fallback witness for the same cell.</t>
        </is>
      </c>
    </row>
    <row r="100" ht="15.75" customHeight="1" s="29">
      <c r="A100" s="42" t="inlineStr">
        <is>
          <t>gate5_status</t>
        </is>
      </c>
      <c r="B100" s="42" t="inlineStr">
        <is>
          <t>AUTHOR RATIFIED 2026-09-12</t>
        </is>
      </c>
      <c r="C100" s="41" t="inlineStr">
        <is>
          <t>Branch Source Registries ratified in the Decision Console; Gate 6 may build the corpus from AUTHOR_RATIFIED rows only.</t>
        </is>
      </c>
    </row>
    <row r="101" ht="15.75" customHeight="1" s="29">
      <c r="A101" s="42" t="inlineStr">
        <is>
          <t>gate6_threshold_metric</t>
        </is>
      </c>
      <c r="B101" s="42" t="inlineStr">
        <is>
          <t>SAME_STANDARD</t>
        </is>
      </c>
      <c r="C101" s="41" t="inlineStr">
        <is>
          <t>Author call. The recall metric the Gate 6 gate is scored on. SAME_STANDARD = a hit requires a verified candidate in the same registry standard the cell cites. Tier-respecting recall is REPORTED as a diagnostic and is never a threshold. Do not move the 0.8 floor or the 0.05 false-accept ceiling.</t>
        </is>
      </c>
    </row>
    <row r="102" ht="15.75" customHeight="1" s="29">
      <c r="A102" s="42" t="inlineStr">
        <is>
          <t>lateran_iv_scope</t>
        </is>
      </c>
      <c r="B102" s="42" t="inlineStr">
        <is>
          <t>EXTEND_TO_CONSTITUTION_2</t>
        </is>
      </c>
      <c r="C102" s="41" t="inlineStr">
        <is>
          <t>Author call. EXTEND_TO_CONSTITUTION_2 widens BSR-RC-04 from canon 1 to constitutions 1-2, so the maior dissimilitudo clause of Damnamus ergo is in ratified scope and Q-449 is locatable.</t>
        </is>
      </c>
    </row>
    <row r="103" ht="15.75" customHeight="1" s="29">
      <c r="A103" s="42" t="inlineStr">
        <is>
          <t>creed_tier_resolution</t>
        </is>
      </c>
      <c r="B103" s="42" t="inlineStr">
        <is>
          <t>TIER_PER_CITED_DOCUMENT</t>
        </is>
      </c>
      <c r="C103" s="41" t="inlineStr">
        <is>
          <t>Author call. TIER_PER_CITED_DOCUMENT = a bundled registry row carries a floor tier, and a cell citing a document of higher provenance within that row resolves at the document's tier. Applies to BSR-RC-06 (Apostles' floor; Nicene and Athanasian CONCILIAR). BSR-EO-01 is the Creed alone and is re-tiered CONCILIAR outright.</t>
        </is>
      </c>
    </row>
    <row r="104" ht="15.75" customHeight="1" s="29">
      <c r="A104" s="42" t="inlineStr">
        <is>
          <t>verifier_routing</t>
        </is>
      </c>
      <c r="B104" s="42" t="inlineStr">
        <is>
          <t>SONNET_WITH_OPUS_SLICE</t>
        </is>
      </c>
      <c r="C104" s="41" t="inlineStr">
        <is>
          <t>Author call. SONNET_WITH_OPUS_SLICE = sonnet is the primary verifier; opus adjudicates the hard slice only - every candidate on BSR-EO-04 or BSR-EO-05, every candidate on a fallback-only row, and every cell sonnet rejects outright, before that cell is recorded as an honest empty.</t>
        </is>
      </c>
    </row>
    <row r="105" ht="15.75" customHeight="1" s="29">
      <c r="A105" s="42" t="inlineStr">
        <is>
          <t>authority_tier_rank</t>
        </is>
      </c>
      <c r="B105" s="42" t="inlineStr">
        <is>
          <t>CONCILIAR|CONFESSIONAL|CATECHETICAL|OFFICIAL_EXPOSITION|CURRENT_OFFICIAL_WITNESS</t>
        </is>
      </c>
      <c r="C105" s="41" t="inlineStr">
        <is>
          <t>Ratified 2026-09-11 in the Gate 7 corrections sitting.</t>
        </is>
      </c>
    </row>
    <row r="106" ht="15.75" customHeight="1" s="29">
      <c r="A106" s="42" t="inlineStr">
        <is>
          <t>gate7_status</t>
        </is>
      </c>
      <c r="B106" s="42" t="inlineStr">
        <is>
          <t>REGISTRY CORRECTIONS RATIFIED 2026-09-11</t>
        </is>
      </c>
      <c r="C106" s="41" t="inlineStr">
        <is>
          <t>Gate 7 registry corrections ratified in the Decision Console.</t>
        </is>
      </c>
    </row>
    <row r="107" ht="15.75" customHeight="1" s="29">
      <c r="A107" s="42" t="inlineStr">
        <is>
          <t>reception_axis</t>
        </is>
      </c>
      <c r="B107" s="42" t="inlineStr">
        <is>
          <t>ADOPT_BOTH</t>
        </is>
      </c>
      <c r="C107" s="41" t="inlineStr">
        <is>
          <t>Author call G7B-01. ADOPT_BOTH = the registry carries reception_scope on every row and reception_note where reception is contested. reception_scope answers WHO receives a standard; authority_tier answers WHAT KIND of document it is. The two are independent and disagree on seven rows.</t>
        </is>
      </c>
    </row>
    <row r="108" ht="15.75" customHeight="1" s="29">
      <c r="A108" s="42" t="inlineStr">
        <is>
          <t>reception_mapping</t>
        </is>
      </c>
      <c r="B108" s="42" t="inlineStr">
        <is>
          <t>APPROVE_DERIVED</t>
        </is>
      </c>
      <c r="C108" s="41" t="inlineStr">
        <is>
          <t>Author call G7B-02. APPROVE_DERIVED = reception_scope values derived mechanically from the ratified speaks_for field, with BSR-MA-03 hand-corrected to HISTORIC_NO_CURRENT_BODY.</t>
        </is>
      </c>
    </row>
    <row r="109" ht="15.75" customHeight="1" s="29">
      <c r="A109" s="42" t="inlineStr">
        <is>
          <t>encyclical_1848_status</t>
        </is>
      </c>
      <c r="B109" s="42" t="inlineStr">
        <is>
          <t>RECORD_STANDING_ONLY</t>
        </is>
      </c>
      <c r="C109" s="41" t="inlineStr">
        <is>
          <t>Author call AC-13. RECORD_STANDING_ONLY = the 1848 Encyclical of the Eastern Patriarchs is NOT a citable registry row: its text is on no official Orthodox host and every English version descends from one anonymous 19th-century translation. Its standing is attested by oca.org; the print critical edition is Karmiris, Ta Dogmatika kai Symvolika Mnimeia II (Athens 1953), 916. No cell may cite it.</t>
        </is>
      </c>
    </row>
    <row r="110" ht="15.75" customHeight="1" s="29">
      <c r="A110" s="42" t="inlineStr">
        <is>
          <t>dialogue_text_policy</t>
        </is>
      </c>
      <c r="B110" s="42" t="inlineStr">
        <is>
          <t>DIALOGUE_ONLY_NEVER_CITED</t>
        </is>
      </c>
      <c r="C110" s="41" t="inlineStr">
        <is>
          <t>Author call AC-14. DIALOGUE_ONLY_NEVER_CITED = a text its own publisher disclaims as not an official position may be registered for provenance but is refused by R001 as a cell citation. Applies across all eight branches. The publisher's disclaimer is copied verbatim into the row note, because it does not always appear on the document's own page.</t>
        </is>
      </c>
    </row>
    <row r="111" ht="15.75" customHeight="1" s="29">
      <c r="A111" s="42" t="inlineStr">
        <is>
          <t>reception_scope_vocabulary</t>
        </is>
      </c>
      <c r="B111" s="42" t="inlineStr">
        <is>
          <t>UNIVERSAL|MULTILATERAL|PARTICIPATING_BODIES|JURISDICTIONAL|HISTORIC_NO_CURRENT_BODY|CONTESTED|TRANSLATION_WITNESS|DIALOGUE_ONLY</t>
        </is>
      </c>
      <c r="C111" s="41" t="inlineStr">
        <is>
          <t>Gate 7 registry corrections ratified in the Decision Console.</t>
        </is>
      </c>
    </row>
    <row r="112" ht="15.75" customHeight="1" s="29">
      <c r="A112" s="42" t="inlineStr">
        <is>
          <t>gate7b_status</t>
        </is>
      </c>
      <c r="B112" s="42" t="inlineStr">
        <is>
          <t>RECEPTION AXIS RATIFIED 2026-09-12</t>
        </is>
      </c>
      <c r="C112" s="41" t="inlineStr">
        <is>
          <t>Gate 7 registry corrections ratified in the Decision Console.</t>
        </is>
      </c>
    </row>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c r="A47" s="0" t="inlineStr">
        <is>
          <t>Author read-through ratification</t>
        </is>
      </c>
      <c r="B47" s="0" t="inlineStr">
        <is>
          <t>v2.19 / 2026-09-09</t>
        </is>
      </c>
      <c r="C47" s="0" t="inlineStr">
        <is>
          <t>n/a</t>
        </is>
      </c>
      <c r="D47" s="0" t="inlineStr">
        <is>
          <t>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is>
      </c>
      <c r="E47" s="0" t="inlineStr">
        <is>
          <t>AUTHOR RATIFIED — ready for live pipeline rerun</t>
        </is>
      </c>
    </row>
    <row r="48" ht="15.75" customHeight="1" s="29">
      <c r="A48" s="0" t="inlineStr">
        <is>
          <t>Version-key correction + boolean-literal repair</t>
        </is>
      </c>
      <c r="B48" s="0" t="inlineStr">
        <is>
          <t>v2.20 / 2026-09-09</t>
        </is>
      </c>
      <c r="C48" s="0" t="inlineStr">
        <is>
          <t>n/a</t>
        </is>
      </c>
      <c r="D48" s="0" t="inlineStr">
        <is>
          <t>APP CONFIG app_master_version bumped v2.18 CODE RECONCILED -&gt; v2.20 AUTHOR RATIFIED (v2.19 carried the stale key, so the site colophon reported v2.18). All 491 boolean literal cells restored to real booleans: LibreOffice recalculation rewrote them as =TRUE()/=FALSE() formulas in v2.19, which broke P013 retired-witness detection and left the P016 gate open on Code's first run. Content is otherwise identical to v2.19; no doctrinal, copy, or count changes.</t>
        </is>
      </c>
      <c r="E48" s="0" t="inlineStr">
        <is>
          <t>AUTHOR RATIFIED — supersedes v2.19</t>
        </is>
      </c>
    </row>
    <row r="49" ht="15.75" customHeight="1" s="29">
      <c r="A49" s="0" t="inlineStr">
        <is>
          <t>Branch Study internal analytics</t>
        </is>
      </c>
      <c r="B49" s="0" t="inlineStr">
        <is>
          <t>v2.21 / 2026-09-10</t>
        </is>
      </c>
      <c r="C49" s="0" t="inlineStr">
        <is>
          <t>n/a</t>
        </is>
      </c>
      <c r="D49" s="0" t="inlineStr">
        <is>
          <t>Adds internal Branch Study sheet (per-branch coverage and agreement-among-located percentages on two denominators, not-located split, eligibility flag, per-predicate grid); APP CONFIG internal_stats_*, branch_view_*, expansion_plan keys; app_master_version bumped. No doctrinal, copy, count, or gate-value changes. Supersedes v2.20.</t>
        </is>
      </c>
      <c r="E49" s="0" t="inlineStr">
        <is>
          <t>AUTHOR RATIFIED — supersedes v2.20</t>
        </is>
      </c>
    </row>
    <row r="50" ht="15.75" customHeight="1" s="29">
      <c r="A50" s="41" t="inlineStr">
        <is>
          <t>Branch Source Registries ratified</t>
        </is>
      </c>
      <c r="B50" s="42" t="inlineStr">
        <is>
          <t>v2.22 / 2026-09-10</t>
        </is>
      </c>
      <c r="C50" s="42" t="inlineStr">
        <is>
          <t>n/a</t>
        </is>
      </c>
      <c r="D50" s="41" t="inlineStr">
        <is>
          <t>Adds Branch Source Registry (38 ratified, 0 retired, 0 draft) and the registry-only enforcement key; author decisions recorded card by card in the Decision Console.</t>
        </is>
      </c>
      <c r="E50" s="41" t="inlineStr">
        <is>
          <t>AUTHOR RATIFIED — supersedes the prior version</t>
        </is>
      </c>
    </row>
    <row r="51" ht="15.75" customHeight="1" s="29">
      <c r="A51" s="41" t="inlineStr">
        <is>
          <t>Branch Source Registry corrections</t>
        </is>
      </c>
      <c r="B51" s="42" t="inlineStr">
        <is>
          <t>v2.23 / 2026-09-10</t>
        </is>
      </c>
      <c r="C51" s="42" t="inlineStr">
        <is>
          <t>n/a</t>
        </is>
      </c>
      <c r="D51" s="41" t="inlineStr">
        <is>
          <t>Rebuilds Branch Source Registry from corrected console decisions (36 ratified, 2 retired, 0 draft). Registry rows only; no other sheet changed.</t>
        </is>
      </c>
      <c r="E51" s="41" t="inlineStr">
        <is>
          <t>AUTHOR RATIFIED — supersedes the prior version</t>
        </is>
      </c>
    </row>
    <row r="52" ht="15.75" customHeight="1" s="29">
      <c r="A52" s="41" t="inlineStr">
        <is>
          <t>Branch Source Registry corrections</t>
        </is>
      </c>
      <c r="B52" s="42" t="inlineStr">
        <is>
          <t>v2.24 / 2026-09-12</t>
        </is>
      </c>
      <c r="C52" s="42" t="inlineStr">
        <is>
          <t>n/a</t>
        </is>
      </c>
      <c r="D52" s="41" t="inlineStr">
        <is>
          <t>Rebuilds Branch Source Registry from corrected console decisions (36 ratified, 2 retired, 0 draft). Registry rows only; no other sheet changed.</t>
        </is>
      </c>
      <c r="E52" s="41" t="inlineStr">
        <is>
          <t>AUTHOR RATIFIED — supersedes the prior version</t>
        </is>
      </c>
    </row>
    <row r="53" ht="15.75" customHeight="1" s="29">
      <c r="A53" s="41" t="inlineStr">
        <is>
          <t>Branch Source Registry corrections</t>
        </is>
      </c>
      <c r="B53" s="42" t="inlineStr">
        <is>
          <t>v2.25 / 2026-09-12</t>
        </is>
      </c>
      <c r="C53" s="42" t="inlineStr">
        <is>
          <t>n/a</t>
        </is>
      </c>
      <c r="D53" s="41" t="inlineStr">
        <is>
          <t>Rebuilds Branch Source Registry from corrected console decisions (42 ratified, 2 retired, 0 draft). Registry rows only; no other sheet changed.</t>
        </is>
      </c>
      <c r="E53" s="41" t="inlineStr">
        <is>
          <t>AUTHOR RATIFIED — supersedes the prior version</t>
        </is>
      </c>
    </row>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8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26"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 width="16" customWidth="1" style="29" min="9" max="9"/>
    <col width="16" customWidth="1" style="29" min="10" max="10"/>
    <col width="16" customWidth="1" style="29" min="11" max="11"/>
    <col width="16" customWidth="1" style="29" min="12" max="12"/>
    <col width="16" customWidth="1" style="29" min="13" max="13"/>
    <col width="16" customWidth="1" style="29" min="14" max="14"/>
    <col width="16" customWidth="1" style="29" min="15" max="15"/>
    <col width="16" customWidth="1" style="29" min="16" max="16"/>
    <col width="16" customWidth="1" style="29" min="17" max="17"/>
    <col width="16" customWidth="1" style="29" min="18" max="18"/>
  </cols>
  <sheetData>
    <row r="1">
      <c r="A1" s="30" t="inlineStr">
        <is>
          <t>Branch Study — INTERNAL personal-study analytics (never emitted to the site)</t>
        </is>
      </c>
    </row>
    <row r="2" ht="58" customHeight="1" s="29">
      <c r="A2" s="31" t="inlineStr">
        <is>
          <t>Rule: this sheet exists for the author's private study only. APP CONFIG internal_stats_public = False. The pipeline may write it to data-sources/sjn/branches-internal.json (outside src/_data) and must never template it; sjn-verify asserts that no per-branch count or percent string appears in production HTML. Read every figure as either COVERAGE (how much evidence has been located) or AGREEMENT AMONG LOCATED CELLS — never as a measure of the tradition.</t>
        </is>
      </c>
    </row>
    <row r="4">
      <c r="A4" s="32" t="inlineStr">
        <is>
          <t>branch_eligibility_min_released</t>
        </is>
      </c>
      <c r="B4" s="33" t="n">
        <v>30</v>
      </c>
      <c r="C4" s="0" t="inlineStr">
        <is>
          <t>DRAFT threshold for the "My Tradition" view (Gate 8). Author decision pending in the Decision Console; mirrored in APP CONFIG.</t>
        </is>
      </c>
    </row>
    <row r="6" ht="60" customHeight="1" s="29">
      <c r="A6" s="34" t="inlineStr">
        <is>
          <t>Teaching branch</t>
        </is>
      </c>
      <c r="B6" s="34" t="inlineStr">
        <is>
          <t>Released (A + A-SF + Q + D)</t>
        </is>
      </c>
      <c r="C6" s="34" t="inlineStr">
        <is>
          <t>A (incl. A-SF)</t>
        </is>
      </c>
      <c r="D6" s="34" t="inlineStr">
        <is>
          <t>Q</t>
        </is>
      </c>
      <c r="E6" s="34" t="inlineStr">
        <is>
          <t>D</t>
        </is>
      </c>
      <c r="F6" s="34" t="inlineStr">
        <is>
          <t>Coverage: released ÷ 57</t>
        </is>
      </c>
      <c r="G6" s="34" t="inlineStr">
        <is>
          <t>Coverage: A ÷ 57</t>
        </is>
      </c>
      <c r="H6" s="34" t="inlineStr">
        <is>
          <t>Coverage: Q ÷ 57</t>
        </is>
      </c>
      <c r="I6" s="34" t="inlineStr">
        <is>
          <t>Coverage: D ÷ 57</t>
        </is>
      </c>
      <c r="J6" s="34" t="inlineStr">
        <is>
          <t>Agreement among located: A ÷ released</t>
        </is>
      </c>
      <c r="K6" s="34" t="inlineStr">
        <is>
          <t>Agreement among located: Q ÷ released</t>
        </is>
      </c>
      <c r="L6" s="34" t="inlineStr">
        <is>
          <t>Agreement among located: D ÷ released</t>
        </is>
      </c>
      <c r="M6" s="34" t="inlineStr">
        <is>
          <t>Shared floor among located: (A + Q) ÷ released</t>
        </is>
      </c>
      <c r="N6" s="34" t="inlineStr">
        <is>
          <t>Not located — not yet recovered</t>
        </is>
      </c>
      <c r="O6" s="34" t="inlineStr">
        <is>
          <t>Not located — standard reviewed</t>
        </is>
      </c>
      <c r="P6" s="34" t="inlineStr">
        <is>
          <t>Not located — current source / no public evidence</t>
        </is>
      </c>
      <c r="Q6" s="34" t="inlineStr">
        <is>
          <t>Pending / vector / hold / out of scope</t>
        </is>
      </c>
      <c r="R6" s="34" t="inlineStr">
        <is>
          <t>Eligible for My Tradition view</t>
        </is>
      </c>
    </row>
    <row r="7">
      <c r="A7" s="35" t="inlineStr">
        <is>
          <t>Roman Catholic</t>
        </is>
      </c>
      <c r="B7" s="36">
        <f>C7+D7+E7</f>
        <v/>
      </c>
      <c r="C7" s="36">
        <f>(COUNTIFS('Evidence-First Cell Queue'!$E$6:$E$461,$A7,'Evidence-First Cell Queue'!$X$6:$X$461,"A")+COUNTIFS('Evidence-First Cell Queue'!$E$6:$E$461,$A7,'Evidence-First Cell Queue'!$X$6:$X$461,"A-SF"))</f>
        <v/>
      </c>
      <c r="D7" s="36">
        <f>COUNTIFS('Evidence-First Cell Queue'!$E$6:$E$461,$A7,'Evidence-First Cell Queue'!$X$6:$X$461,"Q")</f>
        <v/>
      </c>
      <c r="E7" s="36">
        <f>COUNTIFS('Evidence-First Cell Queue'!$E$6:$E$461,$A7,'Evidence-First Cell Queue'!$X$6:$X$461,"D")</f>
        <v/>
      </c>
      <c r="F7" s="37">
        <f>B7/57</f>
        <v/>
      </c>
      <c r="G7" s="37">
        <f>C7/57</f>
        <v/>
      </c>
      <c r="H7" s="37">
        <f>D7/57</f>
        <v/>
      </c>
      <c r="I7" s="37">
        <f>E7/57</f>
        <v/>
      </c>
      <c r="J7" s="37">
        <f>IF(B7=0,"",C7/B7)</f>
        <v/>
      </c>
      <c r="K7" s="37">
        <f>IF(B7=0,"",D7/B7)</f>
        <v/>
      </c>
      <c r="L7" s="37">
        <f>IF(B7=0,"",E7/B7)</f>
        <v/>
      </c>
      <c r="M7" s="37">
        <f>IF(B7=0,"",(C7+D7)/B7)</f>
        <v/>
      </c>
      <c r="N7" s="36">
        <f>COUNTIFS('Evidence-First Cell Queue'!$E$6:$E$461,$A7,'Evidence-First Cell Queue'!$X$6:$X$461,"NOT LOCATED — NOT YET RECOVERED")</f>
        <v/>
      </c>
      <c r="O7" s="36">
        <f>COUNTIFS('Evidence-First Cell Queue'!$E$6:$E$461,$A7,'Evidence-First Cell Queue'!$X$6:$X$461,"NOT LOCATED — CURRENT STANDARD REVIEWED")</f>
        <v/>
      </c>
      <c r="P7" s="36">
        <f>COUNTIFS('Evidence-First Cell Queue'!$E$6:$E$461,$A7,'Evidence-First Cell Queue'!$X$6:$X$461,"NOT LOCATED — CURRENT SOURCE")+COUNTIFS('Evidence-First Cell Queue'!$E$6:$E$461,$A7,'Evidence-First Cell Queue'!$X$6:$X$461,"NOT LOCATED — NO PUBLIC EVIDENCE")</f>
        <v/>
      </c>
      <c r="Q7" s="36">
        <f>COUNTIF('Evidence-First Cell Queue'!$E$6:$E$461,$A7)-B7-N7-O7-P7</f>
        <v/>
      </c>
      <c r="R7" s="36">
        <f>IF(B7&gt;=$B$4,"ELIGIBLE","IN PROGRESS")</f>
        <v/>
      </c>
    </row>
    <row r="8">
      <c r="A8" s="35" t="inlineStr">
        <is>
          <t>Eastern Orthodox</t>
        </is>
      </c>
      <c r="B8" s="36">
        <f>C8+D8+E8</f>
        <v/>
      </c>
      <c r="C8" s="36">
        <f>(COUNTIFS('Evidence-First Cell Queue'!$E$6:$E$461,$A8,'Evidence-First Cell Queue'!$X$6:$X$461,"A")+COUNTIFS('Evidence-First Cell Queue'!$E$6:$E$461,$A8,'Evidence-First Cell Queue'!$X$6:$X$461,"A-SF"))</f>
        <v/>
      </c>
      <c r="D8" s="36">
        <f>COUNTIFS('Evidence-First Cell Queue'!$E$6:$E$461,$A8,'Evidence-First Cell Queue'!$X$6:$X$461,"Q")</f>
        <v/>
      </c>
      <c r="E8" s="36">
        <f>COUNTIFS('Evidence-First Cell Queue'!$E$6:$E$461,$A8,'Evidence-First Cell Queue'!$X$6:$X$461,"D")</f>
        <v/>
      </c>
      <c r="F8" s="37">
        <f>B8/57</f>
        <v/>
      </c>
      <c r="G8" s="37">
        <f>C8/57</f>
        <v/>
      </c>
      <c r="H8" s="37">
        <f>D8/57</f>
        <v/>
      </c>
      <c r="I8" s="37">
        <f>E8/57</f>
        <v/>
      </c>
      <c r="J8" s="37">
        <f>IF(B8=0,"",C8/B8)</f>
        <v/>
      </c>
      <c r="K8" s="37">
        <f>IF(B8=0,"",D8/B8)</f>
        <v/>
      </c>
      <c r="L8" s="37">
        <f>IF(B8=0,"",E8/B8)</f>
        <v/>
      </c>
      <c r="M8" s="37">
        <f>IF(B8=0,"",(C8+D8)/B8)</f>
        <v/>
      </c>
      <c r="N8" s="36">
        <f>COUNTIFS('Evidence-First Cell Queue'!$E$6:$E$461,$A8,'Evidence-First Cell Queue'!$X$6:$X$461,"NOT LOCATED — NOT YET RECOVERED")</f>
        <v/>
      </c>
      <c r="O8" s="36">
        <f>COUNTIFS('Evidence-First Cell Queue'!$E$6:$E$461,$A8,'Evidence-First Cell Queue'!$X$6:$X$461,"NOT LOCATED — CURRENT STANDARD REVIEWED")</f>
        <v/>
      </c>
      <c r="P8" s="36">
        <f>COUNTIFS('Evidence-First Cell Queue'!$E$6:$E$461,$A8,'Evidence-First Cell Queue'!$X$6:$X$461,"NOT LOCATED — CURRENT SOURCE")+COUNTIFS('Evidence-First Cell Queue'!$E$6:$E$461,$A8,'Evidence-First Cell Queue'!$X$6:$X$461,"NOT LOCATED — NO PUBLIC EVIDENCE")</f>
        <v/>
      </c>
      <c r="Q8" s="36">
        <f>COUNTIF('Evidence-First Cell Queue'!$E$6:$E$461,$A8)-B8-N8-O8-P8</f>
        <v/>
      </c>
      <c r="R8" s="36">
        <f>IF(B8&gt;=$B$4,"ELIGIBLE","IN PROGRESS")</f>
        <v/>
      </c>
    </row>
    <row r="9">
      <c r="A9" s="35" t="inlineStr">
        <is>
          <t>Lutheran</t>
        </is>
      </c>
      <c r="B9" s="36">
        <f>C9+D9+E9</f>
        <v/>
      </c>
      <c r="C9" s="36">
        <f>(COUNTIFS('Evidence-First Cell Queue'!$E$6:$E$461,$A9,'Evidence-First Cell Queue'!$X$6:$X$461,"A")+COUNTIFS('Evidence-First Cell Queue'!$E$6:$E$461,$A9,'Evidence-First Cell Queue'!$X$6:$X$461,"A-SF"))</f>
        <v/>
      </c>
      <c r="D9" s="36">
        <f>COUNTIFS('Evidence-First Cell Queue'!$E$6:$E$461,$A9,'Evidence-First Cell Queue'!$X$6:$X$461,"Q")</f>
        <v/>
      </c>
      <c r="E9" s="36">
        <f>COUNTIFS('Evidence-First Cell Queue'!$E$6:$E$461,$A9,'Evidence-First Cell Queue'!$X$6:$X$461,"D")</f>
        <v/>
      </c>
      <c r="F9" s="37">
        <f>B9/57</f>
        <v/>
      </c>
      <c r="G9" s="37">
        <f>C9/57</f>
        <v/>
      </c>
      <c r="H9" s="37">
        <f>D9/57</f>
        <v/>
      </c>
      <c r="I9" s="37">
        <f>E9/57</f>
        <v/>
      </c>
      <c r="J9" s="37">
        <f>IF(B9=0,"",C9/B9)</f>
        <v/>
      </c>
      <c r="K9" s="37">
        <f>IF(B9=0,"",D9/B9)</f>
        <v/>
      </c>
      <c r="L9" s="37">
        <f>IF(B9=0,"",E9/B9)</f>
        <v/>
      </c>
      <c r="M9" s="37">
        <f>IF(B9=0,"",(C9+D9)/B9)</f>
        <v/>
      </c>
      <c r="N9" s="36">
        <f>COUNTIFS('Evidence-First Cell Queue'!$E$6:$E$461,$A9,'Evidence-First Cell Queue'!$X$6:$X$461,"NOT LOCATED — NOT YET RECOVERED")</f>
        <v/>
      </c>
      <c r="O9" s="36">
        <f>COUNTIFS('Evidence-First Cell Queue'!$E$6:$E$461,$A9,'Evidence-First Cell Queue'!$X$6:$X$461,"NOT LOCATED — CURRENT STANDARD REVIEWED")</f>
        <v/>
      </c>
      <c r="P9" s="36">
        <f>COUNTIFS('Evidence-First Cell Queue'!$E$6:$E$461,$A9,'Evidence-First Cell Queue'!$X$6:$X$461,"NOT LOCATED — CURRENT SOURCE")+COUNTIFS('Evidence-First Cell Queue'!$E$6:$E$461,$A9,'Evidence-First Cell Queue'!$X$6:$X$461,"NOT LOCATED — NO PUBLIC EVIDENCE")</f>
        <v/>
      </c>
      <c r="Q9" s="36">
        <f>COUNTIF('Evidence-First Cell Queue'!$E$6:$E$461,$A9)-B9-N9-O9-P9</f>
        <v/>
      </c>
      <c r="R9" s="36">
        <f>IF(B9&gt;=$B$4,"ELIGIBLE","IN PROGRESS")</f>
        <v/>
      </c>
    </row>
    <row r="10">
      <c r="A10" s="35" t="inlineStr">
        <is>
          <t>Reformed / Presbyterian</t>
        </is>
      </c>
      <c r="B10" s="36">
        <f>C10+D10+E10</f>
        <v/>
      </c>
      <c r="C10" s="36">
        <f>(COUNTIFS('Evidence-First Cell Queue'!$E$6:$E$461,$A10,'Evidence-First Cell Queue'!$X$6:$X$461,"A")+COUNTIFS('Evidence-First Cell Queue'!$E$6:$E$461,$A10,'Evidence-First Cell Queue'!$X$6:$X$461,"A-SF"))</f>
        <v/>
      </c>
      <c r="D10" s="36">
        <f>COUNTIFS('Evidence-First Cell Queue'!$E$6:$E$461,$A10,'Evidence-First Cell Queue'!$X$6:$X$461,"Q")</f>
        <v/>
      </c>
      <c r="E10" s="36">
        <f>COUNTIFS('Evidence-First Cell Queue'!$E$6:$E$461,$A10,'Evidence-First Cell Queue'!$X$6:$X$461,"D")</f>
        <v/>
      </c>
      <c r="F10" s="37">
        <f>B10/57</f>
        <v/>
      </c>
      <c r="G10" s="37">
        <f>C10/57</f>
        <v/>
      </c>
      <c r="H10" s="37">
        <f>D10/57</f>
        <v/>
      </c>
      <c r="I10" s="37">
        <f>E10/57</f>
        <v/>
      </c>
      <c r="J10" s="37">
        <f>IF(B10=0,"",C10/B10)</f>
        <v/>
      </c>
      <c r="K10" s="37">
        <f>IF(B10=0,"",D10/B10)</f>
        <v/>
      </c>
      <c r="L10" s="37">
        <f>IF(B10=0,"",E10/B10)</f>
        <v/>
      </c>
      <c r="M10" s="37">
        <f>IF(B10=0,"",(C10+D10)/B10)</f>
        <v/>
      </c>
      <c r="N10" s="36">
        <f>COUNTIFS('Evidence-First Cell Queue'!$E$6:$E$461,$A10,'Evidence-First Cell Queue'!$X$6:$X$461,"NOT LOCATED — NOT YET RECOVERED")</f>
        <v/>
      </c>
      <c r="O10" s="36">
        <f>COUNTIFS('Evidence-First Cell Queue'!$E$6:$E$461,$A10,'Evidence-First Cell Queue'!$X$6:$X$461,"NOT LOCATED — CURRENT STANDARD REVIEWED")</f>
        <v/>
      </c>
      <c r="P10" s="36">
        <f>COUNTIFS('Evidence-First Cell Queue'!$E$6:$E$461,$A10,'Evidence-First Cell Queue'!$X$6:$X$461,"NOT LOCATED — CURRENT SOURCE")+COUNTIFS('Evidence-First Cell Queue'!$E$6:$E$461,$A10,'Evidence-First Cell Queue'!$X$6:$X$461,"NOT LOCATED — NO PUBLIC EVIDENCE")</f>
        <v/>
      </c>
      <c r="Q10" s="36">
        <f>COUNTIF('Evidence-First Cell Queue'!$E$6:$E$461,$A10)-B10-N10-O10-P10</f>
        <v/>
      </c>
      <c r="R10" s="36">
        <f>IF(B10&gt;=$B$4,"ELIGIBLE","IN PROGRESS")</f>
        <v/>
      </c>
    </row>
    <row r="11">
      <c r="A11" s="35" t="inlineStr">
        <is>
          <t>Anglican</t>
        </is>
      </c>
      <c r="B11" s="36">
        <f>C11+D11+E11</f>
        <v/>
      </c>
      <c r="C11" s="36">
        <f>(COUNTIFS('Evidence-First Cell Queue'!$E$6:$E$461,$A11,'Evidence-First Cell Queue'!$X$6:$X$461,"A")+COUNTIFS('Evidence-First Cell Queue'!$E$6:$E$461,$A11,'Evidence-First Cell Queue'!$X$6:$X$461,"A-SF"))</f>
        <v/>
      </c>
      <c r="D11" s="36">
        <f>COUNTIFS('Evidence-First Cell Queue'!$E$6:$E$461,$A11,'Evidence-First Cell Queue'!$X$6:$X$461,"Q")</f>
        <v/>
      </c>
      <c r="E11" s="36">
        <f>COUNTIFS('Evidence-First Cell Queue'!$E$6:$E$461,$A11,'Evidence-First Cell Queue'!$X$6:$X$461,"D")</f>
        <v/>
      </c>
      <c r="F11" s="37">
        <f>B11/57</f>
        <v/>
      </c>
      <c r="G11" s="37">
        <f>C11/57</f>
        <v/>
      </c>
      <c r="H11" s="37">
        <f>D11/57</f>
        <v/>
      </c>
      <c r="I11" s="37">
        <f>E11/57</f>
        <v/>
      </c>
      <c r="J11" s="37">
        <f>IF(B11=0,"",C11/B11)</f>
        <v/>
      </c>
      <c r="K11" s="37">
        <f>IF(B11=0,"",D11/B11)</f>
        <v/>
      </c>
      <c r="L11" s="37">
        <f>IF(B11=0,"",E11/B11)</f>
        <v/>
      </c>
      <c r="M11" s="37">
        <f>IF(B11=0,"",(C11+D11)/B11)</f>
        <v/>
      </c>
      <c r="N11" s="36">
        <f>COUNTIFS('Evidence-First Cell Queue'!$E$6:$E$461,$A11,'Evidence-First Cell Queue'!$X$6:$X$461,"NOT LOCATED — NOT YET RECOVERED")</f>
        <v/>
      </c>
      <c r="O11" s="36">
        <f>COUNTIFS('Evidence-First Cell Queue'!$E$6:$E$461,$A11,'Evidence-First Cell Queue'!$X$6:$X$461,"NOT LOCATED — CURRENT STANDARD REVIEWED")</f>
        <v/>
      </c>
      <c r="P11" s="36">
        <f>COUNTIFS('Evidence-First Cell Queue'!$E$6:$E$461,$A11,'Evidence-First Cell Queue'!$X$6:$X$461,"NOT LOCATED — CURRENT SOURCE")+COUNTIFS('Evidence-First Cell Queue'!$E$6:$E$461,$A11,'Evidence-First Cell Queue'!$X$6:$X$461,"NOT LOCATED — NO PUBLIC EVIDENCE")</f>
        <v/>
      </c>
      <c r="Q11" s="36">
        <f>COUNTIF('Evidence-First Cell Queue'!$E$6:$E$461,$A11)-B11-N11-O11-P11</f>
        <v/>
      </c>
      <c r="R11" s="36">
        <f>IF(B11&gt;=$B$4,"ELIGIBLE","IN PROGRESS")</f>
        <v/>
      </c>
    </row>
    <row r="12">
      <c r="A12" s="35" t="inlineStr">
        <is>
          <t>Baptist</t>
        </is>
      </c>
      <c r="B12" s="36">
        <f>C12+D12+E12</f>
        <v/>
      </c>
      <c r="C12" s="36">
        <f>(COUNTIFS('Evidence-First Cell Queue'!$E$6:$E$461,$A12,'Evidence-First Cell Queue'!$X$6:$X$461,"A")+COUNTIFS('Evidence-First Cell Queue'!$E$6:$E$461,$A12,'Evidence-First Cell Queue'!$X$6:$X$461,"A-SF"))</f>
        <v/>
      </c>
      <c r="D12" s="36">
        <f>COUNTIFS('Evidence-First Cell Queue'!$E$6:$E$461,$A12,'Evidence-First Cell Queue'!$X$6:$X$461,"Q")</f>
        <v/>
      </c>
      <c r="E12" s="36">
        <f>COUNTIFS('Evidence-First Cell Queue'!$E$6:$E$461,$A12,'Evidence-First Cell Queue'!$X$6:$X$461,"D")</f>
        <v/>
      </c>
      <c r="F12" s="37">
        <f>B12/57</f>
        <v/>
      </c>
      <c r="G12" s="37">
        <f>C12/57</f>
        <v/>
      </c>
      <c r="H12" s="37">
        <f>D12/57</f>
        <v/>
      </c>
      <c r="I12" s="37">
        <f>E12/57</f>
        <v/>
      </c>
      <c r="J12" s="37">
        <f>IF(B12=0,"",C12/B12)</f>
        <v/>
      </c>
      <c r="K12" s="37">
        <f>IF(B12=0,"",D12/B12)</f>
        <v/>
      </c>
      <c r="L12" s="37">
        <f>IF(B12=0,"",E12/B12)</f>
        <v/>
      </c>
      <c r="M12" s="37">
        <f>IF(B12=0,"",(C12+D12)/B12)</f>
        <v/>
      </c>
      <c r="N12" s="36">
        <f>COUNTIFS('Evidence-First Cell Queue'!$E$6:$E$461,$A12,'Evidence-First Cell Queue'!$X$6:$X$461,"NOT LOCATED — NOT YET RECOVERED")</f>
        <v/>
      </c>
      <c r="O12" s="36">
        <f>COUNTIFS('Evidence-First Cell Queue'!$E$6:$E$461,$A12,'Evidence-First Cell Queue'!$X$6:$X$461,"NOT LOCATED — CURRENT STANDARD REVIEWED")</f>
        <v/>
      </c>
      <c r="P12" s="36">
        <f>COUNTIFS('Evidence-First Cell Queue'!$E$6:$E$461,$A12,'Evidence-First Cell Queue'!$X$6:$X$461,"NOT LOCATED — CURRENT SOURCE")+COUNTIFS('Evidence-First Cell Queue'!$E$6:$E$461,$A12,'Evidence-First Cell Queue'!$X$6:$X$461,"NOT LOCATED — NO PUBLIC EVIDENCE")</f>
        <v/>
      </c>
      <c r="Q12" s="36">
        <f>COUNTIF('Evidence-First Cell Queue'!$E$6:$E$461,$A12)-B12-N12-O12-P12</f>
        <v/>
      </c>
      <c r="R12" s="36">
        <f>IF(B12&gt;=$B$4,"ELIGIBLE","IN PROGRESS")</f>
        <v/>
      </c>
    </row>
    <row r="13">
      <c r="A13" s="35" t="inlineStr">
        <is>
          <t>Methodist / Wesleyan</t>
        </is>
      </c>
      <c r="B13" s="36">
        <f>C13+D13+E13</f>
        <v/>
      </c>
      <c r="C13" s="36">
        <f>(COUNTIFS('Evidence-First Cell Queue'!$E$6:$E$461,$A13,'Evidence-First Cell Queue'!$X$6:$X$461,"A")+COUNTIFS('Evidence-First Cell Queue'!$E$6:$E$461,$A13,'Evidence-First Cell Queue'!$X$6:$X$461,"A-SF"))</f>
        <v/>
      </c>
      <c r="D13" s="36">
        <f>COUNTIFS('Evidence-First Cell Queue'!$E$6:$E$461,$A13,'Evidence-First Cell Queue'!$X$6:$X$461,"Q")</f>
        <v/>
      </c>
      <c r="E13" s="36">
        <f>COUNTIFS('Evidence-First Cell Queue'!$E$6:$E$461,$A13,'Evidence-First Cell Queue'!$X$6:$X$461,"D")</f>
        <v/>
      </c>
      <c r="F13" s="37">
        <f>B13/57</f>
        <v/>
      </c>
      <c r="G13" s="37">
        <f>C13/57</f>
        <v/>
      </c>
      <c r="H13" s="37">
        <f>D13/57</f>
        <v/>
      </c>
      <c r="I13" s="37">
        <f>E13/57</f>
        <v/>
      </c>
      <c r="J13" s="37">
        <f>IF(B13=0,"",C13/B13)</f>
        <v/>
      </c>
      <c r="K13" s="37">
        <f>IF(B13=0,"",D13/B13)</f>
        <v/>
      </c>
      <c r="L13" s="37">
        <f>IF(B13=0,"",E13/B13)</f>
        <v/>
      </c>
      <c r="M13" s="37">
        <f>IF(B13=0,"",(C13+D13)/B13)</f>
        <v/>
      </c>
      <c r="N13" s="36">
        <f>COUNTIFS('Evidence-First Cell Queue'!$E$6:$E$461,$A13,'Evidence-First Cell Queue'!$X$6:$X$461,"NOT LOCATED — NOT YET RECOVERED")</f>
        <v/>
      </c>
      <c r="O13" s="36">
        <f>COUNTIFS('Evidence-First Cell Queue'!$E$6:$E$461,$A13,'Evidence-First Cell Queue'!$X$6:$X$461,"NOT LOCATED — CURRENT STANDARD REVIEWED")</f>
        <v/>
      </c>
      <c r="P13" s="36">
        <f>COUNTIFS('Evidence-First Cell Queue'!$E$6:$E$461,$A13,'Evidence-First Cell Queue'!$X$6:$X$461,"NOT LOCATED — CURRENT SOURCE")+COUNTIFS('Evidence-First Cell Queue'!$E$6:$E$461,$A13,'Evidence-First Cell Queue'!$X$6:$X$461,"NOT LOCATED — NO PUBLIC EVIDENCE")</f>
        <v/>
      </c>
      <c r="Q13" s="36">
        <f>COUNTIF('Evidence-First Cell Queue'!$E$6:$E$461,$A13)-B13-N13-O13-P13</f>
        <v/>
      </c>
      <c r="R13" s="36">
        <f>IF(B13&gt;=$B$4,"ELIGIBLE","IN PROGRESS")</f>
        <v/>
      </c>
    </row>
    <row r="14">
      <c r="A14" s="35" t="inlineStr">
        <is>
          <t>Mennonite / Anabaptist</t>
        </is>
      </c>
      <c r="B14" s="36">
        <f>C14+D14+E14</f>
        <v/>
      </c>
      <c r="C14" s="36">
        <f>(COUNTIFS('Evidence-First Cell Queue'!$E$6:$E$461,$A14,'Evidence-First Cell Queue'!$X$6:$X$461,"A")+COUNTIFS('Evidence-First Cell Queue'!$E$6:$E$461,$A14,'Evidence-First Cell Queue'!$X$6:$X$461,"A-SF"))</f>
        <v/>
      </c>
      <c r="D14" s="36">
        <f>COUNTIFS('Evidence-First Cell Queue'!$E$6:$E$461,$A14,'Evidence-First Cell Queue'!$X$6:$X$461,"Q")</f>
        <v/>
      </c>
      <c r="E14" s="36">
        <f>COUNTIFS('Evidence-First Cell Queue'!$E$6:$E$461,$A14,'Evidence-First Cell Queue'!$X$6:$X$461,"D")</f>
        <v/>
      </c>
      <c r="F14" s="37">
        <f>B14/57</f>
        <v/>
      </c>
      <c r="G14" s="37">
        <f>C14/57</f>
        <v/>
      </c>
      <c r="H14" s="37">
        <f>D14/57</f>
        <v/>
      </c>
      <c r="I14" s="37">
        <f>E14/57</f>
        <v/>
      </c>
      <c r="J14" s="37">
        <f>IF(B14=0,"",C14/B14)</f>
        <v/>
      </c>
      <c r="K14" s="37">
        <f>IF(B14=0,"",D14/B14)</f>
        <v/>
      </c>
      <c r="L14" s="37">
        <f>IF(B14=0,"",E14/B14)</f>
        <v/>
      </c>
      <c r="M14" s="37">
        <f>IF(B14=0,"",(C14+D14)/B14)</f>
        <v/>
      </c>
      <c r="N14" s="36">
        <f>COUNTIFS('Evidence-First Cell Queue'!$E$6:$E$461,$A14,'Evidence-First Cell Queue'!$X$6:$X$461,"NOT LOCATED — NOT YET RECOVERED")</f>
        <v/>
      </c>
      <c r="O14" s="36">
        <f>COUNTIFS('Evidence-First Cell Queue'!$E$6:$E$461,$A14,'Evidence-First Cell Queue'!$X$6:$X$461,"NOT LOCATED — CURRENT STANDARD REVIEWED")</f>
        <v/>
      </c>
      <c r="P14" s="36">
        <f>COUNTIFS('Evidence-First Cell Queue'!$E$6:$E$461,$A14,'Evidence-First Cell Queue'!$X$6:$X$461,"NOT LOCATED — CURRENT SOURCE")+COUNTIFS('Evidence-First Cell Queue'!$E$6:$E$461,$A14,'Evidence-First Cell Queue'!$X$6:$X$461,"NOT LOCATED — NO PUBLIC EVIDENCE")</f>
        <v/>
      </c>
      <c r="Q14" s="36">
        <f>COUNTIF('Evidence-First Cell Queue'!$E$6:$E$461,$A14)-B14-N14-O14-P14</f>
        <v/>
      </c>
      <c r="R14" s="36">
        <f>IF(B14&gt;=$B$4,"ELIGIBLE","IN PROGRESS")</f>
        <v/>
      </c>
    </row>
    <row r="15">
      <c r="A15" s="35" t="inlineStr">
        <is>
          <t>All branches (456 cells)</t>
        </is>
      </c>
      <c r="B15" s="35">
        <f>SUM(B7:B14)</f>
        <v/>
      </c>
      <c r="C15" s="35">
        <f>SUM(C7:C14)</f>
        <v/>
      </c>
      <c r="D15" s="35">
        <f>SUM(D7:D14)</f>
        <v/>
      </c>
      <c r="E15" s="35">
        <f>SUM(E7:E14)</f>
        <v/>
      </c>
      <c r="F15" s="38">
        <f>B15/456</f>
        <v/>
      </c>
      <c r="G15" s="38">
        <f>C15/456</f>
        <v/>
      </c>
      <c r="H15" s="38">
        <f>D15/456</f>
        <v/>
      </c>
      <c r="I15" s="38">
        <f>E15/456</f>
        <v/>
      </c>
      <c r="J15" s="38">
        <f>C15/B15</f>
        <v/>
      </c>
      <c r="K15" s="38">
        <f>D15/B15</f>
        <v/>
      </c>
      <c r="L15" s="38">
        <f>E15/B15</f>
        <v/>
      </c>
      <c r="M15" s="38">
        <f>(C15+D15)/B15</f>
        <v/>
      </c>
      <c r="N15" s="35">
        <f>SUM(N7:N14)</f>
        <v/>
      </c>
      <c r="O15" s="35">
        <f>SUM(O7:O14)</f>
        <v/>
      </c>
      <c r="P15" s="35">
        <f>SUM(P7:P14)</f>
        <v/>
      </c>
      <c r="Q15" s="35">
        <f>SUM(Q7:Q14)</f>
        <v/>
      </c>
      <c r="R15" s="35">
        <f>COUNTIF(R7:R14,"ELIGIBLE")&amp;" eligible"</f>
        <v/>
      </c>
    </row>
    <row r="17">
      <c r="A17" s="32" t="inlineStr">
        <is>
          <t>Integrity</t>
        </is>
      </c>
    </row>
    <row r="18">
      <c r="A18" s="0" t="inlineStr">
        <is>
          <t>Row totals reconcile to 57 per branch</t>
        </is>
      </c>
      <c r="B18" s="0">
        <f>IF(SUMPRODUCT((B7:B14+N7:N14+O7:O14+P7:P14+Q7:Q14)=57)=8,"PASS","FAIL")</f>
        <v/>
      </c>
    </row>
    <row r="19">
      <c r="A19" s="0" t="inlineStr">
        <is>
          <t>Released total matches Family Summary / Evidence Map (141 at v2.18)</t>
        </is>
      </c>
      <c r="B19" s="0">
        <f>B15</f>
        <v/>
      </c>
    </row>
    <row r="20">
      <c r="A20" s="0" t="inlineStr">
        <is>
          <t>Cross-check vs Branch State Summary released</t>
        </is>
      </c>
      <c r="B20" s="0">
        <f>IF(B15=SUM('Branch State Summary'!B2:E9),"PASS","FAIL")</f>
        <v/>
      </c>
    </row>
    <row r="22">
      <c r="A22" s="32" t="inlineStr">
        <is>
          <t>Per-predicate grid — rendered state by branch (internal only; lookup on Queue ID pattern Family × Branch)</t>
        </is>
      </c>
    </row>
    <row r="23">
      <c r="A23" s="39" t="inlineStr">
        <is>
          <t>Family ID</t>
        </is>
      </c>
      <c r="B23" s="39" t="inlineStr">
        <is>
          <t>Predicate</t>
        </is>
      </c>
      <c r="C23" s="39" t="inlineStr">
        <is>
          <t>Family code</t>
        </is>
      </c>
      <c r="D23" s="39" t="inlineStr">
        <is>
          <t>Roman Catholic</t>
        </is>
      </c>
      <c r="E23" s="39" t="inlineStr">
        <is>
          <t>Eastern Orthodox</t>
        </is>
      </c>
      <c r="F23" s="39" t="inlineStr">
        <is>
          <t>Lutheran</t>
        </is>
      </c>
      <c r="G23" s="39" t="inlineStr">
        <is>
          <t>Reformed / Presbyterian</t>
        </is>
      </c>
      <c r="H23" s="39" t="inlineStr">
        <is>
          <t>Anglican</t>
        </is>
      </c>
      <c r="I23" s="39" t="inlineStr">
        <is>
          <t>Baptist</t>
        </is>
      </c>
      <c r="J23" s="39" t="inlineStr">
        <is>
          <t>Methodist / Wesleyan</t>
        </is>
      </c>
      <c r="K23" s="39" t="inlineStr">
        <is>
          <t>Mennonite / Anabaptist</t>
        </is>
      </c>
    </row>
    <row r="24">
      <c r="A24" s="0" t="inlineStr">
        <is>
          <t>RNR-H01</t>
        </is>
      </c>
      <c r="B24" s="0">
        <f>INDEX('Evidence-First Cell Queue'!$C$6:$C$461,MATCH($A24,'Evidence-First Cell Queue'!$B$6:$B$461,0))</f>
        <v/>
      </c>
      <c r="C24" s="0">
        <f>INDEX('Evidence-First Cell Queue'!$D$6:$D$461,MATCH($A24,'Evidence-First Cell Queue'!$B$6:$B$461,0))</f>
        <v/>
      </c>
      <c r="D24" s="36">
        <f>LOOKUP(2,1/(('Evidence-First Cell Queue'!$B$6:$B$461=$A24)*('Evidence-First Cell Queue'!$E$6:$E$461=D$23)),'Evidence-First Cell Queue'!$X$6:$X$461)</f>
        <v/>
      </c>
      <c r="E24" s="36">
        <f>LOOKUP(2,1/(('Evidence-First Cell Queue'!$B$6:$B$461=$A24)*('Evidence-First Cell Queue'!$E$6:$E$461=E$23)),'Evidence-First Cell Queue'!$X$6:$X$461)</f>
        <v/>
      </c>
      <c r="F24" s="36">
        <f>LOOKUP(2,1/(('Evidence-First Cell Queue'!$B$6:$B$461=$A24)*('Evidence-First Cell Queue'!$E$6:$E$461=F$23)),'Evidence-First Cell Queue'!$X$6:$X$461)</f>
        <v/>
      </c>
      <c r="G24" s="36">
        <f>LOOKUP(2,1/(('Evidence-First Cell Queue'!$B$6:$B$461=$A24)*('Evidence-First Cell Queue'!$E$6:$E$461=G$23)),'Evidence-First Cell Queue'!$X$6:$X$461)</f>
        <v/>
      </c>
      <c r="H24" s="36">
        <f>LOOKUP(2,1/(('Evidence-First Cell Queue'!$B$6:$B$461=$A24)*('Evidence-First Cell Queue'!$E$6:$E$461=H$23)),'Evidence-First Cell Queue'!$X$6:$X$461)</f>
        <v/>
      </c>
      <c r="I24" s="36">
        <f>LOOKUP(2,1/(('Evidence-First Cell Queue'!$B$6:$B$461=$A24)*('Evidence-First Cell Queue'!$E$6:$E$461=I$23)),'Evidence-First Cell Queue'!$X$6:$X$461)</f>
        <v/>
      </c>
      <c r="J24" s="36">
        <f>LOOKUP(2,1/(('Evidence-First Cell Queue'!$B$6:$B$461=$A24)*('Evidence-First Cell Queue'!$E$6:$E$461=J$23)),'Evidence-First Cell Queue'!$X$6:$X$461)</f>
        <v/>
      </c>
      <c r="K24" s="36">
        <f>LOOKUP(2,1/(('Evidence-First Cell Queue'!$B$6:$B$461=$A24)*('Evidence-First Cell Queue'!$E$6:$E$461=K$23)),'Evidence-First Cell Queue'!$X$6:$X$461)</f>
        <v/>
      </c>
    </row>
    <row r="25">
      <c r="A25" s="0" t="inlineStr">
        <is>
          <t>RNR-H02</t>
        </is>
      </c>
      <c r="B25" s="0">
        <f>INDEX('Evidence-First Cell Queue'!$C$6:$C$461,MATCH($A25,'Evidence-First Cell Queue'!$B$6:$B$461,0))</f>
        <v/>
      </c>
      <c r="C25" s="0">
        <f>INDEX('Evidence-First Cell Queue'!$D$6:$D$461,MATCH($A25,'Evidence-First Cell Queue'!$B$6:$B$461,0))</f>
        <v/>
      </c>
      <c r="D25" s="36">
        <f>LOOKUP(2,1/(('Evidence-First Cell Queue'!$B$6:$B$461=$A25)*('Evidence-First Cell Queue'!$E$6:$E$461=D$23)),'Evidence-First Cell Queue'!$X$6:$X$461)</f>
        <v/>
      </c>
      <c r="E25" s="36">
        <f>LOOKUP(2,1/(('Evidence-First Cell Queue'!$B$6:$B$461=$A25)*('Evidence-First Cell Queue'!$E$6:$E$461=E$23)),'Evidence-First Cell Queue'!$X$6:$X$461)</f>
        <v/>
      </c>
      <c r="F25" s="36">
        <f>LOOKUP(2,1/(('Evidence-First Cell Queue'!$B$6:$B$461=$A25)*('Evidence-First Cell Queue'!$E$6:$E$461=F$23)),'Evidence-First Cell Queue'!$X$6:$X$461)</f>
        <v/>
      </c>
      <c r="G25" s="36">
        <f>LOOKUP(2,1/(('Evidence-First Cell Queue'!$B$6:$B$461=$A25)*('Evidence-First Cell Queue'!$E$6:$E$461=G$23)),'Evidence-First Cell Queue'!$X$6:$X$461)</f>
        <v/>
      </c>
      <c r="H25" s="36">
        <f>LOOKUP(2,1/(('Evidence-First Cell Queue'!$B$6:$B$461=$A25)*('Evidence-First Cell Queue'!$E$6:$E$461=H$23)),'Evidence-First Cell Queue'!$X$6:$X$461)</f>
        <v/>
      </c>
      <c r="I25" s="36">
        <f>LOOKUP(2,1/(('Evidence-First Cell Queue'!$B$6:$B$461=$A25)*('Evidence-First Cell Queue'!$E$6:$E$461=I$23)),'Evidence-First Cell Queue'!$X$6:$X$461)</f>
        <v/>
      </c>
      <c r="J25" s="36">
        <f>LOOKUP(2,1/(('Evidence-First Cell Queue'!$B$6:$B$461=$A25)*('Evidence-First Cell Queue'!$E$6:$E$461=J$23)),'Evidence-First Cell Queue'!$X$6:$X$461)</f>
        <v/>
      </c>
      <c r="K25" s="36">
        <f>LOOKUP(2,1/(('Evidence-First Cell Queue'!$B$6:$B$461=$A25)*('Evidence-First Cell Queue'!$E$6:$E$461=K$23)),'Evidence-First Cell Queue'!$X$6:$X$461)</f>
        <v/>
      </c>
    </row>
    <row r="26">
      <c r="A26" s="0" t="inlineStr">
        <is>
          <t>RNR-H03</t>
        </is>
      </c>
      <c r="B26" s="0">
        <f>INDEX('Evidence-First Cell Queue'!$C$6:$C$461,MATCH($A26,'Evidence-First Cell Queue'!$B$6:$B$461,0))</f>
        <v/>
      </c>
      <c r="C26" s="0">
        <f>INDEX('Evidence-First Cell Queue'!$D$6:$D$461,MATCH($A26,'Evidence-First Cell Queue'!$B$6:$B$461,0))</f>
        <v/>
      </c>
      <c r="D26" s="36">
        <f>LOOKUP(2,1/(('Evidence-First Cell Queue'!$B$6:$B$461=$A26)*('Evidence-First Cell Queue'!$E$6:$E$461=D$23)),'Evidence-First Cell Queue'!$X$6:$X$461)</f>
        <v/>
      </c>
      <c r="E26" s="36">
        <f>LOOKUP(2,1/(('Evidence-First Cell Queue'!$B$6:$B$461=$A26)*('Evidence-First Cell Queue'!$E$6:$E$461=E$23)),'Evidence-First Cell Queue'!$X$6:$X$461)</f>
        <v/>
      </c>
      <c r="F26" s="36">
        <f>LOOKUP(2,1/(('Evidence-First Cell Queue'!$B$6:$B$461=$A26)*('Evidence-First Cell Queue'!$E$6:$E$461=F$23)),'Evidence-First Cell Queue'!$X$6:$X$461)</f>
        <v/>
      </c>
      <c r="G26" s="36">
        <f>LOOKUP(2,1/(('Evidence-First Cell Queue'!$B$6:$B$461=$A26)*('Evidence-First Cell Queue'!$E$6:$E$461=G$23)),'Evidence-First Cell Queue'!$X$6:$X$461)</f>
        <v/>
      </c>
      <c r="H26" s="36">
        <f>LOOKUP(2,1/(('Evidence-First Cell Queue'!$B$6:$B$461=$A26)*('Evidence-First Cell Queue'!$E$6:$E$461=H$23)),'Evidence-First Cell Queue'!$X$6:$X$461)</f>
        <v/>
      </c>
      <c r="I26" s="36">
        <f>LOOKUP(2,1/(('Evidence-First Cell Queue'!$B$6:$B$461=$A26)*('Evidence-First Cell Queue'!$E$6:$E$461=I$23)),'Evidence-First Cell Queue'!$X$6:$X$461)</f>
        <v/>
      </c>
      <c r="J26" s="36">
        <f>LOOKUP(2,1/(('Evidence-First Cell Queue'!$B$6:$B$461=$A26)*('Evidence-First Cell Queue'!$E$6:$E$461=J$23)),'Evidence-First Cell Queue'!$X$6:$X$461)</f>
        <v/>
      </c>
      <c r="K26" s="36">
        <f>LOOKUP(2,1/(('Evidence-First Cell Queue'!$B$6:$B$461=$A26)*('Evidence-First Cell Queue'!$E$6:$E$461=K$23)),'Evidence-First Cell Queue'!$X$6:$X$461)</f>
        <v/>
      </c>
    </row>
    <row r="27">
      <c r="A27" s="0" t="inlineStr">
        <is>
          <t>RNR-H04</t>
        </is>
      </c>
      <c r="B27" s="0">
        <f>INDEX('Evidence-First Cell Queue'!$C$6:$C$461,MATCH($A27,'Evidence-First Cell Queue'!$B$6:$B$461,0))</f>
        <v/>
      </c>
      <c r="C27" s="0">
        <f>INDEX('Evidence-First Cell Queue'!$D$6:$D$461,MATCH($A27,'Evidence-First Cell Queue'!$B$6:$B$461,0))</f>
        <v/>
      </c>
      <c r="D27" s="36">
        <f>LOOKUP(2,1/(('Evidence-First Cell Queue'!$B$6:$B$461=$A27)*('Evidence-First Cell Queue'!$E$6:$E$461=D$23)),'Evidence-First Cell Queue'!$X$6:$X$461)</f>
        <v/>
      </c>
      <c r="E27" s="36">
        <f>LOOKUP(2,1/(('Evidence-First Cell Queue'!$B$6:$B$461=$A27)*('Evidence-First Cell Queue'!$E$6:$E$461=E$23)),'Evidence-First Cell Queue'!$X$6:$X$461)</f>
        <v/>
      </c>
      <c r="F27" s="36">
        <f>LOOKUP(2,1/(('Evidence-First Cell Queue'!$B$6:$B$461=$A27)*('Evidence-First Cell Queue'!$E$6:$E$461=F$23)),'Evidence-First Cell Queue'!$X$6:$X$461)</f>
        <v/>
      </c>
      <c r="G27" s="36">
        <f>LOOKUP(2,1/(('Evidence-First Cell Queue'!$B$6:$B$461=$A27)*('Evidence-First Cell Queue'!$E$6:$E$461=G$23)),'Evidence-First Cell Queue'!$X$6:$X$461)</f>
        <v/>
      </c>
      <c r="H27" s="36">
        <f>LOOKUP(2,1/(('Evidence-First Cell Queue'!$B$6:$B$461=$A27)*('Evidence-First Cell Queue'!$E$6:$E$461=H$23)),'Evidence-First Cell Queue'!$X$6:$X$461)</f>
        <v/>
      </c>
      <c r="I27" s="36">
        <f>LOOKUP(2,1/(('Evidence-First Cell Queue'!$B$6:$B$461=$A27)*('Evidence-First Cell Queue'!$E$6:$E$461=I$23)),'Evidence-First Cell Queue'!$X$6:$X$461)</f>
        <v/>
      </c>
      <c r="J27" s="36">
        <f>LOOKUP(2,1/(('Evidence-First Cell Queue'!$B$6:$B$461=$A27)*('Evidence-First Cell Queue'!$E$6:$E$461=J$23)),'Evidence-First Cell Queue'!$X$6:$X$461)</f>
        <v/>
      </c>
      <c r="K27" s="36">
        <f>LOOKUP(2,1/(('Evidence-First Cell Queue'!$B$6:$B$461=$A27)*('Evidence-First Cell Queue'!$E$6:$E$461=K$23)),'Evidence-First Cell Queue'!$X$6:$X$461)</f>
        <v/>
      </c>
    </row>
    <row r="28">
      <c r="A28" s="0" t="inlineStr">
        <is>
          <t>RNR-H05</t>
        </is>
      </c>
      <c r="B28" s="0">
        <f>INDEX('Evidence-First Cell Queue'!$C$6:$C$461,MATCH($A28,'Evidence-First Cell Queue'!$B$6:$B$461,0))</f>
        <v/>
      </c>
      <c r="C28" s="0">
        <f>INDEX('Evidence-First Cell Queue'!$D$6:$D$461,MATCH($A28,'Evidence-First Cell Queue'!$B$6:$B$461,0))</f>
        <v/>
      </c>
      <c r="D28" s="36">
        <f>LOOKUP(2,1/(('Evidence-First Cell Queue'!$B$6:$B$461=$A28)*('Evidence-First Cell Queue'!$E$6:$E$461=D$23)),'Evidence-First Cell Queue'!$X$6:$X$461)</f>
        <v/>
      </c>
      <c r="E28" s="36">
        <f>LOOKUP(2,1/(('Evidence-First Cell Queue'!$B$6:$B$461=$A28)*('Evidence-First Cell Queue'!$E$6:$E$461=E$23)),'Evidence-First Cell Queue'!$X$6:$X$461)</f>
        <v/>
      </c>
      <c r="F28" s="36">
        <f>LOOKUP(2,1/(('Evidence-First Cell Queue'!$B$6:$B$461=$A28)*('Evidence-First Cell Queue'!$E$6:$E$461=F$23)),'Evidence-First Cell Queue'!$X$6:$X$461)</f>
        <v/>
      </c>
      <c r="G28" s="36">
        <f>LOOKUP(2,1/(('Evidence-First Cell Queue'!$B$6:$B$461=$A28)*('Evidence-First Cell Queue'!$E$6:$E$461=G$23)),'Evidence-First Cell Queue'!$X$6:$X$461)</f>
        <v/>
      </c>
      <c r="H28" s="36">
        <f>LOOKUP(2,1/(('Evidence-First Cell Queue'!$B$6:$B$461=$A28)*('Evidence-First Cell Queue'!$E$6:$E$461=H$23)),'Evidence-First Cell Queue'!$X$6:$X$461)</f>
        <v/>
      </c>
      <c r="I28" s="36">
        <f>LOOKUP(2,1/(('Evidence-First Cell Queue'!$B$6:$B$461=$A28)*('Evidence-First Cell Queue'!$E$6:$E$461=I$23)),'Evidence-First Cell Queue'!$X$6:$X$461)</f>
        <v/>
      </c>
      <c r="J28" s="36">
        <f>LOOKUP(2,1/(('Evidence-First Cell Queue'!$B$6:$B$461=$A28)*('Evidence-First Cell Queue'!$E$6:$E$461=J$23)),'Evidence-First Cell Queue'!$X$6:$X$461)</f>
        <v/>
      </c>
      <c r="K28" s="36">
        <f>LOOKUP(2,1/(('Evidence-First Cell Queue'!$B$6:$B$461=$A28)*('Evidence-First Cell Queue'!$E$6:$E$461=K$23)),'Evidence-First Cell Queue'!$X$6:$X$461)</f>
        <v/>
      </c>
    </row>
    <row r="29">
      <c r="A29" s="0" t="inlineStr">
        <is>
          <t>RNR-H06</t>
        </is>
      </c>
      <c r="B29" s="0">
        <f>INDEX('Evidence-First Cell Queue'!$C$6:$C$461,MATCH($A29,'Evidence-First Cell Queue'!$B$6:$B$461,0))</f>
        <v/>
      </c>
      <c r="C29" s="0">
        <f>INDEX('Evidence-First Cell Queue'!$D$6:$D$461,MATCH($A29,'Evidence-First Cell Queue'!$B$6:$B$461,0))</f>
        <v/>
      </c>
      <c r="D29" s="36">
        <f>LOOKUP(2,1/(('Evidence-First Cell Queue'!$B$6:$B$461=$A29)*('Evidence-First Cell Queue'!$E$6:$E$461=D$23)),'Evidence-First Cell Queue'!$X$6:$X$461)</f>
        <v/>
      </c>
      <c r="E29" s="36">
        <f>LOOKUP(2,1/(('Evidence-First Cell Queue'!$B$6:$B$461=$A29)*('Evidence-First Cell Queue'!$E$6:$E$461=E$23)),'Evidence-First Cell Queue'!$X$6:$X$461)</f>
        <v/>
      </c>
      <c r="F29" s="36">
        <f>LOOKUP(2,1/(('Evidence-First Cell Queue'!$B$6:$B$461=$A29)*('Evidence-First Cell Queue'!$E$6:$E$461=F$23)),'Evidence-First Cell Queue'!$X$6:$X$461)</f>
        <v/>
      </c>
      <c r="G29" s="36">
        <f>LOOKUP(2,1/(('Evidence-First Cell Queue'!$B$6:$B$461=$A29)*('Evidence-First Cell Queue'!$E$6:$E$461=G$23)),'Evidence-First Cell Queue'!$X$6:$X$461)</f>
        <v/>
      </c>
      <c r="H29" s="36">
        <f>LOOKUP(2,1/(('Evidence-First Cell Queue'!$B$6:$B$461=$A29)*('Evidence-First Cell Queue'!$E$6:$E$461=H$23)),'Evidence-First Cell Queue'!$X$6:$X$461)</f>
        <v/>
      </c>
      <c r="I29" s="36">
        <f>LOOKUP(2,1/(('Evidence-First Cell Queue'!$B$6:$B$461=$A29)*('Evidence-First Cell Queue'!$E$6:$E$461=I$23)),'Evidence-First Cell Queue'!$X$6:$X$461)</f>
        <v/>
      </c>
      <c r="J29" s="36">
        <f>LOOKUP(2,1/(('Evidence-First Cell Queue'!$B$6:$B$461=$A29)*('Evidence-First Cell Queue'!$E$6:$E$461=J$23)),'Evidence-First Cell Queue'!$X$6:$X$461)</f>
        <v/>
      </c>
      <c r="K29" s="36">
        <f>LOOKUP(2,1/(('Evidence-First Cell Queue'!$B$6:$B$461=$A29)*('Evidence-First Cell Queue'!$E$6:$E$461=K$23)),'Evidence-First Cell Queue'!$X$6:$X$461)</f>
        <v/>
      </c>
    </row>
    <row r="30">
      <c r="A30" s="0" t="inlineStr">
        <is>
          <t>RNR-H07</t>
        </is>
      </c>
      <c r="B30" s="0">
        <f>INDEX('Evidence-First Cell Queue'!$C$6:$C$461,MATCH($A30,'Evidence-First Cell Queue'!$B$6:$B$461,0))</f>
        <v/>
      </c>
      <c r="C30" s="0">
        <f>INDEX('Evidence-First Cell Queue'!$D$6:$D$461,MATCH($A30,'Evidence-First Cell Queue'!$B$6:$B$461,0))</f>
        <v/>
      </c>
      <c r="D30" s="36">
        <f>LOOKUP(2,1/(('Evidence-First Cell Queue'!$B$6:$B$461=$A30)*('Evidence-First Cell Queue'!$E$6:$E$461=D$23)),'Evidence-First Cell Queue'!$X$6:$X$461)</f>
        <v/>
      </c>
      <c r="E30" s="36">
        <f>LOOKUP(2,1/(('Evidence-First Cell Queue'!$B$6:$B$461=$A30)*('Evidence-First Cell Queue'!$E$6:$E$461=E$23)),'Evidence-First Cell Queue'!$X$6:$X$461)</f>
        <v/>
      </c>
      <c r="F30" s="36">
        <f>LOOKUP(2,1/(('Evidence-First Cell Queue'!$B$6:$B$461=$A30)*('Evidence-First Cell Queue'!$E$6:$E$461=F$23)),'Evidence-First Cell Queue'!$X$6:$X$461)</f>
        <v/>
      </c>
      <c r="G30" s="36">
        <f>LOOKUP(2,1/(('Evidence-First Cell Queue'!$B$6:$B$461=$A30)*('Evidence-First Cell Queue'!$E$6:$E$461=G$23)),'Evidence-First Cell Queue'!$X$6:$X$461)</f>
        <v/>
      </c>
      <c r="H30" s="36">
        <f>LOOKUP(2,1/(('Evidence-First Cell Queue'!$B$6:$B$461=$A30)*('Evidence-First Cell Queue'!$E$6:$E$461=H$23)),'Evidence-First Cell Queue'!$X$6:$X$461)</f>
        <v/>
      </c>
      <c r="I30" s="36">
        <f>LOOKUP(2,1/(('Evidence-First Cell Queue'!$B$6:$B$461=$A30)*('Evidence-First Cell Queue'!$E$6:$E$461=I$23)),'Evidence-First Cell Queue'!$X$6:$X$461)</f>
        <v/>
      </c>
      <c r="J30" s="36">
        <f>LOOKUP(2,1/(('Evidence-First Cell Queue'!$B$6:$B$461=$A30)*('Evidence-First Cell Queue'!$E$6:$E$461=J$23)),'Evidence-First Cell Queue'!$X$6:$X$461)</f>
        <v/>
      </c>
      <c r="K30" s="36">
        <f>LOOKUP(2,1/(('Evidence-First Cell Queue'!$B$6:$B$461=$A30)*('Evidence-First Cell Queue'!$E$6:$E$461=K$23)),'Evidence-First Cell Queue'!$X$6:$X$461)</f>
        <v/>
      </c>
    </row>
    <row r="31">
      <c r="A31" s="0" t="inlineStr">
        <is>
          <t>RNR-H08</t>
        </is>
      </c>
      <c r="B31" s="0">
        <f>INDEX('Evidence-First Cell Queue'!$C$6:$C$461,MATCH($A31,'Evidence-First Cell Queue'!$B$6:$B$461,0))</f>
        <v/>
      </c>
      <c r="C31" s="0">
        <f>INDEX('Evidence-First Cell Queue'!$D$6:$D$461,MATCH($A31,'Evidence-First Cell Queue'!$B$6:$B$461,0))</f>
        <v/>
      </c>
      <c r="D31" s="36">
        <f>LOOKUP(2,1/(('Evidence-First Cell Queue'!$B$6:$B$461=$A31)*('Evidence-First Cell Queue'!$E$6:$E$461=D$23)),'Evidence-First Cell Queue'!$X$6:$X$461)</f>
        <v/>
      </c>
      <c r="E31" s="36">
        <f>LOOKUP(2,1/(('Evidence-First Cell Queue'!$B$6:$B$461=$A31)*('Evidence-First Cell Queue'!$E$6:$E$461=E$23)),'Evidence-First Cell Queue'!$X$6:$X$461)</f>
        <v/>
      </c>
      <c r="F31" s="36">
        <f>LOOKUP(2,1/(('Evidence-First Cell Queue'!$B$6:$B$461=$A31)*('Evidence-First Cell Queue'!$E$6:$E$461=F$23)),'Evidence-First Cell Queue'!$X$6:$X$461)</f>
        <v/>
      </c>
      <c r="G31" s="36">
        <f>LOOKUP(2,1/(('Evidence-First Cell Queue'!$B$6:$B$461=$A31)*('Evidence-First Cell Queue'!$E$6:$E$461=G$23)),'Evidence-First Cell Queue'!$X$6:$X$461)</f>
        <v/>
      </c>
      <c r="H31" s="36">
        <f>LOOKUP(2,1/(('Evidence-First Cell Queue'!$B$6:$B$461=$A31)*('Evidence-First Cell Queue'!$E$6:$E$461=H$23)),'Evidence-First Cell Queue'!$X$6:$X$461)</f>
        <v/>
      </c>
      <c r="I31" s="36">
        <f>LOOKUP(2,1/(('Evidence-First Cell Queue'!$B$6:$B$461=$A31)*('Evidence-First Cell Queue'!$E$6:$E$461=I$23)),'Evidence-First Cell Queue'!$X$6:$X$461)</f>
        <v/>
      </c>
      <c r="J31" s="36">
        <f>LOOKUP(2,1/(('Evidence-First Cell Queue'!$B$6:$B$461=$A31)*('Evidence-First Cell Queue'!$E$6:$E$461=J$23)),'Evidence-First Cell Queue'!$X$6:$X$461)</f>
        <v/>
      </c>
      <c r="K31" s="36">
        <f>LOOKUP(2,1/(('Evidence-First Cell Queue'!$B$6:$B$461=$A31)*('Evidence-First Cell Queue'!$E$6:$E$461=K$23)),'Evidence-First Cell Queue'!$X$6:$X$461)</f>
        <v/>
      </c>
    </row>
    <row r="32">
      <c r="A32" s="0" t="inlineStr">
        <is>
          <t>RNR-H09</t>
        </is>
      </c>
      <c r="B32" s="0">
        <f>INDEX('Evidence-First Cell Queue'!$C$6:$C$461,MATCH($A32,'Evidence-First Cell Queue'!$B$6:$B$461,0))</f>
        <v/>
      </c>
      <c r="C32" s="0">
        <f>INDEX('Evidence-First Cell Queue'!$D$6:$D$461,MATCH($A32,'Evidence-First Cell Queue'!$B$6:$B$461,0))</f>
        <v/>
      </c>
      <c r="D32" s="36">
        <f>LOOKUP(2,1/(('Evidence-First Cell Queue'!$B$6:$B$461=$A32)*('Evidence-First Cell Queue'!$E$6:$E$461=D$23)),'Evidence-First Cell Queue'!$X$6:$X$461)</f>
        <v/>
      </c>
      <c r="E32" s="36">
        <f>LOOKUP(2,1/(('Evidence-First Cell Queue'!$B$6:$B$461=$A32)*('Evidence-First Cell Queue'!$E$6:$E$461=E$23)),'Evidence-First Cell Queue'!$X$6:$X$461)</f>
        <v/>
      </c>
      <c r="F32" s="36">
        <f>LOOKUP(2,1/(('Evidence-First Cell Queue'!$B$6:$B$461=$A32)*('Evidence-First Cell Queue'!$E$6:$E$461=F$23)),'Evidence-First Cell Queue'!$X$6:$X$461)</f>
        <v/>
      </c>
      <c r="G32" s="36">
        <f>LOOKUP(2,1/(('Evidence-First Cell Queue'!$B$6:$B$461=$A32)*('Evidence-First Cell Queue'!$E$6:$E$461=G$23)),'Evidence-First Cell Queue'!$X$6:$X$461)</f>
        <v/>
      </c>
      <c r="H32" s="36">
        <f>LOOKUP(2,1/(('Evidence-First Cell Queue'!$B$6:$B$461=$A32)*('Evidence-First Cell Queue'!$E$6:$E$461=H$23)),'Evidence-First Cell Queue'!$X$6:$X$461)</f>
        <v/>
      </c>
      <c r="I32" s="36">
        <f>LOOKUP(2,1/(('Evidence-First Cell Queue'!$B$6:$B$461=$A32)*('Evidence-First Cell Queue'!$E$6:$E$461=I$23)),'Evidence-First Cell Queue'!$X$6:$X$461)</f>
        <v/>
      </c>
      <c r="J32" s="36">
        <f>LOOKUP(2,1/(('Evidence-First Cell Queue'!$B$6:$B$461=$A32)*('Evidence-First Cell Queue'!$E$6:$E$461=J$23)),'Evidence-First Cell Queue'!$X$6:$X$461)</f>
        <v/>
      </c>
      <c r="K32" s="36">
        <f>LOOKUP(2,1/(('Evidence-First Cell Queue'!$B$6:$B$461=$A32)*('Evidence-First Cell Queue'!$E$6:$E$461=K$23)),'Evidence-First Cell Queue'!$X$6:$X$461)</f>
        <v/>
      </c>
    </row>
    <row r="33">
      <c r="A33" s="0" t="inlineStr">
        <is>
          <t>RNR-H10</t>
        </is>
      </c>
      <c r="B33" s="0">
        <f>INDEX('Evidence-First Cell Queue'!$C$6:$C$461,MATCH($A33,'Evidence-First Cell Queue'!$B$6:$B$461,0))</f>
        <v/>
      </c>
      <c r="C33" s="0">
        <f>INDEX('Evidence-First Cell Queue'!$D$6:$D$461,MATCH($A33,'Evidence-First Cell Queue'!$B$6:$B$461,0))</f>
        <v/>
      </c>
      <c r="D33" s="36">
        <f>LOOKUP(2,1/(('Evidence-First Cell Queue'!$B$6:$B$461=$A33)*('Evidence-First Cell Queue'!$E$6:$E$461=D$23)),'Evidence-First Cell Queue'!$X$6:$X$461)</f>
        <v/>
      </c>
      <c r="E33" s="36">
        <f>LOOKUP(2,1/(('Evidence-First Cell Queue'!$B$6:$B$461=$A33)*('Evidence-First Cell Queue'!$E$6:$E$461=E$23)),'Evidence-First Cell Queue'!$X$6:$X$461)</f>
        <v/>
      </c>
      <c r="F33" s="36">
        <f>LOOKUP(2,1/(('Evidence-First Cell Queue'!$B$6:$B$461=$A33)*('Evidence-First Cell Queue'!$E$6:$E$461=F$23)),'Evidence-First Cell Queue'!$X$6:$X$461)</f>
        <v/>
      </c>
      <c r="G33" s="36">
        <f>LOOKUP(2,1/(('Evidence-First Cell Queue'!$B$6:$B$461=$A33)*('Evidence-First Cell Queue'!$E$6:$E$461=G$23)),'Evidence-First Cell Queue'!$X$6:$X$461)</f>
        <v/>
      </c>
      <c r="H33" s="36">
        <f>LOOKUP(2,1/(('Evidence-First Cell Queue'!$B$6:$B$461=$A33)*('Evidence-First Cell Queue'!$E$6:$E$461=H$23)),'Evidence-First Cell Queue'!$X$6:$X$461)</f>
        <v/>
      </c>
      <c r="I33" s="36">
        <f>LOOKUP(2,1/(('Evidence-First Cell Queue'!$B$6:$B$461=$A33)*('Evidence-First Cell Queue'!$E$6:$E$461=I$23)),'Evidence-First Cell Queue'!$X$6:$X$461)</f>
        <v/>
      </c>
      <c r="J33" s="36">
        <f>LOOKUP(2,1/(('Evidence-First Cell Queue'!$B$6:$B$461=$A33)*('Evidence-First Cell Queue'!$E$6:$E$461=J$23)),'Evidence-First Cell Queue'!$X$6:$X$461)</f>
        <v/>
      </c>
      <c r="K33" s="36">
        <f>LOOKUP(2,1/(('Evidence-First Cell Queue'!$B$6:$B$461=$A33)*('Evidence-First Cell Queue'!$E$6:$E$461=K$23)),'Evidence-First Cell Queue'!$X$6:$X$461)</f>
        <v/>
      </c>
    </row>
    <row r="34">
      <c r="A34" s="0" t="inlineStr">
        <is>
          <t>RNR-H11</t>
        </is>
      </c>
      <c r="B34" s="0">
        <f>INDEX('Evidence-First Cell Queue'!$C$6:$C$461,MATCH($A34,'Evidence-First Cell Queue'!$B$6:$B$461,0))</f>
        <v/>
      </c>
      <c r="C34" s="0">
        <f>INDEX('Evidence-First Cell Queue'!$D$6:$D$461,MATCH($A34,'Evidence-First Cell Queue'!$B$6:$B$461,0))</f>
        <v/>
      </c>
      <c r="D34" s="36">
        <f>LOOKUP(2,1/(('Evidence-First Cell Queue'!$B$6:$B$461=$A34)*('Evidence-First Cell Queue'!$E$6:$E$461=D$23)),'Evidence-First Cell Queue'!$X$6:$X$461)</f>
        <v/>
      </c>
      <c r="E34" s="36">
        <f>LOOKUP(2,1/(('Evidence-First Cell Queue'!$B$6:$B$461=$A34)*('Evidence-First Cell Queue'!$E$6:$E$461=E$23)),'Evidence-First Cell Queue'!$X$6:$X$461)</f>
        <v/>
      </c>
      <c r="F34" s="36">
        <f>LOOKUP(2,1/(('Evidence-First Cell Queue'!$B$6:$B$461=$A34)*('Evidence-First Cell Queue'!$E$6:$E$461=F$23)),'Evidence-First Cell Queue'!$X$6:$X$461)</f>
        <v/>
      </c>
      <c r="G34" s="36">
        <f>LOOKUP(2,1/(('Evidence-First Cell Queue'!$B$6:$B$461=$A34)*('Evidence-First Cell Queue'!$E$6:$E$461=G$23)),'Evidence-First Cell Queue'!$X$6:$X$461)</f>
        <v/>
      </c>
      <c r="H34" s="36">
        <f>LOOKUP(2,1/(('Evidence-First Cell Queue'!$B$6:$B$461=$A34)*('Evidence-First Cell Queue'!$E$6:$E$461=H$23)),'Evidence-First Cell Queue'!$X$6:$X$461)</f>
        <v/>
      </c>
      <c r="I34" s="36">
        <f>LOOKUP(2,1/(('Evidence-First Cell Queue'!$B$6:$B$461=$A34)*('Evidence-First Cell Queue'!$E$6:$E$461=I$23)),'Evidence-First Cell Queue'!$X$6:$X$461)</f>
        <v/>
      </c>
      <c r="J34" s="36">
        <f>LOOKUP(2,1/(('Evidence-First Cell Queue'!$B$6:$B$461=$A34)*('Evidence-First Cell Queue'!$E$6:$E$461=J$23)),'Evidence-First Cell Queue'!$X$6:$X$461)</f>
        <v/>
      </c>
      <c r="K34" s="36">
        <f>LOOKUP(2,1/(('Evidence-First Cell Queue'!$B$6:$B$461=$A34)*('Evidence-First Cell Queue'!$E$6:$E$461=K$23)),'Evidence-First Cell Queue'!$X$6:$X$461)</f>
        <v/>
      </c>
    </row>
    <row r="35">
      <c r="A35" s="0" t="inlineStr">
        <is>
          <t>RNR-H12</t>
        </is>
      </c>
      <c r="B35" s="0">
        <f>INDEX('Evidence-First Cell Queue'!$C$6:$C$461,MATCH($A35,'Evidence-First Cell Queue'!$B$6:$B$461,0))</f>
        <v/>
      </c>
      <c r="C35" s="0">
        <f>INDEX('Evidence-First Cell Queue'!$D$6:$D$461,MATCH($A35,'Evidence-First Cell Queue'!$B$6:$B$461,0))</f>
        <v/>
      </c>
      <c r="D35" s="36">
        <f>LOOKUP(2,1/(('Evidence-First Cell Queue'!$B$6:$B$461=$A35)*('Evidence-First Cell Queue'!$E$6:$E$461=D$23)),'Evidence-First Cell Queue'!$X$6:$X$461)</f>
        <v/>
      </c>
      <c r="E35" s="36">
        <f>LOOKUP(2,1/(('Evidence-First Cell Queue'!$B$6:$B$461=$A35)*('Evidence-First Cell Queue'!$E$6:$E$461=E$23)),'Evidence-First Cell Queue'!$X$6:$X$461)</f>
        <v/>
      </c>
      <c r="F35" s="36">
        <f>LOOKUP(2,1/(('Evidence-First Cell Queue'!$B$6:$B$461=$A35)*('Evidence-First Cell Queue'!$E$6:$E$461=F$23)),'Evidence-First Cell Queue'!$X$6:$X$461)</f>
        <v/>
      </c>
      <c r="G35" s="36">
        <f>LOOKUP(2,1/(('Evidence-First Cell Queue'!$B$6:$B$461=$A35)*('Evidence-First Cell Queue'!$E$6:$E$461=G$23)),'Evidence-First Cell Queue'!$X$6:$X$461)</f>
        <v/>
      </c>
      <c r="H35" s="36">
        <f>LOOKUP(2,1/(('Evidence-First Cell Queue'!$B$6:$B$461=$A35)*('Evidence-First Cell Queue'!$E$6:$E$461=H$23)),'Evidence-First Cell Queue'!$X$6:$X$461)</f>
        <v/>
      </c>
      <c r="I35" s="36">
        <f>LOOKUP(2,1/(('Evidence-First Cell Queue'!$B$6:$B$461=$A35)*('Evidence-First Cell Queue'!$E$6:$E$461=I$23)),'Evidence-First Cell Queue'!$X$6:$X$461)</f>
        <v/>
      </c>
      <c r="J35" s="36">
        <f>LOOKUP(2,1/(('Evidence-First Cell Queue'!$B$6:$B$461=$A35)*('Evidence-First Cell Queue'!$E$6:$E$461=J$23)),'Evidence-First Cell Queue'!$X$6:$X$461)</f>
        <v/>
      </c>
      <c r="K35" s="36">
        <f>LOOKUP(2,1/(('Evidence-First Cell Queue'!$B$6:$B$461=$A35)*('Evidence-First Cell Queue'!$E$6:$E$461=K$23)),'Evidence-First Cell Queue'!$X$6:$X$461)</f>
        <v/>
      </c>
    </row>
    <row r="36">
      <c r="A36" s="0" t="inlineStr">
        <is>
          <t>RNR-H13</t>
        </is>
      </c>
      <c r="B36" s="0">
        <f>INDEX('Evidence-First Cell Queue'!$C$6:$C$461,MATCH($A36,'Evidence-First Cell Queue'!$B$6:$B$461,0))</f>
        <v/>
      </c>
      <c r="C36" s="0">
        <f>INDEX('Evidence-First Cell Queue'!$D$6:$D$461,MATCH($A36,'Evidence-First Cell Queue'!$B$6:$B$461,0))</f>
        <v/>
      </c>
      <c r="D36" s="36">
        <f>LOOKUP(2,1/(('Evidence-First Cell Queue'!$B$6:$B$461=$A36)*('Evidence-First Cell Queue'!$E$6:$E$461=D$23)),'Evidence-First Cell Queue'!$X$6:$X$461)</f>
        <v/>
      </c>
      <c r="E36" s="36">
        <f>LOOKUP(2,1/(('Evidence-First Cell Queue'!$B$6:$B$461=$A36)*('Evidence-First Cell Queue'!$E$6:$E$461=E$23)),'Evidence-First Cell Queue'!$X$6:$X$461)</f>
        <v/>
      </c>
      <c r="F36" s="36">
        <f>LOOKUP(2,1/(('Evidence-First Cell Queue'!$B$6:$B$461=$A36)*('Evidence-First Cell Queue'!$E$6:$E$461=F$23)),'Evidence-First Cell Queue'!$X$6:$X$461)</f>
        <v/>
      </c>
      <c r="G36" s="36">
        <f>LOOKUP(2,1/(('Evidence-First Cell Queue'!$B$6:$B$461=$A36)*('Evidence-First Cell Queue'!$E$6:$E$461=G$23)),'Evidence-First Cell Queue'!$X$6:$X$461)</f>
        <v/>
      </c>
      <c r="H36" s="36">
        <f>LOOKUP(2,1/(('Evidence-First Cell Queue'!$B$6:$B$461=$A36)*('Evidence-First Cell Queue'!$E$6:$E$461=H$23)),'Evidence-First Cell Queue'!$X$6:$X$461)</f>
        <v/>
      </c>
      <c r="I36" s="36">
        <f>LOOKUP(2,1/(('Evidence-First Cell Queue'!$B$6:$B$461=$A36)*('Evidence-First Cell Queue'!$E$6:$E$461=I$23)),'Evidence-First Cell Queue'!$X$6:$X$461)</f>
        <v/>
      </c>
      <c r="J36" s="36">
        <f>LOOKUP(2,1/(('Evidence-First Cell Queue'!$B$6:$B$461=$A36)*('Evidence-First Cell Queue'!$E$6:$E$461=J$23)),'Evidence-First Cell Queue'!$X$6:$X$461)</f>
        <v/>
      </c>
      <c r="K36" s="36">
        <f>LOOKUP(2,1/(('Evidence-First Cell Queue'!$B$6:$B$461=$A36)*('Evidence-First Cell Queue'!$E$6:$E$461=K$23)),'Evidence-First Cell Queue'!$X$6:$X$461)</f>
        <v/>
      </c>
    </row>
    <row r="37">
      <c r="A37" s="0" t="inlineStr">
        <is>
          <t>RNR-H14</t>
        </is>
      </c>
      <c r="B37" s="0">
        <f>INDEX('Evidence-First Cell Queue'!$C$6:$C$461,MATCH($A37,'Evidence-First Cell Queue'!$B$6:$B$461,0))</f>
        <v/>
      </c>
      <c r="C37" s="0">
        <f>INDEX('Evidence-First Cell Queue'!$D$6:$D$461,MATCH($A37,'Evidence-First Cell Queue'!$B$6:$B$461,0))</f>
        <v/>
      </c>
      <c r="D37" s="36">
        <f>LOOKUP(2,1/(('Evidence-First Cell Queue'!$B$6:$B$461=$A37)*('Evidence-First Cell Queue'!$E$6:$E$461=D$23)),'Evidence-First Cell Queue'!$X$6:$X$461)</f>
        <v/>
      </c>
      <c r="E37" s="36">
        <f>LOOKUP(2,1/(('Evidence-First Cell Queue'!$B$6:$B$461=$A37)*('Evidence-First Cell Queue'!$E$6:$E$461=E$23)),'Evidence-First Cell Queue'!$X$6:$X$461)</f>
        <v/>
      </c>
      <c r="F37" s="36">
        <f>LOOKUP(2,1/(('Evidence-First Cell Queue'!$B$6:$B$461=$A37)*('Evidence-First Cell Queue'!$E$6:$E$461=F$23)),'Evidence-First Cell Queue'!$X$6:$X$461)</f>
        <v/>
      </c>
      <c r="G37" s="36">
        <f>LOOKUP(2,1/(('Evidence-First Cell Queue'!$B$6:$B$461=$A37)*('Evidence-First Cell Queue'!$E$6:$E$461=G$23)),'Evidence-First Cell Queue'!$X$6:$X$461)</f>
        <v/>
      </c>
      <c r="H37" s="36">
        <f>LOOKUP(2,1/(('Evidence-First Cell Queue'!$B$6:$B$461=$A37)*('Evidence-First Cell Queue'!$E$6:$E$461=H$23)),'Evidence-First Cell Queue'!$X$6:$X$461)</f>
        <v/>
      </c>
      <c r="I37" s="36">
        <f>LOOKUP(2,1/(('Evidence-First Cell Queue'!$B$6:$B$461=$A37)*('Evidence-First Cell Queue'!$E$6:$E$461=I$23)),'Evidence-First Cell Queue'!$X$6:$X$461)</f>
        <v/>
      </c>
      <c r="J37" s="36">
        <f>LOOKUP(2,1/(('Evidence-First Cell Queue'!$B$6:$B$461=$A37)*('Evidence-First Cell Queue'!$E$6:$E$461=J$23)),'Evidence-First Cell Queue'!$X$6:$X$461)</f>
        <v/>
      </c>
      <c r="K37" s="36">
        <f>LOOKUP(2,1/(('Evidence-First Cell Queue'!$B$6:$B$461=$A37)*('Evidence-First Cell Queue'!$E$6:$E$461=K$23)),'Evidence-First Cell Queue'!$X$6:$X$461)</f>
        <v/>
      </c>
    </row>
    <row r="38">
      <c r="A38" s="0" t="inlineStr">
        <is>
          <t>RNR-H15</t>
        </is>
      </c>
      <c r="B38" s="0">
        <f>INDEX('Evidence-First Cell Queue'!$C$6:$C$461,MATCH($A38,'Evidence-First Cell Queue'!$B$6:$B$461,0))</f>
        <v/>
      </c>
      <c r="C38" s="0">
        <f>INDEX('Evidence-First Cell Queue'!$D$6:$D$461,MATCH($A38,'Evidence-First Cell Queue'!$B$6:$B$461,0))</f>
        <v/>
      </c>
      <c r="D38" s="36">
        <f>LOOKUP(2,1/(('Evidence-First Cell Queue'!$B$6:$B$461=$A38)*('Evidence-First Cell Queue'!$E$6:$E$461=D$23)),'Evidence-First Cell Queue'!$X$6:$X$461)</f>
        <v/>
      </c>
      <c r="E38" s="36">
        <f>LOOKUP(2,1/(('Evidence-First Cell Queue'!$B$6:$B$461=$A38)*('Evidence-First Cell Queue'!$E$6:$E$461=E$23)),'Evidence-First Cell Queue'!$X$6:$X$461)</f>
        <v/>
      </c>
      <c r="F38" s="36">
        <f>LOOKUP(2,1/(('Evidence-First Cell Queue'!$B$6:$B$461=$A38)*('Evidence-First Cell Queue'!$E$6:$E$461=F$23)),'Evidence-First Cell Queue'!$X$6:$X$461)</f>
        <v/>
      </c>
      <c r="G38" s="36">
        <f>LOOKUP(2,1/(('Evidence-First Cell Queue'!$B$6:$B$461=$A38)*('Evidence-First Cell Queue'!$E$6:$E$461=G$23)),'Evidence-First Cell Queue'!$X$6:$X$461)</f>
        <v/>
      </c>
      <c r="H38" s="36">
        <f>LOOKUP(2,1/(('Evidence-First Cell Queue'!$B$6:$B$461=$A38)*('Evidence-First Cell Queue'!$E$6:$E$461=H$23)),'Evidence-First Cell Queue'!$X$6:$X$461)</f>
        <v/>
      </c>
      <c r="I38" s="36">
        <f>LOOKUP(2,1/(('Evidence-First Cell Queue'!$B$6:$B$461=$A38)*('Evidence-First Cell Queue'!$E$6:$E$461=I$23)),'Evidence-First Cell Queue'!$X$6:$X$461)</f>
        <v/>
      </c>
      <c r="J38" s="36">
        <f>LOOKUP(2,1/(('Evidence-First Cell Queue'!$B$6:$B$461=$A38)*('Evidence-First Cell Queue'!$E$6:$E$461=J$23)),'Evidence-First Cell Queue'!$X$6:$X$461)</f>
        <v/>
      </c>
      <c r="K38" s="36">
        <f>LOOKUP(2,1/(('Evidence-First Cell Queue'!$B$6:$B$461=$A38)*('Evidence-First Cell Queue'!$E$6:$E$461=K$23)),'Evidence-First Cell Queue'!$X$6:$X$461)</f>
        <v/>
      </c>
    </row>
    <row r="39">
      <c r="A39" s="0" t="inlineStr">
        <is>
          <t>RNR-H16</t>
        </is>
      </c>
      <c r="B39" s="0">
        <f>INDEX('Evidence-First Cell Queue'!$C$6:$C$461,MATCH($A39,'Evidence-First Cell Queue'!$B$6:$B$461,0))</f>
        <v/>
      </c>
      <c r="C39" s="0">
        <f>INDEX('Evidence-First Cell Queue'!$D$6:$D$461,MATCH($A39,'Evidence-First Cell Queue'!$B$6:$B$461,0))</f>
        <v/>
      </c>
      <c r="D39" s="36">
        <f>LOOKUP(2,1/(('Evidence-First Cell Queue'!$B$6:$B$461=$A39)*('Evidence-First Cell Queue'!$E$6:$E$461=D$23)),'Evidence-First Cell Queue'!$X$6:$X$461)</f>
        <v/>
      </c>
      <c r="E39" s="36">
        <f>LOOKUP(2,1/(('Evidence-First Cell Queue'!$B$6:$B$461=$A39)*('Evidence-First Cell Queue'!$E$6:$E$461=E$23)),'Evidence-First Cell Queue'!$X$6:$X$461)</f>
        <v/>
      </c>
      <c r="F39" s="36">
        <f>LOOKUP(2,1/(('Evidence-First Cell Queue'!$B$6:$B$461=$A39)*('Evidence-First Cell Queue'!$E$6:$E$461=F$23)),'Evidence-First Cell Queue'!$X$6:$X$461)</f>
        <v/>
      </c>
      <c r="G39" s="36">
        <f>LOOKUP(2,1/(('Evidence-First Cell Queue'!$B$6:$B$461=$A39)*('Evidence-First Cell Queue'!$E$6:$E$461=G$23)),'Evidence-First Cell Queue'!$X$6:$X$461)</f>
        <v/>
      </c>
      <c r="H39" s="36">
        <f>LOOKUP(2,1/(('Evidence-First Cell Queue'!$B$6:$B$461=$A39)*('Evidence-First Cell Queue'!$E$6:$E$461=H$23)),'Evidence-First Cell Queue'!$X$6:$X$461)</f>
        <v/>
      </c>
      <c r="I39" s="36">
        <f>LOOKUP(2,1/(('Evidence-First Cell Queue'!$B$6:$B$461=$A39)*('Evidence-First Cell Queue'!$E$6:$E$461=I$23)),'Evidence-First Cell Queue'!$X$6:$X$461)</f>
        <v/>
      </c>
      <c r="J39" s="36">
        <f>LOOKUP(2,1/(('Evidence-First Cell Queue'!$B$6:$B$461=$A39)*('Evidence-First Cell Queue'!$E$6:$E$461=J$23)),'Evidence-First Cell Queue'!$X$6:$X$461)</f>
        <v/>
      </c>
      <c r="K39" s="36">
        <f>LOOKUP(2,1/(('Evidence-First Cell Queue'!$B$6:$B$461=$A39)*('Evidence-First Cell Queue'!$E$6:$E$461=K$23)),'Evidence-First Cell Queue'!$X$6:$X$461)</f>
        <v/>
      </c>
    </row>
    <row r="40">
      <c r="A40" s="0" t="inlineStr">
        <is>
          <t>RNR-H17</t>
        </is>
      </c>
      <c r="B40" s="0">
        <f>INDEX('Evidence-First Cell Queue'!$C$6:$C$461,MATCH($A40,'Evidence-First Cell Queue'!$B$6:$B$461,0))</f>
        <v/>
      </c>
      <c r="C40" s="0">
        <f>INDEX('Evidence-First Cell Queue'!$D$6:$D$461,MATCH($A40,'Evidence-First Cell Queue'!$B$6:$B$461,0))</f>
        <v/>
      </c>
      <c r="D40" s="36">
        <f>LOOKUP(2,1/(('Evidence-First Cell Queue'!$B$6:$B$461=$A40)*('Evidence-First Cell Queue'!$E$6:$E$461=D$23)),'Evidence-First Cell Queue'!$X$6:$X$461)</f>
        <v/>
      </c>
      <c r="E40" s="36">
        <f>LOOKUP(2,1/(('Evidence-First Cell Queue'!$B$6:$B$461=$A40)*('Evidence-First Cell Queue'!$E$6:$E$461=E$23)),'Evidence-First Cell Queue'!$X$6:$X$461)</f>
        <v/>
      </c>
      <c r="F40" s="36">
        <f>LOOKUP(2,1/(('Evidence-First Cell Queue'!$B$6:$B$461=$A40)*('Evidence-First Cell Queue'!$E$6:$E$461=F$23)),'Evidence-First Cell Queue'!$X$6:$X$461)</f>
        <v/>
      </c>
      <c r="G40" s="36">
        <f>LOOKUP(2,1/(('Evidence-First Cell Queue'!$B$6:$B$461=$A40)*('Evidence-First Cell Queue'!$E$6:$E$461=G$23)),'Evidence-First Cell Queue'!$X$6:$X$461)</f>
        <v/>
      </c>
      <c r="H40" s="36">
        <f>LOOKUP(2,1/(('Evidence-First Cell Queue'!$B$6:$B$461=$A40)*('Evidence-First Cell Queue'!$E$6:$E$461=H$23)),'Evidence-First Cell Queue'!$X$6:$X$461)</f>
        <v/>
      </c>
      <c r="I40" s="36">
        <f>LOOKUP(2,1/(('Evidence-First Cell Queue'!$B$6:$B$461=$A40)*('Evidence-First Cell Queue'!$E$6:$E$461=I$23)),'Evidence-First Cell Queue'!$X$6:$X$461)</f>
        <v/>
      </c>
      <c r="J40" s="36">
        <f>LOOKUP(2,1/(('Evidence-First Cell Queue'!$B$6:$B$461=$A40)*('Evidence-First Cell Queue'!$E$6:$E$461=J$23)),'Evidence-First Cell Queue'!$X$6:$X$461)</f>
        <v/>
      </c>
      <c r="K40" s="36">
        <f>LOOKUP(2,1/(('Evidence-First Cell Queue'!$B$6:$B$461=$A40)*('Evidence-First Cell Queue'!$E$6:$E$461=K$23)),'Evidence-First Cell Queue'!$X$6:$X$461)</f>
        <v/>
      </c>
    </row>
    <row r="41">
      <c r="A41" s="0" t="inlineStr">
        <is>
          <t>RNR-H18</t>
        </is>
      </c>
      <c r="B41" s="0">
        <f>INDEX('Evidence-First Cell Queue'!$C$6:$C$461,MATCH($A41,'Evidence-First Cell Queue'!$B$6:$B$461,0))</f>
        <v/>
      </c>
      <c r="C41" s="0">
        <f>INDEX('Evidence-First Cell Queue'!$D$6:$D$461,MATCH($A41,'Evidence-First Cell Queue'!$B$6:$B$461,0))</f>
        <v/>
      </c>
      <c r="D41" s="36">
        <f>LOOKUP(2,1/(('Evidence-First Cell Queue'!$B$6:$B$461=$A41)*('Evidence-First Cell Queue'!$E$6:$E$461=D$23)),'Evidence-First Cell Queue'!$X$6:$X$461)</f>
        <v/>
      </c>
      <c r="E41" s="36">
        <f>LOOKUP(2,1/(('Evidence-First Cell Queue'!$B$6:$B$461=$A41)*('Evidence-First Cell Queue'!$E$6:$E$461=E$23)),'Evidence-First Cell Queue'!$X$6:$X$461)</f>
        <v/>
      </c>
      <c r="F41" s="36">
        <f>LOOKUP(2,1/(('Evidence-First Cell Queue'!$B$6:$B$461=$A41)*('Evidence-First Cell Queue'!$E$6:$E$461=F$23)),'Evidence-First Cell Queue'!$X$6:$X$461)</f>
        <v/>
      </c>
      <c r="G41" s="36">
        <f>LOOKUP(2,1/(('Evidence-First Cell Queue'!$B$6:$B$461=$A41)*('Evidence-First Cell Queue'!$E$6:$E$461=G$23)),'Evidence-First Cell Queue'!$X$6:$X$461)</f>
        <v/>
      </c>
      <c r="H41" s="36">
        <f>LOOKUP(2,1/(('Evidence-First Cell Queue'!$B$6:$B$461=$A41)*('Evidence-First Cell Queue'!$E$6:$E$461=H$23)),'Evidence-First Cell Queue'!$X$6:$X$461)</f>
        <v/>
      </c>
      <c r="I41" s="36">
        <f>LOOKUP(2,1/(('Evidence-First Cell Queue'!$B$6:$B$461=$A41)*('Evidence-First Cell Queue'!$E$6:$E$461=I$23)),'Evidence-First Cell Queue'!$X$6:$X$461)</f>
        <v/>
      </c>
      <c r="J41" s="36">
        <f>LOOKUP(2,1/(('Evidence-First Cell Queue'!$B$6:$B$461=$A41)*('Evidence-First Cell Queue'!$E$6:$E$461=J$23)),'Evidence-First Cell Queue'!$X$6:$X$461)</f>
        <v/>
      </c>
      <c r="K41" s="36">
        <f>LOOKUP(2,1/(('Evidence-First Cell Queue'!$B$6:$B$461=$A41)*('Evidence-First Cell Queue'!$E$6:$E$461=K$23)),'Evidence-First Cell Queue'!$X$6:$X$461)</f>
        <v/>
      </c>
    </row>
    <row r="42">
      <c r="A42" s="0" t="inlineStr">
        <is>
          <t>RNR-H19</t>
        </is>
      </c>
      <c r="B42" s="0">
        <f>INDEX('Evidence-First Cell Queue'!$C$6:$C$461,MATCH($A42,'Evidence-First Cell Queue'!$B$6:$B$461,0))</f>
        <v/>
      </c>
      <c r="C42" s="0">
        <f>INDEX('Evidence-First Cell Queue'!$D$6:$D$461,MATCH($A42,'Evidence-First Cell Queue'!$B$6:$B$461,0))</f>
        <v/>
      </c>
      <c r="D42" s="36">
        <f>LOOKUP(2,1/(('Evidence-First Cell Queue'!$B$6:$B$461=$A42)*('Evidence-First Cell Queue'!$E$6:$E$461=D$23)),'Evidence-First Cell Queue'!$X$6:$X$461)</f>
        <v/>
      </c>
      <c r="E42" s="36">
        <f>LOOKUP(2,1/(('Evidence-First Cell Queue'!$B$6:$B$461=$A42)*('Evidence-First Cell Queue'!$E$6:$E$461=E$23)),'Evidence-First Cell Queue'!$X$6:$X$461)</f>
        <v/>
      </c>
      <c r="F42" s="36">
        <f>LOOKUP(2,1/(('Evidence-First Cell Queue'!$B$6:$B$461=$A42)*('Evidence-First Cell Queue'!$E$6:$E$461=F$23)),'Evidence-First Cell Queue'!$X$6:$X$461)</f>
        <v/>
      </c>
      <c r="G42" s="36">
        <f>LOOKUP(2,1/(('Evidence-First Cell Queue'!$B$6:$B$461=$A42)*('Evidence-First Cell Queue'!$E$6:$E$461=G$23)),'Evidence-First Cell Queue'!$X$6:$X$461)</f>
        <v/>
      </c>
      <c r="H42" s="36">
        <f>LOOKUP(2,1/(('Evidence-First Cell Queue'!$B$6:$B$461=$A42)*('Evidence-First Cell Queue'!$E$6:$E$461=H$23)),'Evidence-First Cell Queue'!$X$6:$X$461)</f>
        <v/>
      </c>
      <c r="I42" s="36">
        <f>LOOKUP(2,1/(('Evidence-First Cell Queue'!$B$6:$B$461=$A42)*('Evidence-First Cell Queue'!$E$6:$E$461=I$23)),'Evidence-First Cell Queue'!$X$6:$X$461)</f>
        <v/>
      </c>
      <c r="J42" s="36">
        <f>LOOKUP(2,1/(('Evidence-First Cell Queue'!$B$6:$B$461=$A42)*('Evidence-First Cell Queue'!$E$6:$E$461=J$23)),'Evidence-First Cell Queue'!$X$6:$X$461)</f>
        <v/>
      </c>
      <c r="K42" s="36">
        <f>LOOKUP(2,1/(('Evidence-First Cell Queue'!$B$6:$B$461=$A42)*('Evidence-First Cell Queue'!$E$6:$E$461=K$23)),'Evidence-First Cell Queue'!$X$6:$X$461)</f>
        <v/>
      </c>
    </row>
    <row r="43">
      <c r="A43" s="0" t="inlineStr">
        <is>
          <t>RNR-H20</t>
        </is>
      </c>
      <c r="B43" s="0">
        <f>INDEX('Evidence-First Cell Queue'!$C$6:$C$461,MATCH($A43,'Evidence-First Cell Queue'!$B$6:$B$461,0))</f>
        <v/>
      </c>
      <c r="C43" s="0">
        <f>INDEX('Evidence-First Cell Queue'!$D$6:$D$461,MATCH($A43,'Evidence-First Cell Queue'!$B$6:$B$461,0))</f>
        <v/>
      </c>
      <c r="D43" s="36">
        <f>LOOKUP(2,1/(('Evidence-First Cell Queue'!$B$6:$B$461=$A43)*('Evidence-First Cell Queue'!$E$6:$E$461=D$23)),'Evidence-First Cell Queue'!$X$6:$X$461)</f>
        <v/>
      </c>
      <c r="E43" s="36">
        <f>LOOKUP(2,1/(('Evidence-First Cell Queue'!$B$6:$B$461=$A43)*('Evidence-First Cell Queue'!$E$6:$E$461=E$23)),'Evidence-First Cell Queue'!$X$6:$X$461)</f>
        <v/>
      </c>
      <c r="F43" s="36">
        <f>LOOKUP(2,1/(('Evidence-First Cell Queue'!$B$6:$B$461=$A43)*('Evidence-First Cell Queue'!$E$6:$E$461=F$23)),'Evidence-First Cell Queue'!$X$6:$X$461)</f>
        <v/>
      </c>
      <c r="G43" s="36">
        <f>LOOKUP(2,1/(('Evidence-First Cell Queue'!$B$6:$B$461=$A43)*('Evidence-First Cell Queue'!$E$6:$E$461=G$23)),'Evidence-First Cell Queue'!$X$6:$X$461)</f>
        <v/>
      </c>
      <c r="H43" s="36">
        <f>LOOKUP(2,1/(('Evidence-First Cell Queue'!$B$6:$B$461=$A43)*('Evidence-First Cell Queue'!$E$6:$E$461=H$23)),'Evidence-First Cell Queue'!$X$6:$X$461)</f>
        <v/>
      </c>
      <c r="I43" s="36">
        <f>LOOKUP(2,1/(('Evidence-First Cell Queue'!$B$6:$B$461=$A43)*('Evidence-First Cell Queue'!$E$6:$E$461=I$23)),'Evidence-First Cell Queue'!$X$6:$X$461)</f>
        <v/>
      </c>
      <c r="J43" s="36">
        <f>LOOKUP(2,1/(('Evidence-First Cell Queue'!$B$6:$B$461=$A43)*('Evidence-First Cell Queue'!$E$6:$E$461=J$23)),'Evidence-First Cell Queue'!$X$6:$X$461)</f>
        <v/>
      </c>
      <c r="K43" s="36">
        <f>LOOKUP(2,1/(('Evidence-First Cell Queue'!$B$6:$B$461=$A43)*('Evidence-First Cell Queue'!$E$6:$E$461=K$23)),'Evidence-First Cell Queue'!$X$6:$X$461)</f>
        <v/>
      </c>
    </row>
    <row r="44">
      <c r="A44" s="0" t="inlineStr">
        <is>
          <t>RNR-H21</t>
        </is>
      </c>
      <c r="B44" s="0">
        <f>INDEX('Evidence-First Cell Queue'!$C$6:$C$461,MATCH($A44,'Evidence-First Cell Queue'!$B$6:$B$461,0))</f>
        <v/>
      </c>
      <c r="C44" s="0">
        <f>INDEX('Evidence-First Cell Queue'!$D$6:$D$461,MATCH($A44,'Evidence-First Cell Queue'!$B$6:$B$461,0))</f>
        <v/>
      </c>
      <c r="D44" s="36">
        <f>LOOKUP(2,1/(('Evidence-First Cell Queue'!$B$6:$B$461=$A44)*('Evidence-First Cell Queue'!$E$6:$E$461=D$23)),'Evidence-First Cell Queue'!$X$6:$X$461)</f>
        <v/>
      </c>
      <c r="E44" s="36">
        <f>LOOKUP(2,1/(('Evidence-First Cell Queue'!$B$6:$B$461=$A44)*('Evidence-First Cell Queue'!$E$6:$E$461=E$23)),'Evidence-First Cell Queue'!$X$6:$X$461)</f>
        <v/>
      </c>
      <c r="F44" s="36">
        <f>LOOKUP(2,1/(('Evidence-First Cell Queue'!$B$6:$B$461=$A44)*('Evidence-First Cell Queue'!$E$6:$E$461=F$23)),'Evidence-First Cell Queue'!$X$6:$X$461)</f>
        <v/>
      </c>
      <c r="G44" s="36">
        <f>LOOKUP(2,1/(('Evidence-First Cell Queue'!$B$6:$B$461=$A44)*('Evidence-First Cell Queue'!$E$6:$E$461=G$23)),'Evidence-First Cell Queue'!$X$6:$X$461)</f>
        <v/>
      </c>
      <c r="H44" s="36">
        <f>LOOKUP(2,1/(('Evidence-First Cell Queue'!$B$6:$B$461=$A44)*('Evidence-First Cell Queue'!$E$6:$E$461=H$23)),'Evidence-First Cell Queue'!$X$6:$X$461)</f>
        <v/>
      </c>
      <c r="I44" s="36">
        <f>LOOKUP(2,1/(('Evidence-First Cell Queue'!$B$6:$B$461=$A44)*('Evidence-First Cell Queue'!$E$6:$E$461=I$23)),'Evidence-First Cell Queue'!$X$6:$X$461)</f>
        <v/>
      </c>
      <c r="J44" s="36">
        <f>LOOKUP(2,1/(('Evidence-First Cell Queue'!$B$6:$B$461=$A44)*('Evidence-First Cell Queue'!$E$6:$E$461=J$23)),'Evidence-First Cell Queue'!$X$6:$X$461)</f>
        <v/>
      </c>
      <c r="K44" s="36">
        <f>LOOKUP(2,1/(('Evidence-First Cell Queue'!$B$6:$B$461=$A44)*('Evidence-First Cell Queue'!$E$6:$E$461=K$23)),'Evidence-First Cell Queue'!$X$6:$X$461)</f>
        <v/>
      </c>
    </row>
    <row r="45">
      <c r="A45" s="0" t="inlineStr">
        <is>
          <t>RNR-H22</t>
        </is>
      </c>
      <c r="B45" s="0">
        <f>INDEX('Evidence-First Cell Queue'!$C$6:$C$461,MATCH($A45,'Evidence-First Cell Queue'!$B$6:$B$461,0))</f>
        <v/>
      </c>
      <c r="C45" s="0">
        <f>INDEX('Evidence-First Cell Queue'!$D$6:$D$461,MATCH($A45,'Evidence-First Cell Queue'!$B$6:$B$461,0))</f>
        <v/>
      </c>
      <c r="D45" s="36">
        <f>LOOKUP(2,1/(('Evidence-First Cell Queue'!$B$6:$B$461=$A45)*('Evidence-First Cell Queue'!$E$6:$E$461=D$23)),'Evidence-First Cell Queue'!$X$6:$X$461)</f>
        <v/>
      </c>
      <c r="E45" s="36">
        <f>LOOKUP(2,1/(('Evidence-First Cell Queue'!$B$6:$B$461=$A45)*('Evidence-First Cell Queue'!$E$6:$E$461=E$23)),'Evidence-First Cell Queue'!$X$6:$X$461)</f>
        <v/>
      </c>
      <c r="F45" s="36">
        <f>LOOKUP(2,1/(('Evidence-First Cell Queue'!$B$6:$B$461=$A45)*('Evidence-First Cell Queue'!$E$6:$E$461=F$23)),'Evidence-First Cell Queue'!$X$6:$X$461)</f>
        <v/>
      </c>
      <c r="G45" s="36">
        <f>LOOKUP(2,1/(('Evidence-First Cell Queue'!$B$6:$B$461=$A45)*('Evidence-First Cell Queue'!$E$6:$E$461=G$23)),'Evidence-First Cell Queue'!$X$6:$X$461)</f>
        <v/>
      </c>
      <c r="H45" s="36">
        <f>LOOKUP(2,1/(('Evidence-First Cell Queue'!$B$6:$B$461=$A45)*('Evidence-First Cell Queue'!$E$6:$E$461=H$23)),'Evidence-First Cell Queue'!$X$6:$X$461)</f>
        <v/>
      </c>
      <c r="I45" s="36">
        <f>LOOKUP(2,1/(('Evidence-First Cell Queue'!$B$6:$B$461=$A45)*('Evidence-First Cell Queue'!$E$6:$E$461=I$23)),'Evidence-First Cell Queue'!$X$6:$X$461)</f>
        <v/>
      </c>
      <c r="J45" s="36">
        <f>LOOKUP(2,1/(('Evidence-First Cell Queue'!$B$6:$B$461=$A45)*('Evidence-First Cell Queue'!$E$6:$E$461=J$23)),'Evidence-First Cell Queue'!$X$6:$X$461)</f>
        <v/>
      </c>
      <c r="K45" s="36">
        <f>LOOKUP(2,1/(('Evidence-First Cell Queue'!$B$6:$B$461=$A45)*('Evidence-First Cell Queue'!$E$6:$E$461=K$23)),'Evidence-First Cell Queue'!$X$6:$X$461)</f>
        <v/>
      </c>
    </row>
    <row r="46">
      <c r="A46" s="0" t="inlineStr">
        <is>
          <t>RNR-H23</t>
        </is>
      </c>
      <c r="B46" s="0">
        <f>INDEX('Evidence-First Cell Queue'!$C$6:$C$461,MATCH($A46,'Evidence-First Cell Queue'!$B$6:$B$461,0))</f>
        <v/>
      </c>
      <c r="C46" s="0">
        <f>INDEX('Evidence-First Cell Queue'!$D$6:$D$461,MATCH($A46,'Evidence-First Cell Queue'!$B$6:$B$461,0))</f>
        <v/>
      </c>
      <c r="D46" s="36">
        <f>LOOKUP(2,1/(('Evidence-First Cell Queue'!$B$6:$B$461=$A46)*('Evidence-First Cell Queue'!$E$6:$E$461=D$23)),'Evidence-First Cell Queue'!$X$6:$X$461)</f>
        <v/>
      </c>
      <c r="E46" s="36">
        <f>LOOKUP(2,1/(('Evidence-First Cell Queue'!$B$6:$B$461=$A46)*('Evidence-First Cell Queue'!$E$6:$E$461=E$23)),'Evidence-First Cell Queue'!$X$6:$X$461)</f>
        <v/>
      </c>
      <c r="F46" s="36">
        <f>LOOKUP(2,1/(('Evidence-First Cell Queue'!$B$6:$B$461=$A46)*('Evidence-First Cell Queue'!$E$6:$E$461=F$23)),'Evidence-First Cell Queue'!$X$6:$X$461)</f>
        <v/>
      </c>
      <c r="G46" s="36">
        <f>LOOKUP(2,1/(('Evidence-First Cell Queue'!$B$6:$B$461=$A46)*('Evidence-First Cell Queue'!$E$6:$E$461=G$23)),'Evidence-First Cell Queue'!$X$6:$X$461)</f>
        <v/>
      </c>
      <c r="H46" s="36">
        <f>LOOKUP(2,1/(('Evidence-First Cell Queue'!$B$6:$B$461=$A46)*('Evidence-First Cell Queue'!$E$6:$E$461=H$23)),'Evidence-First Cell Queue'!$X$6:$X$461)</f>
        <v/>
      </c>
      <c r="I46" s="36">
        <f>LOOKUP(2,1/(('Evidence-First Cell Queue'!$B$6:$B$461=$A46)*('Evidence-First Cell Queue'!$E$6:$E$461=I$23)),'Evidence-First Cell Queue'!$X$6:$X$461)</f>
        <v/>
      </c>
      <c r="J46" s="36">
        <f>LOOKUP(2,1/(('Evidence-First Cell Queue'!$B$6:$B$461=$A46)*('Evidence-First Cell Queue'!$E$6:$E$461=J$23)),'Evidence-First Cell Queue'!$X$6:$X$461)</f>
        <v/>
      </c>
      <c r="K46" s="36">
        <f>LOOKUP(2,1/(('Evidence-First Cell Queue'!$B$6:$B$461=$A46)*('Evidence-First Cell Queue'!$E$6:$E$461=K$23)),'Evidence-First Cell Queue'!$X$6:$X$461)</f>
        <v/>
      </c>
    </row>
    <row r="47">
      <c r="A47" s="0" t="inlineStr">
        <is>
          <t>RNR-H24</t>
        </is>
      </c>
      <c r="B47" s="0">
        <f>INDEX('Evidence-First Cell Queue'!$C$6:$C$461,MATCH($A47,'Evidence-First Cell Queue'!$B$6:$B$461,0))</f>
        <v/>
      </c>
      <c r="C47" s="0">
        <f>INDEX('Evidence-First Cell Queue'!$D$6:$D$461,MATCH($A47,'Evidence-First Cell Queue'!$B$6:$B$461,0))</f>
        <v/>
      </c>
      <c r="D47" s="36">
        <f>LOOKUP(2,1/(('Evidence-First Cell Queue'!$B$6:$B$461=$A47)*('Evidence-First Cell Queue'!$E$6:$E$461=D$23)),'Evidence-First Cell Queue'!$X$6:$X$461)</f>
        <v/>
      </c>
      <c r="E47" s="36">
        <f>LOOKUP(2,1/(('Evidence-First Cell Queue'!$B$6:$B$461=$A47)*('Evidence-First Cell Queue'!$E$6:$E$461=E$23)),'Evidence-First Cell Queue'!$X$6:$X$461)</f>
        <v/>
      </c>
      <c r="F47" s="36">
        <f>LOOKUP(2,1/(('Evidence-First Cell Queue'!$B$6:$B$461=$A47)*('Evidence-First Cell Queue'!$E$6:$E$461=F$23)),'Evidence-First Cell Queue'!$X$6:$X$461)</f>
        <v/>
      </c>
      <c r="G47" s="36">
        <f>LOOKUP(2,1/(('Evidence-First Cell Queue'!$B$6:$B$461=$A47)*('Evidence-First Cell Queue'!$E$6:$E$461=G$23)),'Evidence-First Cell Queue'!$X$6:$X$461)</f>
        <v/>
      </c>
      <c r="H47" s="36">
        <f>LOOKUP(2,1/(('Evidence-First Cell Queue'!$B$6:$B$461=$A47)*('Evidence-First Cell Queue'!$E$6:$E$461=H$23)),'Evidence-First Cell Queue'!$X$6:$X$461)</f>
        <v/>
      </c>
      <c r="I47" s="36">
        <f>LOOKUP(2,1/(('Evidence-First Cell Queue'!$B$6:$B$461=$A47)*('Evidence-First Cell Queue'!$E$6:$E$461=I$23)),'Evidence-First Cell Queue'!$X$6:$X$461)</f>
        <v/>
      </c>
      <c r="J47" s="36">
        <f>LOOKUP(2,1/(('Evidence-First Cell Queue'!$B$6:$B$461=$A47)*('Evidence-First Cell Queue'!$E$6:$E$461=J$23)),'Evidence-First Cell Queue'!$X$6:$X$461)</f>
        <v/>
      </c>
      <c r="K47" s="36">
        <f>LOOKUP(2,1/(('Evidence-First Cell Queue'!$B$6:$B$461=$A47)*('Evidence-First Cell Queue'!$E$6:$E$461=K$23)),'Evidence-First Cell Queue'!$X$6:$X$461)</f>
        <v/>
      </c>
    </row>
    <row r="48">
      <c r="A48" s="0" t="inlineStr">
        <is>
          <t>RNR-H25</t>
        </is>
      </c>
      <c r="B48" s="0">
        <f>INDEX('Evidence-First Cell Queue'!$C$6:$C$461,MATCH($A48,'Evidence-First Cell Queue'!$B$6:$B$461,0))</f>
        <v/>
      </c>
      <c r="C48" s="0">
        <f>INDEX('Evidence-First Cell Queue'!$D$6:$D$461,MATCH($A48,'Evidence-First Cell Queue'!$B$6:$B$461,0))</f>
        <v/>
      </c>
      <c r="D48" s="36">
        <f>LOOKUP(2,1/(('Evidence-First Cell Queue'!$B$6:$B$461=$A48)*('Evidence-First Cell Queue'!$E$6:$E$461=D$23)),'Evidence-First Cell Queue'!$X$6:$X$461)</f>
        <v/>
      </c>
      <c r="E48" s="36">
        <f>LOOKUP(2,1/(('Evidence-First Cell Queue'!$B$6:$B$461=$A48)*('Evidence-First Cell Queue'!$E$6:$E$461=E$23)),'Evidence-First Cell Queue'!$X$6:$X$461)</f>
        <v/>
      </c>
      <c r="F48" s="36">
        <f>LOOKUP(2,1/(('Evidence-First Cell Queue'!$B$6:$B$461=$A48)*('Evidence-First Cell Queue'!$E$6:$E$461=F$23)),'Evidence-First Cell Queue'!$X$6:$X$461)</f>
        <v/>
      </c>
      <c r="G48" s="36">
        <f>LOOKUP(2,1/(('Evidence-First Cell Queue'!$B$6:$B$461=$A48)*('Evidence-First Cell Queue'!$E$6:$E$461=G$23)),'Evidence-First Cell Queue'!$X$6:$X$461)</f>
        <v/>
      </c>
      <c r="H48" s="36">
        <f>LOOKUP(2,1/(('Evidence-First Cell Queue'!$B$6:$B$461=$A48)*('Evidence-First Cell Queue'!$E$6:$E$461=H$23)),'Evidence-First Cell Queue'!$X$6:$X$461)</f>
        <v/>
      </c>
      <c r="I48" s="36">
        <f>LOOKUP(2,1/(('Evidence-First Cell Queue'!$B$6:$B$461=$A48)*('Evidence-First Cell Queue'!$E$6:$E$461=I$23)),'Evidence-First Cell Queue'!$X$6:$X$461)</f>
        <v/>
      </c>
      <c r="J48" s="36">
        <f>LOOKUP(2,1/(('Evidence-First Cell Queue'!$B$6:$B$461=$A48)*('Evidence-First Cell Queue'!$E$6:$E$461=J$23)),'Evidence-First Cell Queue'!$X$6:$X$461)</f>
        <v/>
      </c>
      <c r="K48" s="36">
        <f>LOOKUP(2,1/(('Evidence-First Cell Queue'!$B$6:$B$461=$A48)*('Evidence-First Cell Queue'!$E$6:$E$461=K$23)),'Evidence-First Cell Queue'!$X$6:$X$461)</f>
        <v/>
      </c>
    </row>
    <row r="49">
      <c r="A49" s="0" t="inlineStr">
        <is>
          <t>RNR-H26</t>
        </is>
      </c>
      <c r="B49" s="0">
        <f>INDEX('Evidence-First Cell Queue'!$C$6:$C$461,MATCH($A49,'Evidence-First Cell Queue'!$B$6:$B$461,0))</f>
        <v/>
      </c>
      <c r="C49" s="0">
        <f>INDEX('Evidence-First Cell Queue'!$D$6:$D$461,MATCH($A49,'Evidence-First Cell Queue'!$B$6:$B$461,0))</f>
        <v/>
      </c>
      <c r="D49" s="36">
        <f>LOOKUP(2,1/(('Evidence-First Cell Queue'!$B$6:$B$461=$A49)*('Evidence-First Cell Queue'!$E$6:$E$461=D$23)),'Evidence-First Cell Queue'!$X$6:$X$461)</f>
        <v/>
      </c>
      <c r="E49" s="36">
        <f>LOOKUP(2,1/(('Evidence-First Cell Queue'!$B$6:$B$461=$A49)*('Evidence-First Cell Queue'!$E$6:$E$461=E$23)),'Evidence-First Cell Queue'!$X$6:$X$461)</f>
        <v/>
      </c>
      <c r="F49" s="36">
        <f>LOOKUP(2,1/(('Evidence-First Cell Queue'!$B$6:$B$461=$A49)*('Evidence-First Cell Queue'!$E$6:$E$461=F$23)),'Evidence-First Cell Queue'!$X$6:$X$461)</f>
        <v/>
      </c>
      <c r="G49" s="36">
        <f>LOOKUP(2,1/(('Evidence-First Cell Queue'!$B$6:$B$461=$A49)*('Evidence-First Cell Queue'!$E$6:$E$461=G$23)),'Evidence-First Cell Queue'!$X$6:$X$461)</f>
        <v/>
      </c>
      <c r="H49" s="36">
        <f>LOOKUP(2,1/(('Evidence-First Cell Queue'!$B$6:$B$461=$A49)*('Evidence-First Cell Queue'!$E$6:$E$461=H$23)),'Evidence-First Cell Queue'!$X$6:$X$461)</f>
        <v/>
      </c>
      <c r="I49" s="36">
        <f>LOOKUP(2,1/(('Evidence-First Cell Queue'!$B$6:$B$461=$A49)*('Evidence-First Cell Queue'!$E$6:$E$461=I$23)),'Evidence-First Cell Queue'!$X$6:$X$461)</f>
        <v/>
      </c>
      <c r="J49" s="36">
        <f>LOOKUP(2,1/(('Evidence-First Cell Queue'!$B$6:$B$461=$A49)*('Evidence-First Cell Queue'!$E$6:$E$461=J$23)),'Evidence-First Cell Queue'!$X$6:$X$461)</f>
        <v/>
      </c>
      <c r="K49" s="36">
        <f>LOOKUP(2,1/(('Evidence-First Cell Queue'!$B$6:$B$461=$A49)*('Evidence-First Cell Queue'!$E$6:$E$461=K$23)),'Evidence-First Cell Queue'!$X$6:$X$461)</f>
        <v/>
      </c>
    </row>
    <row r="50">
      <c r="A50" s="0" t="inlineStr">
        <is>
          <t>RNR-H27</t>
        </is>
      </c>
      <c r="B50" s="0">
        <f>INDEX('Evidence-First Cell Queue'!$C$6:$C$461,MATCH($A50,'Evidence-First Cell Queue'!$B$6:$B$461,0))</f>
        <v/>
      </c>
      <c r="C50" s="0">
        <f>INDEX('Evidence-First Cell Queue'!$D$6:$D$461,MATCH($A50,'Evidence-First Cell Queue'!$B$6:$B$461,0))</f>
        <v/>
      </c>
      <c r="D50" s="36">
        <f>LOOKUP(2,1/(('Evidence-First Cell Queue'!$B$6:$B$461=$A50)*('Evidence-First Cell Queue'!$E$6:$E$461=D$23)),'Evidence-First Cell Queue'!$X$6:$X$461)</f>
        <v/>
      </c>
      <c r="E50" s="36">
        <f>LOOKUP(2,1/(('Evidence-First Cell Queue'!$B$6:$B$461=$A50)*('Evidence-First Cell Queue'!$E$6:$E$461=E$23)),'Evidence-First Cell Queue'!$X$6:$X$461)</f>
        <v/>
      </c>
      <c r="F50" s="36">
        <f>LOOKUP(2,1/(('Evidence-First Cell Queue'!$B$6:$B$461=$A50)*('Evidence-First Cell Queue'!$E$6:$E$461=F$23)),'Evidence-First Cell Queue'!$X$6:$X$461)</f>
        <v/>
      </c>
      <c r="G50" s="36">
        <f>LOOKUP(2,1/(('Evidence-First Cell Queue'!$B$6:$B$461=$A50)*('Evidence-First Cell Queue'!$E$6:$E$461=G$23)),'Evidence-First Cell Queue'!$X$6:$X$461)</f>
        <v/>
      </c>
      <c r="H50" s="36">
        <f>LOOKUP(2,1/(('Evidence-First Cell Queue'!$B$6:$B$461=$A50)*('Evidence-First Cell Queue'!$E$6:$E$461=H$23)),'Evidence-First Cell Queue'!$X$6:$X$461)</f>
        <v/>
      </c>
      <c r="I50" s="36">
        <f>LOOKUP(2,1/(('Evidence-First Cell Queue'!$B$6:$B$461=$A50)*('Evidence-First Cell Queue'!$E$6:$E$461=I$23)),'Evidence-First Cell Queue'!$X$6:$X$461)</f>
        <v/>
      </c>
      <c r="J50" s="36">
        <f>LOOKUP(2,1/(('Evidence-First Cell Queue'!$B$6:$B$461=$A50)*('Evidence-First Cell Queue'!$E$6:$E$461=J$23)),'Evidence-First Cell Queue'!$X$6:$X$461)</f>
        <v/>
      </c>
      <c r="K50" s="36">
        <f>LOOKUP(2,1/(('Evidence-First Cell Queue'!$B$6:$B$461=$A50)*('Evidence-First Cell Queue'!$E$6:$E$461=K$23)),'Evidence-First Cell Queue'!$X$6:$X$461)</f>
        <v/>
      </c>
    </row>
    <row r="51">
      <c r="A51" s="0" t="inlineStr">
        <is>
          <t>RNR-H28</t>
        </is>
      </c>
      <c r="B51" s="0">
        <f>INDEX('Evidence-First Cell Queue'!$C$6:$C$461,MATCH($A51,'Evidence-First Cell Queue'!$B$6:$B$461,0))</f>
        <v/>
      </c>
      <c r="C51" s="0">
        <f>INDEX('Evidence-First Cell Queue'!$D$6:$D$461,MATCH($A51,'Evidence-First Cell Queue'!$B$6:$B$461,0))</f>
        <v/>
      </c>
      <c r="D51" s="36">
        <f>LOOKUP(2,1/(('Evidence-First Cell Queue'!$B$6:$B$461=$A51)*('Evidence-First Cell Queue'!$E$6:$E$461=D$23)),'Evidence-First Cell Queue'!$X$6:$X$461)</f>
        <v/>
      </c>
      <c r="E51" s="36">
        <f>LOOKUP(2,1/(('Evidence-First Cell Queue'!$B$6:$B$461=$A51)*('Evidence-First Cell Queue'!$E$6:$E$461=E$23)),'Evidence-First Cell Queue'!$X$6:$X$461)</f>
        <v/>
      </c>
      <c r="F51" s="36">
        <f>LOOKUP(2,1/(('Evidence-First Cell Queue'!$B$6:$B$461=$A51)*('Evidence-First Cell Queue'!$E$6:$E$461=F$23)),'Evidence-First Cell Queue'!$X$6:$X$461)</f>
        <v/>
      </c>
      <c r="G51" s="36">
        <f>LOOKUP(2,1/(('Evidence-First Cell Queue'!$B$6:$B$461=$A51)*('Evidence-First Cell Queue'!$E$6:$E$461=G$23)),'Evidence-First Cell Queue'!$X$6:$X$461)</f>
        <v/>
      </c>
      <c r="H51" s="36">
        <f>LOOKUP(2,1/(('Evidence-First Cell Queue'!$B$6:$B$461=$A51)*('Evidence-First Cell Queue'!$E$6:$E$461=H$23)),'Evidence-First Cell Queue'!$X$6:$X$461)</f>
        <v/>
      </c>
      <c r="I51" s="36">
        <f>LOOKUP(2,1/(('Evidence-First Cell Queue'!$B$6:$B$461=$A51)*('Evidence-First Cell Queue'!$E$6:$E$461=I$23)),'Evidence-First Cell Queue'!$X$6:$X$461)</f>
        <v/>
      </c>
      <c r="J51" s="36">
        <f>LOOKUP(2,1/(('Evidence-First Cell Queue'!$B$6:$B$461=$A51)*('Evidence-First Cell Queue'!$E$6:$E$461=J$23)),'Evidence-First Cell Queue'!$X$6:$X$461)</f>
        <v/>
      </c>
      <c r="K51" s="36">
        <f>LOOKUP(2,1/(('Evidence-First Cell Queue'!$B$6:$B$461=$A51)*('Evidence-First Cell Queue'!$E$6:$E$461=K$23)),'Evidence-First Cell Queue'!$X$6:$X$461)</f>
        <v/>
      </c>
    </row>
    <row r="52">
      <c r="A52" s="0" t="inlineStr">
        <is>
          <t>RNR-H29</t>
        </is>
      </c>
      <c r="B52" s="0">
        <f>INDEX('Evidence-First Cell Queue'!$C$6:$C$461,MATCH($A52,'Evidence-First Cell Queue'!$B$6:$B$461,0))</f>
        <v/>
      </c>
      <c r="C52" s="0">
        <f>INDEX('Evidence-First Cell Queue'!$D$6:$D$461,MATCH($A52,'Evidence-First Cell Queue'!$B$6:$B$461,0))</f>
        <v/>
      </c>
      <c r="D52" s="36">
        <f>LOOKUP(2,1/(('Evidence-First Cell Queue'!$B$6:$B$461=$A52)*('Evidence-First Cell Queue'!$E$6:$E$461=D$23)),'Evidence-First Cell Queue'!$X$6:$X$461)</f>
        <v/>
      </c>
      <c r="E52" s="36">
        <f>LOOKUP(2,1/(('Evidence-First Cell Queue'!$B$6:$B$461=$A52)*('Evidence-First Cell Queue'!$E$6:$E$461=E$23)),'Evidence-First Cell Queue'!$X$6:$X$461)</f>
        <v/>
      </c>
      <c r="F52" s="36">
        <f>LOOKUP(2,1/(('Evidence-First Cell Queue'!$B$6:$B$461=$A52)*('Evidence-First Cell Queue'!$E$6:$E$461=F$23)),'Evidence-First Cell Queue'!$X$6:$X$461)</f>
        <v/>
      </c>
      <c r="G52" s="36">
        <f>LOOKUP(2,1/(('Evidence-First Cell Queue'!$B$6:$B$461=$A52)*('Evidence-First Cell Queue'!$E$6:$E$461=G$23)),'Evidence-First Cell Queue'!$X$6:$X$461)</f>
        <v/>
      </c>
      <c r="H52" s="36">
        <f>LOOKUP(2,1/(('Evidence-First Cell Queue'!$B$6:$B$461=$A52)*('Evidence-First Cell Queue'!$E$6:$E$461=H$23)),'Evidence-First Cell Queue'!$X$6:$X$461)</f>
        <v/>
      </c>
      <c r="I52" s="36">
        <f>LOOKUP(2,1/(('Evidence-First Cell Queue'!$B$6:$B$461=$A52)*('Evidence-First Cell Queue'!$E$6:$E$461=I$23)),'Evidence-First Cell Queue'!$X$6:$X$461)</f>
        <v/>
      </c>
      <c r="J52" s="36">
        <f>LOOKUP(2,1/(('Evidence-First Cell Queue'!$B$6:$B$461=$A52)*('Evidence-First Cell Queue'!$E$6:$E$461=J$23)),'Evidence-First Cell Queue'!$X$6:$X$461)</f>
        <v/>
      </c>
      <c r="K52" s="36">
        <f>LOOKUP(2,1/(('Evidence-First Cell Queue'!$B$6:$B$461=$A52)*('Evidence-First Cell Queue'!$E$6:$E$461=K$23)),'Evidence-First Cell Queue'!$X$6:$X$461)</f>
        <v/>
      </c>
    </row>
    <row r="53">
      <c r="A53" s="0" t="inlineStr">
        <is>
          <t>RNR-H30</t>
        </is>
      </c>
      <c r="B53" s="0">
        <f>INDEX('Evidence-First Cell Queue'!$C$6:$C$461,MATCH($A53,'Evidence-First Cell Queue'!$B$6:$B$461,0))</f>
        <v/>
      </c>
      <c r="C53" s="0">
        <f>INDEX('Evidence-First Cell Queue'!$D$6:$D$461,MATCH($A53,'Evidence-First Cell Queue'!$B$6:$B$461,0))</f>
        <v/>
      </c>
      <c r="D53" s="36">
        <f>LOOKUP(2,1/(('Evidence-First Cell Queue'!$B$6:$B$461=$A53)*('Evidence-First Cell Queue'!$E$6:$E$461=D$23)),'Evidence-First Cell Queue'!$X$6:$X$461)</f>
        <v/>
      </c>
      <c r="E53" s="36">
        <f>LOOKUP(2,1/(('Evidence-First Cell Queue'!$B$6:$B$461=$A53)*('Evidence-First Cell Queue'!$E$6:$E$461=E$23)),'Evidence-First Cell Queue'!$X$6:$X$461)</f>
        <v/>
      </c>
      <c r="F53" s="36">
        <f>LOOKUP(2,1/(('Evidence-First Cell Queue'!$B$6:$B$461=$A53)*('Evidence-First Cell Queue'!$E$6:$E$461=F$23)),'Evidence-First Cell Queue'!$X$6:$X$461)</f>
        <v/>
      </c>
      <c r="G53" s="36">
        <f>LOOKUP(2,1/(('Evidence-First Cell Queue'!$B$6:$B$461=$A53)*('Evidence-First Cell Queue'!$E$6:$E$461=G$23)),'Evidence-First Cell Queue'!$X$6:$X$461)</f>
        <v/>
      </c>
      <c r="H53" s="36">
        <f>LOOKUP(2,1/(('Evidence-First Cell Queue'!$B$6:$B$461=$A53)*('Evidence-First Cell Queue'!$E$6:$E$461=H$23)),'Evidence-First Cell Queue'!$X$6:$X$461)</f>
        <v/>
      </c>
      <c r="I53" s="36">
        <f>LOOKUP(2,1/(('Evidence-First Cell Queue'!$B$6:$B$461=$A53)*('Evidence-First Cell Queue'!$E$6:$E$461=I$23)),'Evidence-First Cell Queue'!$X$6:$X$461)</f>
        <v/>
      </c>
      <c r="J53" s="36">
        <f>LOOKUP(2,1/(('Evidence-First Cell Queue'!$B$6:$B$461=$A53)*('Evidence-First Cell Queue'!$E$6:$E$461=J$23)),'Evidence-First Cell Queue'!$X$6:$X$461)</f>
        <v/>
      </c>
      <c r="K53" s="36">
        <f>LOOKUP(2,1/(('Evidence-First Cell Queue'!$B$6:$B$461=$A53)*('Evidence-First Cell Queue'!$E$6:$E$461=K$23)),'Evidence-First Cell Queue'!$X$6:$X$461)</f>
        <v/>
      </c>
    </row>
    <row r="54">
      <c r="A54" s="0" t="inlineStr">
        <is>
          <t>RNR-H31</t>
        </is>
      </c>
      <c r="B54" s="0">
        <f>INDEX('Evidence-First Cell Queue'!$C$6:$C$461,MATCH($A54,'Evidence-First Cell Queue'!$B$6:$B$461,0))</f>
        <v/>
      </c>
      <c r="C54" s="0">
        <f>INDEX('Evidence-First Cell Queue'!$D$6:$D$461,MATCH($A54,'Evidence-First Cell Queue'!$B$6:$B$461,0))</f>
        <v/>
      </c>
      <c r="D54" s="36">
        <f>LOOKUP(2,1/(('Evidence-First Cell Queue'!$B$6:$B$461=$A54)*('Evidence-First Cell Queue'!$E$6:$E$461=D$23)),'Evidence-First Cell Queue'!$X$6:$X$461)</f>
        <v/>
      </c>
      <c r="E54" s="36">
        <f>LOOKUP(2,1/(('Evidence-First Cell Queue'!$B$6:$B$461=$A54)*('Evidence-First Cell Queue'!$E$6:$E$461=E$23)),'Evidence-First Cell Queue'!$X$6:$X$461)</f>
        <v/>
      </c>
      <c r="F54" s="36">
        <f>LOOKUP(2,1/(('Evidence-First Cell Queue'!$B$6:$B$461=$A54)*('Evidence-First Cell Queue'!$E$6:$E$461=F$23)),'Evidence-First Cell Queue'!$X$6:$X$461)</f>
        <v/>
      </c>
      <c r="G54" s="36">
        <f>LOOKUP(2,1/(('Evidence-First Cell Queue'!$B$6:$B$461=$A54)*('Evidence-First Cell Queue'!$E$6:$E$461=G$23)),'Evidence-First Cell Queue'!$X$6:$X$461)</f>
        <v/>
      </c>
      <c r="H54" s="36">
        <f>LOOKUP(2,1/(('Evidence-First Cell Queue'!$B$6:$B$461=$A54)*('Evidence-First Cell Queue'!$E$6:$E$461=H$23)),'Evidence-First Cell Queue'!$X$6:$X$461)</f>
        <v/>
      </c>
      <c r="I54" s="36">
        <f>LOOKUP(2,1/(('Evidence-First Cell Queue'!$B$6:$B$461=$A54)*('Evidence-First Cell Queue'!$E$6:$E$461=I$23)),'Evidence-First Cell Queue'!$X$6:$X$461)</f>
        <v/>
      </c>
      <c r="J54" s="36">
        <f>LOOKUP(2,1/(('Evidence-First Cell Queue'!$B$6:$B$461=$A54)*('Evidence-First Cell Queue'!$E$6:$E$461=J$23)),'Evidence-First Cell Queue'!$X$6:$X$461)</f>
        <v/>
      </c>
      <c r="K54" s="36">
        <f>LOOKUP(2,1/(('Evidence-First Cell Queue'!$B$6:$B$461=$A54)*('Evidence-First Cell Queue'!$E$6:$E$461=K$23)),'Evidence-First Cell Queue'!$X$6:$X$461)</f>
        <v/>
      </c>
    </row>
    <row r="55">
      <c r="A55" s="0" t="inlineStr">
        <is>
          <t>RNR-H32</t>
        </is>
      </c>
      <c r="B55" s="0">
        <f>INDEX('Evidence-First Cell Queue'!$C$6:$C$461,MATCH($A55,'Evidence-First Cell Queue'!$B$6:$B$461,0))</f>
        <v/>
      </c>
      <c r="C55" s="0">
        <f>INDEX('Evidence-First Cell Queue'!$D$6:$D$461,MATCH($A55,'Evidence-First Cell Queue'!$B$6:$B$461,0))</f>
        <v/>
      </c>
      <c r="D55" s="36">
        <f>LOOKUP(2,1/(('Evidence-First Cell Queue'!$B$6:$B$461=$A55)*('Evidence-First Cell Queue'!$E$6:$E$461=D$23)),'Evidence-First Cell Queue'!$X$6:$X$461)</f>
        <v/>
      </c>
      <c r="E55" s="36">
        <f>LOOKUP(2,1/(('Evidence-First Cell Queue'!$B$6:$B$461=$A55)*('Evidence-First Cell Queue'!$E$6:$E$461=E$23)),'Evidence-First Cell Queue'!$X$6:$X$461)</f>
        <v/>
      </c>
      <c r="F55" s="36">
        <f>LOOKUP(2,1/(('Evidence-First Cell Queue'!$B$6:$B$461=$A55)*('Evidence-First Cell Queue'!$E$6:$E$461=F$23)),'Evidence-First Cell Queue'!$X$6:$X$461)</f>
        <v/>
      </c>
      <c r="G55" s="36">
        <f>LOOKUP(2,1/(('Evidence-First Cell Queue'!$B$6:$B$461=$A55)*('Evidence-First Cell Queue'!$E$6:$E$461=G$23)),'Evidence-First Cell Queue'!$X$6:$X$461)</f>
        <v/>
      </c>
      <c r="H55" s="36">
        <f>LOOKUP(2,1/(('Evidence-First Cell Queue'!$B$6:$B$461=$A55)*('Evidence-First Cell Queue'!$E$6:$E$461=H$23)),'Evidence-First Cell Queue'!$X$6:$X$461)</f>
        <v/>
      </c>
      <c r="I55" s="36">
        <f>LOOKUP(2,1/(('Evidence-First Cell Queue'!$B$6:$B$461=$A55)*('Evidence-First Cell Queue'!$E$6:$E$461=I$23)),'Evidence-First Cell Queue'!$X$6:$X$461)</f>
        <v/>
      </c>
      <c r="J55" s="36">
        <f>LOOKUP(2,1/(('Evidence-First Cell Queue'!$B$6:$B$461=$A55)*('Evidence-First Cell Queue'!$E$6:$E$461=J$23)),'Evidence-First Cell Queue'!$X$6:$X$461)</f>
        <v/>
      </c>
      <c r="K55" s="36">
        <f>LOOKUP(2,1/(('Evidence-First Cell Queue'!$B$6:$B$461=$A55)*('Evidence-First Cell Queue'!$E$6:$E$461=K$23)),'Evidence-First Cell Queue'!$X$6:$X$461)</f>
        <v/>
      </c>
    </row>
    <row r="56">
      <c r="A56" s="0" t="inlineStr">
        <is>
          <t>RNR-H33</t>
        </is>
      </c>
      <c r="B56" s="0">
        <f>INDEX('Evidence-First Cell Queue'!$C$6:$C$461,MATCH($A56,'Evidence-First Cell Queue'!$B$6:$B$461,0))</f>
        <v/>
      </c>
      <c r="C56" s="0">
        <f>INDEX('Evidence-First Cell Queue'!$D$6:$D$461,MATCH($A56,'Evidence-First Cell Queue'!$B$6:$B$461,0))</f>
        <v/>
      </c>
      <c r="D56" s="36">
        <f>LOOKUP(2,1/(('Evidence-First Cell Queue'!$B$6:$B$461=$A56)*('Evidence-First Cell Queue'!$E$6:$E$461=D$23)),'Evidence-First Cell Queue'!$X$6:$X$461)</f>
        <v/>
      </c>
      <c r="E56" s="36">
        <f>LOOKUP(2,1/(('Evidence-First Cell Queue'!$B$6:$B$461=$A56)*('Evidence-First Cell Queue'!$E$6:$E$461=E$23)),'Evidence-First Cell Queue'!$X$6:$X$461)</f>
        <v/>
      </c>
      <c r="F56" s="36">
        <f>LOOKUP(2,1/(('Evidence-First Cell Queue'!$B$6:$B$461=$A56)*('Evidence-First Cell Queue'!$E$6:$E$461=F$23)),'Evidence-First Cell Queue'!$X$6:$X$461)</f>
        <v/>
      </c>
      <c r="G56" s="36">
        <f>LOOKUP(2,1/(('Evidence-First Cell Queue'!$B$6:$B$461=$A56)*('Evidence-First Cell Queue'!$E$6:$E$461=G$23)),'Evidence-First Cell Queue'!$X$6:$X$461)</f>
        <v/>
      </c>
      <c r="H56" s="36">
        <f>LOOKUP(2,1/(('Evidence-First Cell Queue'!$B$6:$B$461=$A56)*('Evidence-First Cell Queue'!$E$6:$E$461=H$23)),'Evidence-First Cell Queue'!$X$6:$X$461)</f>
        <v/>
      </c>
      <c r="I56" s="36">
        <f>LOOKUP(2,1/(('Evidence-First Cell Queue'!$B$6:$B$461=$A56)*('Evidence-First Cell Queue'!$E$6:$E$461=I$23)),'Evidence-First Cell Queue'!$X$6:$X$461)</f>
        <v/>
      </c>
      <c r="J56" s="36">
        <f>LOOKUP(2,1/(('Evidence-First Cell Queue'!$B$6:$B$461=$A56)*('Evidence-First Cell Queue'!$E$6:$E$461=J$23)),'Evidence-First Cell Queue'!$X$6:$X$461)</f>
        <v/>
      </c>
      <c r="K56" s="36">
        <f>LOOKUP(2,1/(('Evidence-First Cell Queue'!$B$6:$B$461=$A56)*('Evidence-First Cell Queue'!$E$6:$E$461=K$23)),'Evidence-First Cell Queue'!$X$6:$X$461)</f>
        <v/>
      </c>
    </row>
    <row r="57">
      <c r="A57" s="0" t="inlineStr">
        <is>
          <t>RNR-H34</t>
        </is>
      </c>
      <c r="B57" s="0">
        <f>INDEX('Evidence-First Cell Queue'!$C$6:$C$461,MATCH($A57,'Evidence-First Cell Queue'!$B$6:$B$461,0))</f>
        <v/>
      </c>
      <c r="C57" s="0">
        <f>INDEX('Evidence-First Cell Queue'!$D$6:$D$461,MATCH($A57,'Evidence-First Cell Queue'!$B$6:$B$461,0))</f>
        <v/>
      </c>
      <c r="D57" s="36">
        <f>LOOKUP(2,1/(('Evidence-First Cell Queue'!$B$6:$B$461=$A57)*('Evidence-First Cell Queue'!$E$6:$E$461=D$23)),'Evidence-First Cell Queue'!$X$6:$X$461)</f>
        <v/>
      </c>
      <c r="E57" s="36">
        <f>LOOKUP(2,1/(('Evidence-First Cell Queue'!$B$6:$B$461=$A57)*('Evidence-First Cell Queue'!$E$6:$E$461=E$23)),'Evidence-First Cell Queue'!$X$6:$X$461)</f>
        <v/>
      </c>
      <c r="F57" s="36">
        <f>LOOKUP(2,1/(('Evidence-First Cell Queue'!$B$6:$B$461=$A57)*('Evidence-First Cell Queue'!$E$6:$E$461=F$23)),'Evidence-First Cell Queue'!$X$6:$X$461)</f>
        <v/>
      </c>
      <c r="G57" s="36">
        <f>LOOKUP(2,1/(('Evidence-First Cell Queue'!$B$6:$B$461=$A57)*('Evidence-First Cell Queue'!$E$6:$E$461=G$23)),'Evidence-First Cell Queue'!$X$6:$X$461)</f>
        <v/>
      </c>
      <c r="H57" s="36">
        <f>LOOKUP(2,1/(('Evidence-First Cell Queue'!$B$6:$B$461=$A57)*('Evidence-First Cell Queue'!$E$6:$E$461=H$23)),'Evidence-First Cell Queue'!$X$6:$X$461)</f>
        <v/>
      </c>
      <c r="I57" s="36">
        <f>LOOKUP(2,1/(('Evidence-First Cell Queue'!$B$6:$B$461=$A57)*('Evidence-First Cell Queue'!$E$6:$E$461=I$23)),'Evidence-First Cell Queue'!$X$6:$X$461)</f>
        <v/>
      </c>
      <c r="J57" s="36">
        <f>LOOKUP(2,1/(('Evidence-First Cell Queue'!$B$6:$B$461=$A57)*('Evidence-First Cell Queue'!$E$6:$E$461=J$23)),'Evidence-First Cell Queue'!$X$6:$X$461)</f>
        <v/>
      </c>
      <c r="K57" s="36">
        <f>LOOKUP(2,1/(('Evidence-First Cell Queue'!$B$6:$B$461=$A57)*('Evidence-First Cell Queue'!$E$6:$E$461=K$23)),'Evidence-First Cell Queue'!$X$6:$X$461)</f>
        <v/>
      </c>
    </row>
    <row r="58">
      <c r="A58" s="0" t="inlineStr">
        <is>
          <t>RNR-H35</t>
        </is>
      </c>
      <c r="B58" s="0">
        <f>INDEX('Evidence-First Cell Queue'!$C$6:$C$461,MATCH($A58,'Evidence-First Cell Queue'!$B$6:$B$461,0))</f>
        <v/>
      </c>
      <c r="C58" s="0">
        <f>INDEX('Evidence-First Cell Queue'!$D$6:$D$461,MATCH($A58,'Evidence-First Cell Queue'!$B$6:$B$461,0))</f>
        <v/>
      </c>
      <c r="D58" s="36">
        <f>LOOKUP(2,1/(('Evidence-First Cell Queue'!$B$6:$B$461=$A58)*('Evidence-First Cell Queue'!$E$6:$E$461=D$23)),'Evidence-First Cell Queue'!$X$6:$X$461)</f>
        <v/>
      </c>
      <c r="E58" s="36">
        <f>LOOKUP(2,1/(('Evidence-First Cell Queue'!$B$6:$B$461=$A58)*('Evidence-First Cell Queue'!$E$6:$E$461=E$23)),'Evidence-First Cell Queue'!$X$6:$X$461)</f>
        <v/>
      </c>
      <c r="F58" s="36">
        <f>LOOKUP(2,1/(('Evidence-First Cell Queue'!$B$6:$B$461=$A58)*('Evidence-First Cell Queue'!$E$6:$E$461=F$23)),'Evidence-First Cell Queue'!$X$6:$X$461)</f>
        <v/>
      </c>
      <c r="G58" s="36">
        <f>LOOKUP(2,1/(('Evidence-First Cell Queue'!$B$6:$B$461=$A58)*('Evidence-First Cell Queue'!$E$6:$E$461=G$23)),'Evidence-First Cell Queue'!$X$6:$X$461)</f>
        <v/>
      </c>
      <c r="H58" s="36">
        <f>LOOKUP(2,1/(('Evidence-First Cell Queue'!$B$6:$B$461=$A58)*('Evidence-First Cell Queue'!$E$6:$E$461=H$23)),'Evidence-First Cell Queue'!$X$6:$X$461)</f>
        <v/>
      </c>
      <c r="I58" s="36">
        <f>LOOKUP(2,1/(('Evidence-First Cell Queue'!$B$6:$B$461=$A58)*('Evidence-First Cell Queue'!$E$6:$E$461=I$23)),'Evidence-First Cell Queue'!$X$6:$X$461)</f>
        <v/>
      </c>
      <c r="J58" s="36">
        <f>LOOKUP(2,1/(('Evidence-First Cell Queue'!$B$6:$B$461=$A58)*('Evidence-First Cell Queue'!$E$6:$E$461=J$23)),'Evidence-First Cell Queue'!$X$6:$X$461)</f>
        <v/>
      </c>
      <c r="K58" s="36">
        <f>LOOKUP(2,1/(('Evidence-First Cell Queue'!$B$6:$B$461=$A58)*('Evidence-First Cell Queue'!$E$6:$E$461=K$23)),'Evidence-First Cell Queue'!$X$6:$X$461)</f>
        <v/>
      </c>
    </row>
    <row r="59">
      <c r="A59" s="0" t="inlineStr">
        <is>
          <t>RNR-H36</t>
        </is>
      </c>
      <c r="B59" s="0">
        <f>INDEX('Evidence-First Cell Queue'!$C$6:$C$461,MATCH($A59,'Evidence-First Cell Queue'!$B$6:$B$461,0))</f>
        <v/>
      </c>
      <c r="C59" s="0">
        <f>INDEX('Evidence-First Cell Queue'!$D$6:$D$461,MATCH($A59,'Evidence-First Cell Queue'!$B$6:$B$461,0))</f>
        <v/>
      </c>
      <c r="D59" s="36">
        <f>LOOKUP(2,1/(('Evidence-First Cell Queue'!$B$6:$B$461=$A59)*('Evidence-First Cell Queue'!$E$6:$E$461=D$23)),'Evidence-First Cell Queue'!$X$6:$X$461)</f>
        <v/>
      </c>
      <c r="E59" s="36">
        <f>LOOKUP(2,1/(('Evidence-First Cell Queue'!$B$6:$B$461=$A59)*('Evidence-First Cell Queue'!$E$6:$E$461=E$23)),'Evidence-First Cell Queue'!$X$6:$X$461)</f>
        <v/>
      </c>
      <c r="F59" s="36">
        <f>LOOKUP(2,1/(('Evidence-First Cell Queue'!$B$6:$B$461=$A59)*('Evidence-First Cell Queue'!$E$6:$E$461=F$23)),'Evidence-First Cell Queue'!$X$6:$X$461)</f>
        <v/>
      </c>
      <c r="G59" s="36">
        <f>LOOKUP(2,1/(('Evidence-First Cell Queue'!$B$6:$B$461=$A59)*('Evidence-First Cell Queue'!$E$6:$E$461=G$23)),'Evidence-First Cell Queue'!$X$6:$X$461)</f>
        <v/>
      </c>
      <c r="H59" s="36">
        <f>LOOKUP(2,1/(('Evidence-First Cell Queue'!$B$6:$B$461=$A59)*('Evidence-First Cell Queue'!$E$6:$E$461=H$23)),'Evidence-First Cell Queue'!$X$6:$X$461)</f>
        <v/>
      </c>
      <c r="I59" s="36">
        <f>LOOKUP(2,1/(('Evidence-First Cell Queue'!$B$6:$B$461=$A59)*('Evidence-First Cell Queue'!$E$6:$E$461=I$23)),'Evidence-First Cell Queue'!$X$6:$X$461)</f>
        <v/>
      </c>
      <c r="J59" s="36">
        <f>LOOKUP(2,1/(('Evidence-First Cell Queue'!$B$6:$B$461=$A59)*('Evidence-First Cell Queue'!$E$6:$E$461=J$23)),'Evidence-First Cell Queue'!$X$6:$X$461)</f>
        <v/>
      </c>
      <c r="K59" s="36">
        <f>LOOKUP(2,1/(('Evidence-First Cell Queue'!$B$6:$B$461=$A59)*('Evidence-First Cell Queue'!$E$6:$E$461=K$23)),'Evidence-First Cell Queue'!$X$6:$X$461)</f>
        <v/>
      </c>
    </row>
    <row r="60">
      <c r="A60" s="0" t="inlineStr">
        <is>
          <t>RNR-H37</t>
        </is>
      </c>
      <c r="B60" s="0">
        <f>INDEX('Evidence-First Cell Queue'!$C$6:$C$461,MATCH($A60,'Evidence-First Cell Queue'!$B$6:$B$461,0))</f>
        <v/>
      </c>
      <c r="C60" s="0">
        <f>INDEX('Evidence-First Cell Queue'!$D$6:$D$461,MATCH($A60,'Evidence-First Cell Queue'!$B$6:$B$461,0))</f>
        <v/>
      </c>
      <c r="D60" s="36">
        <f>LOOKUP(2,1/(('Evidence-First Cell Queue'!$B$6:$B$461=$A60)*('Evidence-First Cell Queue'!$E$6:$E$461=D$23)),'Evidence-First Cell Queue'!$X$6:$X$461)</f>
        <v/>
      </c>
      <c r="E60" s="36">
        <f>LOOKUP(2,1/(('Evidence-First Cell Queue'!$B$6:$B$461=$A60)*('Evidence-First Cell Queue'!$E$6:$E$461=E$23)),'Evidence-First Cell Queue'!$X$6:$X$461)</f>
        <v/>
      </c>
      <c r="F60" s="36">
        <f>LOOKUP(2,1/(('Evidence-First Cell Queue'!$B$6:$B$461=$A60)*('Evidence-First Cell Queue'!$E$6:$E$461=F$23)),'Evidence-First Cell Queue'!$X$6:$X$461)</f>
        <v/>
      </c>
      <c r="G60" s="36">
        <f>LOOKUP(2,1/(('Evidence-First Cell Queue'!$B$6:$B$461=$A60)*('Evidence-First Cell Queue'!$E$6:$E$461=G$23)),'Evidence-First Cell Queue'!$X$6:$X$461)</f>
        <v/>
      </c>
      <c r="H60" s="36">
        <f>LOOKUP(2,1/(('Evidence-First Cell Queue'!$B$6:$B$461=$A60)*('Evidence-First Cell Queue'!$E$6:$E$461=H$23)),'Evidence-First Cell Queue'!$X$6:$X$461)</f>
        <v/>
      </c>
      <c r="I60" s="36">
        <f>LOOKUP(2,1/(('Evidence-First Cell Queue'!$B$6:$B$461=$A60)*('Evidence-First Cell Queue'!$E$6:$E$461=I$23)),'Evidence-First Cell Queue'!$X$6:$X$461)</f>
        <v/>
      </c>
      <c r="J60" s="36">
        <f>LOOKUP(2,1/(('Evidence-First Cell Queue'!$B$6:$B$461=$A60)*('Evidence-First Cell Queue'!$E$6:$E$461=J$23)),'Evidence-First Cell Queue'!$X$6:$X$461)</f>
        <v/>
      </c>
      <c r="K60" s="36">
        <f>LOOKUP(2,1/(('Evidence-First Cell Queue'!$B$6:$B$461=$A60)*('Evidence-First Cell Queue'!$E$6:$E$461=K$23)),'Evidence-First Cell Queue'!$X$6:$X$461)</f>
        <v/>
      </c>
    </row>
    <row r="61">
      <c r="A61" s="0" t="inlineStr">
        <is>
          <t>RNR-H38</t>
        </is>
      </c>
      <c r="B61" s="0">
        <f>INDEX('Evidence-First Cell Queue'!$C$6:$C$461,MATCH($A61,'Evidence-First Cell Queue'!$B$6:$B$461,0))</f>
        <v/>
      </c>
      <c r="C61" s="0">
        <f>INDEX('Evidence-First Cell Queue'!$D$6:$D$461,MATCH($A61,'Evidence-First Cell Queue'!$B$6:$B$461,0))</f>
        <v/>
      </c>
      <c r="D61" s="36">
        <f>LOOKUP(2,1/(('Evidence-First Cell Queue'!$B$6:$B$461=$A61)*('Evidence-First Cell Queue'!$E$6:$E$461=D$23)),'Evidence-First Cell Queue'!$X$6:$X$461)</f>
        <v/>
      </c>
      <c r="E61" s="36">
        <f>LOOKUP(2,1/(('Evidence-First Cell Queue'!$B$6:$B$461=$A61)*('Evidence-First Cell Queue'!$E$6:$E$461=E$23)),'Evidence-First Cell Queue'!$X$6:$X$461)</f>
        <v/>
      </c>
      <c r="F61" s="36">
        <f>LOOKUP(2,1/(('Evidence-First Cell Queue'!$B$6:$B$461=$A61)*('Evidence-First Cell Queue'!$E$6:$E$461=F$23)),'Evidence-First Cell Queue'!$X$6:$X$461)</f>
        <v/>
      </c>
      <c r="G61" s="36">
        <f>LOOKUP(2,1/(('Evidence-First Cell Queue'!$B$6:$B$461=$A61)*('Evidence-First Cell Queue'!$E$6:$E$461=G$23)),'Evidence-First Cell Queue'!$X$6:$X$461)</f>
        <v/>
      </c>
      <c r="H61" s="36">
        <f>LOOKUP(2,1/(('Evidence-First Cell Queue'!$B$6:$B$461=$A61)*('Evidence-First Cell Queue'!$E$6:$E$461=H$23)),'Evidence-First Cell Queue'!$X$6:$X$461)</f>
        <v/>
      </c>
      <c r="I61" s="36">
        <f>LOOKUP(2,1/(('Evidence-First Cell Queue'!$B$6:$B$461=$A61)*('Evidence-First Cell Queue'!$E$6:$E$461=I$23)),'Evidence-First Cell Queue'!$X$6:$X$461)</f>
        <v/>
      </c>
      <c r="J61" s="36">
        <f>LOOKUP(2,1/(('Evidence-First Cell Queue'!$B$6:$B$461=$A61)*('Evidence-First Cell Queue'!$E$6:$E$461=J$23)),'Evidence-First Cell Queue'!$X$6:$X$461)</f>
        <v/>
      </c>
      <c r="K61" s="36">
        <f>LOOKUP(2,1/(('Evidence-First Cell Queue'!$B$6:$B$461=$A61)*('Evidence-First Cell Queue'!$E$6:$E$461=K$23)),'Evidence-First Cell Queue'!$X$6:$X$461)</f>
        <v/>
      </c>
    </row>
    <row r="62">
      <c r="A62" s="0" t="inlineStr">
        <is>
          <t>RNR-H39</t>
        </is>
      </c>
      <c r="B62" s="0">
        <f>INDEX('Evidence-First Cell Queue'!$C$6:$C$461,MATCH($A62,'Evidence-First Cell Queue'!$B$6:$B$461,0))</f>
        <v/>
      </c>
      <c r="C62" s="0">
        <f>INDEX('Evidence-First Cell Queue'!$D$6:$D$461,MATCH($A62,'Evidence-First Cell Queue'!$B$6:$B$461,0))</f>
        <v/>
      </c>
      <c r="D62" s="36">
        <f>LOOKUP(2,1/(('Evidence-First Cell Queue'!$B$6:$B$461=$A62)*('Evidence-First Cell Queue'!$E$6:$E$461=D$23)),'Evidence-First Cell Queue'!$X$6:$X$461)</f>
        <v/>
      </c>
      <c r="E62" s="36">
        <f>LOOKUP(2,1/(('Evidence-First Cell Queue'!$B$6:$B$461=$A62)*('Evidence-First Cell Queue'!$E$6:$E$461=E$23)),'Evidence-First Cell Queue'!$X$6:$X$461)</f>
        <v/>
      </c>
      <c r="F62" s="36">
        <f>LOOKUP(2,1/(('Evidence-First Cell Queue'!$B$6:$B$461=$A62)*('Evidence-First Cell Queue'!$E$6:$E$461=F$23)),'Evidence-First Cell Queue'!$X$6:$X$461)</f>
        <v/>
      </c>
      <c r="G62" s="36">
        <f>LOOKUP(2,1/(('Evidence-First Cell Queue'!$B$6:$B$461=$A62)*('Evidence-First Cell Queue'!$E$6:$E$461=G$23)),'Evidence-First Cell Queue'!$X$6:$X$461)</f>
        <v/>
      </c>
      <c r="H62" s="36">
        <f>LOOKUP(2,1/(('Evidence-First Cell Queue'!$B$6:$B$461=$A62)*('Evidence-First Cell Queue'!$E$6:$E$461=H$23)),'Evidence-First Cell Queue'!$X$6:$X$461)</f>
        <v/>
      </c>
      <c r="I62" s="36">
        <f>LOOKUP(2,1/(('Evidence-First Cell Queue'!$B$6:$B$461=$A62)*('Evidence-First Cell Queue'!$E$6:$E$461=I$23)),'Evidence-First Cell Queue'!$X$6:$X$461)</f>
        <v/>
      </c>
      <c r="J62" s="36">
        <f>LOOKUP(2,1/(('Evidence-First Cell Queue'!$B$6:$B$461=$A62)*('Evidence-First Cell Queue'!$E$6:$E$461=J$23)),'Evidence-First Cell Queue'!$X$6:$X$461)</f>
        <v/>
      </c>
      <c r="K62" s="36">
        <f>LOOKUP(2,1/(('Evidence-First Cell Queue'!$B$6:$B$461=$A62)*('Evidence-First Cell Queue'!$E$6:$E$461=K$23)),'Evidence-First Cell Queue'!$X$6:$X$461)</f>
        <v/>
      </c>
    </row>
    <row r="63">
      <c r="A63" s="0" t="inlineStr">
        <is>
          <t>RNR-H40</t>
        </is>
      </c>
      <c r="B63" s="0">
        <f>INDEX('Evidence-First Cell Queue'!$C$6:$C$461,MATCH($A63,'Evidence-First Cell Queue'!$B$6:$B$461,0))</f>
        <v/>
      </c>
      <c r="C63" s="0">
        <f>INDEX('Evidence-First Cell Queue'!$D$6:$D$461,MATCH($A63,'Evidence-First Cell Queue'!$B$6:$B$461,0))</f>
        <v/>
      </c>
      <c r="D63" s="36">
        <f>LOOKUP(2,1/(('Evidence-First Cell Queue'!$B$6:$B$461=$A63)*('Evidence-First Cell Queue'!$E$6:$E$461=D$23)),'Evidence-First Cell Queue'!$X$6:$X$461)</f>
        <v/>
      </c>
      <c r="E63" s="36">
        <f>LOOKUP(2,1/(('Evidence-First Cell Queue'!$B$6:$B$461=$A63)*('Evidence-First Cell Queue'!$E$6:$E$461=E$23)),'Evidence-First Cell Queue'!$X$6:$X$461)</f>
        <v/>
      </c>
      <c r="F63" s="36">
        <f>LOOKUP(2,1/(('Evidence-First Cell Queue'!$B$6:$B$461=$A63)*('Evidence-First Cell Queue'!$E$6:$E$461=F$23)),'Evidence-First Cell Queue'!$X$6:$X$461)</f>
        <v/>
      </c>
      <c r="G63" s="36">
        <f>LOOKUP(2,1/(('Evidence-First Cell Queue'!$B$6:$B$461=$A63)*('Evidence-First Cell Queue'!$E$6:$E$461=G$23)),'Evidence-First Cell Queue'!$X$6:$X$461)</f>
        <v/>
      </c>
      <c r="H63" s="36">
        <f>LOOKUP(2,1/(('Evidence-First Cell Queue'!$B$6:$B$461=$A63)*('Evidence-First Cell Queue'!$E$6:$E$461=H$23)),'Evidence-First Cell Queue'!$X$6:$X$461)</f>
        <v/>
      </c>
      <c r="I63" s="36">
        <f>LOOKUP(2,1/(('Evidence-First Cell Queue'!$B$6:$B$461=$A63)*('Evidence-First Cell Queue'!$E$6:$E$461=I$23)),'Evidence-First Cell Queue'!$X$6:$X$461)</f>
        <v/>
      </c>
      <c r="J63" s="36">
        <f>LOOKUP(2,1/(('Evidence-First Cell Queue'!$B$6:$B$461=$A63)*('Evidence-First Cell Queue'!$E$6:$E$461=J$23)),'Evidence-First Cell Queue'!$X$6:$X$461)</f>
        <v/>
      </c>
      <c r="K63" s="36">
        <f>LOOKUP(2,1/(('Evidence-First Cell Queue'!$B$6:$B$461=$A63)*('Evidence-First Cell Queue'!$E$6:$E$461=K$23)),'Evidence-First Cell Queue'!$X$6:$X$461)</f>
        <v/>
      </c>
    </row>
    <row r="64">
      <c r="A64" s="0" t="inlineStr">
        <is>
          <t>RNR-H41</t>
        </is>
      </c>
      <c r="B64" s="0">
        <f>INDEX('Evidence-First Cell Queue'!$C$6:$C$461,MATCH($A64,'Evidence-First Cell Queue'!$B$6:$B$461,0))</f>
        <v/>
      </c>
      <c r="C64" s="0">
        <f>INDEX('Evidence-First Cell Queue'!$D$6:$D$461,MATCH($A64,'Evidence-First Cell Queue'!$B$6:$B$461,0))</f>
        <v/>
      </c>
      <c r="D64" s="36">
        <f>LOOKUP(2,1/(('Evidence-First Cell Queue'!$B$6:$B$461=$A64)*('Evidence-First Cell Queue'!$E$6:$E$461=D$23)),'Evidence-First Cell Queue'!$X$6:$X$461)</f>
        <v/>
      </c>
      <c r="E64" s="36">
        <f>LOOKUP(2,1/(('Evidence-First Cell Queue'!$B$6:$B$461=$A64)*('Evidence-First Cell Queue'!$E$6:$E$461=E$23)),'Evidence-First Cell Queue'!$X$6:$X$461)</f>
        <v/>
      </c>
      <c r="F64" s="36">
        <f>LOOKUP(2,1/(('Evidence-First Cell Queue'!$B$6:$B$461=$A64)*('Evidence-First Cell Queue'!$E$6:$E$461=F$23)),'Evidence-First Cell Queue'!$X$6:$X$461)</f>
        <v/>
      </c>
      <c r="G64" s="36">
        <f>LOOKUP(2,1/(('Evidence-First Cell Queue'!$B$6:$B$461=$A64)*('Evidence-First Cell Queue'!$E$6:$E$461=G$23)),'Evidence-First Cell Queue'!$X$6:$X$461)</f>
        <v/>
      </c>
      <c r="H64" s="36">
        <f>LOOKUP(2,1/(('Evidence-First Cell Queue'!$B$6:$B$461=$A64)*('Evidence-First Cell Queue'!$E$6:$E$461=H$23)),'Evidence-First Cell Queue'!$X$6:$X$461)</f>
        <v/>
      </c>
      <c r="I64" s="36">
        <f>LOOKUP(2,1/(('Evidence-First Cell Queue'!$B$6:$B$461=$A64)*('Evidence-First Cell Queue'!$E$6:$E$461=I$23)),'Evidence-First Cell Queue'!$X$6:$X$461)</f>
        <v/>
      </c>
      <c r="J64" s="36">
        <f>LOOKUP(2,1/(('Evidence-First Cell Queue'!$B$6:$B$461=$A64)*('Evidence-First Cell Queue'!$E$6:$E$461=J$23)),'Evidence-First Cell Queue'!$X$6:$X$461)</f>
        <v/>
      </c>
      <c r="K64" s="36">
        <f>LOOKUP(2,1/(('Evidence-First Cell Queue'!$B$6:$B$461=$A64)*('Evidence-First Cell Queue'!$E$6:$E$461=K$23)),'Evidence-First Cell Queue'!$X$6:$X$461)</f>
        <v/>
      </c>
    </row>
    <row r="65">
      <c r="A65" s="0" t="inlineStr">
        <is>
          <t>RNR-H42</t>
        </is>
      </c>
      <c r="B65" s="0">
        <f>INDEX('Evidence-First Cell Queue'!$C$6:$C$461,MATCH($A65,'Evidence-First Cell Queue'!$B$6:$B$461,0))</f>
        <v/>
      </c>
      <c r="C65" s="0">
        <f>INDEX('Evidence-First Cell Queue'!$D$6:$D$461,MATCH($A65,'Evidence-First Cell Queue'!$B$6:$B$461,0))</f>
        <v/>
      </c>
      <c r="D65" s="36">
        <f>LOOKUP(2,1/(('Evidence-First Cell Queue'!$B$6:$B$461=$A65)*('Evidence-First Cell Queue'!$E$6:$E$461=D$23)),'Evidence-First Cell Queue'!$X$6:$X$461)</f>
        <v/>
      </c>
      <c r="E65" s="36">
        <f>LOOKUP(2,1/(('Evidence-First Cell Queue'!$B$6:$B$461=$A65)*('Evidence-First Cell Queue'!$E$6:$E$461=E$23)),'Evidence-First Cell Queue'!$X$6:$X$461)</f>
        <v/>
      </c>
      <c r="F65" s="36">
        <f>LOOKUP(2,1/(('Evidence-First Cell Queue'!$B$6:$B$461=$A65)*('Evidence-First Cell Queue'!$E$6:$E$461=F$23)),'Evidence-First Cell Queue'!$X$6:$X$461)</f>
        <v/>
      </c>
      <c r="G65" s="36">
        <f>LOOKUP(2,1/(('Evidence-First Cell Queue'!$B$6:$B$461=$A65)*('Evidence-First Cell Queue'!$E$6:$E$461=G$23)),'Evidence-First Cell Queue'!$X$6:$X$461)</f>
        <v/>
      </c>
      <c r="H65" s="36">
        <f>LOOKUP(2,1/(('Evidence-First Cell Queue'!$B$6:$B$461=$A65)*('Evidence-First Cell Queue'!$E$6:$E$461=H$23)),'Evidence-First Cell Queue'!$X$6:$X$461)</f>
        <v/>
      </c>
      <c r="I65" s="36">
        <f>LOOKUP(2,1/(('Evidence-First Cell Queue'!$B$6:$B$461=$A65)*('Evidence-First Cell Queue'!$E$6:$E$461=I$23)),'Evidence-First Cell Queue'!$X$6:$X$461)</f>
        <v/>
      </c>
      <c r="J65" s="36">
        <f>LOOKUP(2,1/(('Evidence-First Cell Queue'!$B$6:$B$461=$A65)*('Evidence-First Cell Queue'!$E$6:$E$461=J$23)),'Evidence-First Cell Queue'!$X$6:$X$461)</f>
        <v/>
      </c>
      <c r="K65" s="36">
        <f>LOOKUP(2,1/(('Evidence-First Cell Queue'!$B$6:$B$461=$A65)*('Evidence-First Cell Queue'!$E$6:$E$461=K$23)),'Evidence-First Cell Queue'!$X$6:$X$461)</f>
        <v/>
      </c>
    </row>
    <row r="66">
      <c r="A66" s="0" t="inlineStr">
        <is>
          <t>RNR-H43</t>
        </is>
      </c>
      <c r="B66" s="0">
        <f>INDEX('Evidence-First Cell Queue'!$C$6:$C$461,MATCH($A66,'Evidence-First Cell Queue'!$B$6:$B$461,0))</f>
        <v/>
      </c>
      <c r="C66" s="0">
        <f>INDEX('Evidence-First Cell Queue'!$D$6:$D$461,MATCH($A66,'Evidence-First Cell Queue'!$B$6:$B$461,0))</f>
        <v/>
      </c>
      <c r="D66" s="36">
        <f>LOOKUP(2,1/(('Evidence-First Cell Queue'!$B$6:$B$461=$A66)*('Evidence-First Cell Queue'!$E$6:$E$461=D$23)),'Evidence-First Cell Queue'!$X$6:$X$461)</f>
        <v/>
      </c>
      <c r="E66" s="36">
        <f>LOOKUP(2,1/(('Evidence-First Cell Queue'!$B$6:$B$461=$A66)*('Evidence-First Cell Queue'!$E$6:$E$461=E$23)),'Evidence-First Cell Queue'!$X$6:$X$461)</f>
        <v/>
      </c>
      <c r="F66" s="36">
        <f>LOOKUP(2,1/(('Evidence-First Cell Queue'!$B$6:$B$461=$A66)*('Evidence-First Cell Queue'!$E$6:$E$461=F$23)),'Evidence-First Cell Queue'!$X$6:$X$461)</f>
        <v/>
      </c>
      <c r="G66" s="36">
        <f>LOOKUP(2,1/(('Evidence-First Cell Queue'!$B$6:$B$461=$A66)*('Evidence-First Cell Queue'!$E$6:$E$461=G$23)),'Evidence-First Cell Queue'!$X$6:$X$461)</f>
        <v/>
      </c>
      <c r="H66" s="36">
        <f>LOOKUP(2,1/(('Evidence-First Cell Queue'!$B$6:$B$461=$A66)*('Evidence-First Cell Queue'!$E$6:$E$461=H$23)),'Evidence-First Cell Queue'!$X$6:$X$461)</f>
        <v/>
      </c>
      <c r="I66" s="36">
        <f>LOOKUP(2,1/(('Evidence-First Cell Queue'!$B$6:$B$461=$A66)*('Evidence-First Cell Queue'!$E$6:$E$461=I$23)),'Evidence-First Cell Queue'!$X$6:$X$461)</f>
        <v/>
      </c>
      <c r="J66" s="36">
        <f>LOOKUP(2,1/(('Evidence-First Cell Queue'!$B$6:$B$461=$A66)*('Evidence-First Cell Queue'!$E$6:$E$461=J$23)),'Evidence-First Cell Queue'!$X$6:$X$461)</f>
        <v/>
      </c>
      <c r="K66" s="36">
        <f>LOOKUP(2,1/(('Evidence-First Cell Queue'!$B$6:$B$461=$A66)*('Evidence-First Cell Queue'!$E$6:$E$461=K$23)),'Evidence-First Cell Queue'!$X$6:$X$461)</f>
        <v/>
      </c>
    </row>
    <row r="67">
      <c r="A67" s="0" t="inlineStr">
        <is>
          <t>RNR-H44</t>
        </is>
      </c>
      <c r="B67" s="0">
        <f>INDEX('Evidence-First Cell Queue'!$C$6:$C$461,MATCH($A67,'Evidence-First Cell Queue'!$B$6:$B$461,0))</f>
        <v/>
      </c>
      <c r="C67" s="0">
        <f>INDEX('Evidence-First Cell Queue'!$D$6:$D$461,MATCH($A67,'Evidence-First Cell Queue'!$B$6:$B$461,0))</f>
        <v/>
      </c>
      <c r="D67" s="36">
        <f>LOOKUP(2,1/(('Evidence-First Cell Queue'!$B$6:$B$461=$A67)*('Evidence-First Cell Queue'!$E$6:$E$461=D$23)),'Evidence-First Cell Queue'!$X$6:$X$461)</f>
        <v/>
      </c>
      <c r="E67" s="36">
        <f>LOOKUP(2,1/(('Evidence-First Cell Queue'!$B$6:$B$461=$A67)*('Evidence-First Cell Queue'!$E$6:$E$461=E$23)),'Evidence-First Cell Queue'!$X$6:$X$461)</f>
        <v/>
      </c>
      <c r="F67" s="36">
        <f>LOOKUP(2,1/(('Evidence-First Cell Queue'!$B$6:$B$461=$A67)*('Evidence-First Cell Queue'!$E$6:$E$461=F$23)),'Evidence-First Cell Queue'!$X$6:$X$461)</f>
        <v/>
      </c>
      <c r="G67" s="36">
        <f>LOOKUP(2,1/(('Evidence-First Cell Queue'!$B$6:$B$461=$A67)*('Evidence-First Cell Queue'!$E$6:$E$461=G$23)),'Evidence-First Cell Queue'!$X$6:$X$461)</f>
        <v/>
      </c>
      <c r="H67" s="36">
        <f>LOOKUP(2,1/(('Evidence-First Cell Queue'!$B$6:$B$461=$A67)*('Evidence-First Cell Queue'!$E$6:$E$461=H$23)),'Evidence-First Cell Queue'!$X$6:$X$461)</f>
        <v/>
      </c>
      <c r="I67" s="36">
        <f>LOOKUP(2,1/(('Evidence-First Cell Queue'!$B$6:$B$461=$A67)*('Evidence-First Cell Queue'!$E$6:$E$461=I$23)),'Evidence-First Cell Queue'!$X$6:$X$461)</f>
        <v/>
      </c>
      <c r="J67" s="36">
        <f>LOOKUP(2,1/(('Evidence-First Cell Queue'!$B$6:$B$461=$A67)*('Evidence-First Cell Queue'!$E$6:$E$461=J$23)),'Evidence-First Cell Queue'!$X$6:$X$461)</f>
        <v/>
      </c>
      <c r="K67" s="36">
        <f>LOOKUP(2,1/(('Evidence-First Cell Queue'!$B$6:$B$461=$A67)*('Evidence-First Cell Queue'!$E$6:$E$461=K$23)),'Evidence-First Cell Queue'!$X$6:$X$461)</f>
        <v/>
      </c>
    </row>
    <row r="68">
      <c r="A68" s="0" t="inlineStr">
        <is>
          <t>RNR-H45</t>
        </is>
      </c>
      <c r="B68" s="0">
        <f>INDEX('Evidence-First Cell Queue'!$C$6:$C$461,MATCH($A68,'Evidence-First Cell Queue'!$B$6:$B$461,0))</f>
        <v/>
      </c>
      <c r="C68" s="0">
        <f>INDEX('Evidence-First Cell Queue'!$D$6:$D$461,MATCH($A68,'Evidence-First Cell Queue'!$B$6:$B$461,0))</f>
        <v/>
      </c>
      <c r="D68" s="36">
        <f>LOOKUP(2,1/(('Evidence-First Cell Queue'!$B$6:$B$461=$A68)*('Evidence-First Cell Queue'!$E$6:$E$461=D$23)),'Evidence-First Cell Queue'!$X$6:$X$461)</f>
        <v/>
      </c>
      <c r="E68" s="36">
        <f>LOOKUP(2,1/(('Evidence-First Cell Queue'!$B$6:$B$461=$A68)*('Evidence-First Cell Queue'!$E$6:$E$461=E$23)),'Evidence-First Cell Queue'!$X$6:$X$461)</f>
        <v/>
      </c>
      <c r="F68" s="36">
        <f>LOOKUP(2,1/(('Evidence-First Cell Queue'!$B$6:$B$461=$A68)*('Evidence-First Cell Queue'!$E$6:$E$461=F$23)),'Evidence-First Cell Queue'!$X$6:$X$461)</f>
        <v/>
      </c>
      <c r="G68" s="36">
        <f>LOOKUP(2,1/(('Evidence-First Cell Queue'!$B$6:$B$461=$A68)*('Evidence-First Cell Queue'!$E$6:$E$461=G$23)),'Evidence-First Cell Queue'!$X$6:$X$461)</f>
        <v/>
      </c>
      <c r="H68" s="36">
        <f>LOOKUP(2,1/(('Evidence-First Cell Queue'!$B$6:$B$461=$A68)*('Evidence-First Cell Queue'!$E$6:$E$461=H$23)),'Evidence-First Cell Queue'!$X$6:$X$461)</f>
        <v/>
      </c>
      <c r="I68" s="36">
        <f>LOOKUP(2,1/(('Evidence-First Cell Queue'!$B$6:$B$461=$A68)*('Evidence-First Cell Queue'!$E$6:$E$461=I$23)),'Evidence-First Cell Queue'!$X$6:$X$461)</f>
        <v/>
      </c>
      <c r="J68" s="36">
        <f>LOOKUP(2,1/(('Evidence-First Cell Queue'!$B$6:$B$461=$A68)*('Evidence-First Cell Queue'!$E$6:$E$461=J$23)),'Evidence-First Cell Queue'!$X$6:$X$461)</f>
        <v/>
      </c>
      <c r="K68" s="36">
        <f>LOOKUP(2,1/(('Evidence-First Cell Queue'!$B$6:$B$461=$A68)*('Evidence-First Cell Queue'!$E$6:$E$461=K$23)),'Evidence-First Cell Queue'!$X$6:$X$461)</f>
        <v/>
      </c>
    </row>
    <row r="69">
      <c r="A69" s="0" t="inlineStr">
        <is>
          <t>RNR-H46</t>
        </is>
      </c>
      <c r="B69" s="0">
        <f>INDEX('Evidence-First Cell Queue'!$C$6:$C$461,MATCH($A69,'Evidence-First Cell Queue'!$B$6:$B$461,0))</f>
        <v/>
      </c>
      <c r="C69" s="0">
        <f>INDEX('Evidence-First Cell Queue'!$D$6:$D$461,MATCH($A69,'Evidence-First Cell Queue'!$B$6:$B$461,0))</f>
        <v/>
      </c>
      <c r="D69" s="36">
        <f>LOOKUP(2,1/(('Evidence-First Cell Queue'!$B$6:$B$461=$A69)*('Evidence-First Cell Queue'!$E$6:$E$461=D$23)),'Evidence-First Cell Queue'!$X$6:$X$461)</f>
        <v/>
      </c>
      <c r="E69" s="36">
        <f>LOOKUP(2,1/(('Evidence-First Cell Queue'!$B$6:$B$461=$A69)*('Evidence-First Cell Queue'!$E$6:$E$461=E$23)),'Evidence-First Cell Queue'!$X$6:$X$461)</f>
        <v/>
      </c>
      <c r="F69" s="36">
        <f>LOOKUP(2,1/(('Evidence-First Cell Queue'!$B$6:$B$461=$A69)*('Evidence-First Cell Queue'!$E$6:$E$461=F$23)),'Evidence-First Cell Queue'!$X$6:$X$461)</f>
        <v/>
      </c>
      <c r="G69" s="36">
        <f>LOOKUP(2,1/(('Evidence-First Cell Queue'!$B$6:$B$461=$A69)*('Evidence-First Cell Queue'!$E$6:$E$461=G$23)),'Evidence-First Cell Queue'!$X$6:$X$461)</f>
        <v/>
      </c>
      <c r="H69" s="36">
        <f>LOOKUP(2,1/(('Evidence-First Cell Queue'!$B$6:$B$461=$A69)*('Evidence-First Cell Queue'!$E$6:$E$461=H$23)),'Evidence-First Cell Queue'!$X$6:$X$461)</f>
        <v/>
      </c>
      <c r="I69" s="36">
        <f>LOOKUP(2,1/(('Evidence-First Cell Queue'!$B$6:$B$461=$A69)*('Evidence-First Cell Queue'!$E$6:$E$461=I$23)),'Evidence-First Cell Queue'!$X$6:$X$461)</f>
        <v/>
      </c>
      <c r="J69" s="36">
        <f>LOOKUP(2,1/(('Evidence-First Cell Queue'!$B$6:$B$461=$A69)*('Evidence-First Cell Queue'!$E$6:$E$461=J$23)),'Evidence-First Cell Queue'!$X$6:$X$461)</f>
        <v/>
      </c>
      <c r="K69" s="36">
        <f>LOOKUP(2,1/(('Evidence-First Cell Queue'!$B$6:$B$461=$A69)*('Evidence-First Cell Queue'!$E$6:$E$461=K$23)),'Evidence-First Cell Queue'!$X$6:$X$461)</f>
        <v/>
      </c>
    </row>
    <row r="70">
      <c r="A70" s="0" t="inlineStr">
        <is>
          <t>RNR-H47</t>
        </is>
      </c>
      <c r="B70" s="0">
        <f>INDEX('Evidence-First Cell Queue'!$C$6:$C$461,MATCH($A70,'Evidence-First Cell Queue'!$B$6:$B$461,0))</f>
        <v/>
      </c>
      <c r="C70" s="0">
        <f>INDEX('Evidence-First Cell Queue'!$D$6:$D$461,MATCH($A70,'Evidence-First Cell Queue'!$B$6:$B$461,0))</f>
        <v/>
      </c>
      <c r="D70" s="36">
        <f>LOOKUP(2,1/(('Evidence-First Cell Queue'!$B$6:$B$461=$A70)*('Evidence-First Cell Queue'!$E$6:$E$461=D$23)),'Evidence-First Cell Queue'!$X$6:$X$461)</f>
        <v/>
      </c>
      <c r="E70" s="36">
        <f>LOOKUP(2,1/(('Evidence-First Cell Queue'!$B$6:$B$461=$A70)*('Evidence-First Cell Queue'!$E$6:$E$461=E$23)),'Evidence-First Cell Queue'!$X$6:$X$461)</f>
        <v/>
      </c>
      <c r="F70" s="36">
        <f>LOOKUP(2,1/(('Evidence-First Cell Queue'!$B$6:$B$461=$A70)*('Evidence-First Cell Queue'!$E$6:$E$461=F$23)),'Evidence-First Cell Queue'!$X$6:$X$461)</f>
        <v/>
      </c>
      <c r="G70" s="36">
        <f>LOOKUP(2,1/(('Evidence-First Cell Queue'!$B$6:$B$461=$A70)*('Evidence-First Cell Queue'!$E$6:$E$461=G$23)),'Evidence-First Cell Queue'!$X$6:$X$461)</f>
        <v/>
      </c>
      <c r="H70" s="36">
        <f>LOOKUP(2,1/(('Evidence-First Cell Queue'!$B$6:$B$461=$A70)*('Evidence-First Cell Queue'!$E$6:$E$461=H$23)),'Evidence-First Cell Queue'!$X$6:$X$461)</f>
        <v/>
      </c>
      <c r="I70" s="36">
        <f>LOOKUP(2,1/(('Evidence-First Cell Queue'!$B$6:$B$461=$A70)*('Evidence-First Cell Queue'!$E$6:$E$461=I$23)),'Evidence-First Cell Queue'!$X$6:$X$461)</f>
        <v/>
      </c>
      <c r="J70" s="36">
        <f>LOOKUP(2,1/(('Evidence-First Cell Queue'!$B$6:$B$461=$A70)*('Evidence-First Cell Queue'!$E$6:$E$461=J$23)),'Evidence-First Cell Queue'!$X$6:$X$461)</f>
        <v/>
      </c>
      <c r="K70" s="36">
        <f>LOOKUP(2,1/(('Evidence-First Cell Queue'!$B$6:$B$461=$A70)*('Evidence-First Cell Queue'!$E$6:$E$461=K$23)),'Evidence-First Cell Queue'!$X$6:$X$461)</f>
        <v/>
      </c>
    </row>
    <row r="71">
      <c r="A71" s="0" t="inlineStr">
        <is>
          <t>RNR-H48</t>
        </is>
      </c>
      <c r="B71" s="0">
        <f>INDEX('Evidence-First Cell Queue'!$C$6:$C$461,MATCH($A71,'Evidence-First Cell Queue'!$B$6:$B$461,0))</f>
        <v/>
      </c>
      <c r="C71" s="0">
        <f>INDEX('Evidence-First Cell Queue'!$D$6:$D$461,MATCH($A71,'Evidence-First Cell Queue'!$B$6:$B$461,0))</f>
        <v/>
      </c>
      <c r="D71" s="36">
        <f>LOOKUP(2,1/(('Evidence-First Cell Queue'!$B$6:$B$461=$A71)*('Evidence-First Cell Queue'!$E$6:$E$461=D$23)),'Evidence-First Cell Queue'!$X$6:$X$461)</f>
        <v/>
      </c>
      <c r="E71" s="36">
        <f>LOOKUP(2,1/(('Evidence-First Cell Queue'!$B$6:$B$461=$A71)*('Evidence-First Cell Queue'!$E$6:$E$461=E$23)),'Evidence-First Cell Queue'!$X$6:$X$461)</f>
        <v/>
      </c>
      <c r="F71" s="36">
        <f>LOOKUP(2,1/(('Evidence-First Cell Queue'!$B$6:$B$461=$A71)*('Evidence-First Cell Queue'!$E$6:$E$461=F$23)),'Evidence-First Cell Queue'!$X$6:$X$461)</f>
        <v/>
      </c>
      <c r="G71" s="36">
        <f>LOOKUP(2,1/(('Evidence-First Cell Queue'!$B$6:$B$461=$A71)*('Evidence-First Cell Queue'!$E$6:$E$461=G$23)),'Evidence-First Cell Queue'!$X$6:$X$461)</f>
        <v/>
      </c>
      <c r="H71" s="36">
        <f>LOOKUP(2,1/(('Evidence-First Cell Queue'!$B$6:$B$461=$A71)*('Evidence-First Cell Queue'!$E$6:$E$461=H$23)),'Evidence-First Cell Queue'!$X$6:$X$461)</f>
        <v/>
      </c>
      <c r="I71" s="36">
        <f>LOOKUP(2,1/(('Evidence-First Cell Queue'!$B$6:$B$461=$A71)*('Evidence-First Cell Queue'!$E$6:$E$461=I$23)),'Evidence-First Cell Queue'!$X$6:$X$461)</f>
        <v/>
      </c>
      <c r="J71" s="36">
        <f>LOOKUP(2,1/(('Evidence-First Cell Queue'!$B$6:$B$461=$A71)*('Evidence-First Cell Queue'!$E$6:$E$461=J$23)),'Evidence-First Cell Queue'!$X$6:$X$461)</f>
        <v/>
      </c>
      <c r="K71" s="36">
        <f>LOOKUP(2,1/(('Evidence-First Cell Queue'!$B$6:$B$461=$A71)*('Evidence-First Cell Queue'!$E$6:$E$461=K$23)),'Evidence-First Cell Queue'!$X$6:$X$461)</f>
        <v/>
      </c>
    </row>
    <row r="72">
      <c r="A72" s="0" t="inlineStr">
        <is>
          <t>RNR-H49</t>
        </is>
      </c>
      <c r="B72" s="0">
        <f>INDEX('Evidence-First Cell Queue'!$C$6:$C$461,MATCH($A72,'Evidence-First Cell Queue'!$B$6:$B$461,0))</f>
        <v/>
      </c>
      <c r="C72" s="0">
        <f>INDEX('Evidence-First Cell Queue'!$D$6:$D$461,MATCH($A72,'Evidence-First Cell Queue'!$B$6:$B$461,0))</f>
        <v/>
      </c>
      <c r="D72" s="36">
        <f>LOOKUP(2,1/(('Evidence-First Cell Queue'!$B$6:$B$461=$A72)*('Evidence-First Cell Queue'!$E$6:$E$461=D$23)),'Evidence-First Cell Queue'!$X$6:$X$461)</f>
        <v/>
      </c>
      <c r="E72" s="36">
        <f>LOOKUP(2,1/(('Evidence-First Cell Queue'!$B$6:$B$461=$A72)*('Evidence-First Cell Queue'!$E$6:$E$461=E$23)),'Evidence-First Cell Queue'!$X$6:$X$461)</f>
        <v/>
      </c>
      <c r="F72" s="36">
        <f>LOOKUP(2,1/(('Evidence-First Cell Queue'!$B$6:$B$461=$A72)*('Evidence-First Cell Queue'!$E$6:$E$461=F$23)),'Evidence-First Cell Queue'!$X$6:$X$461)</f>
        <v/>
      </c>
      <c r="G72" s="36">
        <f>LOOKUP(2,1/(('Evidence-First Cell Queue'!$B$6:$B$461=$A72)*('Evidence-First Cell Queue'!$E$6:$E$461=G$23)),'Evidence-First Cell Queue'!$X$6:$X$461)</f>
        <v/>
      </c>
      <c r="H72" s="36">
        <f>LOOKUP(2,1/(('Evidence-First Cell Queue'!$B$6:$B$461=$A72)*('Evidence-First Cell Queue'!$E$6:$E$461=H$23)),'Evidence-First Cell Queue'!$X$6:$X$461)</f>
        <v/>
      </c>
      <c r="I72" s="36">
        <f>LOOKUP(2,1/(('Evidence-First Cell Queue'!$B$6:$B$461=$A72)*('Evidence-First Cell Queue'!$E$6:$E$461=I$23)),'Evidence-First Cell Queue'!$X$6:$X$461)</f>
        <v/>
      </c>
      <c r="J72" s="36">
        <f>LOOKUP(2,1/(('Evidence-First Cell Queue'!$B$6:$B$461=$A72)*('Evidence-First Cell Queue'!$E$6:$E$461=J$23)),'Evidence-First Cell Queue'!$X$6:$X$461)</f>
        <v/>
      </c>
      <c r="K72" s="36">
        <f>LOOKUP(2,1/(('Evidence-First Cell Queue'!$B$6:$B$461=$A72)*('Evidence-First Cell Queue'!$E$6:$E$461=K$23)),'Evidence-First Cell Queue'!$X$6:$X$461)</f>
        <v/>
      </c>
    </row>
    <row r="73">
      <c r="A73" s="0" t="inlineStr">
        <is>
          <t>RNR-H50</t>
        </is>
      </c>
      <c r="B73" s="0">
        <f>INDEX('Evidence-First Cell Queue'!$C$6:$C$461,MATCH($A73,'Evidence-First Cell Queue'!$B$6:$B$461,0))</f>
        <v/>
      </c>
      <c r="C73" s="0">
        <f>INDEX('Evidence-First Cell Queue'!$D$6:$D$461,MATCH($A73,'Evidence-First Cell Queue'!$B$6:$B$461,0))</f>
        <v/>
      </c>
      <c r="D73" s="36">
        <f>LOOKUP(2,1/(('Evidence-First Cell Queue'!$B$6:$B$461=$A73)*('Evidence-First Cell Queue'!$E$6:$E$461=D$23)),'Evidence-First Cell Queue'!$X$6:$X$461)</f>
        <v/>
      </c>
      <c r="E73" s="36">
        <f>LOOKUP(2,1/(('Evidence-First Cell Queue'!$B$6:$B$461=$A73)*('Evidence-First Cell Queue'!$E$6:$E$461=E$23)),'Evidence-First Cell Queue'!$X$6:$X$461)</f>
        <v/>
      </c>
      <c r="F73" s="36">
        <f>LOOKUP(2,1/(('Evidence-First Cell Queue'!$B$6:$B$461=$A73)*('Evidence-First Cell Queue'!$E$6:$E$461=F$23)),'Evidence-First Cell Queue'!$X$6:$X$461)</f>
        <v/>
      </c>
      <c r="G73" s="36">
        <f>LOOKUP(2,1/(('Evidence-First Cell Queue'!$B$6:$B$461=$A73)*('Evidence-First Cell Queue'!$E$6:$E$461=G$23)),'Evidence-First Cell Queue'!$X$6:$X$461)</f>
        <v/>
      </c>
      <c r="H73" s="36">
        <f>LOOKUP(2,1/(('Evidence-First Cell Queue'!$B$6:$B$461=$A73)*('Evidence-First Cell Queue'!$E$6:$E$461=H$23)),'Evidence-First Cell Queue'!$X$6:$X$461)</f>
        <v/>
      </c>
      <c r="I73" s="36">
        <f>LOOKUP(2,1/(('Evidence-First Cell Queue'!$B$6:$B$461=$A73)*('Evidence-First Cell Queue'!$E$6:$E$461=I$23)),'Evidence-First Cell Queue'!$X$6:$X$461)</f>
        <v/>
      </c>
      <c r="J73" s="36">
        <f>LOOKUP(2,1/(('Evidence-First Cell Queue'!$B$6:$B$461=$A73)*('Evidence-First Cell Queue'!$E$6:$E$461=J$23)),'Evidence-First Cell Queue'!$X$6:$X$461)</f>
        <v/>
      </c>
      <c r="K73" s="36">
        <f>LOOKUP(2,1/(('Evidence-First Cell Queue'!$B$6:$B$461=$A73)*('Evidence-First Cell Queue'!$E$6:$E$461=K$23)),'Evidence-First Cell Queue'!$X$6:$X$461)</f>
        <v/>
      </c>
    </row>
    <row r="74">
      <c r="A74" s="0" t="inlineStr">
        <is>
          <t>RNR-H51</t>
        </is>
      </c>
      <c r="B74" s="0">
        <f>INDEX('Evidence-First Cell Queue'!$C$6:$C$461,MATCH($A74,'Evidence-First Cell Queue'!$B$6:$B$461,0))</f>
        <v/>
      </c>
      <c r="C74" s="0">
        <f>INDEX('Evidence-First Cell Queue'!$D$6:$D$461,MATCH($A74,'Evidence-First Cell Queue'!$B$6:$B$461,0))</f>
        <v/>
      </c>
      <c r="D74" s="36">
        <f>LOOKUP(2,1/(('Evidence-First Cell Queue'!$B$6:$B$461=$A74)*('Evidence-First Cell Queue'!$E$6:$E$461=D$23)),'Evidence-First Cell Queue'!$X$6:$X$461)</f>
        <v/>
      </c>
      <c r="E74" s="36">
        <f>LOOKUP(2,1/(('Evidence-First Cell Queue'!$B$6:$B$461=$A74)*('Evidence-First Cell Queue'!$E$6:$E$461=E$23)),'Evidence-First Cell Queue'!$X$6:$X$461)</f>
        <v/>
      </c>
      <c r="F74" s="36">
        <f>LOOKUP(2,1/(('Evidence-First Cell Queue'!$B$6:$B$461=$A74)*('Evidence-First Cell Queue'!$E$6:$E$461=F$23)),'Evidence-First Cell Queue'!$X$6:$X$461)</f>
        <v/>
      </c>
      <c r="G74" s="36">
        <f>LOOKUP(2,1/(('Evidence-First Cell Queue'!$B$6:$B$461=$A74)*('Evidence-First Cell Queue'!$E$6:$E$461=G$23)),'Evidence-First Cell Queue'!$X$6:$X$461)</f>
        <v/>
      </c>
      <c r="H74" s="36">
        <f>LOOKUP(2,1/(('Evidence-First Cell Queue'!$B$6:$B$461=$A74)*('Evidence-First Cell Queue'!$E$6:$E$461=H$23)),'Evidence-First Cell Queue'!$X$6:$X$461)</f>
        <v/>
      </c>
      <c r="I74" s="36">
        <f>LOOKUP(2,1/(('Evidence-First Cell Queue'!$B$6:$B$461=$A74)*('Evidence-First Cell Queue'!$E$6:$E$461=I$23)),'Evidence-First Cell Queue'!$X$6:$X$461)</f>
        <v/>
      </c>
      <c r="J74" s="36">
        <f>LOOKUP(2,1/(('Evidence-First Cell Queue'!$B$6:$B$461=$A74)*('Evidence-First Cell Queue'!$E$6:$E$461=J$23)),'Evidence-First Cell Queue'!$X$6:$X$461)</f>
        <v/>
      </c>
      <c r="K74" s="36">
        <f>LOOKUP(2,1/(('Evidence-First Cell Queue'!$B$6:$B$461=$A74)*('Evidence-First Cell Queue'!$E$6:$E$461=K$23)),'Evidence-First Cell Queue'!$X$6:$X$461)</f>
        <v/>
      </c>
    </row>
    <row r="75">
      <c r="A75" s="0" t="inlineStr">
        <is>
          <t>RNR-H52</t>
        </is>
      </c>
      <c r="B75" s="0">
        <f>INDEX('Evidence-First Cell Queue'!$C$6:$C$461,MATCH($A75,'Evidence-First Cell Queue'!$B$6:$B$461,0))</f>
        <v/>
      </c>
      <c r="C75" s="0">
        <f>INDEX('Evidence-First Cell Queue'!$D$6:$D$461,MATCH($A75,'Evidence-First Cell Queue'!$B$6:$B$461,0))</f>
        <v/>
      </c>
      <c r="D75" s="36">
        <f>LOOKUP(2,1/(('Evidence-First Cell Queue'!$B$6:$B$461=$A75)*('Evidence-First Cell Queue'!$E$6:$E$461=D$23)),'Evidence-First Cell Queue'!$X$6:$X$461)</f>
        <v/>
      </c>
      <c r="E75" s="36">
        <f>LOOKUP(2,1/(('Evidence-First Cell Queue'!$B$6:$B$461=$A75)*('Evidence-First Cell Queue'!$E$6:$E$461=E$23)),'Evidence-First Cell Queue'!$X$6:$X$461)</f>
        <v/>
      </c>
      <c r="F75" s="36">
        <f>LOOKUP(2,1/(('Evidence-First Cell Queue'!$B$6:$B$461=$A75)*('Evidence-First Cell Queue'!$E$6:$E$461=F$23)),'Evidence-First Cell Queue'!$X$6:$X$461)</f>
        <v/>
      </c>
      <c r="G75" s="36">
        <f>LOOKUP(2,1/(('Evidence-First Cell Queue'!$B$6:$B$461=$A75)*('Evidence-First Cell Queue'!$E$6:$E$461=G$23)),'Evidence-First Cell Queue'!$X$6:$X$461)</f>
        <v/>
      </c>
      <c r="H75" s="36">
        <f>LOOKUP(2,1/(('Evidence-First Cell Queue'!$B$6:$B$461=$A75)*('Evidence-First Cell Queue'!$E$6:$E$461=H$23)),'Evidence-First Cell Queue'!$X$6:$X$461)</f>
        <v/>
      </c>
      <c r="I75" s="36">
        <f>LOOKUP(2,1/(('Evidence-First Cell Queue'!$B$6:$B$461=$A75)*('Evidence-First Cell Queue'!$E$6:$E$461=I$23)),'Evidence-First Cell Queue'!$X$6:$X$461)</f>
        <v/>
      </c>
      <c r="J75" s="36">
        <f>LOOKUP(2,1/(('Evidence-First Cell Queue'!$B$6:$B$461=$A75)*('Evidence-First Cell Queue'!$E$6:$E$461=J$23)),'Evidence-First Cell Queue'!$X$6:$X$461)</f>
        <v/>
      </c>
      <c r="K75" s="36">
        <f>LOOKUP(2,1/(('Evidence-First Cell Queue'!$B$6:$B$461=$A75)*('Evidence-First Cell Queue'!$E$6:$E$461=K$23)),'Evidence-First Cell Queue'!$X$6:$X$461)</f>
        <v/>
      </c>
    </row>
    <row r="76">
      <c r="A76" s="0" t="inlineStr">
        <is>
          <t>RNR-H53</t>
        </is>
      </c>
      <c r="B76" s="0">
        <f>INDEX('Evidence-First Cell Queue'!$C$6:$C$461,MATCH($A76,'Evidence-First Cell Queue'!$B$6:$B$461,0))</f>
        <v/>
      </c>
      <c r="C76" s="0">
        <f>INDEX('Evidence-First Cell Queue'!$D$6:$D$461,MATCH($A76,'Evidence-First Cell Queue'!$B$6:$B$461,0))</f>
        <v/>
      </c>
      <c r="D76" s="36">
        <f>LOOKUP(2,1/(('Evidence-First Cell Queue'!$B$6:$B$461=$A76)*('Evidence-First Cell Queue'!$E$6:$E$461=D$23)),'Evidence-First Cell Queue'!$X$6:$X$461)</f>
        <v/>
      </c>
      <c r="E76" s="36">
        <f>LOOKUP(2,1/(('Evidence-First Cell Queue'!$B$6:$B$461=$A76)*('Evidence-First Cell Queue'!$E$6:$E$461=E$23)),'Evidence-First Cell Queue'!$X$6:$X$461)</f>
        <v/>
      </c>
      <c r="F76" s="36">
        <f>LOOKUP(2,1/(('Evidence-First Cell Queue'!$B$6:$B$461=$A76)*('Evidence-First Cell Queue'!$E$6:$E$461=F$23)),'Evidence-First Cell Queue'!$X$6:$X$461)</f>
        <v/>
      </c>
      <c r="G76" s="36">
        <f>LOOKUP(2,1/(('Evidence-First Cell Queue'!$B$6:$B$461=$A76)*('Evidence-First Cell Queue'!$E$6:$E$461=G$23)),'Evidence-First Cell Queue'!$X$6:$X$461)</f>
        <v/>
      </c>
      <c r="H76" s="36">
        <f>LOOKUP(2,1/(('Evidence-First Cell Queue'!$B$6:$B$461=$A76)*('Evidence-First Cell Queue'!$E$6:$E$461=H$23)),'Evidence-First Cell Queue'!$X$6:$X$461)</f>
        <v/>
      </c>
      <c r="I76" s="36">
        <f>LOOKUP(2,1/(('Evidence-First Cell Queue'!$B$6:$B$461=$A76)*('Evidence-First Cell Queue'!$E$6:$E$461=I$23)),'Evidence-First Cell Queue'!$X$6:$X$461)</f>
        <v/>
      </c>
      <c r="J76" s="36">
        <f>LOOKUP(2,1/(('Evidence-First Cell Queue'!$B$6:$B$461=$A76)*('Evidence-First Cell Queue'!$E$6:$E$461=J$23)),'Evidence-First Cell Queue'!$X$6:$X$461)</f>
        <v/>
      </c>
      <c r="K76" s="36">
        <f>LOOKUP(2,1/(('Evidence-First Cell Queue'!$B$6:$B$461=$A76)*('Evidence-First Cell Queue'!$E$6:$E$461=K$23)),'Evidence-First Cell Queue'!$X$6:$X$461)</f>
        <v/>
      </c>
    </row>
    <row r="77">
      <c r="A77" s="0" t="inlineStr">
        <is>
          <t>RNR-H54</t>
        </is>
      </c>
      <c r="B77" s="0">
        <f>INDEX('Evidence-First Cell Queue'!$C$6:$C$461,MATCH($A77,'Evidence-First Cell Queue'!$B$6:$B$461,0))</f>
        <v/>
      </c>
      <c r="C77" s="0">
        <f>INDEX('Evidence-First Cell Queue'!$D$6:$D$461,MATCH($A77,'Evidence-First Cell Queue'!$B$6:$B$461,0))</f>
        <v/>
      </c>
      <c r="D77" s="36">
        <f>LOOKUP(2,1/(('Evidence-First Cell Queue'!$B$6:$B$461=$A77)*('Evidence-First Cell Queue'!$E$6:$E$461=D$23)),'Evidence-First Cell Queue'!$X$6:$X$461)</f>
        <v/>
      </c>
      <c r="E77" s="36">
        <f>LOOKUP(2,1/(('Evidence-First Cell Queue'!$B$6:$B$461=$A77)*('Evidence-First Cell Queue'!$E$6:$E$461=E$23)),'Evidence-First Cell Queue'!$X$6:$X$461)</f>
        <v/>
      </c>
      <c r="F77" s="36">
        <f>LOOKUP(2,1/(('Evidence-First Cell Queue'!$B$6:$B$461=$A77)*('Evidence-First Cell Queue'!$E$6:$E$461=F$23)),'Evidence-First Cell Queue'!$X$6:$X$461)</f>
        <v/>
      </c>
      <c r="G77" s="36">
        <f>LOOKUP(2,1/(('Evidence-First Cell Queue'!$B$6:$B$461=$A77)*('Evidence-First Cell Queue'!$E$6:$E$461=G$23)),'Evidence-First Cell Queue'!$X$6:$X$461)</f>
        <v/>
      </c>
      <c r="H77" s="36">
        <f>LOOKUP(2,1/(('Evidence-First Cell Queue'!$B$6:$B$461=$A77)*('Evidence-First Cell Queue'!$E$6:$E$461=H$23)),'Evidence-First Cell Queue'!$X$6:$X$461)</f>
        <v/>
      </c>
      <c r="I77" s="36">
        <f>LOOKUP(2,1/(('Evidence-First Cell Queue'!$B$6:$B$461=$A77)*('Evidence-First Cell Queue'!$E$6:$E$461=I$23)),'Evidence-First Cell Queue'!$X$6:$X$461)</f>
        <v/>
      </c>
      <c r="J77" s="36">
        <f>LOOKUP(2,1/(('Evidence-First Cell Queue'!$B$6:$B$461=$A77)*('Evidence-First Cell Queue'!$E$6:$E$461=J$23)),'Evidence-First Cell Queue'!$X$6:$X$461)</f>
        <v/>
      </c>
      <c r="K77" s="36">
        <f>LOOKUP(2,1/(('Evidence-First Cell Queue'!$B$6:$B$461=$A77)*('Evidence-First Cell Queue'!$E$6:$E$461=K$23)),'Evidence-First Cell Queue'!$X$6:$X$461)</f>
        <v/>
      </c>
    </row>
    <row r="78">
      <c r="A78" s="0" t="inlineStr">
        <is>
          <t>RNR-H55</t>
        </is>
      </c>
      <c r="B78" s="0">
        <f>INDEX('Evidence-First Cell Queue'!$C$6:$C$461,MATCH($A78,'Evidence-First Cell Queue'!$B$6:$B$461,0))</f>
        <v/>
      </c>
      <c r="C78" s="0">
        <f>INDEX('Evidence-First Cell Queue'!$D$6:$D$461,MATCH($A78,'Evidence-First Cell Queue'!$B$6:$B$461,0))</f>
        <v/>
      </c>
      <c r="D78" s="36">
        <f>LOOKUP(2,1/(('Evidence-First Cell Queue'!$B$6:$B$461=$A78)*('Evidence-First Cell Queue'!$E$6:$E$461=D$23)),'Evidence-First Cell Queue'!$X$6:$X$461)</f>
        <v/>
      </c>
      <c r="E78" s="36">
        <f>LOOKUP(2,1/(('Evidence-First Cell Queue'!$B$6:$B$461=$A78)*('Evidence-First Cell Queue'!$E$6:$E$461=E$23)),'Evidence-First Cell Queue'!$X$6:$X$461)</f>
        <v/>
      </c>
      <c r="F78" s="36">
        <f>LOOKUP(2,1/(('Evidence-First Cell Queue'!$B$6:$B$461=$A78)*('Evidence-First Cell Queue'!$E$6:$E$461=F$23)),'Evidence-First Cell Queue'!$X$6:$X$461)</f>
        <v/>
      </c>
      <c r="G78" s="36">
        <f>LOOKUP(2,1/(('Evidence-First Cell Queue'!$B$6:$B$461=$A78)*('Evidence-First Cell Queue'!$E$6:$E$461=G$23)),'Evidence-First Cell Queue'!$X$6:$X$461)</f>
        <v/>
      </c>
      <c r="H78" s="36">
        <f>LOOKUP(2,1/(('Evidence-First Cell Queue'!$B$6:$B$461=$A78)*('Evidence-First Cell Queue'!$E$6:$E$461=H$23)),'Evidence-First Cell Queue'!$X$6:$X$461)</f>
        <v/>
      </c>
      <c r="I78" s="36">
        <f>LOOKUP(2,1/(('Evidence-First Cell Queue'!$B$6:$B$461=$A78)*('Evidence-First Cell Queue'!$E$6:$E$461=I$23)),'Evidence-First Cell Queue'!$X$6:$X$461)</f>
        <v/>
      </c>
      <c r="J78" s="36">
        <f>LOOKUP(2,1/(('Evidence-First Cell Queue'!$B$6:$B$461=$A78)*('Evidence-First Cell Queue'!$E$6:$E$461=J$23)),'Evidence-First Cell Queue'!$X$6:$X$461)</f>
        <v/>
      </c>
      <c r="K78" s="36">
        <f>LOOKUP(2,1/(('Evidence-First Cell Queue'!$B$6:$B$461=$A78)*('Evidence-First Cell Queue'!$E$6:$E$461=K$23)),'Evidence-First Cell Queue'!$X$6:$X$461)</f>
        <v/>
      </c>
    </row>
    <row r="79">
      <c r="A79" s="0" t="inlineStr">
        <is>
          <t>RNR-H56</t>
        </is>
      </c>
      <c r="B79" s="0">
        <f>INDEX('Evidence-First Cell Queue'!$C$6:$C$461,MATCH($A79,'Evidence-First Cell Queue'!$B$6:$B$461,0))</f>
        <v/>
      </c>
      <c r="C79" s="0">
        <f>INDEX('Evidence-First Cell Queue'!$D$6:$D$461,MATCH($A79,'Evidence-First Cell Queue'!$B$6:$B$461,0))</f>
        <v/>
      </c>
      <c r="D79" s="36">
        <f>LOOKUP(2,1/(('Evidence-First Cell Queue'!$B$6:$B$461=$A79)*('Evidence-First Cell Queue'!$E$6:$E$461=D$23)),'Evidence-First Cell Queue'!$X$6:$X$461)</f>
        <v/>
      </c>
      <c r="E79" s="36">
        <f>LOOKUP(2,1/(('Evidence-First Cell Queue'!$B$6:$B$461=$A79)*('Evidence-First Cell Queue'!$E$6:$E$461=E$23)),'Evidence-First Cell Queue'!$X$6:$X$461)</f>
        <v/>
      </c>
      <c r="F79" s="36">
        <f>LOOKUP(2,1/(('Evidence-First Cell Queue'!$B$6:$B$461=$A79)*('Evidence-First Cell Queue'!$E$6:$E$461=F$23)),'Evidence-First Cell Queue'!$X$6:$X$461)</f>
        <v/>
      </c>
      <c r="G79" s="36">
        <f>LOOKUP(2,1/(('Evidence-First Cell Queue'!$B$6:$B$461=$A79)*('Evidence-First Cell Queue'!$E$6:$E$461=G$23)),'Evidence-First Cell Queue'!$X$6:$X$461)</f>
        <v/>
      </c>
      <c r="H79" s="36">
        <f>LOOKUP(2,1/(('Evidence-First Cell Queue'!$B$6:$B$461=$A79)*('Evidence-First Cell Queue'!$E$6:$E$461=H$23)),'Evidence-First Cell Queue'!$X$6:$X$461)</f>
        <v/>
      </c>
      <c r="I79" s="36">
        <f>LOOKUP(2,1/(('Evidence-First Cell Queue'!$B$6:$B$461=$A79)*('Evidence-First Cell Queue'!$E$6:$E$461=I$23)),'Evidence-First Cell Queue'!$X$6:$X$461)</f>
        <v/>
      </c>
      <c r="J79" s="36">
        <f>LOOKUP(2,1/(('Evidence-First Cell Queue'!$B$6:$B$461=$A79)*('Evidence-First Cell Queue'!$E$6:$E$461=J$23)),'Evidence-First Cell Queue'!$X$6:$X$461)</f>
        <v/>
      </c>
      <c r="K79" s="36">
        <f>LOOKUP(2,1/(('Evidence-First Cell Queue'!$B$6:$B$461=$A79)*('Evidence-First Cell Queue'!$E$6:$E$461=K$23)),'Evidence-First Cell Queue'!$X$6:$X$461)</f>
        <v/>
      </c>
    </row>
    <row r="80">
      <c r="A80" s="0" t="inlineStr">
        <is>
          <t>RNR-H57</t>
        </is>
      </c>
      <c r="B80" s="0">
        <f>INDEX('Evidence-First Cell Queue'!$C$6:$C$461,MATCH($A80,'Evidence-First Cell Queue'!$B$6:$B$461,0))</f>
        <v/>
      </c>
      <c r="C80" s="0">
        <f>INDEX('Evidence-First Cell Queue'!$D$6:$D$461,MATCH($A80,'Evidence-First Cell Queue'!$B$6:$B$461,0))</f>
        <v/>
      </c>
      <c r="D80" s="36">
        <f>LOOKUP(2,1/(('Evidence-First Cell Queue'!$B$6:$B$461=$A80)*('Evidence-First Cell Queue'!$E$6:$E$461=D$23)),'Evidence-First Cell Queue'!$X$6:$X$461)</f>
        <v/>
      </c>
      <c r="E80" s="36">
        <f>LOOKUP(2,1/(('Evidence-First Cell Queue'!$B$6:$B$461=$A80)*('Evidence-First Cell Queue'!$E$6:$E$461=E$23)),'Evidence-First Cell Queue'!$X$6:$X$461)</f>
        <v/>
      </c>
      <c r="F80" s="36">
        <f>LOOKUP(2,1/(('Evidence-First Cell Queue'!$B$6:$B$461=$A80)*('Evidence-First Cell Queue'!$E$6:$E$461=F$23)),'Evidence-First Cell Queue'!$X$6:$X$461)</f>
        <v/>
      </c>
      <c r="G80" s="36">
        <f>LOOKUP(2,1/(('Evidence-First Cell Queue'!$B$6:$B$461=$A80)*('Evidence-First Cell Queue'!$E$6:$E$461=G$23)),'Evidence-First Cell Queue'!$X$6:$X$461)</f>
        <v/>
      </c>
      <c r="H80" s="36">
        <f>LOOKUP(2,1/(('Evidence-First Cell Queue'!$B$6:$B$461=$A80)*('Evidence-First Cell Queue'!$E$6:$E$461=H$23)),'Evidence-First Cell Queue'!$X$6:$X$461)</f>
        <v/>
      </c>
      <c r="I80" s="36">
        <f>LOOKUP(2,1/(('Evidence-First Cell Queue'!$B$6:$B$461=$A80)*('Evidence-First Cell Queue'!$E$6:$E$461=I$23)),'Evidence-First Cell Queue'!$X$6:$X$461)</f>
        <v/>
      </c>
      <c r="J80" s="36">
        <f>LOOKUP(2,1/(('Evidence-First Cell Queue'!$B$6:$B$461=$A80)*('Evidence-First Cell Queue'!$E$6:$E$461=J$23)),'Evidence-First Cell Queue'!$X$6:$X$461)</f>
        <v/>
      </c>
      <c r="K80" s="36">
        <f>LOOKUP(2,1/(('Evidence-First Cell Queue'!$B$6:$B$461=$A80)*('Evidence-First Cell Queue'!$E$6:$E$461=K$23)),'Evidence-First Cell Queue'!$X$6:$X$461)</f>
        <v/>
      </c>
    </row>
  </sheetData>
  <mergeCells count="1">
    <mergeCell ref="A2:R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 — in the Nicene Creed and in the Articles of Faith alike. Shared naming does not establish identical Trinity/Godhead ontology.</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 and confessional Christianity commonly affirms one divine essence or nature shared by Father, Son, and Spirit. Do not reduce all Christian Trinitarian traditions to one philosophical theory.</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 account of the Father and the Son. This panel is explanatory; it does not create a new A/Q/D row.</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 The exact meaning of divine unity must be stated tradition by tradition.</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T4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29" min="1" max="1"/>
    <col width="22" customWidth="1" style="29" min="2" max="2"/>
    <col width="52" customWidth="1" style="29" min="3" max="3"/>
    <col width="24" customWidth="1" style="29" min="4" max="4"/>
    <col width="40" customWidth="1" style="29" min="5" max="5"/>
    <col width="24" customWidth="1" style="29" min="6" max="6"/>
    <col width="70" customWidth="1" style="29" min="7" max="7"/>
    <col width="62" customWidth="1" style="29" min="8" max="8"/>
    <col width="24" customWidth="1" style="29" min="9" max="9"/>
    <col width="62" customWidth="1" style="29" min="10" max="10"/>
    <col width="22" customWidth="1" style="29" min="11" max="11"/>
    <col width="18" customWidth="1" style="29" min="12" max="12"/>
    <col width="20" customWidth="1" style="29" min="13" max="13"/>
    <col width="20" customWidth="1" style="29" min="14" max="14"/>
    <col width="18" customWidth="1" style="29" min="15" max="15"/>
    <col width="44" customWidth="1" style="29" min="16" max="16"/>
    <col width="14" customWidth="1" style="29" min="17" max="17"/>
    <col width="40" customWidth="1" style="29" min="18" max="18"/>
    <col width="10" customWidth="1" style="29" min="19" max="19"/>
    <col width="14" customWidth="1" style="29" min="20" max="20"/>
  </cols>
  <sheetData>
    <row r="1">
      <c r="A1" s="43" t="inlineStr">
        <is>
          <t>Branch Source Registry — author-ratified standards each branch may be cited from (Gate 5, v2.25 RECEPTION AXIS)</t>
        </is>
      </c>
    </row>
    <row r="2">
      <c r="A2" s="44" t="inlineStr">
        <is>
          <t>Registry-only enforcement: a cell may cite a source only if its publisher_domain appears in this sheet for that branch with status AUTHOR_RATIFIED. Rows with status RETIRED or DRAFT are not citable. LINEAGE rows are third-party hosts already cited by released cells and are marked in draft_recommendation. text_hash is set by the corpus builder at first fetch; drift halts the run.</t>
        </is>
      </c>
    </row>
    <row r="4">
      <c r="A4" s="45" t="inlineStr">
        <is>
          <t>registry_id</t>
        </is>
      </c>
      <c r="B4" s="45" t="inlineStr">
        <is>
          <t>branch</t>
        </is>
      </c>
      <c r="C4" s="45" t="inlineStr">
        <is>
          <t>standard_title</t>
        </is>
      </c>
      <c r="D4" s="45" t="inlineStr">
        <is>
          <t>authority_tier</t>
        </is>
      </c>
      <c r="E4" s="45" t="inlineStr">
        <is>
          <t>speaks_for</t>
        </is>
      </c>
      <c r="F4" s="45" t="inlineStr">
        <is>
          <t>reception_scope</t>
        </is>
      </c>
      <c r="G4" s="45" t="inlineStr">
        <is>
          <t>reception_note</t>
        </is>
      </c>
      <c r="H4" s="45" t="inlineStr">
        <is>
          <t>scope_caveat</t>
        </is>
      </c>
      <c r="I4" s="45" t="inlineStr">
        <is>
          <t>publisher_domain</t>
        </is>
      </c>
      <c r="J4" s="45" t="inlineStr">
        <is>
          <t>canonical_url</t>
        </is>
      </c>
      <c r="K4" s="45" t="inlineStr">
        <is>
          <t>fetch_mode</t>
        </is>
      </c>
      <c r="L4" s="45" t="inlineStr">
        <is>
          <t>text_hash</t>
        </is>
      </c>
      <c r="M4" s="45" t="inlineStr">
        <is>
          <t>status</t>
        </is>
      </c>
      <c r="N4" s="45" t="inlineStr">
        <is>
          <t>author_decision</t>
        </is>
      </c>
      <c r="O4" s="45" t="inlineStr">
        <is>
          <t>reason_code</t>
        </is>
      </c>
      <c r="P4" s="45" t="inlineStr">
        <is>
          <t>author_note</t>
        </is>
      </c>
      <c r="Q4" s="45" t="inlineStr">
        <is>
          <t>released_cells</t>
        </is>
      </c>
      <c r="R4" s="45" t="inlineStr">
        <is>
          <t>draft_recommendation</t>
        </is>
      </c>
      <c r="S4" s="45" t="inlineStr">
        <is>
          <t>initials</t>
        </is>
      </c>
      <c r="T4" s="45" t="inlineStr">
        <is>
          <t>decision_date</t>
        </is>
      </c>
    </row>
    <row r="5">
      <c r="A5" s="41" t="inlineStr">
        <is>
          <t>BSR-RC-01</t>
        </is>
      </c>
      <c r="B5" s="41" t="inlineStr">
        <is>
          <t>Roman Catholic</t>
        </is>
      </c>
      <c r="C5" s="41" t="inlineStr">
        <is>
          <t>Catechism of the Catholic Church (English), Part One §2</t>
        </is>
      </c>
      <c r="D5" s="41" t="inlineStr">
        <is>
          <t>CATECHETICAL</t>
        </is>
      </c>
      <c r="E5" s="41" t="inlineStr">
        <is>
          <t>Universal Church</t>
        </is>
      </c>
      <c r="F5" s="41" t="inlineStr">
        <is>
          <t>UNIVERSAL</t>
        </is>
      </c>
      <c r="G5" s="41" t="inlineStr"/>
      <c r="H5" s="41" t="inlineStr">
        <is>
          <t>These standards bind the whole Catholic Church; the Catechism is a synthesis of conciliar and magisterial teaching, not itself a council.</t>
        </is>
      </c>
      <c r="I5" s="41" t="inlineStr">
        <is>
          <t>vatican.va</t>
        </is>
      </c>
      <c r="J5" s="41" t="inlineStr">
        <is>
          <t>https://www.vatican.va/content/catechism/en/part_one/section_two/chapter_one/article_1/paragraph_1_i_believe_in_god.html</t>
        </is>
      </c>
      <c r="K5" s="41" t="inlineStr">
        <is>
          <t>HTML</t>
        </is>
      </c>
      <c r="L5" s="41" t="inlineStr"/>
      <c r="M5" s="41" t="inlineStr">
        <is>
          <t>AUTHOR_RATIFIED</t>
        </is>
      </c>
      <c r="N5" s="41" t="inlineStr">
        <is>
          <t>APPROVE</t>
        </is>
      </c>
      <c r="O5" s="41" t="inlineStr"/>
      <c r="P5" s="41" t="inlineStr"/>
      <c r="Q5" s="41" t="inlineStr"/>
      <c r="R5" s="41" t="inlineStr">
        <is>
          <t>INCLUDE</t>
        </is>
      </c>
      <c r="S5" s="41" t="inlineStr">
        <is>
          <t>AJP</t>
        </is>
      </c>
      <c r="T5" s="41" t="inlineStr">
        <is>
          <t>2026-09-10</t>
        </is>
      </c>
    </row>
    <row r="6">
      <c r="A6" s="41" t="inlineStr">
        <is>
          <t>BSR-RC-02</t>
        </is>
      </c>
      <c r="B6" s="41" t="inlineStr">
        <is>
          <t>Roman Catholic</t>
        </is>
      </c>
      <c r="C6" s="41" t="inlineStr">
        <is>
          <t>Vatican I, *Dei Filius* (Latin, official)</t>
        </is>
      </c>
      <c r="D6" s="41" t="inlineStr">
        <is>
          <t>CONCILIAR</t>
        </is>
      </c>
      <c r="E6" s="41" t="inlineStr">
        <is>
          <t>Universal Church</t>
        </is>
      </c>
      <c r="F6" s="41" t="inlineStr">
        <is>
          <t>UNIVERSAL</t>
        </is>
      </c>
      <c r="G6" s="41" t="inlineStr"/>
      <c r="H6" s="41" t="inlineStr">
        <is>
          <t>These standards bind the whole Catholic Church; the Catechism is a synthesis of conciliar and magisterial teaching, not itself a council.</t>
        </is>
      </c>
      <c r="I6" s="41" t="inlineStr">
        <is>
          <t>vatican.va</t>
        </is>
      </c>
      <c r="J6" s="41" t="inlineStr">
        <is>
          <t>https://www.vatican.va/archive/hist_councils/i-vatican-council/documents/vat-i_const_18700424_dei-filius_la.html</t>
        </is>
      </c>
      <c r="K6" s="41" t="inlineStr">
        <is>
          <t>HTML</t>
        </is>
      </c>
      <c r="L6" s="41" t="inlineStr"/>
      <c r="M6" s="41" t="inlineStr">
        <is>
          <t>AUTHOR_RATIFIED</t>
        </is>
      </c>
      <c r="N6" s="41" t="inlineStr">
        <is>
          <t>APPROVE</t>
        </is>
      </c>
      <c r="O6" s="41" t="inlineStr"/>
      <c r="P6" s="41" t="inlineStr"/>
      <c r="Q6" s="41" t="inlineStr"/>
      <c r="R6" s="41" t="inlineStr">
        <is>
          <t>INCLUDE (Latin controls; English witness below)</t>
        </is>
      </c>
      <c r="S6" s="41" t="inlineStr">
        <is>
          <t>AJP</t>
        </is>
      </c>
      <c r="T6" s="41" t="inlineStr">
        <is>
          <t>2026-09-10</t>
        </is>
      </c>
    </row>
    <row r="7">
      <c r="A7" s="41" t="inlineStr">
        <is>
          <t>BSR-RC-03</t>
        </is>
      </c>
      <c r="B7" s="41" t="inlineStr">
        <is>
          <t>Roman Catholic</t>
        </is>
      </c>
      <c r="C7" s="41" t="inlineStr">
        <is>
          <t>*Dei Filius* English (EWTN)</t>
        </is>
      </c>
      <c r="D7" s="41" t="inlineStr">
        <is>
          <t>CONCILIAR (translation)</t>
        </is>
      </c>
      <c r="E7" s="41" t="inlineStr">
        <is>
          <t>—</t>
        </is>
      </c>
      <c r="F7" s="41" t="inlineStr">
        <is>
          <t>TRANSLATION_WITNESS</t>
        </is>
      </c>
      <c r="G7" s="41" t="inlineStr"/>
      <c r="H7" s="41" t="inlineStr">
        <is>
          <t>These standards bind the whole Catholic Church; the Catechism is a synthesis of conciliar and magisterial teaching, not itself a council.</t>
        </is>
      </c>
      <c r="I7" s="41" t="inlineStr">
        <is>
          <t>ewtn.com</t>
        </is>
      </c>
      <c r="J7" s="41" t="inlineStr">
        <is>
          <t>https://www.ewtn.com/catholicism/teachings/vatican-i-dogmatic-constitution-dei-filius-on-the-catholic-faith-241</t>
        </is>
      </c>
      <c r="K7" s="41" t="inlineStr">
        <is>
          <t>RENDERED (fetch returned ~200 words; likely paginated)</t>
        </is>
      </c>
      <c r="L7" s="41" t="inlineStr"/>
      <c r="M7" s="41" t="inlineStr">
        <is>
          <t>AUTHOR_RATIFIED</t>
        </is>
      </c>
      <c r="N7" s="41" t="inlineStr">
        <is>
          <t>APPROVE</t>
        </is>
      </c>
      <c r="O7" s="41" t="inlineStr"/>
      <c r="P7" s="41" t="inlineStr"/>
      <c r="Q7" s="41" t="n">
        <v>7</v>
      </c>
      <c r="R7" s="41" t="inlineStr">
        <is>
          <t>LINEAGE (7 released cells)</t>
        </is>
      </c>
      <c r="S7" s="41" t="inlineStr">
        <is>
          <t>AJP</t>
        </is>
      </c>
      <c r="T7" s="41" t="inlineStr">
        <is>
          <t>2026-09-10</t>
        </is>
      </c>
    </row>
    <row r="8">
      <c r="A8" s="41" t="inlineStr">
        <is>
          <t>BSR-RC-04</t>
        </is>
      </c>
      <c r="B8" s="41" t="inlineStr">
        <is>
          <t>Roman Catholic</t>
        </is>
      </c>
      <c r="C8" s="41" t="inlineStr">
        <is>
          <t>Fourth Lateran Council, canons 1-2 (Firmiter credimus; Damnamus ergo)</t>
        </is>
      </c>
      <c r="D8" s="41" t="inlineStr">
        <is>
          <t>CONCILIAR</t>
        </is>
      </c>
      <c r="E8" s="41" t="inlineStr">
        <is>
          <t>Universal Church</t>
        </is>
      </c>
      <c r="F8" s="41" t="inlineStr">
        <is>
          <t>UNIVERSAL</t>
        </is>
      </c>
      <c r="G8" s="41" t="inlineStr"/>
      <c r="H8" s="41" t="inlineStr">
        <is>
          <t>These standards bind the whole Catholic Church; the Catechism is a synthesis of conciliar and magisterial teaching, not itself a council.</t>
        </is>
      </c>
      <c r="I8" s="41" t="inlineStr">
        <is>
          <t>papalencyclicals.net</t>
        </is>
      </c>
      <c r="J8" s="41" t="inlineStr">
        <is>
          <t>https://www.papalencyclicals.net/councils/ecum12-2.htm</t>
        </is>
      </c>
      <c r="K8" s="41" t="inlineStr">
        <is>
          <t>HTML</t>
        </is>
      </c>
      <c r="L8" s="41" t="inlineStr"/>
      <c r="M8" s="41" t="inlineStr">
        <is>
          <t>AUTHOR_RATIFIED</t>
        </is>
      </c>
      <c r="N8" s="41" t="inlineStr">
        <is>
          <t>APPROVE</t>
        </is>
      </c>
      <c r="O8" s="41" t="inlineStr"/>
      <c r="P8" s="41" t="inlineStr"/>
      <c r="Q8" s="41" t="inlineStr"/>
      <c r="R8" s="41" t="inlineStr">
        <is>
          <t>INCLUDE WITH CAVEAT (third-party host; Tanner translation unattributed on page)</t>
        </is>
      </c>
      <c r="S8" s="41" t="inlineStr">
        <is>
          <t>AJP</t>
        </is>
      </c>
      <c r="T8" s="41" t="inlineStr">
        <is>
          <t>2026-09-10</t>
        </is>
      </c>
    </row>
    <row r="9">
      <c r="A9" s="41" t="inlineStr">
        <is>
          <t>BSR-RC-05</t>
        </is>
      </c>
      <c r="B9" s="41" t="inlineStr">
        <is>
          <t>Roman Catholic</t>
        </is>
      </c>
      <c r="C9" s="41" t="inlineStr">
        <is>
          <t>Fourth Lateran (Fordham sourcebook)</t>
        </is>
      </c>
      <c r="D9" s="41" t="inlineStr">
        <is>
          <t>CONCILIAR (translation)</t>
        </is>
      </c>
      <c r="E9" s="41" t="inlineStr">
        <is>
          <t>—</t>
        </is>
      </c>
      <c r="F9" s="41" t="inlineStr">
        <is>
          <t>TRANSLATION_WITNESS</t>
        </is>
      </c>
      <c r="G9" s="41" t="inlineStr"/>
      <c r="H9" s="41" t="inlineStr">
        <is>
          <t>These standards bind the whole Catholic Church; the Catechism is a synthesis of conciliar and magisterial teaching, not itself a council.</t>
        </is>
      </c>
      <c r="I9" s="41" t="inlineStr">
        <is>
          <t>sourcebooks.web.fordham.edu</t>
        </is>
      </c>
      <c r="J9" s="41" t="inlineStr">
        <is>
          <t>sourcebooks.web.fordham.edu (as cited in 4 released cells)</t>
        </is>
      </c>
      <c r="K9" s="41" t="inlineStr">
        <is>
          <t>HTML</t>
        </is>
      </c>
      <c r="L9" s="41" t="inlineStr"/>
      <c r="M9" s="41" t="inlineStr">
        <is>
          <t>AUTHOR_RATIFIED</t>
        </is>
      </c>
      <c r="N9" s="41" t="inlineStr">
        <is>
          <t>APPROVE</t>
        </is>
      </c>
      <c r="O9" s="41" t="inlineStr"/>
      <c r="P9" s="41" t="inlineStr"/>
      <c r="Q9" s="41" t="n">
        <v>4</v>
      </c>
      <c r="R9" s="41" t="inlineStr">
        <is>
          <t>LINEAGE</t>
        </is>
      </c>
      <c r="S9" s="41" t="inlineStr">
        <is>
          <t>AJP</t>
        </is>
      </c>
      <c r="T9" s="41" t="inlineStr">
        <is>
          <t>2026-09-10</t>
        </is>
      </c>
    </row>
    <row r="10">
      <c r="A10" s="41" t="inlineStr">
        <is>
          <t>BSR-RC-06</t>
        </is>
      </c>
      <c r="B10" s="41" t="inlineStr">
        <is>
          <t>Roman Catholic</t>
        </is>
      </c>
      <c r="C10" s="41" t="inlineStr">
        <is>
          <t>Creeds as received (Apostles', Nicene, Athanasian) on vatican.va / vaticannews.va</t>
        </is>
      </c>
      <c r="D10" s="41" t="inlineStr">
        <is>
          <t>CONFESSIONAL (row floor; Nicene and Athanasian resolve CONCILIAR)</t>
        </is>
      </c>
      <c r="E10" s="41" t="inlineStr">
        <is>
          <t>Universal Church</t>
        </is>
      </c>
      <c r="F10" s="41" t="inlineStr">
        <is>
          <t>UNIVERSAL</t>
        </is>
      </c>
      <c r="G10" s="41" t="inlineStr"/>
      <c r="H10" s="41" t="inlineStr">
        <is>
          <t>These standards bind the whole Catholic Church; the Catechism is a synthesis of conciliar and magisterial teaching, not itself a council.</t>
        </is>
      </c>
      <c r="I10" s="41" t="inlineStr">
        <is>
          <t>vatican.va</t>
        </is>
      </c>
      <c r="J10" s="41" t="inlineStr">
        <is>
          <t>https://www.vatican.va/archive/ENG0015/__P13.HTM</t>
        </is>
      </c>
      <c r="K10" s="41" t="inlineStr">
        <is>
          <t>HTML</t>
        </is>
      </c>
      <c r="L10" s="41" t="inlineStr"/>
      <c r="M10" s="41" t="inlineStr">
        <is>
          <t>AUTHOR_RATIFIED</t>
        </is>
      </c>
      <c r="N10" s="41" t="inlineStr">
        <is>
          <t>APPROVE</t>
        </is>
      </c>
      <c r="O10" s="41" t="inlineStr"/>
      <c r="P10" s="41" t="inlineStr"/>
      <c r="Q10" s="41" t="inlineStr"/>
      <c r="R10" s="41" t="inlineStr">
        <is>
          <t>INCLUDE</t>
        </is>
      </c>
      <c r="S10" s="41" t="inlineStr">
        <is>
          <t>AJP</t>
        </is>
      </c>
      <c r="T10" s="41" t="inlineStr">
        <is>
          <t>2026-09-11</t>
        </is>
      </c>
    </row>
    <row r="11">
      <c r="A11" s="41" t="inlineStr">
        <is>
          <t>BSR-RC-07</t>
        </is>
      </c>
      <c r="B11" s="41" t="inlineStr">
        <is>
          <t>Roman Catholic</t>
        </is>
      </c>
      <c r="C11" s="41" t="inlineStr">
        <is>
          <t>Compendium of the CCC</t>
        </is>
      </c>
      <c r="D11" s="41" t="inlineStr">
        <is>
          <t>CATECHETICAL</t>
        </is>
      </c>
      <c r="E11" s="41" t="inlineStr">
        <is>
          <t>Universal Church</t>
        </is>
      </c>
      <c r="F11" s="41" t="inlineStr">
        <is>
          <t>UNIVERSAL</t>
        </is>
      </c>
      <c r="G11" s="41" t="inlineStr"/>
      <c r="H11" s="41" t="inlineStr">
        <is>
          <t>These standards bind the whole Catholic Church; the Catechism is a synthesis of conciliar and magisterial teaching, not itself a council.</t>
        </is>
      </c>
      <c r="I11" s="41" t="inlineStr">
        <is>
          <t>vatican.va</t>
        </is>
      </c>
      <c r="J11" s="41" t="inlineStr">
        <is>
          <t>vatican.va (as cited, 1 released cell)</t>
        </is>
      </c>
      <c r="K11" s="41" t="inlineStr">
        <is>
          <t>HTML</t>
        </is>
      </c>
      <c r="L11" s="41" t="inlineStr"/>
      <c r="M11" s="41" t="inlineStr">
        <is>
          <t>AUTHOR_RATIFIED</t>
        </is>
      </c>
      <c r="N11" s="41" t="inlineStr">
        <is>
          <t>APPROVE</t>
        </is>
      </c>
      <c r="O11" s="41" t="inlineStr"/>
      <c r="P11" s="41" t="inlineStr"/>
      <c r="Q11" s="41" t="n">
        <v>1</v>
      </c>
      <c r="R11" s="41" t="inlineStr">
        <is>
          <t>INCLUDE</t>
        </is>
      </c>
      <c r="S11" s="41" t="inlineStr">
        <is>
          <t>AJP</t>
        </is>
      </c>
      <c r="T11" s="41" t="inlineStr">
        <is>
          <t>2026-09-10</t>
        </is>
      </c>
    </row>
    <row r="12">
      <c r="A12" s="41" t="inlineStr">
        <is>
          <t>BSR-EO-01</t>
        </is>
      </c>
      <c r="B12" s="41" t="inlineStr">
        <is>
          <t>Eastern Orthodox</t>
        </is>
      </c>
      <c r="C12" s="41" t="inlineStr">
        <is>
          <t>Nicene-Constantinopolitan Creed / Symbol of Faith (OCA)</t>
        </is>
      </c>
      <c r="D12" s="41" t="inlineStr">
        <is>
          <t>CONCILIAR</t>
        </is>
      </c>
      <c r="E12" s="41" t="inlineStr">
        <is>
          <t>All Orthodox</t>
        </is>
      </c>
      <c r="F12" s="41" t="inlineStr">
        <is>
          <t>UNIVERSAL</t>
        </is>
      </c>
      <c r="G12" s="41" t="inlineStr"/>
      <c r="H12"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2" s="41" t="inlineStr">
        <is>
          <t>oca.org</t>
        </is>
      </c>
      <c r="J12" s="41" t="inlineStr">
        <is>
          <t>https://www.oca.org/orthodoxy/the-orthodox-faith/doctrine-scripture/the-symbol-of-faith/god</t>
        </is>
      </c>
      <c r="K12" s="41" t="inlineStr">
        <is>
          <t>HTML</t>
        </is>
      </c>
      <c r="L12" s="41" t="inlineStr"/>
      <c r="M12" s="41" t="inlineStr">
        <is>
          <t>AUTHOR_RATIFIED</t>
        </is>
      </c>
      <c r="N12" s="41" t="inlineStr">
        <is>
          <t>APPROVE</t>
        </is>
      </c>
      <c r="O12" s="41" t="inlineStr"/>
      <c r="P12" s="41" t="inlineStr"/>
      <c r="Q12" s="41" t="inlineStr"/>
      <c r="R12" s="41" t="inlineStr">
        <is>
          <t>INCLUDE</t>
        </is>
      </c>
      <c r="S12" s="41" t="inlineStr">
        <is>
          <t>AJP</t>
        </is>
      </c>
      <c r="T12" s="41" t="inlineStr">
        <is>
          <t>2026-09-11</t>
        </is>
      </c>
    </row>
    <row r="13">
      <c r="A13" s="41" t="inlineStr">
        <is>
          <t>BSR-EO-02</t>
        </is>
      </c>
      <c r="B13" s="41" t="inlineStr">
        <is>
          <t>Eastern Orthodox</t>
        </is>
      </c>
      <c r="C13" s="41" t="inlineStr">
        <is>
          <t>*The Orthodox Faith*, Vol. I Doctrine and Scripture (Hopko) — Holy Trinity</t>
        </is>
      </c>
      <c r="D13" s="41" t="inlineStr">
        <is>
          <t>CATECHETICAL</t>
        </is>
      </c>
      <c r="E13" s="41" t="inlineStr">
        <is>
          <t>OCA (catechetical series by one author, published by the OCA)</t>
        </is>
      </c>
      <c r="F13" s="41" t="inlineStr">
        <is>
          <t>JURISDICTIONAL</t>
        </is>
      </c>
      <c r="G13" s="41" t="inlineStr"/>
      <c r="H1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3" s="41" t="inlineStr">
        <is>
          <t>oca.org</t>
        </is>
      </c>
      <c r="J13" s="41" t="inlineStr">
        <is>
          <t>https://www.oca.org/orthodoxy/the-orthodox-faith/doctrine-scripture/the-holy-trinity/the-doctrine-of-the-holy-trinity</t>
        </is>
      </c>
      <c r="K13" s="41" t="inlineStr">
        <is>
          <t>HTML</t>
        </is>
      </c>
      <c r="L13" s="41" t="inlineStr"/>
      <c r="M13" s="41" t="inlineStr">
        <is>
          <t>AUTHOR_RATIFIED</t>
        </is>
      </c>
      <c r="N13" s="41" t="inlineStr">
        <is>
          <t>APPROVE</t>
        </is>
      </c>
      <c r="O13" s="41" t="inlineStr"/>
      <c r="P13" s="41" t="inlineStr"/>
      <c r="Q13" s="41" t="inlineStr"/>
      <c r="R13" s="41" t="inlineStr">
        <is>
          <t>INCLUDE WITH CAVEAT (already the H37 role)</t>
        </is>
      </c>
      <c r="S13" s="41" t="inlineStr">
        <is>
          <t>AJP</t>
        </is>
      </c>
      <c r="T13" s="41" t="inlineStr">
        <is>
          <t>2026-09-10</t>
        </is>
      </c>
    </row>
    <row r="14">
      <c r="A14" s="41" t="inlineStr">
        <is>
          <t>BSR-EO-03</t>
        </is>
      </c>
      <c r="B14" s="41" t="inlineStr">
        <is>
          <t>Eastern Orthodox</t>
        </is>
      </c>
      <c r="C14" s="41" t="inlineStr">
        <is>
          <t>Greek Orthodox Archdiocese — "Basic Sources of the Teachings" and sibling articles</t>
        </is>
      </c>
      <c r="D14" s="41" t="inlineStr">
        <is>
          <t>OFFICIAL_EXPOSITION</t>
        </is>
      </c>
      <c r="E14" s="41" t="inlineStr">
        <is>
          <t>GOARCH (educational articles)</t>
        </is>
      </c>
      <c r="F14" s="41" t="inlineStr">
        <is>
          <t>JURISDICTIONAL</t>
        </is>
      </c>
      <c r="G14" s="41" t="inlineStr"/>
      <c r="H1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4" s="41" t="inlineStr">
        <is>
          <t>goarch.org</t>
        </is>
      </c>
      <c r="J14" s="41" t="inlineStr">
        <is>
          <t>https://www.goarch.org/-/the-basic-sources-of-the-teachings-of-the-eastern-orthodox-church</t>
        </is>
      </c>
      <c r="K14" s="41" t="inlineStr">
        <is>
          <t>RENDERED - one-time archived fetch, provenance recorded</t>
        </is>
      </c>
      <c r="L14" s="41" t="inlineStr"/>
      <c r="M14" s="41" t="inlineStr">
        <is>
          <t>AUTHOR_RATIFIED</t>
        </is>
      </c>
      <c r="N14" s="41" t="inlineStr">
        <is>
          <t>APPROVE</t>
        </is>
      </c>
      <c r="O14" s="41" t="inlineStr"/>
      <c r="P14" s="41" t="inlineStr"/>
      <c r="Q14" s="41" t="inlineStr"/>
      <c r="R14" s="41" t="inlineStr">
        <is>
          <t>INCLUDE WITH CAVEAT; Playwright fetch required</t>
        </is>
      </c>
      <c r="S14" s="41" t="inlineStr">
        <is>
          <t>AJP</t>
        </is>
      </c>
      <c r="T14" s="41" t="inlineStr">
        <is>
          <t>2026-09-11</t>
        </is>
      </c>
    </row>
    <row r="15">
      <c r="A15" s="41" t="inlineStr">
        <is>
          <t>BSR-EO-04</t>
        </is>
      </c>
      <c r="B15" s="41" t="inlineStr">
        <is>
          <t>Eastern Orthodox</t>
        </is>
      </c>
      <c r="C15" s="41" t="inlineStr">
        <is>
          <t>Longer Catechism of St. Philaret (1839)</t>
        </is>
      </c>
      <c r="D15" s="41" t="inlineStr">
        <is>
          <t>CATECHETICAL (historic)</t>
        </is>
      </c>
      <c r="E15" s="41" t="inlineStr">
        <is>
          <t>Russian Church synodal approval; widely received</t>
        </is>
      </c>
      <c r="F15" s="41" t="inlineStr">
        <is>
          <t>MULTILATERAL</t>
        </is>
      </c>
      <c r="G15" s="41" t="inlineStr"/>
      <c r="H1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5" s="41" t="inlineStr">
        <is>
          <t>pravoslavieto.com</t>
        </is>
      </c>
      <c r="J15" s="41" t="inlineStr">
        <is>
          <t>https://www.pravoslavieto.com/docs/eng/Orthodox_Catechism_of_Philaret.htm</t>
        </is>
      </c>
      <c r="K15" s="41" t="inlineStr">
        <is>
          <t>HTML</t>
        </is>
      </c>
      <c r="L15" s="41" t="inlineStr"/>
      <c r="M15" s="41" t="inlineStr">
        <is>
          <t>AUTHOR_RATIFIED</t>
        </is>
      </c>
      <c r="N15" s="41" t="inlineStr">
        <is>
          <t>APPROVE</t>
        </is>
      </c>
      <c r="O15" s="41" t="inlineStr"/>
      <c r="P15" s="41" t="inlineStr"/>
      <c r="Q15" s="41" t="inlineStr"/>
      <c r="R15" s="41" t="inlineStr">
        <is>
          <t>AUTHOR CALL — richest apophatic/attribute source available; host is not jurisdictional</t>
        </is>
      </c>
      <c r="S15" s="41" t="inlineStr">
        <is>
          <t>AJP</t>
        </is>
      </c>
      <c r="T15" s="41" t="inlineStr">
        <is>
          <t>2026-09-10</t>
        </is>
      </c>
    </row>
    <row r="16">
      <c r="A16" s="41" t="inlineStr">
        <is>
          <t>BSR-EO-05</t>
        </is>
      </c>
      <c r="B16" s="41" t="inlineStr">
        <is>
          <t>Eastern Orthodox</t>
        </is>
      </c>
      <c r="C16" s="41" t="inlineStr">
        <is>
          <t>Confession of Dositheus (Synod of Jerusalem 1672)</t>
        </is>
      </c>
      <c r="D16" s="41" t="inlineStr">
        <is>
          <t>CONFESSIONAL (local synod)</t>
        </is>
      </c>
      <c r="E16" s="41" t="inlineStr">
        <is>
          <t>Contested; later qualified by Orthodox theologians</t>
        </is>
      </c>
      <c r="F16" s="41" t="inlineStr">
        <is>
          <t>CONTESTED</t>
        </is>
      </c>
      <c r="G16" s="41" t="inlineStr">
        <is>
          <t>Reception is disputed between Orthodox jurisdictions, and both sides are published on official domains. The Greek Orthodox Archdiocese of America holds that decisions of synods after the eighth century "are of secondary significance ... pending ratification by an Ecumenical Synod, and may be accepted, corrected or not accepted" (goarch.org, The Basic Sources of the Teachings of the Eastern Orthodox Church). The Orthodox Church in America holds that the 1848 Encyclical of the Eastern Patriarchs "is considered to be the most authoritative doctrinal statement in modern Orthodox Church history" (oca.org, Relations Between the Churches East and West). Ratified AC-12, 2026-09-11: the registry records the disagreement and does not resolve it.</t>
        </is>
      </c>
      <c r="H16"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I16" s="41" t="inlineStr">
        <is>
          <t>maximologia.org</t>
        </is>
      </c>
      <c r="J16" s="41" t="inlineStr">
        <is>
          <t>https://maximologia.org/the-confession-of-patriarch-dositheos-of-jerusalem-1672/</t>
        </is>
      </c>
      <c r="K16" s="41" t="inlineStr">
        <is>
          <t>HTML</t>
        </is>
      </c>
      <c r="L16" s="41" t="inlineStr"/>
      <c r="M16" s="41" t="inlineStr">
        <is>
          <t>AUTHOR_RATIFIED</t>
        </is>
      </c>
      <c r="N16" s="41" t="inlineStr">
        <is>
          <t>APPROVE_REVISED</t>
        </is>
      </c>
      <c r="O16" s="41" t="inlineStr"/>
      <c r="P16" s="41" t="inlineStr">
        <is>
          <t>Text is Robertson's 1899 translation (Acts and Decrees of the Synod of Jerusalem, ch. 6), reproduced here without translator credit. The published edition is archive.org/details/actsdecreesofsyn00orth, registered as an authority reference only — no text extraction. Locators are Decree 1–18 and Question 1–4.</t>
        </is>
      </c>
      <c r="Q16" s="41" t="inlineStr"/>
      <c r="R16" s="41" t="inlineStr">
        <is>
          <t>AUTHOR CALL — recommend EXCLUDE for v1</t>
        </is>
      </c>
      <c r="S16" s="41" t="inlineStr">
        <is>
          <t>AJP</t>
        </is>
      </c>
      <c r="T16" s="41" t="inlineStr">
        <is>
          <t>2026-09-10</t>
        </is>
      </c>
    </row>
    <row r="17">
      <c r="A17" s="41" t="inlineStr">
        <is>
          <t>BSR-EO-06</t>
        </is>
      </c>
      <c r="B17" s="41" t="inlineStr">
        <is>
          <t>Eastern Orthodox</t>
        </is>
      </c>
      <c r="C17" s="41" t="inlineStr">
        <is>
          <t>Chalcedon (451) and Third Constantinople (680-681) - the Definitions of Faith (NPNF2-14, Percival)</t>
        </is>
      </c>
      <c r="D17" s="41" t="inlineStr">
        <is>
          <t>CONCILIAR</t>
        </is>
      </c>
      <c r="E17" s="41" t="inlineStr">
        <is>
          <t>All Orthodox</t>
        </is>
      </c>
      <c r="F17" s="41" t="inlineStr">
        <is>
          <t>UNIVERSAL</t>
        </is>
      </c>
      <c r="G17" s="41" t="inlineStr"/>
      <c r="H1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7" s="41" t="inlineStr">
        <is>
          <t>ccel.org</t>
        </is>
      </c>
      <c r="J17" s="41" t="inlineStr">
        <is>
          <t>https://www.ccel.org/ccel/schaff/npnf214.xi.xiii.html</t>
        </is>
      </c>
      <c r="K17" s="41" t="inlineStr">
        <is>
          <t>HTML - exclude editorial-note blocks from chunking</t>
        </is>
      </c>
      <c r="L17" s="41" t="inlineStr"/>
      <c r="M17" s="41" t="inlineStr">
        <is>
          <t>AUTHOR_RATIFIED</t>
        </is>
      </c>
      <c r="N17" s="41" t="inlineStr">
        <is>
          <t>APPROVE</t>
        </is>
      </c>
      <c r="O17" s="41" t="inlineStr"/>
      <c r="P17" s="41" t="inlineStr"/>
      <c r="Q17" s="41" t="n">
        <v>1</v>
      </c>
      <c r="R17" s="41" t="inlineStr">
        <is>
          <t>INCLUDE (ccel.org, NPNF2-14 Percival) - 1 released cell; Q-434 asserted phrase must be re-cut from this translation</t>
        </is>
      </c>
      <c r="S17" s="41" t="inlineStr">
        <is>
          <t>AJP</t>
        </is>
      </c>
      <c r="T17" s="41" t="inlineStr">
        <is>
          <t>2026-09-11</t>
        </is>
      </c>
    </row>
    <row r="18">
      <c r="A18" s="41" t="inlineStr">
        <is>
          <t>BSR-LU-01</t>
        </is>
      </c>
      <c r="B18" s="41" t="inlineStr">
        <is>
          <t>Lutheran</t>
        </is>
      </c>
      <c r="C18" s="41" t="inlineStr">
        <is>
          <t>Book of Concord (Augsburg Confession, Apology, Smalcald, Catechisms, Formula) — bookofconcord.org</t>
        </is>
      </c>
      <c r="D18" s="41" t="inlineStr">
        <is>
          <t>CONFESSIONAL</t>
        </is>
      </c>
      <c r="E18" s="41" t="inlineStr">
        <is>
          <t>Lutheran churches subscribing the Book of Concord</t>
        </is>
      </c>
      <c r="F18" s="41" t="inlineStr">
        <is>
          <t>MULTILATERAL</t>
        </is>
      </c>
      <c r="G18" s="41" t="inlineStr"/>
      <c r="H18" s="41" t="inlineStr">
        <is>
          <t>The Book of Concord is subscribed by Lutheran churches worldwide; the online text used here is a public-domain translation on a private site, and the LCMS and ELCA differ in how strictly they subscribe.</t>
        </is>
      </c>
      <c r="I18" s="41" t="inlineStr">
        <is>
          <t>bookofconcord.org</t>
        </is>
      </c>
      <c r="J18" s="41" t="inlineStr">
        <is>
          <t>https://bookofconcord.org/augsburg-confession/of-god/</t>
        </is>
      </c>
      <c r="K18" s="41" t="inlineStr">
        <is>
          <t>HTML (intermittent timeouts)</t>
        </is>
      </c>
      <c r="L18" s="41" t="inlineStr"/>
      <c r="M18" s="41" t="inlineStr">
        <is>
          <t>AUTHOR_RATIFIED</t>
        </is>
      </c>
      <c r="N18" s="41" t="inlineStr">
        <is>
          <t>APPROVE</t>
        </is>
      </c>
      <c r="O18" s="41" t="inlineStr"/>
      <c r="P18" s="41" t="inlineStr"/>
      <c r="Q18" s="41" t="n">
        <v>15</v>
      </c>
      <c r="R18" s="41" t="inlineStr">
        <is>
          <t>LINEAGE → INCLUDE WITH CAVEAT (private site hosting the public-domain 1921 Triglotta text; all 15 released Lutheran cells cite it; no denominational HTML host exists)</t>
        </is>
      </c>
      <c r="S18" s="41" t="inlineStr">
        <is>
          <t>AJP</t>
        </is>
      </c>
      <c r="T18" s="41" t="inlineStr">
        <is>
          <t>2026-09-10</t>
        </is>
      </c>
    </row>
    <row r="19">
      <c r="A19" s="41" t="inlineStr">
        <is>
          <t>BSR-LU-02</t>
        </is>
      </c>
      <c r="B19" s="41" t="inlineStr">
        <is>
          <t>Lutheran</t>
        </is>
      </c>
      <c r="C19" s="41" t="inlineStr">
        <is>
          <t>Augsburg Confession, LCMS file library</t>
        </is>
      </c>
      <c r="D19" s="41" t="inlineStr">
        <is>
          <t>CONFESSIONAL</t>
        </is>
      </c>
      <c r="E19" s="41" t="inlineStr">
        <is>
          <t>LCMS</t>
        </is>
      </c>
      <c r="F19" s="41" t="inlineStr">
        <is>
          <t>JURISDICTIONAL</t>
        </is>
      </c>
      <c r="G19" s="41" t="inlineStr"/>
      <c r="H19" s="41" t="inlineStr">
        <is>
          <t>The Book of Concord is subscribed by Lutheran churches worldwide; the online text used here is a public-domain translation on a private site, and the LCMS and ELCA differ in how strictly they subscribe.</t>
        </is>
      </c>
      <c r="I19" s="41" t="inlineStr">
        <is>
          <t>files.lcms.org</t>
        </is>
      </c>
      <c r="J19" s="41" t="inlineStr">
        <is>
          <t>https://files.lcms.org/file/preview/96D5ADA9-4E71-4C9F-9939-9D40E4E9AD8E</t>
        </is>
      </c>
      <c r="K19" s="41" t="inlineStr">
        <is>
          <t>PDF behind client viewer</t>
        </is>
      </c>
      <c r="L19" s="41" t="inlineStr"/>
      <c r="M19" s="41" t="inlineStr">
        <is>
          <t>AUTHOR_RATIFIED</t>
        </is>
      </c>
      <c r="N19" s="41" t="inlineStr">
        <is>
          <t>APPROVE</t>
        </is>
      </c>
      <c r="O19" s="41" t="inlineStr"/>
      <c r="P19" s="41" t="inlineStr"/>
      <c r="Q19" s="41" t="inlineStr"/>
      <c r="R19" s="41" t="inlineStr">
        <is>
          <t>INCLUDE as authority/adoption URL only</t>
        </is>
      </c>
      <c r="S19" s="41" t="inlineStr">
        <is>
          <t>AJP</t>
        </is>
      </c>
      <c r="T19" s="41" t="inlineStr">
        <is>
          <t>2026-09-10</t>
        </is>
      </c>
    </row>
    <row r="20">
      <c r="A20" s="41" t="inlineStr">
        <is>
          <t>BSR-LU-03</t>
        </is>
      </c>
      <c r="B20" s="41" t="inlineStr">
        <is>
          <t>Lutheran</t>
        </is>
      </c>
      <c r="C20" s="41" t="inlineStr">
        <is>
          <t>Luther's Small Catechism, Creed First Article (CPH, linked by LCMS)</t>
        </is>
      </c>
      <c r="D20" s="41" t="inlineStr">
        <is>
          <t>CATECHETICAL</t>
        </is>
      </c>
      <c r="E20" s="41" t="inlineStr">
        <is>
          <t>LCMS</t>
        </is>
      </c>
      <c r="F20" s="41" t="inlineStr">
        <is>
          <t>JURISDICTIONAL</t>
        </is>
      </c>
      <c r="G20" s="41" t="inlineStr"/>
      <c r="H20" s="41" t="inlineStr">
        <is>
          <t>The Book of Concord is subscribed by Lutheran churches worldwide; the online text used here is a public-domain translation on a private site, and the LCMS and ELCA differ in how strictly they subscribe.</t>
        </is>
      </c>
      <c r="I20" s="41" t="inlineStr">
        <is>
          <t>catechism.cph.org</t>
        </is>
      </c>
      <c r="J20" s="41" t="inlineStr">
        <is>
          <t>https://catechism.cph.org/en/creed-first-article-part-one.html</t>
        </is>
      </c>
      <c r="K20" s="41" t="inlineStr">
        <is>
          <t>HTML</t>
        </is>
      </c>
      <c r="L20" s="41" t="inlineStr"/>
      <c r="M20" s="41" t="inlineStr">
        <is>
          <t>AUTHOR_RATIFIED</t>
        </is>
      </c>
      <c r="N20" s="41" t="inlineStr">
        <is>
          <t>APPROVE</t>
        </is>
      </c>
      <c r="O20" s="41" t="inlineStr"/>
      <c r="P20" s="41" t="inlineStr"/>
      <c r="Q20" s="41" t="inlineStr"/>
      <c r="R20" s="41" t="inlineStr">
        <is>
          <t>INCLUDE WITH CAVEAT (2017 explanation edition; official status implied by lcms.org link)</t>
        </is>
      </c>
      <c r="S20" s="41" t="inlineStr">
        <is>
          <t>AJP</t>
        </is>
      </c>
      <c r="T20" s="41" t="inlineStr">
        <is>
          <t>2026-09-10</t>
        </is>
      </c>
    </row>
    <row r="21">
      <c r="A21" s="41" t="inlineStr">
        <is>
          <t>BSR-LU-04</t>
        </is>
      </c>
      <c r="B21" s="41" t="inlineStr">
        <is>
          <t>Lutheran</t>
        </is>
      </c>
      <c r="C21" s="41" t="inlineStr">
        <is>
          <t>ELCA teaching pages</t>
        </is>
      </c>
      <c r="D21" s="41" t="inlineStr">
        <is>
          <t>OFFICIAL_EXPOSITION</t>
        </is>
      </c>
      <c r="E21" s="41" t="inlineStr">
        <is>
          <t>ELCA</t>
        </is>
      </c>
      <c r="F21" s="41" t="inlineStr">
        <is>
          <t>JURISDICTIONAL</t>
        </is>
      </c>
      <c r="G21" s="41" t="inlineStr"/>
      <c r="H21" s="41" t="inlineStr">
        <is>
          <t>The Book of Concord is subscribed by Lutheran churches worldwide; the online text used here is a public-domain translation on a private site, and the LCMS and ELCA differ in how strictly they subscribe.</t>
        </is>
      </c>
      <c r="I21" s="41" t="inlineStr">
        <is>
          <t>elca.org</t>
        </is>
      </c>
      <c r="J21" s="41" t="inlineStr">
        <is>
          <t>https://www.elca.org/en/Faith/ELCA-Teaching/Scripture-Creeds-Confessions</t>
        </is>
      </c>
      <c r="K21" s="41" t="inlineStr">
        <is>
          <t>HTML</t>
        </is>
      </c>
      <c r="L21" s="41" t="inlineStr"/>
      <c r="M21" s="41" t="inlineStr">
        <is>
          <t>RETIRED</t>
        </is>
      </c>
      <c r="N21" s="41" t="inlineStr">
        <is>
          <t>EXCLUDE</t>
        </is>
      </c>
      <c r="O21" s="41" t="inlineStr">
        <is>
          <t>OTHER</t>
        </is>
      </c>
      <c r="P21" s="41" t="inlineStr">
        <is>
          <t>Adoption witness only — the page hosts no confession text; the Book of Concord entry (BSR-LU-01) carries the Lutheran standards.</t>
        </is>
      </c>
      <c r="Q21" s="41" t="inlineStr"/>
      <c r="R21" s="41" t="inlineStr">
        <is>
          <t>EXCLUDE (adoption witness only)</t>
        </is>
      </c>
      <c r="S21" s="41" t="inlineStr">
        <is>
          <t>AJP</t>
        </is>
      </c>
      <c r="T21" s="41" t="inlineStr">
        <is>
          <t>2026-09-10</t>
        </is>
      </c>
    </row>
    <row r="22">
      <c r="A22" s="41" t="inlineStr">
        <is>
          <t>BSR-RP-01</t>
        </is>
      </c>
      <c r="B22" s="41" t="inlineStr">
        <is>
          <t>Reformed / Presbyterian</t>
        </is>
      </c>
      <c r="C22" s="41" t="inlineStr">
        <is>
          <t>Westminster Confession (1647 with 1788 American revisions) — OPC</t>
        </is>
      </c>
      <c r="D22" s="41" t="inlineStr">
        <is>
          <t>CONFESSIONAL</t>
        </is>
      </c>
      <c r="E22" s="41" t="inlineStr">
        <is>
          <t>OPC and Westminster churches</t>
        </is>
      </c>
      <c r="F22" s="41" t="inlineStr">
        <is>
          <t>JURISDICTIONAL</t>
        </is>
      </c>
      <c r="G22" s="41" t="inlineStr"/>
      <c r="H22" s="41" t="inlineStr">
        <is>
          <t>“Reformed / Presbyterian” gathers several bodies with overlapping but distinct standards; the Westminster text differs between the OPC and PC(USA) editions, and the Three Forms of Unity speak for the continental Reformed churches.</t>
        </is>
      </c>
      <c r="I22" s="41" t="inlineStr">
        <is>
          <t>opc.org</t>
        </is>
      </c>
      <c r="J22" s="41" t="inlineStr">
        <is>
          <t>https://opc.org/wcf.html</t>
        </is>
      </c>
      <c r="K22" s="41" t="inlineStr">
        <is>
          <t>HTML</t>
        </is>
      </c>
      <c r="L22" s="41" t="inlineStr"/>
      <c r="M22" s="41" t="inlineStr">
        <is>
          <t>AUTHOR_RATIFIED</t>
        </is>
      </c>
      <c r="N22" s="41" t="inlineStr">
        <is>
          <t>APPROVE</t>
        </is>
      </c>
      <c r="O22" s="41" t="inlineStr"/>
      <c r="P22" s="41" t="inlineStr"/>
      <c r="Q22" s="41" t="n">
        <v>18</v>
      </c>
      <c r="R22" s="41" t="inlineStr">
        <is>
          <t>INCLUDE (18 released cells)</t>
        </is>
      </c>
      <c r="S22" s="41" t="inlineStr">
        <is>
          <t>AJP</t>
        </is>
      </c>
      <c r="T22" s="41" t="inlineStr">
        <is>
          <t>2026-09-10</t>
        </is>
      </c>
    </row>
    <row r="23">
      <c r="A23" s="41" t="inlineStr">
        <is>
          <t>BSR-RP-02</t>
        </is>
      </c>
      <c r="B23" s="41" t="inlineStr">
        <is>
          <t>Reformed / Presbyterian</t>
        </is>
      </c>
      <c r="C23" s="41" t="inlineStr">
        <is>
          <t>Westminster Shorter Catechism — OPC</t>
        </is>
      </c>
      <c r="D23" s="41" t="inlineStr">
        <is>
          <t>CONFESSIONAL</t>
        </is>
      </c>
      <c r="E23" s="41" t="inlineStr">
        <is>
          <t>as above</t>
        </is>
      </c>
      <c r="F23" s="41" t="inlineStr">
        <is>
          <t>JURISDICTIONAL</t>
        </is>
      </c>
      <c r="G23" s="41" t="inlineStr"/>
      <c r="H23" s="41" t="inlineStr">
        <is>
          <t>“Reformed / Presbyterian” gathers several bodies with overlapping but distinct standards; the Westminster text differs between the OPC and PC(USA) editions, and the Three Forms of Unity speak for the continental Reformed churches.</t>
        </is>
      </c>
      <c r="I23" s="41" t="inlineStr">
        <is>
          <t>opc.org</t>
        </is>
      </c>
      <c r="J23" s="41" t="inlineStr">
        <is>
          <t>https://opc.org/sc.html</t>
        </is>
      </c>
      <c r="K23" s="41" t="inlineStr">
        <is>
          <t>HTML</t>
        </is>
      </c>
      <c r="L23" s="41" t="inlineStr"/>
      <c r="M23" s="41" t="inlineStr">
        <is>
          <t>AUTHOR_RATIFIED</t>
        </is>
      </c>
      <c r="N23" s="41" t="inlineStr">
        <is>
          <t>APPROVE</t>
        </is>
      </c>
      <c r="O23" s="41" t="inlineStr"/>
      <c r="P23" s="41" t="inlineStr"/>
      <c r="Q23" s="41" t="inlineStr"/>
      <c r="R23" s="41" t="inlineStr">
        <is>
          <t>INCLUDE</t>
        </is>
      </c>
      <c r="S23" s="41" t="inlineStr">
        <is>
          <t>AJP</t>
        </is>
      </c>
      <c r="T23" s="41" t="inlineStr">
        <is>
          <t>2026-09-10</t>
        </is>
      </c>
    </row>
    <row r="24">
      <c r="A24" s="41" t="inlineStr">
        <is>
          <t>BSR-RP-03</t>
        </is>
      </c>
      <c r="B24" s="41" t="inlineStr">
        <is>
          <t>Reformed / Presbyterian</t>
        </is>
      </c>
      <c r="C24" s="41" t="inlineStr">
        <is>
          <t>Westminster Larger Catechism — OPC</t>
        </is>
      </c>
      <c r="D24" s="41" t="inlineStr">
        <is>
          <t>CONFESSIONAL</t>
        </is>
      </c>
      <c r="E24" s="41" t="inlineStr">
        <is>
          <t>as above</t>
        </is>
      </c>
      <c r="F24" s="41" t="inlineStr">
        <is>
          <t>JURISDICTIONAL</t>
        </is>
      </c>
      <c r="G24" s="41" t="inlineStr"/>
      <c r="H24" s="41" t="inlineStr">
        <is>
          <t>“Reformed / Presbyterian” gathers several bodies with overlapping but distinct standards; the Westminster text differs between the OPC and PC(USA) editions, and the Three Forms of Unity speak for the continental Reformed churches.</t>
        </is>
      </c>
      <c r="I24" s="41" t="inlineStr">
        <is>
          <t>opc.org</t>
        </is>
      </c>
      <c r="J24" s="41" t="inlineStr">
        <is>
          <t>https://opc.org/lc.html</t>
        </is>
      </c>
      <c r="K24" s="41" t="inlineStr">
        <is>
          <t>HTML</t>
        </is>
      </c>
      <c r="L24" s="41" t="inlineStr"/>
      <c r="M24" s="41" t="inlineStr">
        <is>
          <t>AUTHOR_RATIFIED</t>
        </is>
      </c>
      <c r="N24" s="41" t="inlineStr">
        <is>
          <t>APPROVE</t>
        </is>
      </c>
      <c r="O24" s="41" t="inlineStr"/>
      <c r="P24" s="41" t="inlineStr"/>
      <c r="Q24" s="41" t="inlineStr"/>
      <c r="R24" s="41" t="inlineStr">
        <is>
          <t>INCLUDE</t>
        </is>
      </c>
      <c r="S24" s="41" t="inlineStr">
        <is>
          <t>AJP</t>
        </is>
      </c>
      <c r="T24" s="41" t="inlineStr">
        <is>
          <t>2026-09-10</t>
        </is>
      </c>
    </row>
    <row r="25">
      <c r="A25" s="41" t="inlineStr">
        <is>
          <t>BSR-RP-04</t>
        </is>
      </c>
      <c r="B25" s="41" t="inlineStr">
        <is>
          <t>Reformed / Presbyterian</t>
        </is>
      </c>
      <c r="C25" s="41" t="inlineStr">
        <is>
          <t>PC(USA) Book of Confessions 2016 (Nicene, Apostles', Scots, Heidelberg, Second Helvetic, Westminster edited recension, Barmen, C67, Belhar, Brief Statement)</t>
        </is>
      </c>
      <c r="D25" s="41" t="inlineStr">
        <is>
          <t>CONFESSIONAL</t>
        </is>
      </c>
      <c r="E25" s="41" t="inlineStr">
        <is>
          <t>PC(USA); "subordinate standards" affirmed at ordination</t>
        </is>
      </c>
      <c r="F25" s="41" t="inlineStr">
        <is>
          <t>JURISDICTIONAL</t>
        </is>
      </c>
      <c r="G25" s="41" t="inlineStr"/>
      <c r="H25" s="41" t="inlineStr">
        <is>
          <t>“Reformed / Presbyterian” gathers several bodies with overlapping but distinct standards; the Westminster text differs between the OPC and PC(USA) editions, and the Three Forms of Unity speak for the continental Reformed churches.</t>
        </is>
      </c>
      <c r="I25" s="41" t="inlineStr">
        <is>
          <t>pcusa.org</t>
        </is>
      </c>
      <c r="J25" s="41" t="inlineStr">
        <is>
          <t>https://pcusa.org/sites/default/files/boc2016.pdf</t>
        </is>
      </c>
      <c r="K25" s="41" t="inlineStr">
        <is>
          <t>PDF (large; normalize)</t>
        </is>
      </c>
      <c r="L25" s="41" t="inlineStr"/>
      <c r="M25" s="41" t="inlineStr">
        <is>
          <t>AUTHOR_RATIFIED</t>
        </is>
      </c>
      <c r="N25" s="41" t="inlineStr">
        <is>
          <t>APPROVE</t>
        </is>
      </c>
      <c r="O25" s="41" t="inlineStr"/>
      <c r="P25" s="41" t="inlineStr"/>
      <c r="Q25" s="41" t="n">
        <v>8</v>
      </c>
      <c r="R25" s="41" t="inlineStr">
        <is>
          <t>INCLUDE WITH CAVEAT — register as a distinct recension from OPC (8 released cells)</t>
        </is>
      </c>
      <c r="S25" s="41" t="inlineStr">
        <is>
          <t>AJP</t>
        </is>
      </c>
      <c r="T25" s="41" t="inlineStr">
        <is>
          <t>2026-09-10</t>
        </is>
      </c>
    </row>
    <row r="26">
      <c r="A26" s="41" t="inlineStr">
        <is>
          <t>BSR-RP-05</t>
        </is>
      </c>
      <c r="B26" s="41" t="inlineStr">
        <is>
          <t>Reformed / Presbyterian</t>
        </is>
      </c>
      <c r="C26" s="41" t="inlineStr">
        <is>
          <t>Heidelberg Catechism (CRC/RCA 2011 joint translation)</t>
        </is>
      </c>
      <c r="D26" s="41" t="inlineStr">
        <is>
          <t>CONFESSIONAL</t>
        </is>
      </c>
      <c r="E26" s="41" t="inlineStr">
        <is>
          <t>CRCNA and RCA</t>
        </is>
      </c>
      <c r="F26" s="41" t="inlineStr">
        <is>
          <t>JURISDICTIONAL</t>
        </is>
      </c>
      <c r="G26" s="41" t="inlineStr"/>
      <c r="H26" s="41" t="inlineStr">
        <is>
          <t>“Reformed / Presbyterian” gathers several bodies with overlapping but distinct standards; the Westminster text differs between the OPC and PC(USA) editions, and the Three Forms of Unity speak for the continental Reformed churches.</t>
        </is>
      </c>
      <c r="I26" s="41" t="inlineStr">
        <is>
          <t>crcna.org</t>
        </is>
      </c>
      <c r="J26" s="41" t="inlineStr">
        <is>
          <t>https://www.crcna.org/welcome/beliefs/confessions/heidelberg-catechism</t>
        </is>
      </c>
      <c r="K26" s="41" t="inlineStr">
        <is>
          <t>HTML</t>
        </is>
      </c>
      <c r="L26" s="41" t="inlineStr"/>
      <c r="M26" s="41" t="inlineStr">
        <is>
          <t>AUTHOR_RATIFIED</t>
        </is>
      </c>
      <c r="N26" s="41" t="inlineStr">
        <is>
          <t>APPROVE</t>
        </is>
      </c>
      <c r="O26" s="41" t="inlineStr"/>
      <c r="P26" s="41" t="inlineStr"/>
      <c r="Q26" s="41" t="inlineStr"/>
      <c r="R26" s="41" t="inlineStr">
        <is>
          <t>INCLUDE</t>
        </is>
      </c>
      <c r="S26" s="41" t="inlineStr">
        <is>
          <t>AJP</t>
        </is>
      </c>
      <c r="T26" s="41" t="inlineStr">
        <is>
          <t>2026-09-10</t>
        </is>
      </c>
    </row>
    <row r="27">
      <c r="A27" s="41" t="inlineStr">
        <is>
          <t>BSR-RP-06</t>
        </is>
      </c>
      <c r="B27" s="41" t="inlineStr">
        <is>
          <t>Reformed / Presbyterian</t>
        </is>
      </c>
      <c r="C27" s="41" t="inlineStr">
        <is>
          <t>Belgic Confession (CRC/RCA 2011)</t>
        </is>
      </c>
      <c r="D27" s="41" t="inlineStr">
        <is>
          <t>CONFESSIONAL</t>
        </is>
      </c>
      <c r="E27" s="41" t="inlineStr">
        <is>
          <t>CRCNA and RCA; Dort required subscription</t>
        </is>
      </c>
      <c r="F27" s="41" t="inlineStr">
        <is>
          <t>JURISDICTIONAL</t>
        </is>
      </c>
      <c r="G27" s="41" t="inlineStr"/>
      <c r="H27" s="41" t="inlineStr">
        <is>
          <t>“Reformed / Presbyterian” gathers several bodies with overlapping but distinct standards; the Westminster text differs between the OPC and PC(USA) editions, and the Three Forms of Unity speak for the continental Reformed churches.</t>
        </is>
      </c>
      <c r="I27" s="41" t="inlineStr">
        <is>
          <t>crcna.org</t>
        </is>
      </c>
      <c r="J27" s="41" t="inlineStr">
        <is>
          <t>https://www.crcna.org/welcome/beliefs/confessions/belgic-confession</t>
        </is>
      </c>
      <c r="K27" s="41" t="inlineStr">
        <is>
          <t>HTML</t>
        </is>
      </c>
      <c r="L27" s="41" t="inlineStr"/>
      <c r="M27" s="41" t="inlineStr">
        <is>
          <t>AUTHOR_RATIFIED</t>
        </is>
      </c>
      <c r="N27" s="41" t="inlineStr">
        <is>
          <t>APPROVE</t>
        </is>
      </c>
      <c r="O27" s="41" t="inlineStr"/>
      <c r="P27" s="41" t="inlineStr"/>
      <c r="Q27" s="41" t="n">
        <v>9</v>
      </c>
      <c r="R27" s="41" t="inlineStr">
        <is>
          <t>INCLUDE (9 released cells)</t>
        </is>
      </c>
      <c r="S27" s="41" t="inlineStr">
        <is>
          <t>AJP</t>
        </is>
      </c>
      <c r="T27" s="41" t="inlineStr">
        <is>
          <t>2026-09-10</t>
        </is>
      </c>
    </row>
    <row r="28">
      <c r="A28" s="41" t="inlineStr">
        <is>
          <t>BSR-AN-01</t>
        </is>
      </c>
      <c r="B28" s="41" t="inlineStr">
        <is>
          <t>Anglican</t>
        </is>
      </c>
      <c r="C28" s="41" t="inlineStr">
        <is>
          <t>Thirty-Nine Articles (Church of England)</t>
        </is>
      </c>
      <c r="D28" s="41" t="inlineStr">
        <is>
          <t>CONFESSIONAL (historic formulary; Canon A5)</t>
        </is>
      </c>
      <c r="E28" s="41" t="inlineStr">
        <is>
          <t>Church of England; received across the Communion</t>
        </is>
      </c>
      <c r="F28" s="41" t="inlineStr">
        <is>
          <t>MULTILATERAL</t>
        </is>
      </c>
      <c r="G28" s="41" t="inlineStr"/>
      <c r="H28" s="41" t="inlineStr">
        <is>
          <t>The Thirty-Nine Articles are a historic formulary of the Church of England received in different ways across the Anglican Communion; the catechisms speak for the province that adopted them.</t>
        </is>
      </c>
      <c r="I28" s="41" t="inlineStr">
        <is>
          <t>churchofengland.org</t>
        </is>
      </c>
      <c r="J28" s="41" t="inlineStr">
        <is>
          <t>https://www.churchofengland.org/prayer-and-worship/worship-texts-and-resources/book-common-prayer/articles-religion</t>
        </is>
      </c>
      <c r="K28" s="41" t="inlineStr">
        <is>
          <t>RENDERED (body not exposed to plain fetch)</t>
        </is>
      </c>
      <c r="L28" s="41" t="inlineStr"/>
      <c r="M28" s="41" t="inlineStr">
        <is>
          <t>AUTHOR_RATIFIED</t>
        </is>
      </c>
      <c r="N28" s="41" t="inlineStr">
        <is>
          <t>APPROVE</t>
        </is>
      </c>
      <c r="O28" s="41" t="inlineStr"/>
      <c r="P28" s="41" t="inlineStr"/>
      <c r="Q28" s="41" t="inlineStr"/>
      <c r="R28" s="41" t="inlineStr">
        <is>
          <t>INCLUDE — Playwright fetch mode</t>
        </is>
      </c>
      <c r="S28" s="41" t="inlineStr">
        <is>
          <t>AJP</t>
        </is>
      </c>
      <c r="T28" s="41" t="inlineStr">
        <is>
          <t>2026-09-10</t>
        </is>
      </c>
    </row>
    <row r="29">
      <c r="A29" s="41" t="inlineStr">
        <is>
          <t>BSR-AN-02</t>
        </is>
      </c>
      <c r="B29" s="41" t="inlineStr">
        <is>
          <t>Anglican</t>
        </is>
      </c>
      <c r="C29" s="41" t="inlineStr">
        <is>
          <t>BCP 1662 Catechism (Church of England)</t>
        </is>
      </c>
      <c r="D29" s="41" t="inlineStr">
        <is>
          <t>CATECHETICAL</t>
        </is>
      </c>
      <c r="E29" s="41" t="inlineStr">
        <is>
          <t>Church of England</t>
        </is>
      </c>
      <c r="F29" s="41" t="inlineStr">
        <is>
          <t>JURISDICTIONAL</t>
        </is>
      </c>
      <c r="G29" s="41" t="inlineStr"/>
      <c r="H29" s="41" t="inlineStr">
        <is>
          <t>The Thirty-Nine Articles are a historic formulary of the Church of England received in different ways across the Anglican Communion; the catechisms speak for the province that adopted them.</t>
        </is>
      </c>
      <c r="I29" s="41" t="inlineStr">
        <is>
          <t>churchofengland.org</t>
        </is>
      </c>
      <c r="J29" s="41" t="inlineStr">
        <is>
          <t>https://www.churchofengland.org/prayer-and-worship/worship-texts-and-resources/book-common-prayer/catechism</t>
        </is>
      </c>
      <c r="K29" s="41" t="inlineStr">
        <is>
          <t>RENDERED</t>
        </is>
      </c>
      <c r="L29" s="41" t="inlineStr"/>
      <c r="M29" s="41" t="inlineStr">
        <is>
          <t>AUTHOR_RATIFIED</t>
        </is>
      </c>
      <c r="N29" s="41" t="inlineStr">
        <is>
          <t>APPROVE</t>
        </is>
      </c>
      <c r="O29" s="41" t="inlineStr"/>
      <c r="P29" s="41" t="inlineStr"/>
      <c r="Q29" s="41" t="inlineStr"/>
      <c r="R29" s="41" t="inlineStr">
        <is>
          <t>INCLUDE — Playwright fetch mode</t>
        </is>
      </c>
      <c r="S29" s="41" t="inlineStr">
        <is>
          <t>AJP</t>
        </is>
      </c>
      <c r="T29" s="41" t="inlineStr">
        <is>
          <t>2026-09-10</t>
        </is>
      </c>
    </row>
    <row r="30">
      <c r="A30" s="41" t="inlineStr">
        <is>
          <t>BSR-AN-03</t>
        </is>
      </c>
      <c r="B30" s="41" t="inlineStr">
        <is>
          <t>Anglican</t>
        </is>
      </c>
      <c r="C30" s="41" t="inlineStr">
        <is>
          <t>Athanasian Creed (Quicunque Vult), BCP</t>
        </is>
      </c>
      <c r="D30" s="41" t="inlineStr">
        <is>
          <t>CONFESSIONAL</t>
        </is>
      </c>
      <c r="E30" s="41" t="inlineStr">
        <is>
          <t>Church of England (appointed in the BCP)</t>
        </is>
      </c>
      <c r="F30" s="41" t="inlineStr">
        <is>
          <t>JURISDICTIONAL</t>
        </is>
      </c>
      <c r="G30" s="41" t="inlineStr"/>
      <c r="H30" s="41" t="inlineStr">
        <is>
          <t>The Thirty-Nine Articles are a historic formulary of the Church of England received in different ways across the Anglican Communion; the catechisms speak for the province that adopted them.</t>
        </is>
      </c>
      <c r="I30" s="41" t="inlineStr">
        <is>
          <t>ccel.org</t>
        </is>
      </c>
      <c r="J30" s="41" t="inlineStr">
        <is>
          <t>ccel.org as cited (1 released cell); official: churchofengland.org BCP "At Morning Prayer"</t>
        </is>
      </c>
      <c r="K30" s="41" t="inlineStr">
        <is>
          <t>HTML</t>
        </is>
      </c>
      <c r="L30" s="41" t="inlineStr"/>
      <c r="M30" s="41" t="inlineStr">
        <is>
          <t>AUTHOR_RATIFIED</t>
        </is>
      </c>
      <c r="N30" s="41" t="inlineStr">
        <is>
          <t>APPROVE</t>
        </is>
      </c>
      <c r="O30" s="41" t="inlineStr"/>
      <c r="P30" s="41" t="inlineStr"/>
      <c r="Q30" s="41" t="n">
        <v>1</v>
      </c>
      <c r="R30" s="41" t="inlineStr">
        <is>
          <t>LINEAGE → migrate to churchofengland.org</t>
        </is>
      </c>
      <c r="S30" s="41" t="inlineStr">
        <is>
          <t>AJP</t>
        </is>
      </c>
      <c r="T30" s="41" t="inlineStr">
        <is>
          <t>2026-09-10</t>
        </is>
      </c>
    </row>
    <row r="31">
      <c r="A31" s="41" t="inlineStr">
        <is>
          <t>BSR-AN-04</t>
        </is>
      </c>
      <c r="B31" s="41" t="inlineStr">
        <is>
          <t>Anglican</t>
        </is>
      </c>
      <c r="C31" s="41" t="inlineStr">
        <is>
          <t>The Episcopal Church BCP 1979, "An Outline of the Faith"</t>
        </is>
      </c>
      <c r="D31" s="41" t="inlineStr">
        <is>
          <t>CATECHETICAL</t>
        </is>
      </c>
      <c r="E31" s="41" t="inlineStr">
        <is>
          <t>The Episcopal Church (certified Standard Book)</t>
        </is>
      </c>
      <c r="F31" s="41" t="inlineStr">
        <is>
          <t>JURISDICTIONAL</t>
        </is>
      </c>
      <c r="G31" s="41" t="inlineStr"/>
      <c r="H31" s="41" t="inlineStr">
        <is>
          <t>The Thirty-Nine Articles are a historic formulary of the Church of England received in different ways across the Anglican Communion; the catechisms speak for the province that adopted them.</t>
        </is>
      </c>
      <c r="I31" s="41" t="inlineStr">
        <is>
          <t>episcopalchurch.org</t>
        </is>
      </c>
      <c r="J31" s="41" t="inlineStr">
        <is>
          <t>https://www.episcopalchurch.org/wp-content/uploads/2023/06/book_of_common_prayer.pdf</t>
        </is>
      </c>
      <c r="K31" s="41" t="inlineStr">
        <is>
          <t>PDF</t>
        </is>
      </c>
      <c r="L31" s="41" t="inlineStr"/>
      <c r="M31" s="41" t="inlineStr">
        <is>
          <t>AUTHOR_RATIFIED</t>
        </is>
      </c>
      <c r="N31" s="41" t="inlineStr">
        <is>
          <t>APPROVE</t>
        </is>
      </c>
      <c r="O31" s="41" t="inlineStr"/>
      <c r="P31" s="41" t="inlineStr"/>
      <c r="Q31" s="41" t="inlineStr"/>
      <c r="R31" s="41" t="inlineStr">
        <is>
          <t>INCLUDE WITH CAVEAT (cite the PDF; use bcponline for reading only)</t>
        </is>
      </c>
      <c r="S31" s="41" t="inlineStr">
        <is>
          <t>AJP</t>
        </is>
      </c>
      <c r="T31" s="41" t="inlineStr">
        <is>
          <t>2026-09-10</t>
        </is>
      </c>
    </row>
    <row r="32">
      <c r="A32" s="41" t="inlineStr">
        <is>
          <t>BSR-AN-05</t>
        </is>
      </c>
      <c r="B32" s="41" t="inlineStr">
        <is>
          <t>Anglican</t>
        </is>
      </c>
      <c r="C32" s="41" t="inlineStr">
        <is>
          <t>ACNA "To Be a Christian" (2020 approved edition)</t>
        </is>
      </c>
      <c r="D32" s="41" t="inlineStr">
        <is>
          <t>CATECHETICAL</t>
        </is>
      </c>
      <c r="E32" s="41" t="inlineStr">
        <is>
          <t>Anglican Church in North America (College of Bishops)</t>
        </is>
      </c>
      <c r="F32" s="41" t="inlineStr">
        <is>
          <t>JURISDICTIONAL</t>
        </is>
      </c>
      <c r="G32" s="41" t="inlineStr"/>
      <c r="H32" s="41" t="inlineStr">
        <is>
          <t>The Thirty-Nine Articles are a historic formulary of the Church of England received in different ways across the Anglican Communion; the catechisms speak for the province that adopted them.</t>
        </is>
      </c>
      <c r="I32" s="41" t="inlineStr">
        <is>
          <t>anglicanchurch.net</t>
        </is>
      </c>
      <c r="J32" s="41" t="inlineStr">
        <is>
          <t>https://anglicanchurch.net/wp-content/uploads/2020/06/To-Be-a-Christian.pdf</t>
        </is>
      </c>
      <c r="K32" s="41" t="inlineStr">
        <is>
          <t>PDF</t>
        </is>
      </c>
      <c r="L32" s="41" t="inlineStr"/>
      <c r="M32" s="41" t="inlineStr">
        <is>
          <t>AUTHOR_RATIFIED</t>
        </is>
      </c>
      <c r="N32" s="41" t="inlineStr">
        <is>
          <t>APPROVE</t>
        </is>
      </c>
      <c r="O32" s="41" t="inlineStr"/>
      <c r="P32" s="41" t="inlineStr"/>
      <c r="Q32" s="41" t="inlineStr"/>
      <c r="R32" s="41" t="inlineStr">
        <is>
          <t>AUTHOR CALL — adds a current catechetical witness; ACNA is not in communion with Canterbury</t>
        </is>
      </c>
      <c r="S32" s="41" t="inlineStr">
        <is>
          <t>AJP</t>
        </is>
      </c>
      <c r="T32" s="41" t="inlineStr">
        <is>
          <t>2026-09-10</t>
        </is>
      </c>
    </row>
    <row r="33">
      <c r="A33" s="41" t="inlineStr">
        <is>
          <t>BSR-BA-01</t>
        </is>
      </c>
      <c r="B33" s="41" t="inlineStr">
        <is>
          <t>Baptist</t>
        </is>
      </c>
      <c r="C33" s="41" t="inlineStr">
        <is>
          <t>Baptist Faith and Message 2000</t>
        </is>
      </c>
      <c r="D33" s="41" t="inlineStr">
        <is>
          <t>CONFESSIONAL (statement of faith, not a creed)</t>
        </is>
      </c>
      <c r="E33" s="41" t="inlineStr">
        <is>
          <t>Southern Baptist Convention</t>
        </is>
      </c>
      <c r="F33" s="41" t="inlineStr">
        <is>
          <t>JURISDICTIONAL</t>
        </is>
      </c>
      <c r="G33" s="41" t="inlineStr"/>
      <c r="H33" s="41" t="inlineStr">
        <is>
          <t>Baptists confess without creeds; the Baptist Faith and Message speaks for the Southern Baptist Convention, the 1689 Confession for churches that subscribe it, and neither for all Baptists.</t>
        </is>
      </c>
      <c r="I33" s="41" t="inlineStr">
        <is>
          <t>bfm.sbc.net</t>
        </is>
      </c>
      <c r="J33" s="41" t="inlineStr">
        <is>
          <t>https://bfm.sbc.net/bfm2000/</t>
        </is>
      </c>
      <c r="K33" s="41" t="inlineStr">
        <is>
          <t>HTML</t>
        </is>
      </c>
      <c r="L33" s="41" t="inlineStr"/>
      <c r="M33" s="41" t="inlineStr">
        <is>
          <t>AUTHOR_RATIFIED</t>
        </is>
      </c>
      <c r="N33" s="41" t="inlineStr">
        <is>
          <t>APPROVE</t>
        </is>
      </c>
      <c r="O33" s="41" t="inlineStr"/>
      <c r="P33" s="41" t="inlineStr"/>
      <c r="Q33" s="41" t="n">
        <v>16</v>
      </c>
      <c r="R33" s="41" t="inlineStr">
        <is>
          <t>INCLUDE (16 released cells)</t>
        </is>
      </c>
      <c r="S33" s="41" t="inlineStr">
        <is>
          <t>AJP</t>
        </is>
      </c>
      <c r="T33" s="41" t="inlineStr">
        <is>
          <t>2026-09-10</t>
        </is>
      </c>
    </row>
    <row r="34">
      <c r="A34" s="41" t="inlineStr">
        <is>
          <t>BSR-BA-02</t>
        </is>
      </c>
      <c r="B34" s="41" t="inlineStr">
        <is>
          <t>Baptist</t>
        </is>
      </c>
      <c r="C34" s="41" t="inlineStr">
        <is>
          <t>Second London Confession 1689, ch. 2</t>
        </is>
      </c>
      <c r="D34" s="41" t="inlineStr">
        <is>
          <t>CONFESSIONAL (voluntary church-level subscription)</t>
        </is>
      </c>
      <c r="E34" s="41" t="inlineStr">
        <is>
          <t>Reformed Baptist churches and associations</t>
        </is>
      </c>
      <c r="F34" s="41" t="inlineStr">
        <is>
          <t>JURISDICTIONAL</t>
        </is>
      </c>
      <c r="G34" s="41" t="inlineStr"/>
      <c r="H34" s="41" t="inlineStr">
        <is>
          <t>Baptists confess without creeds; the Baptist Faith and Message speaks for the Southern Baptist Convention, the 1689 Confession for churches that subscribe it, and neither for all Baptists.</t>
        </is>
      </c>
      <c r="I34" s="41" t="inlineStr">
        <is>
          <t>the1689confession.com</t>
        </is>
      </c>
      <c r="J34" s="41" t="inlineStr">
        <is>
          <t>https://the1689confession.com/1689/chapter-2</t>
        </is>
      </c>
      <c r="K34" s="41" t="inlineStr">
        <is>
          <t>HTML</t>
        </is>
      </c>
      <c r="L34" s="41" t="inlineStr"/>
      <c r="M34" s="41" t="inlineStr">
        <is>
          <t>AUTHOR_RATIFIED</t>
        </is>
      </c>
      <c r="N34" s="41" t="inlineStr">
        <is>
          <t>APPROVE</t>
        </is>
      </c>
      <c r="O34" s="41" t="inlineStr"/>
      <c r="P34" s="41" t="inlineStr"/>
      <c r="Q34" s="41" t="inlineStr"/>
      <c r="R34" s="41" t="inlineStr">
        <is>
          <t>AUTHOR CALL — richest attribute text in the Baptist family; host is a single congregation</t>
        </is>
      </c>
      <c r="S34" s="41" t="inlineStr">
        <is>
          <t>AJP</t>
        </is>
      </c>
      <c r="T34" s="41" t="inlineStr">
        <is>
          <t>2026-09-10</t>
        </is>
      </c>
    </row>
    <row r="35">
      <c r="A35" s="41" t="inlineStr">
        <is>
          <t>BSR-BA-03</t>
        </is>
      </c>
      <c r="B35" s="41" t="inlineStr">
        <is>
          <t>Baptist</t>
        </is>
      </c>
      <c r="C35" s="41" t="inlineStr">
        <is>
          <t>American Baptist Churches USA belief pages</t>
        </is>
      </c>
      <c r="D35" s="41" t="inlineStr">
        <is>
          <t>OFFICIAL_EXPOSITION</t>
        </is>
      </c>
      <c r="E35" s="41" t="inlineStr">
        <is>
          <t>ABC-USA (descriptive, non-binding)</t>
        </is>
      </c>
      <c r="F35" s="41" t="inlineStr">
        <is>
          <t>JURISDICTIONAL</t>
        </is>
      </c>
      <c r="G35" s="41" t="inlineStr"/>
      <c r="H35" s="41" t="inlineStr">
        <is>
          <t>Baptists confess without creeds; the Baptist Faith and Message speaks for the Southern Baptist Convention, the 1689 Confession for churches that subscribe it, and neither for all Baptists.</t>
        </is>
      </c>
      <c r="I35" s="41" t="inlineStr">
        <is>
          <t>abc-usa.org</t>
        </is>
      </c>
      <c r="J35" s="41" t="inlineStr">
        <is>
          <t>https://www.abc-usa.org/10facts</t>
        </is>
      </c>
      <c r="K35" s="41" t="inlineStr">
        <is>
          <t>HTML</t>
        </is>
      </c>
      <c r="L35" s="41" t="inlineStr"/>
      <c r="M35" s="41" t="inlineStr">
        <is>
          <t>AUTHOR_RATIFIED</t>
        </is>
      </c>
      <c r="N35" s="41" t="inlineStr">
        <is>
          <t>APPROVE</t>
        </is>
      </c>
      <c r="O35" s="41" t="inlineStr"/>
      <c r="P35" s="41" t="inlineStr"/>
      <c r="Q35" s="41" t="inlineStr"/>
      <c r="R35" s="41" t="inlineStr">
        <is>
          <t>INCLUDE WITH CAVEAT as CURRENT_OFFICIAL_WITNESS</t>
        </is>
      </c>
      <c r="S35" s="41" t="inlineStr">
        <is>
          <t>AJP</t>
        </is>
      </c>
      <c r="T35" s="41" t="inlineStr">
        <is>
          <t>2026-09-10</t>
        </is>
      </c>
    </row>
    <row r="36">
      <c r="A36" s="41" t="inlineStr">
        <is>
          <t>BSR-MW-01</t>
        </is>
      </c>
      <c r="B36" s="41" t="inlineStr">
        <is>
          <t>Methodist / Wesleyan</t>
        </is>
      </c>
      <c r="C36" s="41" t="inlineStr">
        <is>
          <t>Articles of Religion of The Methodist Church (Book of Discipline)</t>
        </is>
      </c>
      <c r="D36" s="41" t="inlineStr">
        <is>
          <t>CONFESSIONAL (protected by Restrictive Rules)</t>
        </is>
      </c>
      <c r="E36" s="41" t="inlineStr">
        <is>
          <t>United Methodist Church</t>
        </is>
      </c>
      <c r="F36" s="41" t="inlineStr">
        <is>
          <t>JURISDICTIONAL</t>
        </is>
      </c>
      <c r="G36" s="41" t="inlineStr"/>
      <c r="H36"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6" s="41" t="inlineStr">
        <is>
          <t>umc.org</t>
        </is>
      </c>
      <c r="J36" s="41" t="inlineStr">
        <is>
          <t>https://www.umc.org/en/content/articles-of-religion</t>
        </is>
      </c>
      <c r="K36" s="41" t="inlineStr">
        <is>
          <t>HTML (rendered)</t>
        </is>
      </c>
      <c r="L36" s="41" t="inlineStr"/>
      <c r="M36" s="41" t="inlineStr">
        <is>
          <t>AUTHOR_RATIFIED</t>
        </is>
      </c>
      <c r="N36" s="41" t="inlineStr">
        <is>
          <t>APPROVE</t>
        </is>
      </c>
      <c r="O36" s="41" t="inlineStr"/>
      <c r="P36" s="41" t="inlineStr"/>
      <c r="Q36" s="41" t="n">
        <v>10</v>
      </c>
      <c r="R36" s="41" t="inlineStr">
        <is>
          <t>INCLUDE (10 released cells)</t>
        </is>
      </c>
      <c r="S36" s="41" t="inlineStr">
        <is>
          <t>AJP</t>
        </is>
      </c>
      <c r="T36" s="41" t="inlineStr">
        <is>
          <t>2026-09-10</t>
        </is>
      </c>
    </row>
    <row r="37">
      <c r="A37" s="41" t="inlineStr">
        <is>
          <t>BSR-MW-02</t>
        </is>
      </c>
      <c r="B37" s="41" t="inlineStr">
        <is>
          <t>Methodist / Wesleyan</t>
        </is>
      </c>
      <c r="C37" s="41" t="inlineStr">
        <is>
          <t>Confession of Faith of the Evangelical United Brethren Church</t>
        </is>
      </c>
      <c r="D37" s="41" t="inlineStr">
        <is>
          <t>CONFESSIONAL (Restrictive Rules)</t>
        </is>
      </c>
      <c r="E37" s="41" t="inlineStr">
        <is>
          <t>United Methodist Church</t>
        </is>
      </c>
      <c r="F37" s="41" t="inlineStr">
        <is>
          <t>JURISDICTIONAL</t>
        </is>
      </c>
      <c r="G37" s="41" t="inlineStr"/>
      <c r="H37"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7" s="41" t="inlineStr">
        <is>
          <t>umc.org</t>
        </is>
      </c>
      <c r="J37" s="41" t="inlineStr">
        <is>
          <t>https://www.umc.org/en/content/confession-of-faith</t>
        </is>
      </c>
      <c r="K37" s="41" t="inlineStr">
        <is>
          <t>HTML</t>
        </is>
      </c>
      <c r="L37" s="41" t="inlineStr"/>
      <c r="M37" s="41" t="inlineStr">
        <is>
          <t>AUTHOR_RATIFIED</t>
        </is>
      </c>
      <c r="N37" s="41" t="inlineStr">
        <is>
          <t>APPROVE</t>
        </is>
      </c>
      <c r="O37" s="41" t="inlineStr"/>
      <c r="P37" s="41" t="inlineStr"/>
      <c r="Q37" s="41" t="n">
        <v>8</v>
      </c>
      <c r="R37" s="41" t="inlineStr">
        <is>
          <t>INCLUDE (8 released cells)</t>
        </is>
      </c>
      <c r="S37" s="41" t="inlineStr">
        <is>
          <t>AJP</t>
        </is>
      </c>
      <c r="T37" s="41" t="inlineStr">
        <is>
          <t>2026-09-10</t>
        </is>
      </c>
    </row>
    <row r="38">
      <c r="A38" s="41" t="inlineStr">
        <is>
          <t>BSR-MW-03</t>
        </is>
      </c>
      <c r="B38" s="41" t="inlineStr">
        <is>
          <t>Methodist / Wesleyan</t>
        </is>
      </c>
      <c r="C38" s="41" t="inlineStr">
        <is>
          <t>Global Methodist Church doctrinal standards</t>
        </is>
      </c>
      <c r="D38" s="41" t="inlineStr">
        <is>
          <t>CONFESSIONAL</t>
        </is>
      </c>
      <c r="E38" s="41" t="inlineStr">
        <is>
          <t>Global Methodist Church</t>
        </is>
      </c>
      <c r="F38" s="41" t="inlineStr">
        <is>
          <t>JURISDICTIONAL</t>
        </is>
      </c>
      <c r="G38" s="41" t="inlineStr"/>
      <c r="H38"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8" s="41" t="inlineStr">
        <is>
          <t>globalmethodist.org</t>
        </is>
      </c>
      <c r="J38" s="41" t="inlineStr">
        <is>
          <t>https://globalmethodist.org/what-we-believe/</t>
        </is>
      </c>
      <c r="K38" s="41" t="inlineStr">
        <is>
          <t>HTML (apex host; do NOT normalise to www - www is a different site and 404s)</t>
        </is>
      </c>
      <c r="L38" s="41" t="inlineStr"/>
      <c r="M38" s="41" t="inlineStr">
        <is>
          <t>AUTHOR_RATIFIED</t>
        </is>
      </c>
      <c r="N38" s="41" t="inlineStr">
        <is>
          <t>APPROVE</t>
        </is>
      </c>
      <c r="O38" s="41" t="inlineStr"/>
      <c r="P38" s="41" t="inlineStr"/>
      <c r="Q38" s="41" t="inlineStr"/>
      <c r="R38" s="41" t="inlineStr">
        <is>
          <t>AUTHOR CALL — same Articles, second body; include if the branch is to represent Methodism beyond the UMC</t>
        </is>
      </c>
      <c r="S38" s="41" t="inlineStr">
        <is>
          <t>AJP</t>
        </is>
      </c>
      <c r="T38" s="41" t="inlineStr">
        <is>
          <t>2026-09-11</t>
        </is>
      </c>
    </row>
    <row r="39">
      <c r="A39" s="41" t="inlineStr">
        <is>
          <t>BSR-MW-04</t>
        </is>
      </c>
      <c r="B39" s="41" t="inlineStr">
        <is>
          <t>Methodist / Wesleyan</t>
        </is>
      </c>
      <c r="C39" s="41" t="inlineStr">
        <is>
          <t>The Wesleyan Church Articles of Religion</t>
        </is>
      </c>
      <c r="D39" s="41" t="inlineStr">
        <is>
          <t>CONFESSIONAL</t>
        </is>
      </c>
      <c r="E39" s="41" t="inlineStr">
        <is>
          <t>The Wesleyan Church</t>
        </is>
      </c>
      <c r="F39" s="41" t="inlineStr">
        <is>
          <t>JURISDICTIONAL</t>
        </is>
      </c>
      <c r="G39" s="41" t="inlineStr"/>
      <c r="H39"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9" s="41" t="inlineStr">
        <is>
          <t>wesleyan.org</t>
        </is>
      </c>
      <c r="J39" s="41" t="inlineStr">
        <is>
          <t>https://www.wesleyan.org/about/articles-of-religion</t>
        </is>
      </c>
      <c r="K39" s="41" t="inlineStr">
        <is>
          <t>HTML</t>
        </is>
      </c>
      <c r="L39" s="41" t="inlineStr"/>
      <c r="M39" s="41" t="inlineStr">
        <is>
          <t>AUTHOR_RATIFIED</t>
        </is>
      </c>
      <c r="N39" s="41" t="inlineStr">
        <is>
          <t>APPROVE</t>
        </is>
      </c>
      <c r="O39" s="41" t="inlineStr"/>
      <c r="P39" s="41" t="inlineStr"/>
      <c r="Q39" s="41" t="inlineStr"/>
      <c r="R39" s="41" t="inlineStr">
        <is>
          <t>AUTHOR CALL — Wesleyan-holiness witness</t>
        </is>
      </c>
      <c r="S39" s="41" t="inlineStr">
        <is>
          <t>AJP</t>
        </is>
      </c>
      <c r="T39" s="41" t="inlineStr">
        <is>
          <t>2026-09-10</t>
        </is>
      </c>
    </row>
    <row r="40">
      <c r="A40" s="41" t="inlineStr">
        <is>
          <t>BSR-MA-01</t>
        </is>
      </c>
      <c r="B40" s="41" t="inlineStr">
        <is>
          <t>Mennonite / Anabaptist</t>
        </is>
      </c>
      <c r="C40" s="41" t="inlineStr">
        <is>
          <t>Confession of Faith in a Mennonite Perspective (1995), Article 1 and following</t>
        </is>
      </c>
      <c r="D40" s="41" t="inlineStr">
        <is>
          <t>CONFESSIONAL (adopted 1995; "guidelines," not a creed)</t>
        </is>
      </c>
      <c r="E40" s="41" t="inlineStr">
        <is>
          <t>Mennonite Church USA and Mennonite Church Canada</t>
        </is>
      </c>
      <c r="F40" s="41" t="inlineStr">
        <is>
          <t>JURISDICTIONAL</t>
        </is>
      </c>
      <c r="G40" s="41" t="inlineStr"/>
      <c r="H40" s="41" t="inlineStr">
        <is>
          <t>The 1995 Confession describes itself as guidance for belief and practice rather than a creed; it speaks for the two adopting denominations, and historic confessions are received differently by other Anabaptist bodies.</t>
        </is>
      </c>
      <c r="I40" s="41" t="inlineStr">
        <is>
          <t>mennoniteusa.org</t>
        </is>
      </c>
      <c r="J40" s="41" t="inlineStr">
        <is>
          <t>https://www.mennoniteusa.org/who-are-mennonites/what-we-believe/confession-of-faith/god/</t>
        </is>
      </c>
      <c r="K40" s="41" t="inlineStr">
        <is>
          <t>HTML + PDF</t>
        </is>
      </c>
      <c r="L40" s="41" t="inlineStr"/>
      <c r="M40" s="41" t="inlineStr">
        <is>
          <t>AUTHOR_RATIFIED</t>
        </is>
      </c>
      <c r="N40" s="41" t="inlineStr">
        <is>
          <t>APPROVE</t>
        </is>
      </c>
      <c r="O40" s="41" t="inlineStr"/>
      <c r="P40" s="41" t="inlineStr"/>
      <c r="Q40" s="41" t="n">
        <v>13</v>
      </c>
      <c r="R40" s="41" t="inlineStr">
        <is>
          <t>INCLUDE (13 released cells)</t>
        </is>
      </c>
      <c r="S40" s="41" t="inlineStr">
        <is>
          <t>AJP</t>
        </is>
      </c>
      <c r="T40" s="41" t="inlineStr">
        <is>
          <t>2026-09-10</t>
        </is>
      </c>
    </row>
    <row r="41">
      <c r="A41" s="41" t="inlineStr">
        <is>
          <t>BSR-MA-02</t>
        </is>
      </c>
      <c r="B41" s="41" t="inlineStr">
        <is>
          <t>Mennonite / Anabaptist</t>
        </is>
      </c>
      <c r="C41" s="41" t="inlineStr">
        <is>
          <t>Dordrecht Confession (1632)</t>
        </is>
      </c>
      <c r="D41" s="41" t="inlineStr">
        <is>
          <t>CONFESSIONAL (historic; received by conservative bodies)</t>
        </is>
      </c>
      <c r="E41" s="41" t="inlineStr">
        <is>
          <t>Historic; no current binding statement</t>
        </is>
      </c>
      <c r="F41" s="41" t="inlineStr">
        <is>
          <t>HISTORIC_NO_CURRENT_BODY</t>
        </is>
      </c>
      <c r="G41" s="41" t="inlineStr"/>
      <c r="H41" s="41" t="inlineStr">
        <is>
          <t>The 1995 Confession describes itself as guidance for belief and practice rather than a creed; it speaks for the two adopting denominations, and historic confessions are received differently by other Anabaptist bodies.</t>
        </is>
      </c>
      <c r="I41" s="41" t="inlineStr">
        <is>
          <t>anabaptistresources.org</t>
        </is>
      </c>
      <c r="J41" s="41" t="inlineStr">
        <is>
          <t>https://www.anabaptistresources.org/en/resources/details/932/dordrecht-confession-of-faith</t>
        </is>
      </c>
      <c r="K41" s="41" t="inlineStr">
        <is>
          <t>PDF</t>
        </is>
      </c>
      <c r="L41" s="41" t="inlineStr"/>
      <c r="M41" s="41" t="inlineStr">
        <is>
          <t>AUTHOR_RATIFIED</t>
        </is>
      </c>
      <c r="N41" s="41" t="inlineStr">
        <is>
          <t>APPROVE</t>
        </is>
      </c>
      <c r="O41" s="41" t="inlineStr"/>
      <c r="P41" s="41" t="inlineStr"/>
      <c r="Q41" s="41" t="inlineStr"/>
      <c r="R41" s="41" t="inlineStr">
        <is>
          <t>AUTHOR CALL — host operator unidentified; gameo is the scholarly source but blocks fetch</t>
        </is>
      </c>
      <c r="S41" s="41" t="inlineStr">
        <is>
          <t>AJP</t>
        </is>
      </c>
      <c r="T41" s="41" t="inlineStr">
        <is>
          <t>2026-09-10</t>
        </is>
      </c>
    </row>
    <row r="42">
      <c r="A42" s="41" t="inlineStr">
        <is>
          <t>BSR-MA-03</t>
        </is>
      </c>
      <c r="B42" s="41" t="inlineStr">
        <is>
          <t>Mennonite / Anabaptist</t>
        </is>
      </c>
      <c r="C42" s="41" t="inlineStr">
        <is>
          <t>Schleitheim Confession (1527)</t>
        </is>
      </c>
      <c r="D42" s="41" t="inlineStr">
        <is>
          <t>CONFESSIONAL (historic)</t>
        </is>
      </c>
      <c r="E42" s="41" t="inlineStr">
        <is>
          <t>Historic</t>
        </is>
      </c>
      <c r="F42" s="41" t="inlineStr">
        <is>
          <t>HISTORIC_NO_CURRENT_BODY</t>
        </is>
      </c>
      <c r="G42" s="41" t="inlineStr"/>
      <c r="H42" s="41" t="inlineStr">
        <is>
          <t>The 1995 Confession describes itself as guidance for belief and practice rather than a creed; it speaks for the two adopting denominations, and historic confessions are received differently by other Anabaptist bodies.</t>
        </is>
      </c>
      <c r="I42" s="41" t="inlineStr">
        <is>
          <t>anabaptists.org</t>
        </is>
      </c>
      <c r="J42" s="41" t="inlineStr">
        <is>
          <t>https://www.anabaptists.org/history/the-schleitheim-confession.html</t>
        </is>
      </c>
      <c r="K42" s="41" t="inlineStr">
        <is>
          <t>HTML</t>
        </is>
      </c>
      <c r="L42" s="41" t="inlineStr"/>
      <c r="M42" s="41" t="inlineStr">
        <is>
          <t>RETIRED</t>
        </is>
      </c>
      <c r="N42" s="41" t="inlineStr">
        <is>
          <t>EXCLUDE</t>
        </is>
      </c>
      <c r="O42" s="41" t="inlineStr">
        <is>
          <t>WRONG_SUBJECT</t>
        </is>
      </c>
      <c r="P42" s="41" t="inlineStr"/>
      <c r="Q42" s="41" t="inlineStr"/>
      <c r="R42" s="41" t="inlineStr">
        <is>
          <t>EXCLUDE (ecclesial/ethical articles only)</t>
        </is>
      </c>
      <c r="S42" s="41" t="inlineStr">
        <is>
          <t>AJP</t>
        </is>
      </c>
      <c r="T42" s="41" t="inlineStr">
        <is>
          <t>2026-09-10</t>
        </is>
      </c>
    </row>
    <row r="43">
      <c r="A43" s="41" t="inlineStr">
        <is>
          <t>BSR-EO-07</t>
        </is>
      </c>
      <c r="B43" s="41" t="inlineStr">
        <is>
          <t>Eastern Orthodox</t>
        </is>
      </c>
      <c r="C43" s="41" t="inlineStr">
        <is>
          <t>Divine Liturgy of St John Chrysostom (GOARCH)</t>
        </is>
      </c>
      <c r="D43" s="41" t="inlineStr">
        <is>
          <t>CONFESSIONAL (liturgically confessed; the Creed within resolves CONCILIAR)</t>
        </is>
      </c>
      <c r="E43" s="41" t="inlineStr">
        <is>
          <t>Greek Orthodox Archdiocese of America; the rite of the whole Byzantine tradition</t>
        </is>
      </c>
      <c r="F43" s="41" t="inlineStr">
        <is>
          <t>UNIVERSAL</t>
        </is>
      </c>
      <c r="G43" s="41" t="inlineStr">
        <is>
          <t>The Divine Liturgy is the rite of the whole Byzantine tradition, not of one archdiocese; GOARCH is the publishing host. The Creed as printed here reads 'Creator of heaven and earth' where OCA and Antiochian read 'Maker' - cut every phrase from this file.</t>
        </is>
      </c>
      <c r="H4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3" s="41" t="inlineStr">
        <is>
          <t>goarch.org</t>
        </is>
      </c>
      <c r="J43" s="41" t="inlineStr">
        <is>
          <t>https://www.goarch.org/-/the-divine-liturgy-of-saint-john-chrysostom</t>
        </is>
      </c>
      <c r="K43" s="41" t="inlineStr">
        <is>
          <t>HTML - plain; do NOT follow other /-/ paths on this host, most return 403</t>
        </is>
      </c>
      <c r="L43" s="41" t="inlineStr"/>
      <c r="M43" s="41" t="inlineStr">
        <is>
          <t>AUTHOR_RATIFIED</t>
        </is>
      </c>
      <c r="N43" s="41" t="inlineStr">
        <is>
          <t>APPROVE</t>
        </is>
      </c>
      <c r="O43" s="41" t="inlineStr"/>
      <c r="P43" s="41" t="inlineStr"/>
      <c r="Q43" s="41" t="n">
        <v>1</v>
      </c>
      <c r="R43" s="41" t="inlineStr">
        <is>
          <t>INCLUDE - 1 released cell region; divisions include The Holy Anaphora</t>
        </is>
      </c>
      <c r="S43" s="41" t="inlineStr">
        <is>
          <t>AJP</t>
        </is>
      </c>
      <c r="T43" s="41" t="inlineStr">
        <is>
          <t>2026-09-12</t>
        </is>
      </c>
    </row>
    <row r="44">
      <c r="A44" s="41" t="inlineStr">
        <is>
          <t>BSR-EO-08</t>
        </is>
      </c>
      <c r="B44" s="41" t="inlineStr">
        <is>
          <t>Eastern Orthodox</t>
        </is>
      </c>
      <c r="C44" s="41" t="inlineStr">
        <is>
          <t>Anaphora of St Basil the Great (Romanian Orthodox Episcopate of America)</t>
        </is>
      </c>
      <c r="D44" s="41" t="inlineStr">
        <is>
          <t>CONFESSIONAL (liturgically confessed)</t>
        </is>
      </c>
      <c r="E44" s="41" t="inlineStr">
        <is>
          <t>Romanian Orthodox Episcopate of America; the rite of the whole Byzantine tradition</t>
        </is>
      </c>
      <c r="F44" s="41" t="inlineStr">
        <is>
          <t>UNIVERSAL</t>
        </is>
      </c>
      <c r="G44" s="41" t="inlineStr">
        <is>
          <t>This translation reads 'unseen' and 'immutable'; the words invisible, ineffable and unchangeable do not occur in it. Domain is roea.org - roeaoca.org does not resolve.</t>
        </is>
      </c>
      <c r="H4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4" s="41" t="inlineStr">
        <is>
          <t>roea.org</t>
        </is>
      </c>
      <c r="J44" s="41" t="inlineStr">
        <is>
          <t>https://roea.org/wp-content/uploads/2026/04/ST-BASIL-LITURGY-PRAYERS.pdf</t>
        </is>
      </c>
      <c r="K44" s="41" t="inlineStr">
        <is>
          <t>PDF - text layer present</t>
        </is>
      </c>
      <c r="L44" s="41" t="inlineStr"/>
      <c r="M44" s="41" t="inlineStr">
        <is>
          <t>AUTHOR_RATIFIED</t>
        </is>
      </c>
      <c r="N44" s="41" t="inlineStr">
        <is>
          <t>APPROVE</t>
        </is>
      </c>
      <c r="O44" s="41" t="inlineStr"/>
      <c r="P44" s="41" t="inlineStr"/>
      <c r="Q44" s="41" t="inlineStr"/>
      <c r="R44" s="41" t="inlineStr">
        <is>
          <t>INCLUDE - division 'The Prayer of Praise and Thanksgiving [Anaphora]'</t>
        </is>
      </c>
      <c r="S44" s="41" t="inlineStr">
        <is>
          <t>AJP</t>
        </is>
      </c>
      <c r="T44" s="41" t="inlineStr">
        <is>
          <t>2026-09-12</t>
        </is>
      </c>
    </row>
    <row r="45">
      <c r="A45" s="41" t="inlineStr">
        <is>
          <t>BSR-EO-09</t>
        </is>
      </c>
      <c r="B45" s="41" t="inlineStr">
        <is>
          <t>Eastern Orthodox</t>
        </is>
      </c>
      <c r="C45" s="41" t="inlineStr">
        <is>
          <t>The Synodikon of Orthodoxy (Romanian Orthodox Episcopate of America)</t>
        </is>
      </c>
      <c r="D45" s="41" t="inlineStr">
        <is>
          <t>CONFESSIONAL (liturgically proclaimed)</t>
        </is>
      </c>
      <c r="E45" s="41" t="inlineStr">
        <is>
          <t>Proclaimed on the Sunday of Orthodoxy across the Byzantine rite</t>
        </is>
      </c>
      <c r="F45" s="41" t="inlineStr">
        <is>
          <t>UNIVERSAL</t>
        </is>
      </c>
      <c r="G45" s="41" t="inlineStr">
        <is>
          <t>BLOCKING GUARD, not a caveat: most Trinitarian sentences here are anathematised propositions - 'To those who dare to say that the Son of God, and likewise the Holy Spirit, are not one in essence with the Father ... ANATHEMA!' Quoting the inner clause inverts the doctrine. The corpus builder must mark anathema-framed clauses non-citable and that guard must be tested before this row is released to the agents. Section 2 is the safe region.</t>
        </is>
      </c>
      <c r="H4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5" s="41" t="inlineStr">
        <is>
          <t>roea.org</t>
        </is>
      </c>
      <c r="J45" s="41" t="inlineStr">
        <is>
          <t>https://roea.org/wp-content/uploads/2026/04/The-Synodikon-of-Orthodoxy-I.pdf</t>
        </is>
      </c>
      <c r="K45" s="41" t="inlineStr">
        <is>
          <t>PDF - text layer; BLOCKING GUARD: anathema-framed clauses non-citable</t>
        </is>
      </c>
      <c r="L45" s="41" t="inlineStr"/>
      <c r="M45" s="41" t="inlineStr">
        <is>
          <t>AUTHOR_RATIFIED</t>
        </is>
      </c>
      <c r="N45" s="41" t="inlineStr">
        <is>
          <t>APPROVE</t>
        </is>
      </c>
      <c r="O45" s="41" t="inlineStr"/>
      <c r="P45" s="41" t="inlineStr"/>
      <c r="Q45" s="41" t="inlineStr"/>
      <c r="R45" s="41" t="inlineStr">
        <is>
          <t>INCLUDE WITH BLOCKING CORPUS GUARD - sections 1-6; section 2 is The Symbol of Faith</t>
        </is>
      </c>
      <c r="S45" s="41" t="inlineStr">
        <is>
          <t>AJP</t>
        </is>
      </c>
      <c r="T45" s="41" t="inlineStr">
        <is>
          <t>2026-09-12</t>
        </is>
      </c>
    </row>
    <row r="46">
      <c r="A46" s="41" t="inlineStr">
        <is>
          <t>BSR-EO-10</t>
        </is>
      </c>
      <c r="B46" s="41" t="inlineStr">
        <is>
          <t>Eastern Orthodox</t>
        </is>
      </c>
      <c r="C46" s="41" t="inlineStr">
        <is>
          <t>Holy and Great Council of Crete (2016) - official documents</t>
        </is>
      </c>
      <c r="D46" s="41" t="inlineStr">
        <is>
          <t>CONCILIAR (participating churches)</t>
        </is>
      </c>
      <c r="E46" s="41" t="inlineStr">
        <is>
          <t>The ten autocephalous Churches that participated; Antioch, Russia, Bulgaria and Georgia did not</t>
        </is>
      </c>
      <c r="F46" s="41" t="inlineStr">
        <is>
          <t>PARTICIPATING_BODIES</t>
        </is>
      </c>
      <c r="G46" s="41" t="inlineStr">
        <is>
          <t>Four autocephalous Churches were absent, so this is not received pan-Orthodoxly. By the GOARCH criterion recorded on BSR-EO-05 it is also a post-eighth-century synod and therefore secondary. Every Crete text is pastoral, missional or ecclesiological in purpose, so its Trinitarian sentences are openings and doxologies rather than the documents' subject.</t>
        </is>
      </c>
      <c r="H4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6" s="41" t="inlineStr">
        <is>
          <t>holycouncil.org</t>
        </is>
      </c>
      <c r="J46" s="41" t="inlineStr">
        <is>
          <t>https://www.holycouncil.org/rest-of-christian-world</t>
        </is>
      </c>
      <c r="K46" s="41" t="inlineStr">
        <is>
          <t>HTML - plain; parallel Greek/English/Russian/French</t>
        </is>
      </c>
      <c r="L46" s="41" t="inlineStr"/>
      <c r="M46" s="41" t="inlineStr">
        <is>
          <t>AUTHOR_RATIFIED</t>
        </is>
      </c>
      <c r="N46" s="41" t="inlineStr">
        <is>
          <t>APPROVE</t>
        </is>
      </c>
      <c r="O46" s="41" t="inlineStr"/>
      <c r="P46" s="41" t="inlineStr"/>
      <c r="Q46" s="41" t="inlineStr"/>
      <c r="R46" s="41" t="inlineStr">
        <is>
          <t>INCLUDE - flat-numbered paragraphs 1-24; Encyclical is sections I-VII with paragraphs 1-20</t>
        </is>
      </c>
      <c r="S46" s="41" t="inlineStr">
        <is>
          <t>AJP</t>
        </is>
      </c>
      <c r="T46" s="41" t="inlineStr">
        <is>
          <t>2026-09-12</t>
        </is>
      </c>
    </row>
    <row r="47">
      <c r="A47" s="41" t="inlineStr">
        <is>
          <t>BSR-EO-11</t>
        </is>
      </c>
      <c r="B47" s="41" t="inlineStr">
        <is>
          <t>Eastern Orthodox</t>
        </is>
      </c>
      <c r="C47" s="41" t="inlineStr">
        <is>
          <t>Chalcedon clause as witnessed by the Patriarchate of Antioch</t>
        </is>
      </c>
      <c r="D47" s="41" t="inlineStr">
        <is>
          <t>CONCILIAR (witness; translation)</t>
        </is>
      </c>
      <c r="E47" s="41" t="inlineStr">
        <is>
          <t>Greek Orthodox Patriarchate of Antioch - witness to a universally received council</t>
        </is>
      </c>
      <c r="F47" s="41" t="inlineStr">
        <is>
          <t>UNIVERSAL</t>
        </is>
      </c>
      <c r="G47" s="41" t="inlineStr">
        <is>
          <t>Carries the clause in English with the Greek and the Latin inline. But it is an unsigned, undated devotional article quoting a fragment of the horos, beginning mid-sentence, with no session or horos locator, no edition cited, and a typo ('Chirst') in the text. Nothing on 680-681. BSR-EO-06 remains the controlling conciliar text.</t>
        </is>
      </c>
      <c r="H4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7" s="41" t="inlineStr">
        <is>
          <t>antiochpatriarchate.org</t>
        </is>
      </c>
      <c r="J47" s="41" t="inlineStr">
        <is>
          <t>https://antiochpatriarchate.org/en/page/whose-goings-forth-are-from-of-old-from-everlasting/2320/</t>
        </is>
      </c>
      <c r="K47" s="41" t="inlineStr">
        <is>
          <t>HTML - plain</t>
        </is>
      </c>
      <c r="L47" s="41" t="inlineStr"/>
      <c r="M47" s="41" t="inlineStr">
        <is>
          <t>AUTHOR_RATIFIED</t>
        </is>
      </c>
      <c r="N47" s="41" t="inlineStr">
        <is>
          <t>APPROVE</t>
        </is>
      </c>
      <c r="O47" s="41" t="inlineStr"/>
      <c r="P47" s="41" t="inlineStr"/>
      <c r="Q47" s="41" t="n">
        <v>1</v>
      </c>
      <c r="R47" s="41" t="inlineStr">
        <is>
          <t>INCLUDE AS WITNESS ONLY - not the controlling text; 1 released cell (Q-434)</t>
        </is>
      </c>
      <c r="S47" s="41" t="inlineStr">
        <is>
          <t>AJP</t>
        </is>
      </c>
      <c r="T47" s="41" t="inlineStr">
        <is>
          <t>2026-09-12</t>
        </is>
      </c>
    </row>
    <row r="48">
      <c r="A48" s="41" t="inlineStr">
        <is>
          <t>BSR-EO-12</t>
        </is>
      </c>
      <c r="B48" s="41" t="inlineStr">
        <is>
          <t>Eastern Orthodox</t>
        </is>
      </c>
      <c r="C48" s="41" t="inlineStr">
        <is>
          <t>Nicene-Constantinopolitan Creed in Greek (Metropolis of Monemvasia and Sparta)</t>
        </is>
      </c>
      <c r="D48" s="41" t="inlineStr">
        <is>
          <t>CONCILIAR (original language)</t>
        </is>
      </c>
      <c r="E48" s="41" t="inlineStr">
        <is>
          <t>A metropolis of the Church of Greece; the Creed of the whole Church</t>
        </is>
      </c>
      <c r="F48" s="41" t="inlineStr">
        <is>
          <t>UNIVERSAL</t>
        </is>
      </c>
      <c r="G48" s="41" t="inlineStr">
        <is>
          <t>The one place the Dei Filius pattern transfers cleanly: original-language text on an official ecclesiastical host controls, English is the reading witness. The Church of Greece library at myriobiblos.gr also carries the Creed in ancient Greek, but as transmitted in a letter of Photios - first-person Pisteuo rather than the conciliar Pisteuomen, and with no article divisions.</t>
        </is>
      </c>
      <c r="H4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8" s="41" t="inlineStr">
        <is>
          <t>immspartis.gr</t>
        </is>
      </c>
      <c r="J48" s="41" t="inlineStr">
        <is>
          <t>https://immspartis.gr/ofelima/to-symvolo/</t>
        </is>
      </c>
      <c r="K48" s="41" t="inlineStr">
        <is>
          <t>HTML - plain, Greek</t>
        </is>
      </c>
      <c r="L48" s="41" t="inlineStr"/>
      <c r="M48" s="41" t="inlineStr">
        <is>
          <t>AUTHOR_RATIFIED</t>
        </is>
      </c>
      <c r="N48" s="41" t="inlineStr">
        <is>
          <t>APPROVE</t>
        </is>
      </c>
      <c r="O48" s="41" t="inlineStr"/>
      <c r="P48" s="41" t="inlineStr"/>
      <c r="Q48" s="41" t="inlineStr"/>
      <c r="R48" s="41" t="inlineStr">
        <is>
          <t>INCLUDE - twelve numbered articles; the original-language control</t>
        </is>
      </c>
      <c r="S48" s="41" t="inlineStr">
        <is>
          <t>AJP</t>
        </is>
      </c>
      <c r="T48" s="41" t="inlineStr">
        <is>
          <t>2026-09-12</t>
        </is>
      </c>
    </row>
  </sheetData>
  <mergeCells count="2">
    <mergeCell ref="A1:T1"/>
    <mergeCell ref="A2:T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c r="A54" s="0" t="inlineStr">
        <is>
          <t>Internal branch analytics</t>
        </is>
      </c>
      <c r="B54" s="0" t="inlineStr">
        <is>
          <t>ADDED</t>
        </is>
      </c>
      <c r="C54" s="0" t="inlineStr">
        <is>
          <t>Branch Study</t>
        </is>
      </c>
      <c r="D54" s="0" t="inlineStr">
        <is>
          <t>Personal-study counts/percentages by branch, formula-driven from the queue; never emitted to src/_data.</t>
        </is>
      </c>
      <c r="E54" s="0" t="inlineStr">
        <is>
          <t>GOVERNANCE</t>
        </is>
      </c>
      <c r="F54" s="0" t="inlineStr">
        <is>
          <t>APP CONFIG internal_stats_public</t>
        </is>
      </c>
      <c r="G54" s="0" t="inlineStr">
        <is>
          <t>PASS</t>
        </is>
      </c>
      <c r="H54" s="0" t="inlineStr">
        <is>
          <t>Coverage vs agreement-among-located kept on separate denominators; eligibility flag for Gate 8.</t>
        </is>
      </c>
    </row>
    <row r="55" ht="15.75" customHeight="1" s="29">
      <c r="A55" s="41" t="inlineStr">
        <is>
          <t>Branch source registries</t>
        </is>
      </c>
      <c r="B55" s="42" t="inlineStr">
        <is>
          <t>ADDED</t>
        </is>
      </c>
      <c r="C55" s="41" t="inlineStr">
        <is>
          <t>Decision Console sitting gate5-registries-20260910</t>
        </is>
      </c>
      <c r="D55" s="41" t="inlineStr">
        <is>
          <t>38 standards ratified, 0 retired, 0 held; scope caveats inherited per branch.</t>
        </is>
      </c>
      <c r="E55" s="42" t="inlineStr">
        <is>
          <t>SOURCE GOVERNANCE</t>
        </is>
      </c>
      <c r="F55" s="41" t="inlineStr">
        <is>
          <t>R001 registry-only citation check; APP CONFIG registry_only_enforcement</t>
        </is>
      </c>
      <c r="G55" s="42" t="inlineStr">
        <is>
          <t>PASS</t>
        </is>
      </c>
      <c r="H55" s="41" t="inlineStr">
        <is>
          <t>Merged by sjn_merge_decisions.py on 2026-09-10 from the console decisions JSON. No doctrinal, copy, count, or gate-value change outside the registry.</t>
        </is>
      </c>
    </row>
    <row r="56" ht="15.75" customHeight="1" s="29">
      <c r="A56" s="41" t="inlineStr">
        <is>
          <t>Branch source registries</t>
        </is>
      </c>
      <c r="B56" s="42" t="inlineStr">
        <is>
          <t>REVISED</t>
        </is>
      </c>
      <c r="C56" s="41" t="inlineStr">
        <is>
          <t>Decision Console sitting gate5-registries-20260910</t>
        </is>
      </c>
      <c r="D56" s="41" t="inlineStr">
        <is>
          <t>36 standards ratified, 2 retired, 0 held; scope caveats inherited per branch. Corrections pass — registry rows re-merged from the console.</t>
        </is>
      </c>
      <c r="E56" s="42" t="inlineStr">
        <is>
          <t>SOURCE GOVERNANCE</t>
        </is>
      </c>
      <c r="F56" s="41" t="inlineStr">
        <is>
          <t>R001 registry-only citation check; APP CONFIG registry_only_enforcement</t>
        </is>
      </c>
      <c r="G56" s="42" t="inlineStr">
        <is>
          <t>PASS</t>
        </is>
      </c>
      <c r="H56" s="41" t="inlineStr">
        <is>
          <t>Merged by sjn_merge_decisions.py on 2026-09-10 from the console decisions JSON. No doctrinal, copy, count, or gate-value change outside the registry.</t>
        </is>
      </c>
    </row>
    <row r="57" ht="15.75" customHeight="1" s="29">
      <c r="A57" s="41" t="inlineStr">
        <is>
          <t>Branch source registries</t>
        </is>
      </c>
      <c r="B57" s="42" t="inlineStr">
        <is>
          <t>REVISED</t>
        </is>
      </c>
      <c r="C57" s="41" t="inlineStr">
        <is>
          <t>Decision Console sitting gate5-registries-20260910 + gate7-registry-corrections-20260911</t>
        </is>
      </c>
      <c r="D57" s="41" t="inlineStr">
        <is>
          <t>36 standards ratified, 2 retired, 0 held; scope caveats inherited per branch. Corrections pass — registry rows re-merged from the console.</t>
        </is>
      </c>
      <c r="E57" s="42" t="inlineStr">
        <is>
          <t>SOURCE GOVERNANCE</t>
        </is>
      </c>
      <c r="F57" s="41" t="inlineStr">
        <is>
          <t>R001 registry-only citation check; APP CONFIG registry_only_enforcement</t>
        </is>
      </c>
      <c r="G57" s="42" t="inlineStr">
        <is>
          <t>PASS</t>
        </is>
      </c>
      <c r="H57" s="41" t="inlineStr">
        <is>
          <t>Merged by sjn_merge_decisions.py on 2026-09-12 from the console decisions JSON. No doctrinal, copy, count, or gate-value change outside the registry.</t>
        </is>
      </c>
    </row>
    <row r="58" ht="15.75" customHeight="1" s="29">
      <c r="A58" s="41" t="inlineStr">
        <is>
          <t>Branch source registries</t>
        </is>
      </c>
      <c r="B58" s="42" t="inlineStr">
        <is>
          <t>REVISED</t>
        </is>
      </c>
      <c r="C58" s="41" t="inlineStr">
        <is>
          <t>Decision Console sitting gate5-registries-20260910 + gate7-registry-corrections-20260911 + gate7b-reception-axis-20260912</t>
        </is>
      </c>
      <c r="D58" s="41" t="inlineStr">
        <is>
          <t>42 standards ratified, 2 retired, 0 held; scope caveats inherited per branch. Corrections pass — registry rows re-merged from the console.</t>
        </is>
      </c>
      <c r="E58" s="42" t="inlineStr">
        <is>
          <t>SOURCE GOVERNANCE</t>
        </is>
      </c>
      <c r="F58" s="41" t="inlineStr">
        <is>
          <t>R001 registry-only citation check; APP CONFIG registry_only_enforcement</t>
        </is>
      </c>
      <c r="G58" s="42" t="inlineStr">
        <is>
          <t>PASS</t>
        </is>
      </c>
      <c r="H58" s="41" t="inlineStr">
        <is>
          <t>Merged by sjn_merge_decisions.py on 2026-09-12 from the console decisions JSON. No doctrinal, copy, count, or gate-value change outside the registry.</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26</v>
      </c>
      <c r="E68" s="7" t="n">
        <v>26</v>
      </c>
      <c r="F68" s="7">
        <f>IF(TEXT(E68,"@")=TEXT(D68,"@"),"PASS","FAIL")</f>
        <v/>
      </c>
      <c r="G68" s="7" t="inlineStr">
        <is>
          <t>YES</t>
        </is>
      </c>
      <c r="H68" s="7" t="inlineStr">
        <is>
          <t>H05/H22/H43 × 8 branches (24) + Q-290 Eastern Orthodox H37 supplemental targets (2) = 26 rows in sheet.</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142</v>
      </c>
      <c r="E79" s="7" t="n">
        <v>142</v>
      </c>
      <c r="F79" s="7">
        <f>IF(TEXT(E79,"@")=TEXT(D79,"@"),"PASS","FAIL")</f>
        <v/>
      </c>
      <c r="G79" s="7" t="inlineStr">
        <is>
          <t>YES</t>
        </is>
      </c>
      <c r="H79" s="7" t="inlineStr">
        <is>
          <t>56 + 63 + 21 + 2 (Q-290 queue-cell)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162</v>
      </c>
      <c r="E94" s="7" t="n">
        <v>162</v>
      </c>
      <c r="F94" s="7">
        <f>IF(TEXT(E94,"@")=TEXT(D94,"@"),"PASS","FAIL")</f>
        <v/>
      </c>
      <c r="G94" s="7" t="inlineStr">
        <is>
          <t>YES</t>
        </is>
      </c>
      <c r="H94" s="7" t="inlineStr">
        <is>
          <t>56 + 63 + 21 + 2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41" t="inlineStr">
        <is>
          <t>Current Item rows when author attention exists (conditional: expected only while actionable author work remains)</t>
        </is>
      </c>
      <c r="D105" s="46">
        <f>IF(COUNTIF('Author Decision Queue'!$AF$2:$AF$105,"YES")&gt;0,1,0)</f>
        <v/>
      </c>
      <c r="E105" s="7">
        <f>COUNTIF('Author Decision Queue'!$AG$2:$AG$105,"CURRENT")</f>
        <v/>
      </c>
      <c r="F105" s="7">
        <f>IF(TEXT(E105,"@")=TEXT(D105,"@"),"PASS","FAIL")</f>
        <v/>
      </c>
      <c r="G105" s="7" t="inlineStr">
        <is>
          <t>YES</t>
        </is>
      </c>
      <c r="H105" s="41" t="inlineStr">
        <is>
          <t>Expected mirrors Needs Author Attention (column AF): exactly one current item while any decision still needs attention, zero when the queue is complete. Author decision SETUP-01, 2026-09-12.</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"Why Then Obey?"</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How this range moves: it shows where the count lands if some of the 57 descriptions are treated as more central to Christian teaching than others. Weighting them keeps the share between about 88% and 91%.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How this range moves: it shows where the count of full agreements lands if some descriptions are treated as more central than others. Weighting them keeps the share between about 52% and 63%.</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How this range moves: it shows where the count of direct disagreements lands if some descriptions are treated as more central than others. Weighting them keeps the share between about 9% and 12%.</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This figure is a plain count of the corpus as coded — no weighting was applied, so no range is shown, only the count and percentage.</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weighting model was applied to this figure — only the count and percentage are shown.</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This figure depends on how the Restoration additions are grouped by topic; no separate weighting model was applied.</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This figure is based on how each source is classified by its role, not on a weighting model.</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This figure is a plain tally of how each addition relates to the creeds — descriptive, not weighted.</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2026-09-12T01:59:54Z</dcterms:modified>
</cp:coreProperties>
</file>