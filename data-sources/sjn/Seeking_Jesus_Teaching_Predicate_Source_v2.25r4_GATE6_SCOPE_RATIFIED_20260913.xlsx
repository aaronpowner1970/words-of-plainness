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12.xml" ContentType="application/vnd.openxmlformats-officedocument.spreadsheetml.table+xml"/>
  <Override PartName="/xl/worksheets/sheet28.xml" ContentType="application/vnd.openxmlformats-officedocument.spreadsheetml.worksheet+xml"/>
  <Override PartName="/xl/tables/table13.xml" ContentType="application/vnd.openxmlformats-officedocument.spreadsheetml.table+xml"/>
  <Override PartName="/xl/worksheets/sheet29.xml" ContentType="application/vnd.openxmlformats-officedocument.spreadsheetml.worksheet+xml"/>
  <Override PartName="/xl/tables/table14.xml" ContentType="application/vnd.openxmlformats-officedocument.spreadsheetml.table+xml"/>
  <Override PartName="/xl/worksheets/sheet30.xml" ContentType="application/vnd.openxmlformats-officedocument.spreadsheetml.worksheet+xml"/>
  <Override PartName="/xl/tables/table15.xml" ContentType="application/vnd.openxmlformats-officedocument.spreadsheetml.table+xml"/>
  <Override PartName="/xl/worksheets/sheet31.xml" ContentType="application/vnd.openxmlformats-officedocument.spreadsheetml.worksheet+xml"/>
  <Override PartName="/xl/tables/table16.xml" ContentType="application/vnd.openxmlformats-officedocument.spreadsheetml.table+xml"/>
  <Override PartName="/xl/worksheets/sheet32.xml" ContentType="application/vnd.openxmlformats-officedocument.spreadsheetml.worksheet+xml"/>
  <Override PartName="/xl/tables/table17.xml" ContentType="application/vnd.openxmlformats-officedocument.spreadsheetml.table+xml"/>
  <Override PartName="/xl/worksheets/sheet33.xml" ContentType="application/vnd.openxmlformats-officedocument.spreadsheetml.worksheet+xml"/>
  <Override PartName="/xl/tables/table18.xml" ContentType="application/vnd.openxmlformats-officedocument.spreadsheetml.table+xml"/>
  <Override PartName="/xl/worksheets/sheet34.xml" ContentType="application/vnd.openxmlformats-officedocument.spreadsheetml.worksheet+xml"/>
  <Override PartName="/xl/tables/table19.xml" ContentType="application/vnd.openxmlformats-officedocument.spreadsheetml.table+xml"/>
  <Override PartName="/xl/worksheets/sheet35.xml" ContentType="application/vnd.openxmlformats-officedocument.spreadsheetml.worksheet+xml"/>
  <Override PartName="/xl/tables/table20.xml" ContentType="application/vnd.openxmlformats-officedocument.spreadsheetml.table+xml"/>
  <Override PartName="/xl/worksheets/sheet36.xml" ContentType="application/vnd.openxmlformats-officedocument.spreadsheetml.worksheet+xml"/>
  <Override PartName="/xl/tables/table21.xml" ContentType="application/vnd.openxmlformats-officedocument.spreadsheetml.table+xml"/>
  <Override PartName="/xl/worksheets/sheet37.xml" ContentType="application/vnd.openxmlformats-officedocument.spreadsheetml.worksheet+xml"/>
  <Override PartName="/xl/tables/table22.xml" ContentType="application/vnd.openxmlformats-officedocument.spreadsheetml.table+xml"/>
  <Override PartName="/xl/worksheets/sheet38.xml" ContentType="application/vnd.openxmlformats-officedocument.spreadsheetml.worksheet+xml"/>
  <Override PartName="/xl/tables/table23.xml" ContentType="application/vnd.openxmlformats-officedocument.spreadsheetml.table+xml"/>
  <Override PartName="/xl/worksheets/sheet39.xml" ContentType="application/vnd.openxmlformats-officedocument.spreadsheetml.worksheet+xml"/>
  <Override PartName="/xl/tables/table24.xml" ContentType="application/vnd.openxmlformats-officedocument.spreadsheetml.table+xml"/>
  <Override PartName="/xl/worksheets/sheet40.xml" ContentType="application/vnd.openxmlformats-officedocument.spreadsheetml.worksheet+xml"/>
  <Override PartName="/xl/tables/table25.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tables/table26.xml" ContentType="application/vnd.openxmlformats-officedocument.spreadsheetml.table+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PP CONFIG" sheetId="1" state="visible" r:id="rId1"/>
    <sheet xmlns:r="http://schemas.openxmlformats.org/officeDocument/2006/relationships" name="Build Metadata" sheetId="2" state="visible" r:id="rId2"/>
    <sheet xmlns:r="http://schemas.openxmlformats.org/officeDocument/2006/relationships" name="State Vocabulary" sheetId="3" state="visible" r:id="rId3"/>
    <sheet xmlns:r="http://schemas.openxmlformats.org/officeDocument/2006/relationships" name="All 83" sheetId="4" state="visible" r:id="rId4"/>
    <sheet xmlns:r="http://schemas.openxmlformats.org/officeDocument/2006/relationships" name="Inherited 57" sheetId="5" state="visible" r:id="rId5"/>
    <sheet xmlns:r="http://schemas.openxmlformats.org/officeDocument/2006/relationships" name="Inherited Public Citations" sheetId="6" state="visible" r:id="rId6"/>
    <sheet xmlns:r="http://schemas.openxmlformats.org/officeDocument/2006/relationships" name="Restoration 26" sheetId="7" state="visible" r:id="rId7"/>
    <sheet xmlns:r="http://schemas.openxmlformats.org/officeDocument/2006/relationships" name="Family Summary" sheetId="8" state="visible" r:id="rId8"/>
    <sheet xmlns:r="http://schemas.openxmlformats.org/officeDocument/2006/relationships" name="Evidence-First Cell Queue" sheetId="9" state="visible" r:id="rId9"/>
    <sheet xmlns:r="http://schemas.openxmlformats.org/officeDocument/2006/relationships" name="Final 24 Reconciliation" sheetId="10" state="visible" r:id="rId10"/>
    <sheet xmlns:r="http://schemas.openxmlformats.org/officeDocument/2006/relationships" name="Reconciliation Pass 2" sheetId="11" state="visible" r:id="rId11"/>
    <sheet xmlns:r="http://schemas.openxmlformats.org/officeDocument/2006/relationships" name="Branch State Summary" sheetId="12" state="visible" r:id="rId12"/>
    <sheet xmlns:r="http://schemas.openxmlformats.org/officeDocument/2006/relationships" name="Branch Study" sheetId="13" state="visible" r:id="rId13"/>
    <sheet xmlns:r="http://schemas.openxmlformats.org/officeDocument/2006/relationships" name="Inference Support" sheetId="14" state="visible" r:id="rId14"/>
    <sheet xmlns:r="http://schemas.openxmlformats.org/officeDocument/2006/relationships" name="Inference Evidence Map" sheetId="15" state="visible" r:id="rId15"/>
    <sheet xmlns:r="http://schemas.openxmlformats.org/officeDocument/2006/relationships" name="Matrix Case Studies" sheetId="16" state="visible" r:id="rId16"/>
    <sheet xmlns:r="http://schemas.openxmlformats.org/officeDocument/2006/relationships" name="Row Ratification" sheetId="17" state="visible" r:id="rId17"/>
    <sheet xmlns:r="http://schemas.openxmlformats.org/officeDocument/2006/relationships" name="Godhead Context" sheetId="18" state="visible" r:id="rId18"/>
    <sheet xmlns:r="http://schemas.openxmlformats.org/officeDocument/2006/relationships" name="Current Source Recovery" sheetId="19" state="visible" r:id="rId19"/>
    <sheet xmlns:r="http://schemas.openxmlformats.org/officeDocument/2006/relationships" name="Tradition Sources" sheetId="20" state="visible" r:id="rId20"/>
    <sheet xmlns:r="http://schemas.openxmlformats.org/officeDocument/2006/relationships" name="Branch Source Registry" sheetId="21" state="visible" r:id="rId21"/>
    <sheet xmlns:r="http://schemas.openxmlformats.org/officeDocument/2006/relationships" name="Glossary" sheetId="22" state="visible" r:id="rId22"/>
    <sheet xmlns:r="http://schemas.openxmlformats.org/officeDocument/2006/relationships" name="Antecedent Examples" sheetId="23" state="visible" r:id="rId23"/>
    <sheet xmlns:r="http://schemas.openxmlformats.org/officeDocument/2006/relationships" name="Related CTA Topics" sheetId="24" state="visible" r:id="rId24"/>
    <sheet xmlns:r="http://schemas.openxmlformats.org/officeDocument/2006/relationships" name="Public Readiness" sheetId="25" state="visible" r:id="rId25"/>
    <sheet xmlns:r="http://schemas.openxmlformats.org/officeDocument/2006/relationships" name="Lineage &amp; Merge Audit" sheetId="26" state="visible" r:id="rId26"/>
    <sheet xmlns:r="http://schemas.openxmlformats.org/officeDocument/2006/relationships" name="Build Validation" sheetId="27" state="visible" r:id="rId27"/>
    <sheet xmlns:r="http://schemas.openxmlformats.org/officeDocument/2006/relationships" name="Citation Selection Rules" sheetId="28" state="visible" r:id="rId28"/>
    <sheet xmlns:r="http://schemas.openxmlformats.org/officeDocument/2006/relationships" name="URL Validation Snapshot" sheetId="29" state="visible" r:id="rId29"/>
    <sheet xmlns:r="http://schemas.openxmlformats.org/officeDocument/2006/relationships" name="Pipeline Validation Spec" sheetId="30" state="visible" r:id="rId30"/>
    <sheet xmlns:r="http://schemas.openxmlformats.org/officeDocument/2006/relationships" name="Citation Phrase Targets" sheetId="31" state="visible" r:id="rId31"/>
    <sheet xmlns:r="http://schemas.openxmlformats.org/officeDocument/2006/relationships" name="Restoration Phrase Targets" sheetId="32" state="visible" r:id="rId32"/>
    <sheet xmlns:r="http://schemas.openxmlformats.org/officeDocument/2006/relationships" name="Case Study Phrase Targets" sheetId="33" state="visible" r:id="rId33"/>
    <sheet xmlns:r="http://schemas.openxmlformats.org/officeDocument/2006/relationships" name="Vector Family Captions" sheetId="34" state="visible" r:id="rId34"/>
    <sheet xmlns:r="http://schemas.openxmlformats.org/officeDocument/2006/relationships" name="Clarification Vocabulary" sheetId="35" state="visible" r:id="rId35"/>
    <sheet xmlns:r="http://schemas.openxmlformats.org/officeDocument/2006/relationships" name="Interpretive Clarifications" sheetId="36" state="visible" r:id="rId36"/>
    <sheet xmlns:r="http://schemas.openxmlformats.org/officeDocument/2006/relationships" name="Clarification Trigger Map" sheetId="37" state="visible" r:id="rId37"/>
    <sheet xmlns:r="http://schemas.openxmlformats.org/officeDocument/2006/relationships" name="Clarification Sources" sheetId="38" state="visible" r:id="rId38"/>
    <sheet xmlns:r="http://schemas.openxmlformats.org/officeDocument/2006/relationships" name="Author Decision Queue" sheetId="39" state="visible" r:id="rId39"/>
    <sheet xmlns:r="http://schemas.openxmlformats.org/officeDocument/2006/relationships" name="Author Gate Dashboard" sheetId="40" state="visible" r:id="rId40"/>
    <sheet xmlns:r="http://schemas.openxmlformats.org/officeDocument/2006/relationships" name="AUTHOR REVIEW CONSOLE" sheetId="41" state="visible" r:id="rId41"/>
    <sheet xmlns:r="http://schemas.openxmlformats.org/officeDocument/2006/relationships" name="Author Response Entry" sheetId="42" state="visible" r:id="rId42"/>
    <sheet xmlns:r="http://schemas.openxmlformats.org/officeDocument/2006/relationships" name="Sensitivity Ranges" sheetId="43" state="visible" r:id="rId43"/>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2">
    <font>
      <name val="Carlito"/>
      <color rgb="FF000000"/>
      <sz val="11"/>
      <scheme val="minor"/>
    </font>
    <font>
      <name val="Carlito"/>
      <b val="1"/>
      <color rgb="FFFFFFFF"/>
      <sz val="15"/>
    </font>
    <font>
      <name val="Carlito"/>
      <b val="1"/>
      <color rgb="FFFFFFFF"/>
      <sz val="11"/>
    </font>
    <font>
      <name val="Carlito"/>
      <b val="1"/>
      <color theme="1"/>
      <sz val="11"/>
    </font>
    <font>
      <name val="Carlito"/>
      <color theme="1"/>
      <sz val="11"/>
    </font>
    <font>
      <name val="Carlito"/>
      <color theme="1"/>
      <scheme val="minor"/>
    </font>
    <font>
      <name val="Carlito"/>
      <b val="1"/>
      <color rgb="FFFFFFFF"/>
      <sz val="16"/>
    </font>
    <font>
      <b val="1"/>
      <color rgb="FF203864"/>
      <sz val="13"/>
    </font>
    <font>
      <b val="1"/>
    </font>
    <font>
      <b val="1"/>
      <color rgb="FFFFFFFF"/>
    </font>
    <font>
      <name val="Carlito"/>
      <b val="1"/>
      <sz val="11"/>
    </font>
    <font>
      <name val="Carlito"/>
      <sz val="11"/>
    </font>
  </fonts>
  <fills count="10">
    <fill>
      <patternFill/>
    </fill>
    <fill>
      <patternFill patternType="lightGray"/>
    </fill>
    <fill>
      <patternFill patternType="solid">
        <fgColor rgb="FF203864"/>
        <bgColor rgb="FF203864"/>
      </patternFill>
    </fill>
    <fill>
      <patternFill patternType="solid">
        <fgColor rgb="FFFFF2CC"/>
        <bgColor rgb="FFFFF2CC"/>
      </patternFill>
    </fill>
    <fill>
      <patternFill patternType="solid">
        <fgColor rgb="FFF2F2F2"/>
        <bgColor rgb="FFF2F2F2"/>
      </patternFill>
    </fill>
    <fill>
      <patternFill patternType="solid">
        <fgColor rgb="FF4472C4"/>
        <bgColor rgb="FF4472C4"/>
      </patternFill>
    </fill>
    <fill>
      <patternFill patternType="solid">
        <fgColor rgb="FFFFF9E6"/>
        <bgColor rgb="FFFFF9E6"/>
      </patternFill>
    </fill>
    <fill>
      <patternFill patternType="solid">
        <fgColor rgb="FFD9EAF7"/>
        <bgColor rgb="FFD9EAF7"/>
      </patternFill>
    </fill>
    <fill>
      <patternFill patternType="solid">
        <fgColor rgb="FFFFF2CC"/>
      </patternFill>
    </fill>
    <fill>
      <patternFill patternType="solid">
        <fgColor rgb="FF203864"/>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47">
    <xf numFmtId="0" fontId="0" fillId="0" borderId="0" applyAlignment="1" pivotButton="0" quotePrefix="0" xfId="0">
      <alignment vertical="bottom"/>
    </xf>
    <xf numFmtId="0" fontId="1" fillId="2" borderId="0" applyAlignment="1" pivotButton="0" quotePrefix="0" xfId="0">
      <alignment vertical="center"/>
    </xf>
    <xf numFmtId="0" fontId="2" fillId="2" borderId="0" applyAlignment="1" pivotButton="0" quotePrefix="0" xfId="0">
      <alignment horizontal="center" vertical="center" wrapText="1"/>
    </xf>
    <xf numFmtId="0" fontId="3" fillId="3" borderId="0" applyAlignment="1" pivotButton="0" quotePrefix="0" xfId="0">
      <alignment wrapText="1"/>
    </xf>
    <xf numFmtId="0" fontId="4" fillId="0" borderId="0" applyAlignment="1" pivotButton="0" quotePrefix="0" xfId="0">
      <alignment wrapText="1"/>
    </xf>
    <xf numFmtId="0" fontId="2" fillId="2" borderId="0" applyAlignment="1" pivotButton="0" quotePrefix="0" xfId="0">
      <alignment horizontal="center" vertical="center" wrapText="1"/>
    </xf>
    <xf numFmtId="0" fontId="2" fillId="2" borderId="0" applyAlignment="1" pivotButton="0" quotePrefix="0" xfId="0">
      <alignment wrapText="1"/>
    </xf>
    <xf numFmtId="0" fontId="4" fillId="0" borderId="0" applyAlignment="1" pivotButton="0" quotePrefix="0" xfId="0">
      <alignment vertical="center" wrapText="1"/>
    </xf>
    <xf numFmtId="0" fontId="5" fillId="0" borderId="0" pivotButton="0" quotePrefix="0" xfId="0"/>
    <xf numFmtId="0" fontId="5" fillId="0" borderId="0" applyAlignment="1" pivotButton="0" quotePrefix="0" xfId="0">
      <alignment vertical="center"/>
    </xf>
    <xf numFmtId="0" fontId="1" fillId="2" borderId="0" applyAlignment="1" pivotButton="0" quotePrefix="0" xfId="0">
      <alignment vertical="center" wrapText="1"/>
    </xf>
    <xf numFmtId="0" fontId="4" fillId="0" borderId="0" pivotButton="0" quotePrefix="0" xfId="0"/>
    <xf numFmtId="164" fontId="4" fillId="0" borderId="0" applyAlignment="1" pivotButton="0" quotePrefix="0" xfId="0">
      <alignment vertical="center" wrapText="1"/>
    </xf>
    <xf numFmtId="165" fontId="4" fillId="0" borderId="0" applyAlignment="1" pivotButton="0" quotePrefix="0" xfId="0">
      <alignment wrapText="1"/>
    </xf>
    <xf numFmtId="165" fontId="4" fillId="0" borderId="0" pivotButton="0" quotePrefix="0" xfId="0"/>
    <xf numFmtId="0" fontId="2" fillId="2" borderId="0" applyAlignment="1" pivotButton="0" quotePrefix="0" xfId="0">
      <alignment horizontal="left" vertical="center" wrapText="1"/>
    </xf>
    <xf numFmtId="0" fontId="6" fillId="2" borderId="0" applyAlignment="1" pivotButton="0" quotePrefix="0" xfId="0">
      <alignment vertical="center" wrapText="1"/>
    </xf>
    <xf numFmtId="0" fontId="3" fillId="4" borderId="0" applyAlignment="1" pivotButton="0" quotePrefix="0" xfId="0">
      <alignment vertical="center" wrapText="1"/>
    </xf>
    <xf numFmtId="0" fontId="4" fillId="4" borderId="0" applyAlignment="1" pivotButton="0" quotePrefix="0" xfId="0">
      <alignment vertical="center" wrapText="1"/>
    </xf>
    <xf numFmtId="165" fontId="4" fillId="4" borderId="0" applyAlignment="1" pivotButton="0" quotePrefix="0" xfId="0">
      <alignment vertical="center" wrapText="1"/>
    </xf>
    <xf numFmtId="0" fontId="4" fillId="4" borderId="0" applyAlignment="1" pivotButton="0" quotePrefix="0" xfId="0">
      <alignment vertical="center"/>
    </xf>
    <xf numFmtId="0" fontId="2" fillId="5" borderId="0" applyAlignment="1" pivotButton="0" quotePrefix="0" xfId="0">
      <alignment vertical="center" wrapText="1"/>
    </xf>
    <xf numFmtId="0" fontId="3" fillId="4" borderId="0" applyAlignment="1" pivotButton="0" quotePrefix="0" xfId="0">
      <alignment wrapText="1"/>
    </xf>
    <xf numFmtId="0" fontId="3" fillId="6" borderId="0" applyAlignment="1" pivotButton="0" quotePrefix="0" xfId="0">
      <alignment wrapText="1"/>
    </xf>
    <xf numFmtId="0" fontId="3" fillId="6" borderId="0" applyAlignment="1" pivotButton="0" quotePrefix="0" xfId="0">
      <alignment vertical="center" wrapText="1"/>
    </xf>
    <xf numFmtId="0" fontId="3" fillId="7" borderId="0" applyAlignment="1" pivotButton="0" quotePrefix="0" xfId="0">
      <alignment wrapText="1"/>
    </xf>
    <xf numFmtId="0" fontId="4" fillId="6" borderId="0" applyAlignment="1" pivotButton="0" quotePrefix="0" xfId="0">
      <alignment vertical="center" wrapText="1"/>
    </xf>
    <xf numFmtId="165" fontId="4" fillId="6" borderId="0" applyAlignment="1" pivotButton="0" quotePrefix="0" xfId="0">
      <alignment vertical="center" wrapText="1"/>
    </xf>
    <xf numFmtId="0" fontId="3" fillId="6" borderId="0" applyAlignment="1" pivotButton="0" quotePrefix="0" xfId="0">
      <alignment vertical="center" wrapText="1"/>
    </xf>
    <xf numFmtId="0" fontId="0" fillId="0" borderId="0" pivotButton="0" quotePrefix="0" xfId="0"/>
    <xf numFmtId="0" fontId="7" fillId="0" borderId="0" pivotButton="0" quotePrefix="0" xfId="0"/>
    <xf numFmtId="0" fontId="0" fillId="8" borderId="0" applyAlignment="1" pivotButton="0" quotePrefix="0" xfId="0">
      <alignment vertical="top" wrapText="1"/>
    </xf>
    <xf numFmtId="0" fontId="8" fillId="0" borderId="0" pivotButton="0" quotePrefix="0" xfId="0"/>
    <xf numFmtId="0" fontId="0" fillId="8" borderId="0" pivotButton="0" quotePrefix="0" xfId="0"/>
    <xf numFmtId="0" fontId="9" fillId="9" borderId="1" applyAlignment="1" pivotButton="0" quotePrefix="0" xfId="0">
      <alignment vertical="center" wrapText="1"/>
    </xf>
    <xf numFmtId="0" fontId="8" fillId="0" borderId="1" pivotButton="0" quotePrefix="0" xfId="0"/>
    <xf numFmtId="0" fontId="0" fillId="0" borderId="1" pivotButton="0" quotePrefix="0" xfId="0"/>
    <xf numFmtId="164" fontId="0" fillId="0" borderId="1" pivotButton="0" quotePrefix="0" xfId="0"/>
    <xf numFmtId="164" fontId="8" fillId="0" borderId="1" pivotButton="0" quotePrefix="0" xfId="0"/>
    <xf numFmtId="0" fontId="9" fillId="9" borderId="1" applyAlignment="1" pivotButton="0" quotePrefix="0" xfId="0">
      <alignment wrapText="1"/>
    </xf>
    <xf numFmtId="0" fontId="11" fillId="0" borderId="0" applyAlignment="1" pivotButton="0" quotePrefix="0" xfId="0">
      <alignment wrapText="1"/>
    </xf>
    <xf numFmtId="0" fontId="11" fillId="0" borderId="0" applyAlignment="1" pivotButton="0" quotePrefix="0" xfId="0">
      <alignment vertical="top" wrapText="1"/>
    </xf>
    <xf numFmtId="0" fontId="11" fillId="0" borderId="0" pivotButton="0" quotePrefix="0" xfId="0"/>
    <xf numFmtId="0" fontId="1" fillId="9" borderId="0" pivotButton="0" quotePrefix="0" xfId="0"/>
    <xf numFmtId="0" fontId="10" fillId="8" borderId="0" applyAlignment="1" pivotButton="0" quotePrefix="0" xfId="0">
      <alignment vertical="top" wrapText="1"/>
    </xf>
    <xf numFmtId="0" fontId="2" fillId="9" borderId="0" applyAlignment="1" pivotButton="0" quotePrefix="0" xfId="0">
      <alignment vertical="center" wrapText="1"/>
    </xf>
    <xf numFmtId="0" fontId="11" fillId="0" borderId="0" applyAlignment="1" pivotButton="0" quotePrefix="0" xfId="0">
      <alignment vertical="center" wrapText="1"/>
    </xf>
  </cellXfs>
  <cellStyles count="1">
    <cellStyle name="Normal" xfId="0" builtinId="0"/>
  </cellStyles>
  <dxfs count="19">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val="1"/>
      </font>
      <fill>
        <patternFill patternType="solid">
          <fgColor rgb="FFE2F0D9"/>
          <bgColor rgb="FFE2F0D9"/>
        </patternFill>
      </fill>
      <border/>
    </dxf>
    <dxf>
      <font>
        <b val="1"/>
      </font>
      <fill>
        <patternFill patternType="solid">
          <fgColor rgb="FFFCE4D6"/>
          <bgColor rgb="FFFCE4D6"/>
        </patternFill>
      </fill>
      <border/>
    </dxf>
    <dxf>
      <font>
        <b val="1"/>
      </font>
      <fill>
        <patternFill patternType="solid">
          <fgColor rgb="FFFFF2CC"/>
          <bgColor rgb="FFFFF2CC"/>
        </patternFill>
      </fill>
      <border/>
    </dxf>
    <dxf>
      <font/>
      <fill>
        <patternFill patternType="solid">
          <fgColor rgb="FFF4B183"/>
          <bgColor rgb="FFF4B183"/>
        </patternFill>
      </fill>
      <border/>
    </dxf>
    <dxf>
      <font/>
      <fill>
        <patternFill patternType="solid">
          <fgColor rgb="FFF2F2F2"/>
          <bgColor rgb="FFF2F2F2"/>
        </patternFill>
      </fill>
      <border/>
    </dxf>
    <dxf>
      <font>
        <b val="1"/>
      </font>
      <fill>
        <patternFill patternType="solid">
          <fgColor rgb="FFD9EAF7"/>
          <bgColor rgb="FFD9EAF7"/>
        </patternFill>
      </fill>
      <border/>
    </dxf>
    <dxf>
      <font/>
      <fill>
        <patternFill patternType="solid">
          <fgColor rgb="FFE2F0D9"/>
          <bgColor rgb="FFE2F0D9"/>
        </patternFill>
      </fill>
      <border/>
    </dxf>
    <dxf>
      <font>
        <i val="1"/>
        <color rgb="FF666666"/>
      </font>
      <fill>
        <patternFill patternType="solid">
          <fgColor rgb="FFE7E6E6"/>
          <bgColor rgb="FFE7E6E6"/>
        </patternFill>
      </fill>
      <border/>
    </dxf>
    <dxf>
      <font/>
      <fill>
        <patternFill patternType="solid">
          <fgColor rgb="FFFFF2CC"/>
          <bgColor rgb="FFFFF2CC"/>
        </patternFill>
      </fill>
      <border/>
    </dxf>
    <dxf>
      <font>
        <b val="1"/>
      </font>
      <fill>
        <patternFill patternType="solid">
          <fgColor rgb="FFC6E0B4"/>
          <bgColor rgb="FFC6E0B4"/>
        </patternFill>
      </fill>
      <border/>
    </dxf>
    <dxf>
      <font>
        <b val="1"/>
      </font>
      <fill>
        <patternFill patternType="solid">
          <fgColor rgb="FFE4DFEC"/>
          <bgColor rgb="FFE4DFEC"/>
        </patternFill>
      </fill>
      <border/>
    </dxf>
    <dxf>
      <font>
        <color rgb="FF666666"/>
      </font>
      <fill>
        <patternFill patternType="solid">
          <fgColor rgb="FFF2F2F2"/>
          <bgColor rgb="FFF2F2F2"/>
        </patternFill>
      </fill>
      <border/>
    </dxf>
    <dxf>
      <font>
        <i val="1"/>
      </font>
      <fill>
        <patternFill patternType="solid">
          <fgColor rgb="FFD9D9D9"/>
          <bgColor rgb="FFD9D9D9"/>
        </patternFill>
      </fill>
      <border/>
    </dxf>
    <dxf>
      <font>
        <i val="1"/>
      </font>
      <fill>
        <patternFill patternType="solid">
          <fgColor rgb="FFF2F2F2"/>
          <bgColor rgb="FFF2F2F2"/>
        </patternFill>
      </fill>
      <border/>
    </dxf>
  </dxfs>
  <tableStyles count="26" defaultTableStyle="TableStyleMedium9" defaultPivotStyle="PivotStyleLight16">
    <tableStyle name="All 83-style" pivot="0" count="4">
      <tableStyleElement type="headerRow" dxfId="1"/>
      <tableStyleElement type="firstRowStripe" dxfId="2"/>
      <tableStyleElement type="secondRowStripe" dxfId="3"/>
      <tableStyleElement type="wholeTable" size="0" dxfId="4"/>
    </tableStyle>
    <tableStyle name="Inherited 57-style" pivot="0" count="4">
      <tableStyleElement type="headerRow" dxfId="1"/>
      <tableStyleElement type="firstRowStripe" dxfId="2"/>
      <tableStyleElement type="secondRowStripe" dxfId="3"/>
      <tableStyleElement type="wholeTable" size="0" dxfId="4"/>
    </tableStyle>
    <tableStyle name="Inherited Public Citations-style" pivot="0" count="4">
      <tableStyleElement type="headerRow" dxfId="1"/>
      <tableStyleElement type="firstRowStripe" dxfId="2"/>
      <tableStyleElement type="secondRowStripe" dxfId="3"/>
      <tableStyleElement type="wholeTable" size="0" dxfId="4"/>
    </tableStyle>
    <tableStyle name="Restoration 26-style" pivot="0" count="4">
      <tableStyleElement type="headerRow" dxfId="1"/>
      <tableStyleElement type="firstRowStripe" dxfId="2"/>
      <tableStyleElement type="secondRowStripe" dxfId="3"/>
      <tableStyleElement type="wholeTable" size="0" dxfId="4"/>
    </tableStyle>
    <tableStyle name="Evidence-First Cell Queue-style" pivot="0" count="4">
      <tableStyleElement type="headerRow" dxfId="1"/>
      <tableStyleElement type="firstRowStripe" dxfId="2"/>
      <tableStyleElement type="secondRowStripe" dxfId="3"/>
      <tableStyleElement type="wholeTable" size="0" dxfId="4"/>
    </tableStyle>
    <tableStyle name="Final 24 Reconciliation-style" pivot="0" count="4">
      <tableStyleElement type="headerRow" dxfId="1"/>
      <tableStyleElement type="firstRowStripe" dxfId="2"/>
      <tableStyleElement type="secondRowStripe" dxfId="3"/>
      <tableStyleElement type="wholeTable" size="0" dxfId="4"/>
    </tableStyle>
    <tableStyle name="Reconciliation Pass 2-style" pivot="0" count="4">
      <tableStyleElement type="headerRow" dxfId="1"/>
      <tableStyleElement type="firstRowStripe" dxfId="2"/>
      <tableStyleElement type="secondRowStripe" dxfId="3"/>
      <tableStyleElement type="wholeTable" size="0" dxfId="4"/>
    </tableStyle>
    <tableStyle name="Branch State Summary-style" pivot="0" count="4">
      <tableStyleElement type="headerRow" dxfId="1"/>
      <tableStyleElement type="firstRowStripe" dxfId="2"/>
      <tableStyleElement type="secondRowStripe" dxfId="3"/>
      <tableStyleElement type="wholeTable" size="0" dxfId="4"/>
    </tableStyle>
    <tableStyle name="Inference Support-style" pivot="0" count="4">
      <tableStyleElement type="headerRow" dxfId="1"/>
      <tableStyleElement type="firstRowStripe" dxfId="2"/>
      <tableStyleElement type="secondRowStripe" dxfId="3"/>
      <tableStyleElement type="wholeTable" size="0" dxfId="4"/>
    </tableStyle>
    <tableStyle name="Inference Evidence Map-style" pivot="0" count="4">
      <tableStyleElement type="headerRow" dxfId="1"/>
      <tableStyleElement type="firstRowStripe" dxfId="2"/>
      <tableStyleElement type="secondRowStripe" dxfId="3"/>
      <tableStyleElement type="wholeTable" size="0" dxfId="4"/>
    </tableStyle>
    <tableStyle name="Matrix Case Studies-style" pivot="0" count="4">
      <tableStyleElement type="headerRow" dxfId="1"/>
      <tableStyleElement type="firstRowStripe" dxfId="2"/>
      <tableStyleElement type="secondRowStripe" dxfId="3"/>
      <tableStyleElement type="wholeTable" size="0" dxfId="4"/>
    </tableStyle>
    <tableStyle name="Build Validation-style" pivot="0" count="4">
      <tableStyleElement type="headerRow" dxfId="1"/>
      <tableStyleElement type="firstRowStripe" dxfId="2"/>
      <tableStyleElement type="secondRowStripe" dxfId="3"/>
      <tableStyleElement type="wholeTable" size="0" dxfId="4"/>
    </tableStyle>
    <tableStyle name="Citation Selection Rules-style" pivot="0" count="4">
      <tableStyleElement type="headerRow" dxfId="1"/>
      <tableStyleElement type="firstRowStripe" dxfId="2"/>
      <tableStyleElement type="secondRowStripe" dxfId="3"/>
      <tableStyleElement type="wholeTable" size="0" dxfId="4"/>
    </tableStyle>
    <tableStyle name="URL Validation Snapshot-style" pivot="0" count="4">
      <tableStyleElement type="headerRow" dxfId="1"/>
      <tableStyleElement type="firstRowStripe" dxfId="2"/>
      <tableStyleElement type="secondRowStripe" dxfId="3"/>
      <tableStyleElement type="wholeTable" size="0" dxfId="4"/>
    </tableStyle>
    <tableStyle name="Pipeline Validation Spec-style" pivot="0" count="4">
      <tableStyleElement type="headerRow" dxfId="1"/>
      <tableStyleElement type="firstRowStripe" dxfId="2"/>
      <tableStyleElement type="secondRowStripe" dxfId="3"/>
      <tableStyleElement type="wholeTable" size="0" dxfId="4"/>
    </tableStyle>
    <tableStyle name="Citation Phrase Targets-style" pivot="0" count="4">
      <tableStyleElement type="headerRow" dxfId="1"/>
      <tableStyleElement type="firstRowStripe" dxfId="2"/>
      <tableStyleElement type="secondRowStripe" dxfId="3"/>
      <tableStyleElement type="wholeTable" size="0" dxfId="4"/>
    </tableStyle>
    <tableStyle name="Restoration Phrase Targets-style" pivot="0" count="4">
      <tableStyleElement type="headerRow" dxfId="1"/>
      <tableStyleElement type="firstRowStripe" dxfId="2"/>
      <tableStyleElement type="secondRowStripe" dxfId="3"/>
      <tableStyleElement type="wholeTable" size="0" dxfId="4"/>
    </tableStyle>
    <tableStyle name="Case Study Phrase Targets-style" pivot="0" count="4">
      <tableStyleElement type="headerRow" dxfId="1"/>
      <tableStyleElement type="firstRowStripe" dxfId="2"/>
      <tableStyleElement type="secondRowStripe" dxfId="3"/>
      <tableStyleElement type="wholeTable" size="0" dxfId="4"/>
    </tableStyle>
    <tableStyle name="Vector Family Captions-style" pivot="0" count="4">
      <tableStyleElement type="headerRow" dxfId="1"/>
      <tableStyleElement type="firstRowStripe" dxfId="2"/>
      <tableStyleElement type="secondRowStripe" dxfId="3"/>
      <tableStyleElement type="wholeTable" size="0" dxfId="4"/>
    </tableStyle>
    <tableStyle name="Clarification Vocabulary-style" pivot="0" count="4">
      <tableStyleElement type="headerRow" dxfId="1"/>
      <tableStyleElement type="firstRowStripe" dxfId="2"/>
      <tableStyleElement type="secondRowStripe" dxfId="3"/>
      <tableStyleElement type="wholeTable" size="0" dxfId="4"/>
    </tableStyle>
    <tableStyle name="Interpretive Clarifications-style" pivot="0" count="4">
      <tableStyleElement type="headerRow" dxfId="1"/>
      <tableStyleElement type="firstRowStripe" dxfId="2"/>
      <tableStyleElement type="secondRowStripe" dxfId="3"/>
      <tableStyleElement type="wholeTable" size="0" dxfId="4"/>
    </tableStyle>
    <tableStyle name="Clarification Trigger Map-style" pivot="0" count="4">
      <tableStyleElement type="headerRow" dxfId="1"/>
      <tableStyleElement type="firstRowStripe" dxfId="2"/>
      <tableStyleElement type="secondRowStripe" dxfId="3"/>
      <tableStyleElement type="wholeTable" size="0" dxfId="4"/>
    </tableStyle>
    <tableStyle name="Clarification Sources-style" pivot="0" count="4">
      <tableStyleElement type="headerRow" dxfId="1"/>
      <tableStyleElement type="firstRowStripe" dxfId="2"/>
      <tableStyleElement type="secondRowStripe" dxfId="3"/>
      <tableStyleElement type="wholeTable" size="0" dxfId="4"/>
    </tableStyle>
    <tableStyle name="Author Decision Queue-style" pivot="0" count="4">
      <tableStyleElement type="headerRow" dxfId="1"/>
      <tableStyleElement type="firstRowStripe" dxfId="2"/>
      <tableStyleElement type="secondRowStripe" dxfId="3"/>
      <tableStyleElement type="wholeTable" size="0" dxfId="4"/>
    </tableStyle>
    <tableStyle name="Author Gate Dashboard-style" pivot="0" count="4">
      <tableStyleElement type="headerRow" dxfId="1"/>
      <tableStyleElement type="firstRowStripe" dxfId="2"/>
      <tableStyleElement type="secondRowStripe" dxfId="3"/>
      <tableStyleElement type="wholeTable" size="0" dxfId="4"/>
    </tableStyle>
    <tableStyle name="Author Response Entry-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ables/table1.xml><?xml version="1.0" encoding="utf-8"?>
<table xmlns="http://schemas.openxmlformats.org/spreadsheetml/2006/main" id="1" name="All83Table" displayName="All83Table" ref="A1:J84" headerRowCount="1">
  <tableColumns count="10">
    <tableColumn id="1" name="Corpus"/>
    <tableColumn id="2" name="ID"/>
    <tableColumn id="3" name="Family / mode"/>
    <tableColumn id="4" name="Teaching family"/>
    <tableColumn id="5" name="Predicate family"/>
    <tableColumn id="6" name="Comparison / authority"/>
    <tableColumn id="7" name="Teaching lens"/>
    <tableColumn id="8" name="Plain-language teaching summary"/>
    <tableColumn id="9" name="Key caution / nuance"/>
    <tableColumn id="10" name="Source pointer"/>
  </tableColumns>
  <tableStyleInfo name="All 83-style" showFirstColumn="1" showLastColumn="1" showRowStripes="1" showColumnStripes="0"/>
</table>
</file>

<file path=xl/tables/table2.xml><?xml version="1.0" encoding="utf-8"?>
<table xmlns="http://schemas.openxmlformats.org/spreadsheetml/2006/main" id="2" name="Inherited57Table" displayName="Inherited57Table" ref="A1:L58" headerRowCount="1">
  <tableColumns count="12">
    <tableColumn id="1" name="Predicate ID"/>
    <tableColumn id="2" name="Original mode"/>
    <tableColumn id="3" name="Teaching family (editorial)"/>
    <tableColumn id="4" name="Normalized predicate family"/>
    <tableColumn id="5" name="Historical source-report definition"/>
    <tableColumn id="6" name="Current A/Q/D/U"/>
    <tableColumn id="7" name="Teaching lens"/>
    <tableColumn id="8" name="Accepted comparison / semantic-floor note"/>
    <tableColumn id="9" name="Coding provenance"/>
    <tableColumn id="10" name="Confidence"/>
    <tableColumn id="11" name="Historical source record"/>
    <tableColumn id="12" name="Source locator"/>
  </tableColumns>
  <tableStyleInfo name="Inherited 57-style" showFirstColumn="1" showLastColumn="1" showRowStripes="1" showColumnStripes="0"/>
</table>
</file>

<file path=xl/tables/table3.xml><?xml version="1.0" encoding="utf-8"?>
<table xmlns="http://schemas.openxmlformats.org/spreadsheetml/2006/main" id="3" name="InheritedPublicCitationsV212" displayName="InheritedPublicCitationsV212" ref="A1:AC58" headerRowCount="1">
  <tableColumns count="29">
    <tableColumn id="1" name="Predicate ID"/>
    <tableColumn id="2" name="Predicate family"/>
    <tableColumn id="3" name="Current master code"/>
    <tableColumn id="4" name="Accepted scope note"/>
    <tableColumn id="5" name="Historical citation status"/>
    <tableColumn id="6" name="Historical teaching branch"/>
    <tableColumn id="7" name="Historical institution / scope"/>
    <tableColumn id="8" name="Historical document"/>
    <tableColumn id="9" name="Historical locator"/>
    <tableColumn id="10" name="Historical authority URL"/>
    <tableColumn id="11" name="Historical text URL"/>
    <tableColumn id="12" name="Restoration comparator label"/>
    <tableColumn id="13" name="Restoration source"/>
    <tableColumn id="14" name="Restoration locator"/>
    <tableColumn id="15" name="Restoration primary URL"/>
    <tableColumn id="16" name="Restoration supplemental URL"/>
    <tableColumn id="17" name="Public citation readiness"/>
    <tableColumn id="18" name="Historical quoted phrase (≤15 words)"/>
    <tableColumn id="19" name="Citation selection basis"/>
    <tableColumn id="20" name="Citation QA status"/>
    <tableColumn id="21" name="Comparator author-review flag"/>
    <tableColumn id="22" name="Historical witness retired?"/>
    <tableColumn id="23" name="Restoration quoted phrase (primary, ≤15 words)"/>
    <tableColumn id="24" name="Restoration primary phrase word count"/>
    <tableColumn id="25" name="Restoration fetch mode"/>
    <tableColumn id="26" name="Restoration locator-scope rule"/>
    <tableColumn id="27" name="Restoration phrase QA"/>
    <tableColumn id="28" name="Restoration supplemental quoted phrase"/>
    <tableColumn id="29" name="Restoration supplemental phrase QA"/>
  </tableColumns>
  <tableStyleInfo name="Inherited Public Citations-style" showFirstColumn="1" showLastColumn="1" showRowStripes="1" showColumnStripes="0"/>
</table>
</file>

<file path=xl/tables/table4.xml><?xml version="1.0" encoding="utf-8"?>
<table xmlns="http://schemas.openxmlformats.org/spreadsheetml/2006/main" id="4" name="Restoration26Table" displayName="Restoration26Table" ref="A1:K27" headerRowCount="1">
  <tableColumns count="11">
    <tableColumn id="1" name="Addition ID"/>
    <tableColumn id="2" name="Domain / family"/>
    <tableColumn id="3" name="Normalized Restoration-addition family"/>
    <tableColumn id="4" name="Teaching lens"/>
    <tableColumn id="5" name="Current authority tier"/>
    <tableColumn id="6" name="Authority role"/>
    <tableColumn id="7" name="Official / primary source URL"/>
    <tableColumn id="8" name="Locator"/>
    <tableColumn id="9" name="Evidence note"/>
    <tableColumn id="10" name="Confidence"/>
    <tableColumn id="11" name="Historical-novelty caution"/>
  </tableColumns>
  <tableStyleInfo name="Restoration 26-style" showFirstColumn="1" showLastColumn="1" showRowStripes="1" showColumnStripes="0"/>
</table>
</file>

<file path=xl/tables/table5.xml><?xml version="1.0" encoding="utf-8"?>
<table xmlns="http://schemas.openxmlformats.org/spreadsheetml/2006/main" id="5" name="EvidenceFirstQueueTable" displayName="EvidenceFirstQueueTable" ref="A5:Y461" headerRowCount="1">
  <tableColumns count="25">
    <tableColumn id="1" name="Queue ID"/>
    <tableColumn id="2" name="Family ID"/>
    <tableColumn id="3" name="Predicate"/>
    <tableColumn id="4" name="Current family code"/>
    <tableColumn id="5" name="Teaching branch"/>
    <tableColumn id="6" name="Collapse rule"/>
    <tableColumn id="7" name="Recovery state"/>
    <tableColumn id="8" name="Public cell disposition"/>
    <tableColumn id="9" name="Atomic unit(s) recovered"/>
    <tableColumn id="10" name="Session 9 row code(s)"/>
    <tableColumn id="11" name="Institution / jurisdiction"/>
    <tableColumn id="12" name="Document"/>
    <tableColumn id="13" name="Proposition locator"/>
    <tableColumn id="14" name="Authority / adoption URL"/>
    <tableColumn id="15" name="Text URL"/>
    <tableColumn id="16" name="Session 9 row / lineage ID"/>
    <tableColumn id="17" name="Evidence confidence"/>
    <tableColumn id="18" name="Scope control"/>
    <tableColumn id="19" name="Current-family reconciliation"/>
    <tableColumn id="20" name="Public tile value"/>
    <tableColumn id="21" name="Source note"/>
    <tableColumn id="22" name="Reviewer status"/>
    <tableColumn id="23" name="Reviewer notes"/>
    <tableColumn id="24" name="Rendered State (app-safe)"/>
    <tableColumn id="25" name="Metric Class (future branch analytics)"/>
  </tableColumns>
  <tableStyleInfo name="Evidence-First Cell Queue-style" showFirstColumn="1" showLastColumn="1" showRowStripes="1" showColumnStripes="0"/>
</table>
</file>

<file path=xl/tables/table6.xml><?xml version="1.0" encoding="utf-8"?>
<table xmlns="http://schemas.openxmlformats.org/spreadsheetml/2006/main" id="6" name="Final24ReconciliationTable" displayName="Final24ReconciliationTable" ref="A1:J25" headerRowCount="1">
  <tableColumns count="10">
    <tableColumn id="1" name="Queue ID"/>
    <tableColumn id="2" name="Family ID"/>
    <tableColumn id="3" name="Predicate"/>
    <tableColumn id="4" name="Teaching branch"/>
    <tableColumn id="5" name="Final decision"/>
    <tableColumn id="6" name="Rendered State"/>
    <tableColumn id="7" name="Metric Class"/>
    <tableColumn id="8" name="Master family"/>
    <tableColumn id="9" name="Recovery / source status"/>
    <tableColumn id="10" name="Public use"/>
  </tableColumns>
  <tableStyleInfo name="Final 24 Reconciliation-style" showFirstColumn="1" showLastColumn="1" showRowStripes="1" showColumnStripes="0"/>
</table>
</file>

<file path=xl/tables/table7.xml><?xml version="1.0" encoding="utf-8"?>
<table xmlns="http://schemas.openxmlformats.org/spreadsheetml/2006/main" id="7" name="ReconciliationPass2Table" displayName="ReconciliationPass2Table" ref="A1:N17" headerRowCount="1">
  <tableColumns count="14">
    <tableColumn id="1" name="Queue ID"/>
    <tableColumn id="2" name="Family ID"/>
    <tableColumn id="3" name="Teaching branch"/>
    <tableColumn id="4" name="Recovery state"/>
    <tableColumn id="5" name="Institution"/>
    <tableColumn id="6" name="Document"/>
    <tableColumn id="7" name="Locator"/>
    <tableColumn id="8" name="Authority URL"/>
    <tableColumn id="9" name="Scope"/>
    <tableColumn id="10" name="Final decision"/>
    <tableColumn id="11" name="Rendered State"/>
    <tableColumn id="12" name="Metric Class"/>
    <tableColumn id="13" name="Confidence"/>
    <tableColumn id="14" name="Reasoning / source note"/>
  </tableColumns>
  <tableStyleInfo name="Reconciliation Pass 2-style" showFirstColumn="1" showLastColumn="1" showRowStripes="1" showColumnStripes="0"/>
</table>
</file>

<file path=xl/tables/table8.xml><?xml version="1.0" encoding="utf-8"?>
<table xmlns="http://schemas.openxmlformats.org/spreadsheetml/2006/main" id="8" name="BranchStateSummaryTable" displayName="BranchStateSummaryTable" ref="A1:N9" headerRowCount="1">
  <tableColumns count="14">
    <tableColumn id="1" name="Teaching branch"/>
    <tableColumn id="2" name="A"/>
    <tableColumn id="3" name="A-SF"/>
    <tableColumn id="4" name="Q"/>
    <tableColumn id="5" name="D"/>
    <tableColumn id="6" name="Vector complete"/>
    <tableColumn id="7" name="Vector pending"/>
    <tableColumn id="8" name="Pending review"/>
    <tableColumn id="9" name="Source-role hold"/>
    <tableColumn id="10" name="Not located"/>
    <tableColumn id="11" name="Out of scope"/>
    <tableColumn id="12" name="Total states"/>
    <tableColumn id="13" name="Released results"/>
    <tableColumn id="14" name="QA"/>
  </tableColumns>
  <tableStyleInfo name="Branch State Summary-style" showFirstColumn="1" showLastColumn="1" showRowStripes="1" showColumnStripes="0"/>
</table>
</file>

<file path=xl/tables/table9.xml><?xml version="1.0" encoding="utf-8"?>
<table xmlns="http://schemas.openxmlformats.org/spreadsheetml/2006/main" id="9" name="InferenceSupportTable" displayName="InferenceSupportTable" ref="A4:R17" headerRowCount="1">
  <tableColumns count="18">
    <tableColumn id="1" name="Inference ID"/>
    <tableColumn id="2" name="Theme"/>
    <tableColumn id="3" name="Evidence layer"/>
    <tableColumn id="4" name="Metric"/>
    <tableColumn id="5" name="Numerator"/>
    <tableColumn id="6" name="Denominator"/>
    <tableColumn id="7" name="Rate"/>
    <tableColumn id="8" name="Direct observation"/>
    <tableColumn id="9" name="Defensible inference"/>
    <tableColumn id="10" name="Alternative interpretation / challenge"/>
    <tableColumn id="11" name="What the data DO NOT support"/>
    <tableColumn id="12" name="Drill-down key"/>
    <tableColumn id="13" name="Evidence status"/>
    <tableColumn id="14" name="Teaching priority"/>
    <tableColumn id="15" name="Reasoning move"/>
    <tableColumn id="16" name="Confidence"/>
    <tableColumn id="17" name="Interactive prompt"/>
    <tableColumn id="18" name="Public use status"/>
  </tableColumns>
  <tableStyleInfo name="Inference Support-style" showFirstColumn="1" showLastColumn="1" showRowStripes="1" showColumnStripes="0"/>
</table>
</file>

<file path=xl/tables/table10.xml><?xml version="1.0" encoding="utf-8"?>
<table xmlns="http://schemas.openxmlformats.org/spreadsheetml/2006/main" id="10" name="InferenceEvidenceMapTable" displayName="InferenceEvidenceMapTable" ref="A1:K14" headerRowCount="1">
  <tableColumns count="11">
    <tableColumn id="1" name="Evidence Link ID"/>
    <tableColumn id="2" name="Inference ID"/>
    <tableColumn id="3" name="Evidence type"/>
    <tableColumn id="4" name="Source sheet"/>
    <tableColumn id="5" name="Source subset / filter"/>
    <tableColumn id="6" name="Predicate IDs / rows"/>
    <tableColumn id="7" name="Matrix scope"/>
    <tableColumn id="8" name="Measure contributed"/>
    <tableColumn id="9" name="Why relevant"/>
    <tableColumn id="10" name="Provenance grade"/>
    <tableColumn id="11" name="Reconstruction caveat"/>
  </tableColumns>
  <tableStyleInfo name="Inference Evidence Map-style" showFirstColumn="1" showLastColumn="1" showRowStripes="1" showColumnStripes="0"/>
</table>
</file>

<file path=xl/tables/table11.xml><?xml version="1.0" encoding="utf-8"?>
<table xmlns="http://schemas.openxmlformats.org/spreadsheetml/2006/main" id="11" name="MatrixCaseStudiesTable" displayName="MatrixCaseStudiesTable" ref="A1:N4" headerRowCount="1">
  <tableColumns count="14">
    <tableColumn id="1" name="Case"/>
    <tableColumn id="2" name="Predicate ID"/>
    <tableColumn id="3" name="Predicate"/>
    <tableColumn id="4" name="Current family code"/>
    <tableColumn id="5" name="Roman Catholic"/>
    <tableColumn id="6" name="Eastern Orthodox"/>
    <tableColumn id="7" name="Lutheran"/>
    <tableColumn id="8" name="Reformed / Presbyterian"/>
    <tableColumn id="9" name="Anglican"/>
    <tableColumn id="10" name="Baptist"/>
    <tableColumn id="11" name="Methodist / Wesleyan"/>
    <tableColumn id="12" name="Mennonite / Anabaptist"/>
    <tableColumn id="13" name="Teaching use"/>
    <tableColumn id="14" name="Display rule"/>
  </tableColumns>
  <tableStyleInfo name="Matrix Case Studies-style" showFirstColumn="1" showLastColumn="1" showRowStripes="1" showColumnStripes="0"/>
</table>
</file>

<file path=xl/tables/table12.xml><?xml version="1.0" encoding="utf-8"?>
<table xmlns="http://schemas.openxmlformats.org/spreadsheetml/2006/main" id="12" name="BuildValidationTableV214Final" displayName="BuildValidationTableV214Final" ref="A5:H111" headerRowCount="1">
  <tableColumns count="8">
    <tableColumn id="1" name="Rule ID"/>
    <tableColumn id="2" name="Severity"/>
    <tableColumn id="3" name="Description"/>
    <tableColumn id="4" name="Expected"/>
    <tableColumn id="5" name="Actual"/>
    <tableColumn id="6" name="Status"/>
    <tableColumn id="7" name="Blocking"/>
    <tableColumn id="8" name="Pipeline rule / rationale"/>
  </tableColumns>
  <tableStyleInfo name="Build Validation-style" showFirstColumn="1" showLastColumn="1" showRowStripes="1" showColumnStripes="0"/>
</table>
</file>

<file path=xl/tables/table13.xml><?xml version="1.0" encoding="utf-8"?>
<table xmlns="http://schemas.openxmlformats.org/spreadsheetml/2006/main" id="13" name="CitationSelectionRulesV212" displayName="CitationSelectionRulesV212" ref="A1:G13" headerRowCount="1">
  <tableColumns count="7">
    <tableColumn id="1" name="Priority"/>
    <tableColumn id="2" name="Rule"/>
    <tableColumn id="3" name="Required evidence state"/>
    <tableColumn id="4" name="Locator rule"/>
    <tableColumn id="5" name="Tie-breaker"/>
    <tableColumn id="6" name="Vector rule"/>
    <tableColumn id="7" name="App consequence"/>
  </tableColumns>
  <tableStyleInfo name="Citation Selection Rules-style" showFirstColumn="1" showLastColumn="1" showRowStripes="1" showColumnStripes="0"/>
</table>
</file>

<file path=xl/tables/table14.xml><?xml version="1.0" encoding="utf-8"?>
<table xmlns="http://schemas.openxmlformats.org/spreadsheetml/2006/main" id="14" name="URLValidationSnapshotV213" displayName="URLValidationSnapshotV213" ref="A1:K90" headerRowCount="1">
  <tableColumns count="11">
    <tableColumn id="1" name="URL"/>
    <tableColumn id="2" name="Last checked"/>
    <tableColumn id="3" name="Reachability/content snapshot"/>
    <tableColumn id="4" name="Verification method"/>
    <tableColumn id="5" name="Historical assertion count"/>
    <tableColumn id="6" name="Restoration assertion count"/>
    <tableColumn id="7" name="Case-study assertion count"/>
    <tableColumn id="8" name="Clarification assertion count"/>
    <tableColumn id="9" name="Total phrase assertions"/>
    <tableColumn id="10" name="Pipeline requirement"/>
    <tableColumn id="11" name="Notes"/>
  </tableColumns>
  <tableStyleInfo name="URL Validation Snapshot-style" showFirstColumn="1" showLastColumn="1" showRowStripes="1" showColumnStripes="0"/>
</table>
</file>

<file path=xl/tables/table15.xml><?xml version="1.0" encoding="utf-8"?>
<table xmlns="http://schemas.openxmlformats.org/spreadsheetml/2006/main" id="15" name="PipelineValidationSpecV214" displayName="PipelineValidationSpecV214" ref="A1:H32" headerRowCount="1">
  <tableColumns count="8">
    <tableColumn id="1" name="Rule ID"/>
    <tableColumn id="2" name="Severity"/>
    <tableColumn id="3" name="Raw source"/>
    <tableColumn id="4" name="Check"/>
    <tableColumn id="5" name="Expected"/>
    <tableColumn id="6" name="Failure behavior"/>
    <tableColumn id="7" name="Why"/>
    <tableColumn id="8" name="Workbook snapshot equivalent"/>
  </tableColumns>
  <tableStyleInfo name="Pipeline Validation Spec-style" showFirstColumn="1" showLastColumn="1" showRowStripes="1" showColumnStripes="0"/>
</table>
</file>

<file path=xl/tables/table16.xml><?xml version="1.0" encoding="utf-8"?>
<table xmlns="http://schemas.openxmlformats.org/spreadsheetml/2006/main" id="16" name="CitationPhraseTargetsV212" displayName="CitationPhraseTargetsV212" ref="A1:M58" headerRowCount="1">
  <tableColumns count="13">
    <tableColumn id="1" name="Predicate ID"/>
    <tableColumn id="2" name="Historical text URL"/>
    <tableColumn id="3" name="Quoted phrase"/>
    <tableColumn id="4" name="Phrase word count"/>
    <tableColumn id="5" name="Citation readiness"/>
    <tableColumn id="6" name="Normalization"/>
    <tableColumn id="7" name="Current review state"/>
    <tableColumn id="8" name="Build assertion"/>
    <tableColumn id="9" name="Failure behavior"/>
    <tableColumn id="10" name="Notes"/>
    <tableColumn id="11" name="Historical locator"/>
    <tableColumn id="12" name="Source extraction type"/>
    <tableColumn id="13" name="Locator-scoped validation rule"/>
  </tableColumns>
  <tableStyleInfo name="Citation Phrase Targets-style" showFirstColumn="1" showLastColumn="1" showRowStripes="1" showColumnStripes="0"/>
</table>
</file>

<file path=xl/tables/table17.xml><?xml version="1.0" encoding="utf-8"?>
<table xmlns="http://schemas.openxmlformats.org/spreadsheetml/2006/main" id="17" name="RestorationPhraseTargetsTable" displayName="RestorationPhraseTargetsTable" ref="A1:N64" headerRowCount="1">
  <tableColumns count="14">
    <tableColumn id="1" name="Predicate ID"/>
    <tableColumn id="2" name="Target Role"/>
    <tableColumn id="3" name="Source label"/>
    <tableColumn id="4" name="Source URL"/>
    <tableColumn id="5" name="Locator"/>
    <tableColumn id="6" name="Quoted phrase"/>
    <tableColumn id="7" name="Phrase word count"/>
    <tableColumn id="8" name="Fetch mode"/>
    <tableColumn id="9" name="Normalization"/>
    <tableColumn id="10" name="Locator-scope mode"/>
    <tableColumn id="11" name="Build assertion"/>
    <tableColumn id="12" name="QA status"/>
    <tableColumn id="13" name="Author-review flag"/>
    <tableColumn id="14" name="Notes"/>
  </tableColumns>
  <tableStyleInfo name="Restoration Phrase Targets-style" showFirstColumn="1" showLastColumn="1" showRowStripes="1" showColumnStripes="0"/>
</table>
</file>

<file path=xl/tables/table18.xml><?xml version="1.0" encoding="utf-8"?>
<table xmlns="http://schemas.openxmlformats.org/spreadsheetml/2006/main" id="18" name="CaseStudyPhraseTargetsTable" displayName="CaseStudyPhraseTargetsTable" ref="A1:P27" headerRowCount="1">
  <tableColumns count="16">
    <tableColumn id="1" name="Queue ID"/>
    <tableColumn id="2" name="Family ID"/>
    <tableColumn id="3" name="Teaching branch"/>
    <tableColumn id="4" name="Rendered State"/>
    <tableColumn id="5" name="Target Status"/>
    <tableColumn id="6" name="Document"/>
    <tableColumn id="7" name="Locator"/>
    <tableColumn id="8" name="Assertion Text URL"/>
    <tableColumn id="9" name="Quoted phrase"/>
    <tableColumn id="10" name="Phrase word count"/>
    <tableColumn id="11" name="Assertion source role"/>
    <tableColumn id="12" name="Extraction type"/>
    <tableColumn id="13" name="Normalization"/>
    <tableColumn id="14" name="Locator-scope rule"/>
    <tableColumn id="15" name="Build assertion"/>
    <tableColumn id="16" name="Notes"/>
  </tableColumns>
  <tableStyleInfo name="Case Study Phrase Targets-style" showFirstColumn="1" showLastColumn="1" showRowStripes="1" showColumnStripes="0"/>
</table>
</file>

<file path=xl/tables/table19.xml><?xml version="1.0" encoding="utf-8"?>
<table xmlns="http://schemas.openxmlformats.org/spreadsheetml/2006/main" id="19" name="VectorFamilyCaptionsTable" displayName="VectorFamilyCaptionsTable" ref="A1:H4" headerRowCount="1">
  <tableColumns count="8">
    <tableColumn id="1" name="Family ID"/>
    <tableColumn id="2" name="Predicate"/>
    <tableColumn id="3" name="Master family code"/>
    <tableColumn id="4" name="Card mode"/>
    <tableColumn id="5" name="Atomic-layer summary"/>
    <tableColumn id="6" name="Learner-facing caption"/>
    <tableColumn id="7" name="Citation display rule"/>
    <tableColumn id="8" name="Pipeline requirement"/>
  </tableColumns>
  <tableStyleInfo name="Vector Family Captions-style" showFirstColumn="1" showLastColumn="1" showRowStripes="1" showColumnStripes="0"/>
</table>
</file>

<file path=xl/tables/table20.xml><?xml version="1.0" encoding="utf-8"?>
<table xmlns="http://schemas.openxmlformats.org/spreadsheetml/2006/main" id="20" name="ClarificationVocabularyTable" displayName="ClarificationVocabularyTable" ref="A1:D46" headerRowCount="1">
  <tableColumns count="4">
    <tableColumn id="1" name="Vocabulary"/>
    <tableColumn id="2" name="Allowed value"/>
    <tableColumn id="3" name="Meaning"/>
    <tableColumn id="4" name="App / research rule"/>
  </tableColumns>
  <tableStyleInfo name="Clarification Vocabulary-style" showFirstColumn="1" showLastColumn="1" showRowStripes="1" showColumnStripes="0"/>
</table>
</file>

<file path=xl/tables/table21.xml><?xml version="1.0" encoding="utf-8"?>
<table xmlns="http://schemas.openxmlformats.org/spreadsheetml/2006/main" id="21" name="InterpretiveClarificationsTable" displayName="InterpretiveClarificationsTable" ref="A1:AE3" headerRowCount="1">
  <tableColumns count="27">
    <tableColumn id="1" name="Case ID"/>
    <tableColumn id="2" name="Public title"/>
    <tableColumn id="3" name="Short label"/>
    <tableColumn id="4" name="Case type"/>
    <tableColumn id="5" name="Primary tradition family"/>
    <tableColumn id="6" name="Subtradition scope"/>
    <tableColumn id="7" name="Counted?"/>
    <tableColumn id="8" name="Quantitative impact"/>
    <tableColumn id="9" name="Primary hazard"/>
    <tableColumn id="10" name="Additional hazards"/>
    <tableColumn id="11" name="Auto priority"/>
    <tableColumn id="12" name="Display mode"/>
    <tableColumn id="13" name="Max auto cues"/>
    <tableColumn id="14" name="Review state"/>
    <tableColumn id="15" name="App availability"/>
    <tableColumn id="16" name="Answer authority"/>
    <tableColumn id="17" name="Learner question / apparent tension"/>
    <tableColumn id="18" name="Key distinction"/>
    <tableColumn id="19" name="Resolution summary"/>
    <tableColumn id="20" name="Internal variation"/>
    <tableColumn id="21" name="Interfaith significance"/>
    <tableColumn id="22" name="What this case does NOT prove"/>
    <tableColumn id="23" name="Learner cue copy"/>
    <tableColumn id="24" name="Manual explorer category"/>
    <tableColumn id="25" name="Related current predicate IDs"/>
    <tableColumn id="26" name="Author decision"/>
    <tableColumn id="27" name="Author notes"/>
  </tableColumns>
  <tableStyleInfo name="Interpretive Clarifications-style" showFirstColumn="1" showLastColumn="1" showRowStripes="1" showColumnStripes="0"/>
</table>
</file>

<file path=xl/tables/table22.xml><?xml version="1.0" encoding="utf-8"?>
<table xmlns="http://schemas.openxmlformats.org/spreadsheetml/2006/main" id="22" name="ClarificationTriggerMapTable" displayName="ClarificationTriggerMapTable" ref="A1:M36" headerRowCount="1">
  <tableColumns count="13">
    <tableColumn id="1" name="Trigger ID"/>
    <tableColumn id="2" name="Case ID"/>
    <tableColumn id="3" name="Trigger type"/>
    <tableColumn id="4" name="Trigger value"/>
    <tableColumn id="5" name="Match mode"/>
    <tableColumn id="6" name="Required tradition context"/>
    <tableColumn id="7" name="Required topic context"/>
    <tableColumn id="8" name="Auto-cue eligible?"/>
    <tableColumn id="9" name="Priority"/>
    <tableColumn id="10" name="Relevance weight"/>
    <tableColumn id="11" name="Manual explorer?"/>
    <tableColumn id="12" name="Trigger note"/>
    <tableColumn id="13" name="Active?"/>
  </tableColumns>
  <tableStyleInfo name="Clarification Trigger Map-style" showFirstColumn="1" showLastColumn="1" showRowStripes="1" showColumnStripes="0"/>
</table>
</file>

<file path=xl/tables/table23.xml><?xml version="1.0" encoding="utf-8"?>
<table xmlns="http://schemas.openxmlformats.org/spreadsheetml/2006/main" id="23" name="ClarificationSourcesTable" displayName="ClarificationSourcesTable" ref="A1:R21" headerRowCount="1">
  <tableColumns count="18">
    <tableColumn id="1" name="Source ID"/>
    <tableColumn id="2" name="Case ID"/>
    <tableColumn id="3" name="Source role"/>
    <tableColumn id="4" name="Tradition / institution"/>
    <tableColumn id="5" name="Subtradition scope"/>
    <tableColumn id="6" name="Document / statement"/>
    <tableColumn id="7" name="Locator"/>
    <tableColumn id="8" name="URL"/>
    <tableColumn id="9" name="Quoted phrase (≤15 words)"/>
    <tableColumn id="10" name="Phrase word count"/>
    <tableColumn id="11" name="Claim supported"/>
    <tableColumn id="12" name="Authority note"/>
    <tableColumn id="13" name="Content assertion mode"/>
    <tableColumn id="14" name="Review status"/>
    <tableColumn id="15" name="Counted?"/>
    <tableColumn id="16" name="Source date / historical period"/>
    <tableColumn id="17" name="Current?"/>
    <tableColumn id="18" name="Notes"/>
  </tableColumns>
  <tableStyleInfo name="Clarification Sources-style" showFirstColumn="1" showLastColumn="1" showRowStripes="1" showColumnStripes="0"/>
</table>
</file>

<file path=xl/tables/table24.xml><?xml version="1.0" encoding="utf-8"?>
<table xmlns="http://schemas.openxmlformats.org/spreadsheetml/2006/main" id="24" name="AuthorDecisionQueueTableV214" displayName="AuthorDecisionQueueTableV214" ref="A1:AH105" headerRowCount="1">
  <tableColumns count="34">
    <tableColumn id="1" name="Sequence"/>
    <tableColumn id="2" name="Decision ID"/>
    <tableColumn id="3" name="Gate"/>
    <tableColumn id="4" name="Category"/>
    <tableColumn id="5" name="Priority"/>
    <tableColumn id="6" name="Actionability"/>
    <tableColumn id="7" name="Source Sheet"/>
    <tableColumn id="8" name="Source Key"/>
    <tableColumn id="9" name="Source Range"/>
    <tableColumn id="10" name="Decision Title"/>
    <tableColumn id="11" name="Author Question"/>
    <tableColumn id="12" name="Relevant Context"/>
    <tableColumn id="13" name="Current State / Evidence"/>
    <tableColumn id="14" name="Gate Impact"/>
    <tableColumn id="15" name="Suggested Option 1"/>
    <tableColumn id="16" name="Suggested Option 2"/>
    <tableColumn id="17" name="Suggested Option 3"/>
    <tableColumn id="18" name="Suggested Option 4"/>
    <tableColumn id="19" name="Custom Required For"/>
    <tableColumn id="20" name="Response Menu"/>
    <tableColumn id="21" name="Custom Response"/>
    <tableColumn id="22" name="Author Notes"/>
    <tableColumn id="23" name="Author Initials"/>
    <tableColumn id="24" name="Decision Date"/>
    <tableColumn id="25" name="Resolved Response"/>
    <tableColumn id="26" name="Workflow Status"/>
    <tableColumn id="27" name="Gate Blocking?"/>
    <tableColumn id="28" name="Propagation / Follow-up"/>
    <tableColumn id="29" name="Review Batch"/>
    <tableColumn id="30" name="Source URL"/>
    <tableColumn id="31" name="Source Caution"/>
    <tableColumn id="32" name="Needs Author Attention"/>
    <tableColumn id="33" name="Current Item"/>
    <tableColumn id="34" name="Duplicate Decision ID?"/>
  </tableColumns>
  <tableStyleInfo name="Author Decision Queue-style" showFirstColumn="1" showLastColumn="1" showRowStripes="1" showColumnStripes="0"/>
</table>
</file>

<file path=xl/tables/table25.xml><?xml version="1.0" encoding="utf-8"?>
<table xmlns="http://schemas.openxmlformats.org/spreadsheetml/2006/main" id="25" name="AuthorGateDashboardTable" displayName="AuthorGateDashboardTable" ref="A5:K14" headerRowCount="1">
  <tableColumns count="11">
    <tableColumn id="1" name="Gate"/>
    <tableColumn id="2" name="Purpose"/>
    <tableColumn id="3" name="Total Items"/>
    <tableColumn id="4" name="Ready Items"/>
    <tableColumn id="5" name="Resolved"/>
    <tableColumn id="6" name="Needs Attention"/>
    <tableColumn id="7" name="Holds"/>
    <tableColumn id="8" name="Deferred"/>
    <tableColumn id="9" name="Blocked Future"/>
    <tableColumn id="10" name="Gate Status"/>
    <tableColumn id="11" name="Clearance Condition"/>
  </tableColumns>
  <tableStyleInfo name="Author Gate Dashboard-style" showFirstColumn="1" showLastColumn="1" showRowStripes="1" showColumnStripes="0"/>
</table>
</file>

<file path=xl/tables/table26.xml><?xml version="1.0" encoding="utf-8"?>
<table xmlns="http://schemas.openxmlformats.org/spreadsheetml/2006/main" id="26" name="AuthorResponseEntryTable" displayName="AuthorResponseEntryTable" ref="A1:K105" headerRowCount="1">
  <tableColumns count="11">
    <tableColumn id="1" name="Sequence"/>
    <tableColumn id="2" name="Decision ID"/>
    <tableColumn id="3" name="Current?"/>
    <tableColumn id="4" name="Response Menu"/>
    <tableColumn id="5" name="Custom Response"/>
    <tableColumn id="6" name="Author Notes"/>
    <tableColumn id="7" name="Author Initials"/>
    <tableColumn id="8" name="Decision Date"/>
    <tableColumn id="9" name="Workflow Status"/>
    <tableColumn id="10" name="Resolved Response"/>
    <tableColumn id="11" name="Decision Title"/>
  </tableColumns>
  <tableStyleInfo name="Author Response Entry-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5.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27.xml.rels><Relationships xmlns="http://schemas.openxmlformats.org/package/2006/relationships"><Relationship Type="http://schemas.openxmlformats.org/officeDocument/2006/relationships/table" Target="/xl/tables/table12.xml" Id="rId1"/></Relationships>
</file>

<file path=xl/worksheets/_rels/sheet28.xml.rels><Relationships xmlns="http://schemas.openxmlformats.org/package/2006/relationships"><Relationship Type="http://schemas.openxmlformats.org/officeDocument/2006/relationships/table" Target="/xl/tables/table13.xml" Id="rId1"/></Relationships>
</file>

<file path=xl/worksheets/_rels/sheet29.xml.rels><Relationships xmlns="http://schemas.openxmlformats.org/package/2006/relationships"><Relationship Type="http://schemas.openxmlformats.org/officeDocument/2006/relationships/table" Target="/xl/tables/table14.xml" Id="rId1"/></Relationships>
</file>

<file path=xl/worksheets/_rels/sheet30.xml.rels><Relationships xmlns="http://schemas.openxmlformats.org/package/2006/relationships"><Relationship Type="http://schemas.openxmlformats.org/officeDocument/2006/relationships/table" Target="/xl/tables/table15.xml" Id="rId1"/></Relationships>
</file>

<file path=xl/worksheets/_rels/sheet31.xml.rels><Relationships xmlns="http://schemas.openxmlformats.org/package/2006/relationships"><Relationship Type="http://schemas.openxmlformats.org/officeDocument/2006/relationships/table" Target="/xl/tables/table16.xml" Id="rId1"/></Relationships>
</file>

<file path=xl/worksheets/_rels/sheet32.xml.rels><Relationships xmlns="http://schemas.openxmlformats.org/package/2006/relationships"><Relationship Type="http://schemas.openxmlformats.org/officeDocument/2006/relationships/table" Target="/xl/tables/table17.xml" Id="rId1"/></Relationships>
</file>

<file path=xl/worksheets/_rels/sheet33.xml.rels><Relationships xmlns="http://schemas.openxmlformats.org/package/2006/relationships"><Relationship Type="http://schemas.openxmlformats.org/officeDocument/2006/relationships/table" Target="/xl/tables/table18.xml" Id="rId1"/></Relationships>
</file>

<file path=xl/worksheets/_rels/sheet34.xml.rels><Relationships xmlns="http://schemas.openxmlformats.org/package/2006/relationships"><Relationship Type="http://schemas.openxmlformats.org/officeDocument/2006/relationships/table" Target="/xl/tables/table19.xml" Id="rId1"/></Relationships>
</file>

<file path=xl/worksheets/_rels/sheet35.xml.rels><Relationships xmlns="http://schemas.openxmlformats.org/package/2006/relationships"><Relationship Type="http://schemas.openxmlformats.org/officeDocument/2006/relationships/table" Target="/xl/tables/table20.xml" Id="rId1"/></Relationships>
</file>

<file path=xl/worksheets/_rels/sheet36.xml.rels><Relationships xmlns="http://schemas.openxmlformats.org/package/2006/relationships"><Relationship Type="http://schemas.openxmlformats.org/officeDocument/2006/relationships/table" Target="/xl/tables/table21.xml" Id="rId1"/></Relationships>
</file>

<file path=xl/worksheets/_rels/sheet37.xml.rels><Relationships xmlns="http://schemas.openxmlformats.org/package/2006/relationships"><Relationship Type="http://schemas.openxmlformats.org/officeDocument/2006/relationships/table" Target="/xl/tables/table22.xml" Id="rId1"/></Relationships>
</file>

<file path=xl/worksheets/_rels/sheet38.xml.rels><Relationships xmlns="http://schemas.openxmlformats.org/package/2006/relationships"><Relationship Type="http://schemas.openxmlformats.org/officeDocument/2006/relationships/table" Target="/xl/tables/table23.xml" Id="rId1"/></Relationships>
</file>

<file path=xl/worksheets/_rels/sheet39.xml.rels><Relationships xmlns="http://schemas.openxmlformats.org/package/2006/relationships"><Relationship Type="http://schemas.openxmlformats.org/officeDocument/2006/relationships/table" Target="/xl/tables/table24.xml" Id="rId1"/></Relationships>
</file>

<file path=xl/worksheets/_rels/sheet40.xml.rels><Relationships xmlns="http://schemas.openxmlformats.org/package/2006/relationships"><Relationship Type="http://schemas.openxmlformats.org/officeDocument/2006/relationships/table" Target="/xl/tables/table25.xml" Id="rId1"/></Relationships>
</file>

<file path=xl/worksheets/_rels/sheet42.xml.rels><Relationships xmlns="http://schemas.openxmlformats.org/package/2006/relationships"><Relationship Type="http://schemas.openxmlformats.org/officeDocument/2006/relationships/table" Target="/xl/tables/table26.xml" Id="rId1"/></Relationships>
</file>

<file path=xl/worksheets/sheet1.xml><?xml version="1.0" encoding="utf-8"?>
<worksheet xmlns="http://schemas.openxmlformats.org/spreadsheetml/2006/main">
  <sheetPr>
    <outlinePr summaryBelow="1" summaryRight="1"/>
    <pageSetUpPr/>
  </sheetPr>
  <dimension ref="A1:F118"/>
  <sheetViews>
    <sheetView workbookViewId="0">
      <selection activeCell="A1" sqref="A1"/>
    </sheetView>
  </sheetViews>
  <sheetFormatPr baseColWidth="8" defaultColWidth="12.63" defaultRowHeight="15" customHeight="1"/>
  <cols>
    <col width="30" customWidth="1" style="29" min="1" max="1"/>
    <col width="36" customWidth="1" style="29" min="2" max="2"/>
    <col width="70" customWidth="1" style="29" min="3" max="3"/>
    <col width="8.630000000000001" customWidth="1" style="29" min="4" max="26"/>
  </cols>
  <sheetData>
    <row r="1">
      <c r="A1" s="1" t="inlineStr">
        <is>
          <t>Seeking Jesus of Nazareth — Hardened Interactive App Data Master</t>
        </is>
      </c>
    </row>
    <row r="2">
      <c r="A2" s="3" t="inlineStr">
        <is>
          <t>Rebuilt from the complete controlled v2.7 evidence-first queue and the v2.8 reconciliation delta. The defective v2.8 merged workbook is retired and is not a source of queue data.</t>
        </is>
      </c>
    </row>
    <row r="3"/>
    <row r="5">
      <c r="A5" s="5" t="inlineStr">
        <is>
          <t>Key</t>
        </is>
      </c>
      <c r="B5" s="5" t="inlineStr">
        <is>
          <t>Value</t>
        </is>
      </c>
      <c r="C5" s="5" t="inlineStr">
        <is>
          <t>App rule</t>
        </is>
      </c>
    </row>
    <row r="6">
      <c r="A6" s="4" t="inlineStr">
        <is>
          <t>app_master_version</t>
        </is>
      </c>
      <c r="B6" s="40" t="inlineStr">
        <is>
          <t>v2.25r4 GATE6 SCOPE RATIFIED</t>
        </is>
      </c>
      <c r="C6" s="41" t="inlineStr">
        <is>
          <t>Use this workbook as the single app-facing data authority.</t>
        </is>
      </c>
    </row>
    <row r="7">
      <c r="A7" s="4" t="inlineStr">
        <is>
          <t>build_date</t>
        </is>
      </c>
      <c r="B7" s="40" t="inlineStr">
        <is>
          <t>2026-09-13</t>
        </is>
      </c>
      <c r="C7" s="41" t="inlineStr">
        <is>
          <t>Controlled build date.</t>
        </is>
      </c>
    </row>
    <row r="8">
      <c r="A8" s="4" t="inlineStr">
        <is>
          <t>queue_expected_rows</t>
        </is>
      </c>
      <c r="B8" s="4" t="n">
        <v>456</v>
      </c>
      <c r="C8" s="4" t="inlineStr">
        <is>
          <t>Build must fail if Evidence-First Cell Queue != 456 data rows.</t>
        </is>
      </c>
    </row>
    <row r="9">
      <c r="A9" s="4" t="inlineStr">
        <is>
          <t>full_branch_map_enabled</t>
        </is>
      </c>
      <c r="B9" s="4" t="b">
        <v>0</v>
      </c>
      <c r="C9" s="4" t="inlineStr">
        <is>
          <t>Do not calculate/display denomination concordance percentages or ranking.</t>
        </is>
      </c>
    </row>
    <row r="10">
      <c r="A10" s="4" t="inlineStr">
        <is>
          <t>render_state_field</t>
        </is>
      </c>
      <c r="B10" s="4" t="inlineStr">
        <is>
          <t>Evidence-First Cell Queue!X</t>
        </is>
      </c>
      <c r="C10" s="4" t="inlineStr">
        <is>
          <t>Every one of 456 cells must have an authoritative Rendered State.</t>
        </is>
      </c>
    </row>
    <row r="11">
      <c r="A11" s="4" t="inlineStr">
        <is>
          <t>metric_class_field</t>
        </is>
      </c>
      <c r="B11" s="4" t="inlineStr">
        <is>
          <t>Evidence-First Cell Queue!Y</t>
        </is>
      </c>
      <c r="C11" s="4" t="inlineStr">
        <is>
          <t>A-SF maps to A; Q maps to Q; holds/gaps/vectors map EXCLUDED.</t>
        </is>
      </c>
    </row>
    <row r="12">
      <c r="A12" s="4" t="inlineStr">
        <is>
          <t>state_vocabulary_sheet</t>
        </is>
      </c>
      <c r="B12" s="4" t="inlineStr">
        <is>
          <t>State Vocabulary</t>
        </is>
      </c>
      <c r="C12" s="4" t="inlineStr">
        <is>
          <t>Reject unknown states/enums at build time.</t>
        </is>
      </c>
    </row>
    <row r="13">
      <c r="A13" s="4" t="inlineStr">
        <is>
          <t>missingness_visible</t>
        </is>
      </c>
      <c r="B13" s="4" t="b">
        <v>1</v>
      </c>
      <c r="C13" s="4" t="inlineStr">
        <is>
          <t>NOT LOCATED / PENDING / HOLD must render visibly; never infer from blank/null.</t>
        </is>
      </c>
    </row>
    <row r="14">
      <c r="A14" s="4" t="inlineStr">
        <is>
          <t>primary_case_A</t>
        </is>
      </c>
      <c r="B14" s="4" t="inlineStr">
        <is>
          <t>RNR-H05 Son</t>
        </is>
      </c>
      <c r="C14" s="4" t="inlineStr">
        <is>
          <t>Eight certified A cells; replaces H07 Almighty.</t>
        </is>
      </c>
    </row>
    <row r="15">
      <c r="A15" s="4" t="inlineStr">
        <is>
          <t>primary_case_Q</t>
        </is>
      </c>
      <c r="B15" s="4" t="inlineStr">
        <is>
          <t>RNR-H22 Creator / Maker</t>
        </is>
      </c>
      <c r="C15" s="4" t="inlineStr">
        <is>
          <t>Eight certified Q cells.</t>
        </is>
      </c>
    </row>
    <row r="16">
      <c r="A16" s="4" t="inlineStr">
        <is>
          <t>primary_case_D</t>
        </is>
      </c>
      <c r="B16" s="4" t="inlineStr">
        <is>
          <t>RNR-H43 Without parts / simple</t>
        </is>
      </c>
      <c r="C16" s="4" t="inlineStr">
        <is>
          <t>5 D + 1 pending + 2 current-source gaps.</t>
        </is>
      </c>
    </row>
    <row r="17">
      <c r="A17" s="4" t="inlineStr">
        <is>
          <t>h37_orthodox_status</t>
        </is>
      </c>
      <c r="B17" s="4" t="inlineStr">
        <is>
          <t>Q — OCA OFFICIAL CATECHETICAL SOURCE (The Orthodox Faith Vol. I, One God One Father); jurisdictional scope</t>
        </is>
      </c>
      <c r="C17" s="4" t="inlineStr">
        <is>
          <t>Strengthened 2026-09-09; saint's-life witness retired to lineage.</t>
        </is>
      </c>
    </row>
    <row r="18">
      <c r="A18" s="4" t="inlineStr">
        <is>
          <t>h39_unresolved_cells</t>
        </is>
      </c>
      <c r="B18" s="4" t="n">
        <v>0</v>
      </c>
      <c r="C18" s="4" t="inlineStr">
        <is>
          <t>All eight H39 teaching-branch states reconciled.</t>
        </is>
      </c>
    </row>
    <row r="19">
      <c r="A19" s="4" t="inlineStr">
        <is>
          <t>h45_unresolved_cells</t>
        </is>
      </c>
      <c r="B19" s="4" t="n">
        <v>0</v>
      </c>
      <c r="C19" s="4" t="inlineStr">
        <is>
          <t>All H45 branch states reconciled or closed as reviewed gaps.</t>
        </is>
      </c>
    </row>
    <row r="20">
      <c r="A20" s="4" t="inlineStr">
        <is>
          <t>row_ratification_status</t>
        </is>
      </c>
      <c r="B20" s="4" t="inlineStr">
        <is>
          <t>83 PENDING</t>
        </is>
      </c>
      <c r="C20" s="4" t="inlineStr">
        <is>
          <t>Author-owned blocker for public row-level explanatory copy; never auto-approve.</t>
        </is>
      </c>
    </row>
    <row r="21" ht="15.75" customHeight="1" s="29">
      <c r="A21" s="4" t="inlineStr">
        <is>
          <t>external_validation</t>
        </is>
      </c>
      <c r="B21" s="4" t="inlineStr">
        <is>
          <t>PENDING</t>
        </is>
      </c>
      <c r="C21" s="4" t="inlineStr">
        <is>
          <t>Do not imply independent replication/reliability.</t>
        </is>
      </c>
    </row>
    <row r="22" ht="15.75" customHeight="1" s="29">
      <c r="A22" s="4" t="inlineStr">
        <is>
          <t>http_validation_required</t>
        </is>
      </c>
      <c r="B22" s="4" t="b">
        <v>1</v>
      </c>
      <c r="C22" s="4" t="inlineStr">
        <is>
          <t>Pipeline must live-fetch every distinct public URL and fail on non-success unless explicitly whitelisted.</t>
        </is>
      </c>
    </row>
    <row r="23" ht="15.75" customHeight="1" s="29">
      <c r="A23" s="4" t="inlineStr">
        <is>
          <t>build_validation_mode</t>
        </is>
      </c>
      <c r="B23" s="4" t="inlineStr">
        <is>
          <t>EXPORT SNAPSHOT + PIPELINE REEXECUTION</t>
        </is>
      </c>
      <c r="C23" s="4" t="inlineStr">
        <is>
          <t>Workbook PASS states are not trusted after edits; pipeline recomputes from raw sheets.</t>
        </is>
      </c>
    </row>
    <row r="24" ht="15.75" customHeight="1" s="29">
      <c r="A24" s="4" t="inlineStr">
        <is>
          <t>citation_selection_rule_sheet</t>
        </is>
      </c>
      <c r="B24" s="4" t="inlineStr">
        <is>
          <t>Citation Selection Rules</t>
        </is>
      </c>
      <c r="C24" s="4" t="inlineStr">
        <is>
          <t>M1 cards use the two-sided citation layer only under these derivation rules.</t>
        </is>
      </c>
    </row>
    <row r="25" ht="15.75" customHeight="1" s="29">
      <c r="A25" s="4" t="inlineStr">
        <is>
          <t>historical_retired_flag</t>
        </is>
      </c>
      <c r="B25" s="4" t="inlineStr">
        <is>
          <t>Evidence-First Cell Queue!Z</t>
        </is>
      </c>
      <c r="C25" s="4" t="inlineStr">
        <is>
          <t>TRUE means document is lineage-only, never current branch evidence.</t>
        </is>
      </c>
    </row>
    <row r="26" ht="15.75" customHeight="1" s="29">
      <c r="A26" s="4" t="inlineStr">
        <is>
          <t>citation_phrase_field</t>
        </is>
      </c>
      <c r="B26" s="4" t="inlineStr">
        <is>
          <t>Inherited Public Citations!R</t>
        </is>
      </c>
      <c r="C26" s="4" t="inlineStr">
        <is>
          <t>Quoted phrase is the machine-checkable proposition assertion.</t>
        </is>
      </c>
    </row>
    <row r="27" ht="15.75" customHeight="1" s="29">
      <c r="A27" s="4" t="inlineStr">
        <is>
          <t>citation_phrase_targets</t>
        </is>
      </c>
      <c r="B27" s="4" t="inlineStr">
        <is>
          <t>Citation Phrase Targets</t>
        </is>
      </c>
      <c r="C27" s="4" t="inlineStr">
        <is>
          <t>56 public phrase targets + H50 no-public-target record.</t>
        </is>
      </c>
    </row>
    <row r="28" ht="15.75" customHeight="1" s="29">
      <c r="A28" s="4" t="inlineStr">
        <is>
          <t>citation_content_validation</t>
        </is>
      </c>
      <c r="B28" s="4" t="b">
        <v>1</v>
      </c>
      <c r="C28" s="4" t="inlineStr">
        <is>
          <t>Pipeline P018 must assert normalized phrase containment after HTML/PDF extraction.</t>
        </is>
      </c>
    </row>
    <row r="29" ht="15.75" customHeight="1" s="29">
      <c r="A29" s="4" t="inlineStr">
        <is>
          <t>dei_filius_text_witness</t>
        </is>
      </c>
      <c r="B29" s="4" t="inlineStr">
        <is>
          <t>https://www.ewtn.com/catholicism/teachings/vatican-i-dogmatic-constitution-dei-filius-on-the-catholic-faith-241</t>
        </is>
      </c>
      <c r="C29" s="4" t="inlineStr">
        <is>
          <t>Queue Dei Filius rows use Vatican Latin authority + actual English text witness.</t>
        </is>
      </c>
    </row>
    <row r="30" ht="15.75" customHeight="1" s="29">
      <c r="A30" s="4" t="inlineStr">
        <is>
          <t>athanasian_text_witness</t>
        </is>
      </c>
      <c r="B30" s="4" t="inlineStr">
        <is>
          <t>https://ccel.org/ccel/creeds/athanasian.creed.html</t>
        </is>
      </c>
      <c r="C30" s="4" t="inlineStr">
        <is>
          <t>Athanasian citations use authority/adoption path plus server-rendered CCEL text.</t>
        </is>
      </c>
    </row>
    <row r="31" ht="15.75" customHeight="1" s="29">
      <c r="A31" s="4" t="inlineStr">
        <is>
          <t>restoration_phrase_targets</t>
        </is>
      </c>
      <c r="B31" s="4" t="inlineStr">
        <is>
          <t>Restoration Phrase Targets</t>
        </is>
      </c>
      <c r="C31" s="4" t="inlineStr">
        <is>
          <t>57 primary + 6 supplemental comparator assertions.</t>
        </is>
      </c>
    </row>
    <row r="32" ht="15.75" customHeight="1" s="29">
      <c r="A32" s="4" t="inlineStr">
        <is>
          <t>restoration_fetch_mode</t>
        </is>
      </c>
      <c r="B32" s="4" t="inlineStr">
        <is>
          <t>PLAYWRIGHT RENDERED OR CHURCH CONTENT API</t>
        </is>
      </c>
      <c r="C32" s="4" t="inlineStr">
        <is>
          <t>Required for churchofjesuschrist.org study pages if plain GET lacks rendered scripture text.</t>
        </is>
      </c>
    </row>
    <row r="33" ht="15.75" customHeight="1" s="29">
      <c r="A33" s="4" t="inlineStr">
        <is>
          <t>historical_locator_scope</t>
        </is>
      </c>
      <c r="B33" s="4" t="inlineStr">
        <is>
          <t>Citation Phrase Targets K:M</t>
        </is>
      </c>
      <c r="C33" s="4" t="inlineStr">
        <is>
          <t>Historical assertions are scoped to cited article/section; PDFs have extra normalization.</t>
        </is>
      </c>
    </row>
    <row r="34" ht="15.75" customHeight="1" s="29">
      <c r="A34" s="4" t="inlineStr">
        <is>
          <t>case_study_phrase_targets</t>
        </is>
      </c>
      <c r="B34" s="4" t="inlineStr">
        <is>
          <t>Case Study Phrase Targets</t>
        </is>
      </c>
      <c r="C34" s="4" t="inlineStr">
        <is>
          <t>24 queue-keyed records: 21 ASSERT + 3 NO TARGET — UNRELEASED.</t>
        </is>
      </c>
    </row>
    <row r="35" ht="15.75" customHeight="1" s="29">
      <c r="A35" s="4" t="inlineStr">
        <is>
          <t>vector_caption_sheet</t>
        </is>
      </c>
      <c r="B35" s="4" t="inlineStr">
        <is>
          <t>Vector Family Captions</t>
        </is>
      </c>
      <c r="C35" s="4" t="inlineStr">
        <is>
          <t>H07/H32/H56 captions must be visible on learner cards.</t>
        </is>
      </c>
    </row>
    <row r="36" ht="15.75" customHeight="1" s="29">
      <c r="A36" s="4" t="inlineStr">
        <is>
          <t>vector_card_mode</t>
        </is>
      </c>
      <c r="B36" s="4" t="inlineStr">
        <is>
          <t>VECTOR</t>
        </is>
      </c>
      <c r="C36" s="4" t="inlineStr">
        <is>
          <t>Do not collapse vector families to a single A/Q/D tile.</t>
        </is>
      </c>
    </row>
    <row r="37" ht="15.75" customHeight="1" s="29">
      <c r="A37" s="4" t="inlineStr">
        <is>
          <t>row_ratification_status</t>
        </is>
      </c>
      <c r="B37" s="4" t="inlineStr">
        <is>
          <t>83 RESOLVED (APPROVE/REVISE) — 0 PENDING — 0 HOLD</t>
        </is>
      </c>
      <c r="C37" s="4" t="inlineStr">
        <is>
          <t>Author-ratified public wording; research codes untouched.</t>
        </is>
      </c>
    </row>
    <row r="38" ht="15.75" customHeight="1" s="29">
      <c r="A38" s="4" t="inlineStr">
        <is>
          <t>clarification_layer_enabled</t>
        </is>
      </c>
      <c r="B38" s="4" t="b">
        <v>1</v>
      </c>
      <c r="C38" s="4" t="inlineStr">
        <is>
          <t>Interpretive Clarification Layer (ICL) is available as a NOT COUNTED explanatory layer.</t>
        </is>
      </c>
    </row>
    <row r="39" ht="15.75" customHeight="1" s="29">
      <c r="A39" s="4" t="inlineStr">
        <is>
          <t>clarification_case_sheet</t>
        </is>
      </c>
      <c r="B39" s="4" t="inlineStr">
        <is>
          <t>Interpretive Clarifications</t>
        </is>
      </c>
      <c r="C39" s="4" t="inlineStr">
        <is>
          <t>One row per interpretive clarification case.</t>
        </is>
      </c>
    </row>
    <row r="40" ht="15.75" customHeight="1" s="29">
      <c r="A40" s="4" t="inlineStr">
        <is>
          <t>clarification_trigger_sheet</t>
        </is>
      </c>
      <c r="B40" s="4" t="inlineStr">
        <is>
          <t>Clarification Trigger Map</t>
        </is>
      </c>
      <c r="C40" s="4" t="inlineStr">
        <is>
          <t>Many-to-one trigger mappings; deterministic context rules first.</t>
        </is>
      </c>
    </row>
    <row r="41" ht="15.75" customHeight="1" s="29">
      <c r="A41" s="4" t="inlineStr">
        <is>
          <t>clarification_vocabulary_sheet</t>
        </is>
      </c>
      <c r="B41" s="4" t="inlineStr">
        <is>
          <t>Clarification Vocabulary</t>
        </is>
      </c>
      <c r="C41" s="4" t="inlineStr">
        <is>
          <t>Authoritative case/hazard/trigger/review vocabulary.</t>
        </is>
      </c>
    </row>
    <row r="42" ht="15.75" customHeight="1" s="29">
      <c r="A42" s="4" t="inlineStr">
        <is>
          <t>clarification_source_sheet</t>
        </is>
      </c>
      <c r="B42" s="4" t="inlineStr">
        <is>
          <t>Clarification Sources</t>
        </is>
      </c>
      <c r="C42" s="4" t="inlineStr">
        <is>
          <t>Case-specific content-addressable source records.</t>
        </is>
      </c>
    </row>
    <row r="43" ht="15.75" customHeight="1" s="29">
      <c r="A43" s="4" t="inlineStr">
        <is>
          <t>clarification_counted</t>
        </is>
      </c>
      <c r="B43" s="4" t="b">
        <v>0</v>
      </c>
      <c r="C43" s="4" t="inlineStr">
        <is>
          <t>ICL cases never alter the 57, 26, 83, or branch denominators.</t>
        </is>
      </c>
    </row>
    <row r="44" ht="15.75" customHeight="1" s="29">
      <c r="A44" s="4" t="inlineStr">
        <is>
          <t>clarification_default_behavior</t>
        </is>
      </c>
      <c r="B44" s="4" t="inlineStr">
        <is>
          <t>AUTO_CUE_MANUAL_EXPANSION</t>
        </is>
      </c>
      <c r="C44" s="4" t="inlineStr">
        <is>
          <t>Automatic invitation only; full case opens on user action.</t>
        </is>
      </c>
    </row>
    <row r="45" ht="15.75" customHeight="1" s="29">
      <c r="A45" s="4" t="inlineStr">
        <is>
          <t>clarification_auto_priority_threshold</t>
        </is>
      </c>
      <c r="B45" s="4" t="inlineStr">
        <is>
          <t>HIGH</t>
        </is>
      </c>
      <c r="C45" s="4" t="inlineStr">
        <is>
          <t>Only HIGH-priority cases may auto-cue.</t>
        </is>
      </c>
    </row>
    <row r="46" ht="15.75" customHeight="1" s="29">
      <c r="A46" s="4" t="inlineStr">
        <is>
          <t>clarification_max_auto_cues_per_view</t>
        </is>
      </c>
      <c r="B46" s="4" t="n">
        <v>1</v>
      </c>
      <c r="C46" s="4" t="inlineStr">
        <is>
          <t>Never stack multiple automatic clarification invitations on one view.</t>
        </is>
      </c>
    </row>
    <row r="47" ht="15.75" customHeight="1" s="29">
      <c r="A47" s="4" t="inlineStr">
        <is>
          <t>clarification_auto_requires_approved_case</t>
        </is>
      </c>
      <c r="B47" s="4" t="b">
        <v>1</v>
      </c>
      <c r="C47" s="4" t="inlineStr">
        <is>
          <t>AUTHOR_REVIEW/DRAFT/HOLD cases never auto-surface publicly.</t>
        </is>
      </c>
    </row>
    <row r="48" ht="15.75" customHeight="1" s="29">
      <c r="A48" s="4" t="inlineStr">
        <is>
          <t>clarification_tradition_alone_auto_trigger</t>
        </is>
      </c>
      <c r="B48" s="4" t="b">
        <v>0</v>
      </c>
      <c r="C48" s="4" t="inlineStr">
        <is>
          <t>Selecting a tradition alone is insufficient for an automatic cue.</t>
        </is>
      </c>
    </row>
    <row r="49" ht="15.75" customHeight="1" s="29">
      <c r="A49" s="4" t="inlineStr">
        <is>
          <t>clarification_manual_explorer_enabled</t>
        </is>
      </c>
      <c r="B49" s="4" t="b">
        <v>1</v>
      </c>
      <c r="C49" s="4" t="inlineStr">
        <is>
          <t>All approved cases remain discoverable through a Clarifications explorer/search.</t>
        </is>
      </c>
    </row>
    <row r="50" ht="15.75" customHeight="1" s="29">
      <c r="A50" s="4" t="inlineStr">
        <is>
          <t>clarification_assistant_authority_rule</t>
        </is>
      </c>
      <c r="B50" s="4" t="inlineStr">
        <is>
          <t>APPROVED_CASE preferred when matched</t>
        </is>
      </c>
      <c r="C50" s="4" t="inlineStr">
        <is>
          <t>Author-approved case supersedes ad hoc explanatory synthesis for its registered scope.</t>
        </is>
      </c>
    </row>
    <row r="51" ht="15.75" customHeight="1" s="29">
      <c r="A51" s="4" t="inlineStr">
        <is>
          <t>canonical_research_source</t>
        </is>
      </c>
      <c r="B51" s="4" t="inlineStr">
        <is>
          <t>WORKBOOK</t>
        </is>
      </c>
      <c r="C51" s="4" t="inlineStr">
        <is>
          <t>AUTH-ARCH-001 opt 2: workbook canonical; v1 static JSON only.</t>
        </is>
      </c>
    </row>
    <row r="52" ht="15.75" customHeight="1" s="29">
      <c r="A52" s="4" t="inlineStr">
        <is>
          <t>runtime_database_policy</t>
        </is>
      </c>
      <c r="B52" s="4" t="inlineStr">
        <is>
          <t>NONE_V1</t>
        </is>
      </c>
      <c r="C52" s="4" t="inlineStr">
        <is>
          <t>AUTH-ARCH-001: no runtime database in v1.</t>
        </is>
      </c>
    </row>
    <row r="53" ht="15.75" customHeight="1" s="29">
      <c r="A53" s="4" t="inlineStr">
        <is>
          <t>runtime_materialization</t>
        </is>
      </c>
      <c r="B53" s="4" t="inlineStr">
        <is>
          <t>BUILD-TIME DERIVED DATA</t>
        </is>
      </c>
      <c r="C53" s="4" t="inlineStr">
        <is>
          <t>Preferred deployment: workbook → validated JSON/static data or optional DB import.</t>
        </is>
      </c>
    </row>
    <row r="54" ht="15.75" customHeight="1" s="29">
      <c r="A54" s="4" t="inlineStr">
        <is>
          <t>database_required</t>
        </is>
      </c>
      <c r="B54" s="4" t="b">
        <v>0</v>
      </c>
      <c r="C54" s="4" t="inlineStr">
        <is>
          <t>Do not introduce a database merely because the research schema is relational.</t>
        </is>
      </c>
    </row>
    <row r="55" ht="15.75" customHeight="1" s="29">
      <c r="A55" s="4" t="inlineStr">
        <is>
          <t>database_adoption_trigger</t>
        </is>
      </c>
      <c r="B55" s="4" t="inlineStr">
        <is>
          <t>OPERATIONAL NEED ONLY</t>
        </is>
      </c>
      <c r="C55" s="4" t="inlineStr">
        <is>
          <t>Adopt persistent DB authority only for multi-author transactional editing, server-side personalization/state, or scale/performance needs not met by build-time data.</t>
        </is>
      </c>
    </row>
    <row r="56" ht="15.75" customHeight="1" s="29">
      <c r="A56" s="4" t="inlineStr">
        <is>
          <t>author_workflow_enabled</t>
        </is>
      </c>
      <c r="B56" s="4" t="b">
        <v>1</v>
      </c>
      <c r="C56" s="4" t="inlineStr">
        <is>
          <t>All author-required decisions must be inventoried in Author Decision Queue.</t>
        </is>
      </c>
    </row>
    <row r="57" ht="15.75" customHeight="1" s="29">
      <c r="A57" s="4" t="inlineStr">
        <is>
          <t>author_review_console</t>
        </is>
      </c>
      <c r="B57" s="4" t="inlineStr">
        <is>
          <t>AUTHOR REVIEW CONSOLE</t>
        </is>
      </c>
      <c r="C57" s="4" t="inlineStr">
        <is>
          <t>Formula-driven current-item view; one actionable decision at a time.</t>
        </is>
      </c>
    </row>
    <row r="58" ht="15.75" customHeight="1" s="29">
      <c r="A58" s="4" t="inlineStr">
        <is>
          <t>author_decision_queue</t>
        </is>
      </c>
      <c r="B58" s="4" t="inlineStr">
        <is>
          <t>Author Decision Queue</t>
        </is>
      </c>
      <c r="C58" s="4" t="inlineStr">
        <is>
          <t>Single response-input table with suggested options, custom responses, initials/date, and status.</t>
        </is>
      </c>
    </row>
    <row r="59" ht="15.75" customHeight="1" s="29">
      <c r="A59" s="4" t="inlineStr">
        <is>
          <t>author_gate_dashboard</t>
        </is>
      </c>
      <c r="B59" s="4" t="inlineStr">
        <is>
          <t>Author Gate Dashboard</t>
        </is>
      </c>
      <c r="C59" s="4" t="inlineStr">
        <is>
          <t>No dependent gate clears while required author items remain open or held.</t>
        </is>
      </c>
    </row>
    <row r="60" ht="15.75" customHeight="1" s="29">
      <c r="A60" s="4" t="inlineStr">
        <is>
          <t>author_current_item_rule</t>
        </is>
      </c>
      <c r="B60" s="4" t="inlineStr">
        <is>
          <t>FIRST READY ITEM NEEDING ATTENTION</t>
        </is>
      </c>
      <c r="C60" s="4" t="inlineStr">
        <is>
          <t>The console advances only after response requirements and author metadata are complete.</t>
        </is>
      </c>
    </row>
    <row r="61" ht="15.75" customHeight="1" s="29">
      <c r="A61" s="4" t="inlineStr">
        <is>
          <t>author_response_menu</t>
        </is>
      </c>
      <c r="B61" s="4" t="inlineStr">
        <is>
          <t>OPTION 1–4 | CUSTOM RESPONSE | HOLD | DEFER</t>
        </is>
      </c>
      <c r="C61" s="4" t="inlineStr">
        <is>
          <t>Custom-required options stay open until custom text is supplied.</t>
        </is>
      </c>
    </row>
    <row r="62" ht="15.75" customHeight="1" s="29">
      <c r="A62" s="4" t="inlineStr">
        <is>
          <t>author_future_gate_policy</t>
        </is>
      </c>
      <c r="B62" s="4" t="inlineStr">
        <is>
          <t>REGISTERED AS BLOCKED</t>
        </is>
      </c>
      <c r="C62" s="4" t="inlineStr">
        <is>
          <t>Future branch-map, external-validation, and final-publication decisions remain visible until prerequisites exist.</t>
        </is>
      </c>
    </row>
    <row r="63" ht="15.75" customHeight="1" s="29">
      <c r="A63" s="4" t="inlineStr">
        <is>
          <t>author_source_propagation</t>
        </is>
      </c>
      <c r="B63" s="4" t="inlineStr">
        <is>
          <t>CONTROLLED</t>
        </is>
      </c>
      <c r="C63" s="4" t="inlineStr">
        <is>
          <t>Row Ratification and Godhead author fields mirror the queue; comparator/semantic/code changes require controlled propagation.</t>
        </is>
      </c>
    </row>
    <row r="64" ht="15.75" customHeight="1" s="29">
      <c r="A64" s="4" t="inlineStr">
        <is>
          <t>author_gate_clearance_source</t>
        </is>
      </c>
      <c r="B64" s="4" t="inlineStr">
        <is>
          <t>Author Gate Dashboard</t>
        </is>
      </c>
      <c r="C64" s="4" t="inlineStr">
        <is>
          <t>Do not infer gate clearance from sheet browsing or partial review.</t>
        </is>
      </c>
    </row>
    <row r="65" ht="15.75" customHeight="1" s="29">
      <c r="A65" s="4" t="inlineStr">
        <is>
          <t>source_file_format</t>
        </is>
      </c>
      <c r="B65" s="4" t="inlineStr">
        <is>
          <t>XLSX</t>
        </is>
      </c>
      <c r="C65" s="4" t="inlineStr">
        <is>
          <t>Controlled source must not use macro-enabled .xlsm unless executable VBA is intentionally introduced and audited.</t>
        </is>
      </c>
    </row>
    <row r="66" ht="15.75" customHeight="1" s="29">
      <c r="A66" s="4" t="inlineStr">
        <is>
          <t>author_response_entry</t>
        </is>
      </c>
      <c r="B66" s="4" t="inlineStr">
        <is>
          <t>Author Response Entry</t>
        </is>
      </c>
      <c r="C66" s="4" t="inlineStr">
        <is>
          <t>Compact yellow input sheet used by the console; queue mirrors these values for audit and gate logic.</t>
        </is>
      </c>
    </row>
    <row r="67" ht="15.75" customHeight="1" s="29">
      <c r="A67" s="0" t="inlineStr">
        <is>
          <t>clarification_runtime_mode</t>
        </is>
      </c>
      <c r="B67" s="0" t="inlineStr">
        <is>
          <t>DETERMINISTIC_ONLY</t>
        </is>
      </c>
      <c r="C67" s="0" t="inlineStr">
        <is>
          <t>AUTH-ARCH-002: SEMANTIC/QUESTION_PATTERN triggers DEFERRED.</t>
        </is>
      </c>
    </row>
    <row r="68" ht="15.75" customHeight="1" s="29">
      <c r="A68" s="0" t="inlineStr">
        <is>
          <t>clarification_anchor_rule</t>
        </is>
      </c>
      <c r="B68" s="0" t="inlineStr">
        <is>
          <t>THREE_WAY (counted predicate | Godhead proposition | declared explorer category)</t>
        </is>
      </c>
      <c r="C68" s="0" t="inlineStr">
        <is>
          <t>AUTH-ARCH-003; Orientation must state explorer reaches beyond counted corpus.</t>
        </is>
      </c>
    </row>
    <row r="69" ht="15.75" customHeight="1" s="29">
      <c r="A69" s="0" t="inlineStr">
        <is>
          <t>clarification_hazards_in_orientation</t>
        </is>
      </c>
      <c r="B69" s="0" t="inlineStr">
        <is>
          <t>ALL_TEN_PLAIN_LANGUAGE</t>
        </is>
      </c>
      <c r="C69" s="0" t="inlineStr">
        <is>
          <t>AUTH-ARCH-004.</t>
        </is>
      </c>
    </row>
    <row r="70" ht="15.75" customHeight="1" s="29">
      <c r="A70" s="0" t="inlineStr">
        <is>
          <t>clarification_release_policy</t>
        </is>
      </c>
      <c r="B70" s="0" t="inlineStr">
        <is>
          <t>LENS_BALANCED_PAIR</t>
        </is>
      </c>
      <c r="C70" s="0" t="inlineStr">
        <is>
          <t>AUTH-ARCH-005: ICC-002 (2 Nephi 25:23) required before ICC-001 public release.</t>
        </is>
      </c>
    </row>
    <row r="71" ht="15.75" customHeight="1" s="29">
      <c r="A71" s="0" t="inlineStr">
        <is>
          <t>clarification_v1_case_cap</t>
        </is>
      </c>
      <c r="B71" s="0" t="inlineStr">
        <is>
          <t>6</t>
        </is>
      </c>
      <c r="C71" s="0" t="inlineStr">
        <is>
          <t>AUTH-ARCH-006.</t>
        </is>
      </c>
    </row>
    <row r="72" ht="15.75" customHeight="1" s="29">
      <c r="A72" s="0" t="inlineStr">
        <is>
          <t>clarification_intake_rule</t>
        </is>
      </c>
      <c r="B72" s="0" t="inlineStr">
        <is>
          <t>OBSERVED_MISUNDERSTANDING</t>
        </is>
      </c>
      <c r="C72" s="0" t="inlineStr">
        <is>
          <t>AUTH-ARCH-006.</t>
        </is>
      </c>
    </row>
    <row r="73" ht="15.75" customHeight="1" s="29">
      <c r="A73" s="0" t="inlineStr">
        <is>
          <t>h43_orthodox_status</t>
        </is>
      </c>
      <c r="B73" s="0" t="inlineStr">
        <is>
          <t>PENDING REVIEW (AUTH-ORTH-H43 opt 2)</t>
        </is>
      </c>
      <c r="C73" s="0" t="inlineStr">
        <is>
          <t>Add learner note on essence–energies complication.</t>
        </is>
      </c>
    </row>
    <row r="74" ht="15.75" customHeight="1" s="29">
      <c r="A74" s="0" t="inlineStr">
        <is>
          <t>godhead_context_status</t>
        </is>
      </c>
      <c r="B74" s="0" t="inlineStr">
        <is>
          <t>GOD-01–04 APPROVED AS WRITTEN</t>
        </is>
      </c>
      <c r="C74" s="0" t="inlineStr">
        <is>
          <t>AUTH-GOD-01..04.</t>
        </is>
      </c>
    </row>
    <row r="75" ht="15.75" customHeight="1" s="29">
      <c r="A75" s="0" t="inlineStr">
        <is>
          <t>clarification_cases_approved</t>
        </is>
      </c>
      <c r="B75" s="0" t="inlineStr">
        <is>
          <t>ICC-001; ICC-002</t>
        </is>
      </c>
      <c r="C75" s="0" t="inlineStr">
        <is>
          <t>Both APPROVED; paired release satisfies LENS_BALANCED_PAIR.</t>
        </is>
      </c>
    </row>
    <row r="76" ht="15.75" customHeight="1" s="29">
      <c r="A76" s="0" t="inlineStr">
        <is>
          <t>clarification_pending_fetch</t>
        </is>
      </c>
      <c r="B76" s="0" t="inlineStr">
        <is>
          <t>ICS-020</t>
        </is>
      </c>
      <c r="C76" s="0" t="inlineStr">
        <is>
          <t>Bible Dictionary phrase requires rendered fetch before VERIFIED.</t>
        </is>
      </c>
    </row>
    <row r="77" ht="15.75" customHeight="1" s="29">
      <c r="A77" s="0" t="inlineStr">
        <is>
          <t>four_clause_A</t>
        </is>
      </c>
      <c r="B77" s="0" t="inlineStr">
        <is>
          <t>Here we genuinely agree.</t>
        </is>
      </c>
      <c r="C77" s="0" t="inlineStr">
        <is>
          <t>predicates[].sentence for code A</t>
        </is>
      </c>
    </row>
    <row r="78" ht="15.75" customHeight="1" s="29">
      <c r="A78" s="0" t="inlineStr">
        <is>
          <t>four_clause_Q</t>
        </is>
      </c>
      <c r="B78" s="0" t="inlineStr">
        <is>
          <t>Here we share a concern but mean it differently.</t>
        </is>
      </c>
      <c r="C78" s="0" t="inlineStr">
        <is>
          <t>predicates[].sentence for code Q</t>
        </is>
      </c>
    </row>
    <row r="79" ht="15.75" customHeight="1" s="29">
      <c r="A79" s="0" t="inlineStr">
        <is>
          <t>four_clause_D</t>
        </is>
      </c>
      <c r="B79" s="0" t="inlineStr">
        <is>
          <t>Here we directly disagree.</t>
        </is>
      </c>
      <c r="C79" s="0" t="inlineStr">
        <is>
          <t>predicates[].sentence for code D</t>
        </is>
      </c>
    </row>
    <row r="80" ht="15.75" customHeight="1" s="29">
      <c r="A80" s="0" t="inlineStr">
        <is>
          <t>four_clause_ADDITION</t>
        </is>
      </c>
      <c r="B80" s="0" t="inlineStr">
        <is>
          <t>Here one tradition makes an additional claim.</t>
        </is>
      </c>
      <c r="C80" s="0" t="inlineStr">
        <is>
          <t>predicates[].sentence for Restoration additions</t>
        </is>
      </c>
    </row>
    <row r="81" ht="15.75" customHeight="1" s="29">
      <c r="A81" s="0" t="inlineStr">
        <is>
          <t>four_clause_rule</t>
        </is>
      </c>
      <c r="B81" s="0" t="inlineStr">
        <is>
          <t>Sentence is selected by code; the card composition (predicate | historical witness | Restoration witness | caution) is a layout, not the sentence.</t>
        </is>
      </c>
      <c r="C81" s="0" t="inlineStr">
        <is>
          <t>Gate-0 brief §4; paper §16</t>
        </is>
      </c>
    </row>
    <row r="82" ht="15.75" customHeight="1" s="29">
      <c r="A82" s="0" t="inlineStr">
        <is>
          <t>sensitivity_ranges_sheet</t>
        </is>
      </c>
      <c r="B82" s="0" t="inlineStr">
        <is>
          <t>Sensitivity Ranges</t>
        </is>
      </c>
      <c r="C82" s="0" t="inlineStr">
        <is>
          <t>ranges.json must be emitted from this sheet; blank Low/High → count + percent only</t>
        </is>
      </c>
    </row>
    <row r="83" ht="15.75" customHeight="1" s="29">
      <c r="A83" s="0" t="inlineStr">
        <is>
          <t>phrase_overrides_status</t>
        </is>
      </c>
      <c r="B83" s="0" t="inlineStr">
        <is>
          <t>RATIFIED AND INCORPORATED (Q-033, Q-173, Q-174)</t>
        </is>
      </c>
      <c r="C83" s="0" t="inlineStr">
        <is>
          <t>Pipeline may delete scripts/sjn-phrase-overrides.json</t>
        </is>
      </c>
    </row>
    <row r="84" ht="15.75" customHeight="1" s="29">
      <c r="A84" s="0" t="inlineStr">
        <is>
          <t>q290_phrase_targets</t>
        </is>
      </c>
      <c r="B84" s="0" t="inlineStr">
        <is>
          <t>IN WORKBOOK (Case Study Phrase Targets)</t>
        </is>
      </c>
      <c r="C84" s="0" t="inlineStr">
        <is>
          <t>Pipeline may delete SUPPLEMENT_TARGETS for Q-290</t>
        </is>
      </c>
    </row>
    <row r="85" ht="15.75" customHeight="1" s="29">
      <c r="A85" s="0" t="inlineStr">
        <is>
          <t>style_law_learner_fields</t>
        </is>
      </c>
      <c r="B85" s="0" t="inlineStr">
        <is>
          <t>APPLIED</t>
        </is>
      </c>
      <c r="C85" s="0" t="inlineStr">
        <is>
          <t>"LDS" replaced with "Latter-day Saint" in learner-surfacing text; column header "Current LDS code" retained for lineage and renamed at build</t>
        </is>
      </c>
    </row>
    <row r="86" ht="15.75" customHeight="1" s="29">
      <c r="A86" s="0" t="inlineStr">
        <is>
          <t>internal_stats_sheet</t>
        </is>
      </c>
      <c r="B86" s="0" t="inlineStr">
        <is>
          <t>Branch Study</t>
        </is>
      </c>
      <c r="C86" s="0" t="inlineStr">
        <is>
          <t>Author personal-study analytics. Pipeline may emit to data-sources/sjn/branches-internal.json (outside src/_data). Never templated.</t>
        </is>
      </c>
    </row>
    <row r="87" ht="15.75" customHeight="1" s="29">
      <c r="A87" s="0" t="inlineStr">
        <is>
          <t>internal_stats_public</t>
        </is>
      </c>
      <c r="B87" s="0" t="b">
        <v>0</v>
      </c>
      <c r="C87" s="0" t="inlineStr">
        <is>
          <t>BLOCKING: sjn-verify must assert that no per-branch count or percent string appears in production HTML.</t>
        </is>
      </c>
    </row>
    <row r="88" ht="15.75" customHeight="1" s="29">
      <c r="A88" s="0" t="inlineStr">
        <is>
          <t>branch_view_enabled</t>
        </is>
      </c>
      <c r="B88" s="0" t="b">
        <v>0</v>
      </c>
      <c r="C88" s="0" t="inlineStr">
        <is>
          <t>Gate 8 "My Tradition" single-branch view on M1. Stays False until author enables after eligibility rule is ratified.</t>
        </is>
      </c>
    </row>
    <row r="89" ht="15.75" customHeight="1" s="29">
      <c r="A89" s="0" t="inlineStr">
        <is>
          <t>branch_eligibility_min_released</t>
        </is>
      </c>
      <c r="B89" s="0" t="n">
        <v>30</v>
      </c>
      <c r="C89" s="0" t="inlineStr">
        <is>
          <t>DRAFT. Branch qualifies for the single-branch view when released cells &gt;= this value (Branch Study!B4 mirrors). Author decision pending.</t>
        </is>
      </c>
    </row>
    <row r="90" ht="15.75" customHeight="1" s="29">
      <c r="A90" s="0" t="inlineStr">
        <is>
          <t>branch_view_no_ranking</t>
        </is>
      </c>
      <c r="B90" s="0" t="b">
        <v>1</v>
      </c>
      <c r="C90" s="0" t="inlineStr">
        <is>
          <t>Tradition views render states and sources only; no totals, percentages, or side-by-side counts. Standing rule.</t>
        </is>
      </c>
    </row>
    <row r="91" ht="15.75" customHeight="1" s="29">
      <c r="A91" s="0" t="inlineStr">
        <is>
          <t>expansion_plan</t>
        </is>
      </c>
      <c r="B91" s="0" t="inlineStr">
        <is>
          <t>WoP_SJN_ExpansionPlan_Gates5-9_20260910.md</t>
        </is>
      </c>
      <c r="C91" s="0" t="inlineStr">
        <is>
          <t>Gates 5-9: Branch Source Registries -&gt; Evidence Recovery Agent Team -&gt; Author Cell Ratification (Decision Console) -&gt; My Tradition view -&gt; Compare / M7 decision.</t>
        </is>
      </c>
    </row>
    <row r="92" ht="15.75" customHeight="1" s="29">
      <c r="A92" s="42" t="inlineStr">
        <is>
          <t>branch_source_registry_sheet</t>
        </is>
      </c>
      <c r="B92" s="42" t="inlineStr">
        <is>
          <t>Branch Source Registry</t>
        </is>
      </c>
      <c r="C92" s="41" t="inlineStr">
        <is>
          <t>Gate 5. Author-ratified standards per branch; the only sources a cell may cite.</t>
        </is>
      </c>
    </row>
    <row r="93" ht="15.75" customHeight="1" s="29">
      <c r="A93" s="42" t="inlineStr">
        <is>
          <t>registry_only_enforcement</t>
        </is>
      </c>
      <c r="B93" s="42" t="b">
        <v>1</v>
      </c>
      <c r="C93" s="41" t="inlineStr">
        <is>
          <t>BLOCKING: sjn-verify rule R001 — a cell citation whose domain is not in its branch's AUTHOR_RATIFIED registry rows is an error.</t>
        </is>
      </c>
    </row>
    <row r="94" ht="15.75" customHeight="1" s="29">
      <c r="A94" s="42" t="inlineStr">
        <is>
          <t>registry_entries_ratified</t>
        </is>
      </c>
      <c r="B94" s="42" t="n">
        <v>45</v>
      </c>
      <c r="C94" s="41" t="inlineStr">
        <is>
          <t>Count of AUTHOR_RATIFIED registry rows (2 retired, 0 draft/held).</t>
        </is>
      </c>
    </row>
    <row r="95" ht="15.75" customHeight="1" s="29">
      <c r="A95" s="42" t="inlineStr">
        <is>
          <t>registry_breadth</t>
        </is>
      </c>
      <c r="B95" s="42" t="inlineStr">
        <is>
          <t>TWO_TIERS</t>
        </is>
      </c>
      <c r="C95" s="41" t="inlineStr">
        <is>
          <t>Author call. TWO_TIERS = binding confession(s) plus one catechetical or current official witness per branch.</t>
        </is>
      </c>
    </row>
    <row r="96" ht="15.75" customHeight="1" s="29">
      <c r="A96" s="42" t="inlineStr">
        <is>
          <t>decision_console_medium</t>
        </is>
      </c>
      <c r="B96" s="42" t="inlineStr">
        <is>
          <t>ARTIFACT_DB</t>
        </is>
      </c>
      <c r="C96" s="41" t="inlineStr">
        <is>
          <t>Author call. Where Gate 7 cell ratification happens and how decisions reach the merge script.</t>
        </is>
      </c>
    </row>
    <row r="97" ht="15.75" customHeight="1" s="29">
      <c r="A97" s="42" t="inlineStr">
        <is>
          <t>lineage_host_policy</t>
        </is>
      </c>
      <c r="B97" s="42" t="inlineStr">
        <is>
          <t>MIGRATE_WHERE_OFFICIAL</t>
        </is>
      </c>
      <c r="C97" s="41" t="inlineStr">
        <is>
          <t>Author call. Treatment of third-party hosts already cited by released cells.</t>
        </is>
      </c>
    </row>
    <row r="98" ht="15.75" customHeight="1" s="29">
      <c r="A98" s="42" t="inlineStr">
        <is>
          <t>fetch_mode_confirmation</t>
        </is>
      </c>
      <c r="B98" s="42" t="inlineStr">
        <is>
          <t>CONFIRM_AS_DRAFTED</t>
        </is>
      </c>
      <c r="C98" s="41" t="inlineStr">
        <is>
          <t>Author call. Fetch modes confirmed for the Gate 6 corpus builder.</t>
        </is>
      </c>
    </row>
    <row r="99" ht="15.75" customHeight="1" s="29">
      <c r="A99" s="42" t="inlineStr">
        <is>
          <t>registry_fallback_only_rows</t>
        </is>
      </c>
      <c r="B99" s="42" t="inlineStr">
        <is>
          <t>BSR-AN-05</t>
        </is>
      </c>
      <c r="C99" s="41" t="inlineStr">
        <is>
          <t>Author call. These registry rows are citable ONLY where no higher-tier row in the same branch yields a candidate for the predicate. The Gate 6 packet builder must prefer non-fallback candidates and admit a fallback row only on an empty result; a fallback citation never renders alongside or against a non-fallback witness for the same cell.</t>
        </is>
      </c>
    </row>
    <row r="100" ht="15.75" customHeight="1" s="29">
      <c r="A100" s="42" t="inlineStr">
        <is>
          <t>gate5_status</t>
        </is>
      </c>
      <c r="B100" s="42" t="inlineStr">
        <is>
          <t>AUTHOR RATIFIED 2026-09-13</t>
        </is>
      </c>
      <c r="C100" s="41" t="inlineStr">
        <is>
          <t>Branch Source Registries ratified in the Decision Console; Gate 6 may build the corpus from AUTHOR_RATIFIED rows only.</t>
        </is>
      </c>
    </row>
    <row r="101" ht="15.75" customHeight="1" s="29">
      <c r="A101" s="42" t="inlineStr">
        <is>
          <t>gate6_threshold_metric</t>
        </is>
      </c>
      <c r="B101" s="42" t="inlineStr">
        <is>
          <t>SAME_STANDARD</t>
        </is>
      </c>
      <c r="C101" s="41" t="inlineStr">
        <is>
          <t>Author call. The recall metric the Gate 6 gate is scored on. SAME_STANDARD = a hit requires a verified candidate in the same registry standard the cell cites. Tier-respecting recall is REPORTED as a diagnostic and is never a threshold. Do not move the 0.8 floor or the 0.05 false-accept ceiling.</t>
        </is>
      </c>
    </row>
    <row r="102" ht="15.75" customHeight="1" s="29">
      <c r="A102" s="42" t="inlineStr">
        <is>
          <t>lateran_iv_scope</t>
        </is>
      </c>
      <c r="B102" s="42" t="inlineStr">
        <is>
          <t>EXTEND_TO_CONSTITUTION_2</t>
        </is>
      </c>
      <c r="C102" s="41" t="inlineStr">
        <is>
          <t>Author call. EXTEND_TO_CONSTITUTION_2 widens BSR-RC-04 from canon 1 to constitutions 1-2, so the maior dissimilitudo clause of Damnamus ergo is in ratified scope and Q-449 is locatable.</t>
        </is>
      </c>
    </row>
    <row r="103" ht="15.75" customHeight="1" s="29">
      <c r="A103" s="42" t="inlineStr">
        <is>
          <t>creed_tier_resolution</t>
        </is>
      </c>
      <c r="B103" s="42" t="inlineStr">
        <is>
          <t>TIER_PER_CITED_DOCUMENT</t>
        </is>
      </c>
      <c r="C103" s="41" t="inlineStr">
        <is>
          <t>Author call. TIER_PER_CITED_DOCUMENT = a bundled registry row carries a floor tier, and a cell citing a document of higher provenance within that row resolves at the document's tier. Applies to BSR-RC-06 (Apostles' floor; Nicene and Athanasian CONCILIAR). BSR-EO-01 is the Creed alone and is re-tiered CONCILIAR outright.</t>
        </is>
      </c>
    </row>
    <row r="104" ht="15.75" customHeight="1" s="29">
      <c r="A104" s="42" t="inlineStr">
        <is>
          <t>verifier_routing</t>
        </is>
      </c>
      <c r="B104" s="42" t="inlineStr">
        <is>
          <t>SONNET_WITH_OPUS_SLICE</t>
        </is>
      </c>
      <c r="C104" s="41" t="inlineStr">
        <is>
          <t>Author call. SONNET_WITH_OPUS_SLICE = sonnet is the primary verifier; opus adjudicates the hard slice only - every candidate on BSR-EO-04 or BSR-EO-05, every candidate on a fallback-only row, and every cell sonnet rejects outright, before that cell is recorded as an honest empty.</t>
        </is>
      </c>
    </row>
    <row r="105" ht="15.75" customHeight="1" s="29">
      <c r="A105" s="42" t="inlineStr">
        <is>
          <t>authority_tier_rank</t>
        </is>
      </c>
      <c r="B105" s="42" t="inlineStr">
        <is>
          <t>CONCILIAR|CONFESSIONAL|CATECHETICAL|OFFICIAL_EXPOSITION|CURRENT_OFFICIAL_WITNESS</t>
        </is>
      </c>
      <c r="C105" s="41" t="inlineStr">
        <is>
          <t>Ratified 2026-09-11 in the Gate 7 corrections sitting.</t>
        </is>
      </c>
    </row>
    <row r="106" ht="15.75" customHeight="1" s="29">
      <c r="A106" s="42" t="inlineStr">
        <is>
          <t>gate7_status</t>
        </is>
      </c>
      <c r="B106" s="42" t="inlineStr">
        <is>
          <t>REGISTRY CORRECTIONS RATIFIED 2026-09-11</t>
        </is>
      </c>
      <c r="C106" s="41" t="inlineStr">
        <is>
          <t>Gate 7 registry corrections ratified in the Decision Console.</t>
        </is>
      </c>
    </row>
    <row r="107" ht="15.75" customHeight="1" s="29">
      <c r="A107" s="42" t="inlineStr">
        <is>
          <t>reception_axis</t>
        </is>
      </c>
      <c r="B107" s="42" t="inlineStr">
        <is>
          <t>ADOPT_BOTH</t>
        </is>
      </c>
      <c r="C107" s="41" t="inlineStr">
        <is>
          <t>Author call G7B-01. ADOPT_BOTH = the registry carries reception_scope on every row and reception_note where reception is contested. reception_scope answers WHO receives a standard; authority_tier answers WHAT KIND of document it is. The two are independent and disagree on seven rows.</t>
        </is>
      </c>
    </row>
    <row r="108" ht="15.75" customHeight="1" s="29">
      <c r="A108" s="42" t="inlineStr">
        <is>
          <t>reception_mapping</t>
        </is>
      </c>
      <c r="B108" s="42" t="inlineStr">
        <is>
          <t>APPROVE_DERIVED</t>
        </is>
      </c>
      <c r="C108" s="41" t="inlineStr">
        <is>
          <t>Author call G7B-02. APPROVE_DERIVED = reception_scope values derived mechanically from the ratified speaks_for field, with BSR-MA-03 hand-corrected to HISTORIC_NO_CURRENT_BODY.</t>
        </is>
      </c>
    </row>
    <row r="109" ht="15.75" customHeight="1" s="29">
      <c r="A109" s="42" t="inlineStr">
        <is>
          <t>encyclical_1848_status</t>
        </is>
      </c>
      <c r="B109" s="42" t="inlineStr">
        <is>
          <t>RECORD_STANDING_ONLY</t>
        </is>
      </c>
      <c r="C109" s="41" t="inlineStr">
        <is>
          <t>Author call AC-13. RECORD_STANDING_ONLY = the 1848 Encyclical of the Eastern Patriarchs is NOT a citable registry row: its text is on no official Orthodox host and every English version descends from one anonymous 19th-century translation. Its standing is attested by oca.org; the print critical edition is Karmiris, Ta Dogmatika kai Symvolika Mnimeia II (Athens 1953), 916. No cell may cite it.</t>
        </is>
      </c>
    </row>
    <row r="110" ht="15.75" customHeight="1" s="29">
      <c r="A110" s="42" t="inlineStr">
        <is>
          <t>dialogue_text_policy</t>
        </is>
      </c>
      <c r="B110" s="42" t="inlineStr">
        <is>
          <t>DIALOGUE_ONLY_NEVER_CITED</t>
        </is>
      </c>
      <c r="C110" s="41" t="inlineStr">
        <is>
          <t>Author call AC-14. DIALOGUE_ONLY_NEVER_CITED = a text its own publisher disclaims as not an official position may be registered for provenance but is refused by R001 as a cell citation. Applies across all eight branches. The publisher's disclaimer is copied verbatim into the row note, because it does not always appear on the document's own page.</t>
        </is>
      </c>
    </row>
    <row r="111" ht="15.75" customHeight="1" s="29">
      <c r="A111" s="42" t="inlineStr">
        <is>
          <t>reception_scope_vocabulary</t>
        </is>
      </c>
      <c r="B111" s="42" t="inlineStr">
        <is>
          <t>UNIVERSAL|MULTILATERAL|PARTICIPATING_BODIES|JURISDICTIONAL|HISTORIC_NO_CURRENT_BODY|CONTESTED|TRANSLATION_WITNESS|DIALOGUE_ONLY</t>
        </is>
      </c>
      <c r="C111" s="41" t="inlineStr">
        <is>
          <t>Gate 7 registry corrections ratified in the Decision Console.</t>
        </is>
      </c>
    </row>
    <row r="112" ht="15.75" customHeight="1" s="29">
      <c r="A112" s="42" t="inlineStr">
        <is>
          <t>gate7b_status</t>
        </is>
      </c>
      <c r="B112" s="42" t="inlineStr">
        <is>
          <t>RECEPTION AXIS RATIFIED 2026-09-12</t>
        </is>
      </c>
      <c r="C112" s="41" t="inlineStr">
        <is>
          <t>Gate 7 registry corrections ratified in the Decision Console.</t>
        </is>
      </c>
    </row>
    <row r="113" ht="15.75" customHeight="1" s="29">
      <c r="A113" s="42" t="inlineStr">
        <is>
          <t>controlled_storage_policy</t>
        </is>
      </c>
      <c r="B113" s="42" t="inlineStr">
        <is>
          <t>ADMIT_IF_LINKED_FROM_OFFICIAL_DOMAIN</t>
        </is>
      </c>
      <c r="C113" s="41" t="inlineStr">
        <is>
          <t>Author call AC-15, 2026-09-12. ADMIT_IF_LINKED_FROM_OFFICIAL_DOMAIN = a storage endpoint the publishing body controls, and links to from a page on its own domain, counts as that body publishing the file. R001 admits the storage domain for that row. The row's note MUST record the official page the file was reached from, prefixed 'LINKED FROM: ', so the chain from the body's own site to the file stays auditable. Applies registry-wide; the cases are hosted site builders and cloud storage accounts, not third-party republication.</t>
        </is>
      </c>
    </row>
    <row r="114" ht="15.75" customHeight="1" s="29">
      <c r="A114" s="42" t="inlineStr">
        <is>
          <t>gate6_open_cell_rule</t>
        </is>
      </c>
      <c r="B114" s="42" t="inlineStr">
        <is>
          <t>A queue cell is OPEN for Gate 6 when Rendered State (app-safe) begins 'NOT LOCATED' AND Historical Witness Retired is not TRUE. Every other cell is closed. This is a derivation from two existing columns, not a judgement.</t>
        </is>
      </c>
      <c r="C114" s="41" t="inlineStr">
        <is>
          <t>Gate 7 registry corrections ratified in the Decision Console.</t>
        </is>
      </c>
    </row>
    <row r="115" ht="15.75" customHeight="1" s="29">
      <c r="A115" s="42" t="inlineStr">
        <is>
          <t>gate6_closed_states</t>
        </is>
      </c>
      <c r="B115" s="42" t="inlineStr">
        <is>
          <t>OUT OF SCOPE|VECTOR PENDING|VECTOR COMPLETE|PENDING REVIEW|Historical Witness Retired = TRUE</t>
        </is>
      </c>
      <c r="C115" s="41" t="inlineStr">
        <is>
          <t>Gate 7 registry corrections ratified in the Decision Console.</t>
        </is>
      </c>
    </row>
    <row r="116" ht="15.75" customHeight="1" s="29">
      <c r="A116" s="42" t="inlineStr">
        <is>
          <t>gate6_open_cell_count</t>
        </is>
      </c>
      <c r="B116" s="42" t="n">
        <v>291</v>
      </c>
      <c r="C116" s="41" t="inlineStr">
        <is>
          <t>Gate 7 registry corrections ratified in the Decision Console.</t>
        </is>
      </c>
    </row>
    <row r="117" ht="15.75" customHeight="1" s="29">
      <c r="A117" s="42" t="inlineStr">
        <is>
          <t>gate6_closed_ratified</t>
        </is>
      </c>
      <c r="B117" s="42" t="inlineStr">
        <is>
          <t>Q-049, Q-050, Q-051, Q-052, Q-053, Q-054, Q-055, Q-249, Q-252, Q-338, Q-443, Q-444, Q-446 (atomic-vector and pending-review, families RNR-H07, RNR-H32, RNR-H43, RNR-H56); Q-056, Q-342, Q-344 (retired witness, no current source). Author-ratified closed for Gate 6 on 2026-09-13.</t>
        </is>
      </c>
      <c r="C117" s="41" t="inlineStr">
        <is>
          <t>Gate 7 registry corrections ratified in the Decision Console.</t>
        </is>
      </c>
    </row>
    <row r="118" ht="15.75" customHeight="1" s="29">
      <c r="A118" s="42" t="inlineStr">
        <is>
          <t>gate6_out_of_scope_cells</t>
        </is>
      </c>
      <c r="B118" s="42" t="inlineStr">
        <is>
          <t>Q-393 to Q-400 (family RNR-H50), disposition EXCLUDED FROM CURRENT BRANCH MAP</t>
        </is>
      </c>
      <c r="C118" s="41" t="inlineStr">
        <is>
          <t>Gate 7 registry corrections ratified in the Decision Console.</t>
        </is>
      </c>
    </row>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F1"/>
    <mergeCell ref="A2:F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ColWidth="12.63" defaultRowHeight="15" customHeight="1"/>
  <cols>
    <col width="28" customWidth="1" style="29" min="1" max="1"/>
    <col width="64" customWidth="1" style="29" min="2" max="3"/>
    <col width="16" customWidth="1" style="29" min="4" max="4"/>
    <col width="24" customWidth="1" style="29" min="5" max="5"/>
    <col width="8.630000000000001" customWidth="1" style="29" min="6" max="26"/>
  </cols>
  <sheetData>
    <row r="1">
      <c r="A1" s="1" t="inlineStr">
        <is>
          <t>Build Metadata &amp; Lineage</t>
        </is>
      </c>
    </row>
    <row r="3">
      <c r="A3" s="5" t="inlineStr">
        <is>
          <t>Artifact</t>
        </is>
      </c>
      <c r="B3" s="5" t="inlineStr">
        <is>
          <t>Version / date</t>
        </is>
      </c>
      <c r="C3" s="5" t="inlineStr">
        <is>
          <t>SHA-256</t>
        </is>
      </c>
      <c r="D3" s="5" t="inlineStr">
        <is>
          <t>Role</t>
        </is>
      </c>
      <c r="E3" s="5" t="inlineStr">
        <is>
          <t>Status</t>
        </is>
      </c>
    </row>
    <row r="4">
      <c r="A4" s="4" t="inlineStr">
        <is>
          <t>Controlled base workbook</t>
        </is>
      </c>
      <c r="B4" s="4" t="inlineStr">
        <is>
          <t>v2.7 / 2026-09-07</t>
        </is>
      </c>
      <c r="C4" s="4" t="inlineStr">
        <is>
          <t>7bf605bfddb8841a253023d688194abdbef104aa13fe26498a82b135810c9f6e</t>
        </is>
      </c>
      <c r="D4" s="4" t="inlineStr">
        <is>
          <t>Full 456-row queue + teaching source layers</t>
        </is>
      </c>
      <c r="E4" s="4" t="inlineStr">
        <is>
          <t>CONTROLLED INPUT</t>
        </is>
      </c>
    </row>
    <row r="5">
      <c r="A5" s="4" t="inlineStr">
        <is>
          <t>Reconciliation delta</t>
        </is>
      </c>
      <c r="B5" s="4" t="inlineStr">
        <is>
          <t>v2.8 / 2026-09-07</t>
        </is>
      </c>
      <c r="C5" s="4" t="inlineStr">
        <is>
          <t>86383f047fc84ad580a90446a89ad5db05b06165396df7ce259bc1e96f796a6e</t>
        </is>
      </c>
      <c r="D5" s="4" t="inlineStr">
        <is>
          <t>Pass-2 H37/H39/H45 source/reconciliation updates</t>
        </is>
      </c>
      <c r="E5" s="4" t="inlineStr">
        <is>
          <t>CONTROLLED INPUT</t>
        </is>
      </c>
    </row>
    <row r="6">
      <c r="A6" s="4" t="inlineStr">
        <is>
          <t>Defective merged workbook</t>
        </is>
      </c>
      <c r="B6" s="4" t="inlineStr">
        <is>
          <t>v2.8 merge / retired</t>
        </is>
      </c>
      <c r="C6" s="4" t="inlineStr">
        <is>
          <t>25b9af32d16636d4461da82108b9d585258930eaa1758264fcf723905eba46fb</t>
        </is>
      </c>
      <c r="D6" s="4" t="inlineStr">
        <is>
          <t>Audit-only negative control</t>
        </is>
      </c>
      <c r="E6" s="4" t="inlineStr">
        <is>
          <t>RETIRED — DO NOT USE</t>
        </is>
      </c>
    </row>
    <row r="7">
      <c r="A7" s="4" t="inlineStr">
        <is>
          <t>Canonical hardened app data</t>
        </is>
      </c>
      <c r="B7" s="4" t="inlineStr">
        <is>
          <t>v2.14 / 2026-09-08</t>
        </is>
      </c>
      <c r="C7" s="4" t="inlineStr">
        <is>
          <t>de32c6bfa2cd5cde8bd705eed11f8c209a0ff30f68d22f1ac7479bb439b04207</t>
        </is>
      </c>
      <c r="D7" s="4" t="inlineStr">
        <is>
          <t>Queue + citations + states + inferences + cases</t>
        </is>
      </c>
      <c r="E7" s="4" t="inlineStr">
        <is>
          <t>CANONICAL DATA HASH</t>
        </is>
      </c>
    </row>
    <row r="8">
      <c r="A8" s="4" t="inlineStr">
        <is>
          <t>Final XLSX file</t>
        </is>
      </c>
      <c r="B8" s="4" t="inlineStr">
        <is>
          <t>v2.14 / 2026-09-08</t>
        </is>
      </c>
      <c r="C8" s="4" t="inlineStr">
        <is>
          <t>See adjacent .sha256.txt</t>
        </is>
      </c>
      <c r="D8" s="4" t="inlineStr">
        <is>
          <t>Distributed workbook bytes</t>
        </is>
      </c>
      <c r="E8" s="4" t="inlineStr">
        <is>
          <t>POST-EXPORT HASH</t>
        </is>
      </c>
    </row>
    <row r="9">
      <c r="A9" s="4" t="inlineStr">
        <is>
          <t>External semantic validation</t>
        </is>
      </c>
      <c r="B9" s="4" t="inlineStr">
        <is>
          <t>Session 20C</t>
        </is>
      </c>
      <c r="C9" s="4" t="inlineStr">
        <is>
          <t>PENDING</t>
        </is>
      </c>
      <c r="D9" s="4" t="inlineStr">
        <is>
          <t>Independent coder reliability</t>
        </is>
      </c>
      <c r="E9" s="4" t="inlineStr">
        <is>
          <t>NOT COMPLETE</t>
        </is>
      </c>
    </row>
    <row r="10">
      <c r="A10" s="4" t="inlineStr">
        <is>
          <t>Author row ratification</t>
        </is>
      </c>
      <c r="B10" s="4" t="inlineStr">
        <is>
          <t>83 rows</t>
        </is>
      </c>
      <c r="C10" s="4" t="inlineStr">
        <is>
          <t>PENDING</t>
        </is>
      </c>
      <c r="D10" s="4" t="inlineStr">
        <is>
          <t>Public explanatory wording gate</t>
        </is>
      </c>
      <c r="E10" s="4" t="inlineStr">
        <is>
          <t>AUTHOR OWNED</t>
        </is>
      </c>
    </row>
    <row r="12">
      <c r="A12" s="5" t="inlineStr">
        <is>
          <t>Canonical data/governance hash recipe</t>
        </is>
      </c>
      <c r="B12" s="5" t="inlineStr">
        <is>
          <t>Sheets / columns</t>
        </is>
      </c>
      <c r="C12" s="5" t="inlineStr">
        <is>
          <t>Serialization</t>
        </is>
      </c>
      <c r="D12" s="5" t="inlineStr">
        <is>
          <t>Encoding</t>
        </is>
      </c>
      <c r="E12" s="5" t="inlineStr">
        <is>
          <t>Status</t>
        </is>
      </c>
      <c r="F12" s="5" t="inlineStr">
        <is>
          <t>Notes</t>
        </is>
      </c>
    </row>
    <row r="13">
      <c r="A13" s="4" t="inlineStr">
        <is>
          <t>App config</t>
        </is>
      </c>
      <c r="B13" s="4" t="inlineStr">
        <is>
          <t>APP CONFIG A:C rows 5:66</t>
        </is>
      </c>
      <c r="C13" s="4" t="inlineStr">
        <is>
          <t>JSON array-of-arrays</t>
        </is>
      </c>
      <c r="D13" s="4" t="inlineStr">
        <is>
          <t>UTF-8</t>
        </is>
      </c>
      <c r="E13" s="4" t="inlineStr">
        <is>
          <t>INCLUDED</t>
        </is>
      </c>
      <c r="F13" s="4" t="inlineStr">
        <is>
          <t>Includes author workflow/file-format policy.</t>
        </is>
      </c>
    </row>
    <row r="14">
      <c r="A14" s="4" t="inlineStr">
        <is>
          <t>Core queue</t>
        </is>
      </c>
      <c r="B14" s="4" t="inlineStr">
        <is>
          <t>Evidence-First Cell Queue A:AA rows 6:461</t>
        </is>
      </c>
      <c r="C14" s="4" t="inlineStr">
        <is>
          <t>JSON array-of-arrays</t>
        </is>
      </c>
      <c r="D14" s="4" t="inlineStr">
        <is>
          <t>UTF-8</t>
        </is>
      </c>
      <c r="E14" s="4" t="inlineStr">
        <is>
          <t>INCLUDED</t>
        </is>
      </c>
      <c r="F14" s="4" t="inlineStr">
        <is>
          <t>Queue ID order.</t>
        </is>
      </c>
    </row>
    <row r="15">
      <c r="A15" s="4" t="inlineStr">
        <is>
          <t>Citations</t>
        </is>
      </c>
      <c r="B15" s="4" t="inlineStr">
        <is>
          <t>Inherited Public Citations A:AC rows 2:58</t>
        </is>
      </c>
      <c r="C15" s="4" t="inlineStr">
        <is>
          <t>JSON array-of-arrays</t>
        </is>
      </c>
      <c r="D15" s="4" t="inlineStr">
        <is>
          <t>UTF-8</t>
        </is>
      </c>
      <c r="E15" s="4" t="inlineStr">
        <is>
          <t>INCLUDED</t>
        </is>
      </c>
      <c r="F15" s="4" t="inlineStr">
        <is>
          <t>Predicate ID order.</t>
        </is>
      </c>
    </row>
    <row r="16">
      <c r="A16" s="4" t="inlineStr">
        <is>
          <t>Historical phrase targets</t>
        </is>
      </c>
      <c r="B16" s="4" t="inlineStr">
        <is>
          <t>Citation Phrase Targets A:M rows 2:58</t>
        </is>
      </c>
      <c r="C16" s="4" t="inlineStr">
        <is>
          <t>JSON array-of-arrays</t>
        </is>
      </c>
      <c r="D16" s="4" t="inlineStr">
        <is>
          <t>UTF-8</t>
        </is>
      </c>
      <c r="E16" s="4" t="inlineStr">
        <is>
          <t>INCLUDED</t>
        </is>
      </c>
      <c r="F16" s="4" t="n"/>
    </row>
    <row r="17">
      <c r="A17" s="4" t="inlineStr">
        <is>
          <t>Restoration phrase targets</t>
        </is>
      </c>
      <c r="B17" s="4" t="inlineStr">
        <is>
          <t>Restoration Phrase Targets A:N rows 2:64</t>
        </is>
      </c>
      <c r="C17" s="4" t="inlineStr">
        <is>
          <t>JSON array-of-arrays</t>
        </is>
      </c>
      <c r="D17" s="4" t="inlineStr">
        <is>
          <t>UTF-8</t>
        </is>
      </c>
      <c r="E17" s="4" t="inlineStr">
        <is>
          <t>INCLUDED</t>
        </is>
      </c>
      <c r="F17" s="4" t="n"/>
    </row>
    <row r="18">
      <c r="A18" s="6" t="inlineStr">
        <is>
          <t>Case-study phrase targets</t>
        </is>
      </c>
      <c r="B18" s="6" t="inlineStr">
        <is>
          <t>Case Study Phrase Targets A:P rows 2:25</t>
        </is>
      </c>
      <c r="C18" s="6" t="inlineStr">
        <is>
          <t>JSON array-of-arrays</t>
        </is>
      </c>
      <c r="D18" s="6" t="inlineStr">
        <is>
          <t>UTF-8</t>
        </is>
      </c>
      <c r="E18" s="6" t="inlineStr">
        <is>
          <t>INCLUDED</t>
        </is>
      </c>
      <c r="F18" s="4" t="inlineStr">
        <is>
          <t>Queue ID order.</t>
        </is>
      </c>
    </row>
    <row r="19">
      <c r="A19" s="4" t="inlineStr">
        <is>
          <t>Vector captions</t>
        </is>
      </c>
      <c r="B19" s="4" t="inlineStr">
        <is>
          <t>Vector Family Captions A:H rows 2:4</t>
        </is>
      </c>
      <c r="C19" s="4" t="inlineStr">
        <is>
          <t>JSON array-of-arrays</t>
        </is>
      </c>
      <c r="D19" s="4" t="inlineStr">
        <is>
          <t>UTF-8</t>
        </is>
      </c>
      <c r="E19" s="4" t="inlineStr">
        <is>
          <t>INCLUDED</t>
        </is>
      </c>
      <c r="F19" s="4" t="n"/>
    </row>
    <row r="20">
      <c r="A20" s="4" t="inlineStr">
        <is>
          <t>Inference values</t>
        </is>
      </c>
      <c r="B20" s="4" t="inlineStr">
        <is>
          <t>Inference Support A:R rows 5:17</t>
        </is>
      </c>
      <c r="C20" s="4" t="inlineStr">
        <is>
          <t>JSON array-of-arrays</t>
        </is>
      </c>
      <c r="D20" s="4" t="inlineStr">
        <is>
          <t>UTF-8</t>
        </is>
      </c>
      <c r="E20" s="4" t="inlineStr">
        <is>
          <t>INCLUDED</t>
        </is>
      </c>
      <c r="F20" s="4" t="n"/>
    </row>
    <row r="21" ht="15.75" customHeight="1" s="29">
      <c r="A21" s="6" t="inlineStr">
        <is>
          <t>Inference formulas</t>
        </is>
      </c>
      <c r="B21" s="6" t="inlineStr">
        <is>
          <t>Inference Support E:G rows 5:17</t>
        </is>
      </c>
      <c r="C21" s="6" t="inlineStr">
        <is>
          <t>[address,formula] sorted by address</t>
        </is>
      </c>
      <c r="D21" s="6" t="inlineStr">
        <is>
          <t>UTF-8</t>
        </is>
      </c>
      <c r="E21" s="6" t="inlineStr">
        <is>
          <t>INCLUDED</t>
        </is>
      </c>
      <c r="F21" s="4" t="n"/>
    </row>
    <row r="22" ht="15.75" customHeight="1" s="29">
      <c r="A22" s="4" t="inlineStr">
        <is>
          <t>Matrix case studies</t>
        </is>
      </c>
      <c r="B22" s="4" t="inlineStr">
        <is>
          <t>Matrix Case Studies A:N rows 2:4</t>
        </is>
      </c>
      <c r="C22" s="4" t="inlineStr">
        <is>
          <t>JSON array-of-arrays</t>
        </is>
      </c>
      <c r="D22" s="4" t="inlineStr">
        <is>
          <t>UTF-8</t>
        </is>
      </c>
      <c r="E22" s="4" t="inlineStr">
        <is>
          <t>INCLUDED</t>
        </is>
      </c>
      <c r="F22" s="4" t="n"/>
    </row>
    <row r="23" ht="15.75" customHeight="1" s="29">
      <c r="A23" s="6" t="inlineStr">
        <is>
          <t>State vocabulary</t>
        </is>
      </c>
      <c r="B23" s="6" t="inlineStr">
        <is>
          <t>State Vocabulary A:E rows 3:26</t>
        </is>
      </c>
      <c r="C23" s="6" t="inlineStr">
        <is>
          <t>JSON array-of-arrays</t>
        </is>
      </c>
      <c r="D23" s="6" t="inlineStr">
        <is>
          <t>UTF-8</t>
        </is>
      </c>
      <c r="E23" s="6" t="inlineStr">
        <is>
          <t>INCLUDED</t>
        </is>
      </c>
      <c r="F23" s="4" t="n"/>
    </row>
    <row r="24" ht="15.75" customHeight="1" s="29">
      <c r="A24" s="6" t="inlineStr">
        <is>
          <t>Pipeline spec</t>
        </is>
      </c>
      <c r="B24" s="6" t="inlineStr">
        <is>
          <t>Pipeline Validation Spec A:H rows 1:32</t>
        </is>
      </c>
      <c r="C24" s="6" t="inlineStr">
        <is>
          <t>JSON array-of-arrays</t>
        </is>
      </c>
      <c r="D24" s="6" t="inlineStr">
        <is>
          <t>UTF-8</t>
        </is>
      </c>
      <c r="E24" s="6" t="inlineStr">
        <is>
          <t>INCLUDED</t>
        </is>
      </c>
      <c r="F24" s="4" t="inlineStr">
        <is>
          <t>P001–P031.</t>
        </is>
      </c>
    </row>
    <row r="25" ht="15.75" customHeight="1" s="29">
      <c r="A25" s="4" t="inlineStr">
        <is>
          <t>Interpretive Clarifications</t>
        </is>
      </c>
      <c r="B25" s="4" t="inlineStr">
        <is>
          <t>Interpretive Clarifications A:AE rows 2:2</t>
        </is>
      </c>
      <c r="C25" s="4" t="inlineStr">
        <is>
          <t>JSON array-of-arrays</t>
        </is>
      </c>
      <c r="D25" s="4" t="inlineStr">
        <is>
          <t>UTF-8</t>
        </is>
      </c>
      <c r="E25" s="4" t="inlineStr">
        <is>
          <t>INCLUDED</t>
        </is>
      </c>
      <c r="F25" s="4" t="inlineStr">
        <is>
          <t>Includes workflow-linked author fields.</t>
        </is>
      </c>
    </row>
    <row r="26" ht="15.75" customHeight="1" s="29">
      <c r="A26" s="6" t="inlineStr">
        <is>
          <t>Clarification Trigger Map</t>
        </is>
      </c>
      <c r="B26" s="6" t="inlineStr">
        <is>
          <t>Clarification Trigger Map A:M rows 2:19</t>
        </is>
      </c>
      <c r="C26" s="6" t="inlineStr">
        <is>
          <t>JSON array-of-arrays</t>
        </is>
      </c>
      <c r="D26" s="6" t="inlineStr">
        <is>
          <t>UTF-8</t>
        </is>
      </c>
      <c r="E26" s="6" t="inlineStr">
        <is>
          <t>INCLUDED</t>
        </is>
      </c>
      <c r="F26" s="4" t="n"/>
    </row>
    <row r="27" ht="15.75" customHeight="1" s="29">
      <c r="A27" s="4" t="inlineStr">
        <is>
          <t>Clarification Vocabulary</t>
        </is>
      </c>
      <c r="B27" s="4" t="inlineStr">
        <is>
          <t>Clarification Vocabulary A:D rows 2:43</t>
        </is>
      </c>
      <c r="C27" s="4" t="inlineStr">
        <is>
          <t>JSON array-of-arrays</t>
        </is>
      </c>
      <c r="D27" s="4" t="inlineStr">
        <is>
          <t>UTF-8</t>
        </is>
      </c>
      <c r="E27" s="4" t="inlineStr">
        <is>
          <t>INCLUDED</t>
        </is>
      </c>
      <c r="F27" s="4" t="n"/>
    </row>
    <row r="28" ht="15.75" customHeight="1" s="29">
      <c r="A28" s="4" t="inlineStr">
        <is>
          <t>Clarification Sources</t>
        </is>
      </c>
      <c r="B28" s="4" t="inlineStr">
        <is>
          <t>Clarification Sources A:R rows 2:11</t>
        </is>
      </c>
      <c r="C28" s="4" t="inlineStr">
        <is>
          <t>JSON array-of-arrays</t>
        </is>
      </c>
      <c r="D28" s="4" t="inlineStr">
        <is>
          <t>UTF-8</t>
        </is>
      </c>
      <c r="E28" s="4" t="inlineStr">
        <is>
          <t>INCLUDED</t>
        </is>
      </c>
      <c r="F28" s="4" t="n"/>
    </row>
    <row r="29" ht="15.75" customHeight="1" s="29">
      <c r="A29" s="6" t="inlineStr">
        <is>
          <t>Author Decision Queue values</t>
        </is>
      </c>
      <c r="B29" s="6" t="inlineStr">
        <is>
          <t>Author Decision Queue A:AH rows 2:105</t>
        </is>
      </c>
      <c r="C29" s="6" t="inlineStr">
        <is>
          <t>JSON array-of-arrays</t>
        </is>
      </c>
      <c r="D29" s="6" t="inlineStr">
        <is>
          <t>UTF-8</t>
        </is>
      </c>
      <c r="E29" s="6" t="inlineStr">
        <is>
          <t>INCLUDED</t>
        </is>
      </c>
      <c r="F29" s="4" t="inlineStr">
        <is>
          <t>104 tracked decisions.</t>
        </is>
      </c>
    </row>
    <row r="30" ht="15.75" customHeight="1" s="29">
      <c r="A30" s="4" t="inlineStr">
        <is>
          <t>Author Decision Queue formulas</t>
        </is>
      </c>
      <c r="B30" s="4" t="inlineStr">
        <is>
          <t>Author Decision Queue T:AH rows 2:105</t>
        </is>
      </c>
      <c r="C30" s="4" t="inlineStr">
        <is>
          <t>[address,formula] sorted by address</t>
        </is>
      </c>
      <c r="D30" s="4" t="inlineStr">
        <is>
          <t>UTF-8</t>
        </is>
      </c>
      <c r="E30" s="4" t="inlineStr">
        <is>
          <t>INCLUDED</t>
        </is>
      </c>
      <c r="F30" s="4" t="inlineStr">
        <is>
          <t>Response mirroring/status/current-item logic.</t>
        </is>
      </c>
    </row>
    <row r="31" ht="15.75" customHeight="1" s="29">
      <c r="A31" s="5" t="inlineStr">
        <is>
          <t>Author Response Entry values</t>
        </is>
      </c>
      <c r="B31" s="5" t="inlineStr">
        <is>
          <t>Author Response Entry A:K rows 2:105</t>
        </is>
      </c>
      <c r="C31" s="5" t="inlineStr">
        <is>
          <t>JSON array-of-arrays</t>
        </is>
      </c>
      <c r="D31" s="5" t="inlineStr">
        <is>
          <t>UTF-8</t>
        </is>
      </c>
      <c r="E31" s="5" t="inlineStr">
        <is>
          <t>INCLUDED</t>
        </is>
      </c>
      <c r="F31" s="5" t="inlineStr">
        <is>
          <t>Human input surface.</t>
        </is>
      </c>
    </row>
    <row r="32" ht="15.75" customHeight="1" s="29">
      <c r="A32" s="4" t="inlineStr">
        <is>
          <t>Author Response Entry formulas</t>
        </is>
      </c>
      <c r="B32" s="4" t="inlineStr">
        <is>
          <t>Author Response Entry C:K rows 2:105</t>
        </is>
      </c>
      <c r="C32" s="4" t="inlineStr">
        <is>
          <t>[address,formula] sorted by address</t>
        </is>
      </c>
      <c r="D32" s="4" t="inlineStr">
        <is>
          <t>UTF-8</t>
        </is>
      </c>
      <c r="E32" s="4" t="inlineStr">
        <is>
          <t>INCLUDED</t>
        </is>
      </c>
      <c r="F32" s="4" t="n"/>
    </row>
    <row r="33" ht="15.75" customHeight="1" s="29">
      <c r="A33" s="4" t="inlineStr">
        <is>
          <t>Author Gate Dashboard values</t>
        </is>
      </c>
      <c r="B33" s="4" t="inlineStr">
        <is>
          <t>Author Gate Dashboard A:K rows 5:14</t>
        </is>
      </c>
      <c r="C33" s="4" t="inlineStr">
        <is>
          <t>JSON array-of-arrays</t>
        </is>
      </c>
      <c r="D33" s="4" t="inlineStr">
        <is>
          <t>UTF-8</t>
        </is>
      </c>
      <c r="E33" s="4" t="inlineStr">
        <is>
          <t>INCLUDED</t>
        </is>
      </c>
      <c r="F33" s="4" t="inlineStr">
        <is>
          <t>G1–G9.</t>
        </is>
      </c>
    </row>
    <row r="34" ht="15.75" customHeight="1" s="29">
      <c r="A34" s="5" t="inlineStr">
        <is>
          <t>Author Gate Dashboard formulas</t>
        </is>
      </c>
      <c r="B34" s="5" t="inlineStr">
        <is>
          <t>Author Gate Dashboard C:J rows 6:14</t>
        </is>
      </c>
      <c r="C34" s="5" t="inlineStr">
        <is>
          <t>[address,formula] sorted by address</t>
        </is>
      </c>
      <c r="D34" s="5" t="inlineStr">
        <is>
          <t>UTF-8</t>
        </is>
      </c>
      <c r="E34" s="5" t="inlineStr">
        <is>
          <t>INCLUDED</t>
        </is>
      </c>
      <c r="F34" s="4" t="inlineStr">
        <is>
          <t>Gate-clearance logic.</t>
        </is>
      </c>
    </row>
    <row r="35" ht="15.75" customHeight="1" s="29">
      <c r="A35" s="4" t="inlineStr">
        <is>
          <t>Canonical object</t>
        </is>
      </c>
      <c r="B35" s="4" t="inlineStr">
        <is>
          <t>Keys sorted lexicographically; separators=(',',':'); ensure_ascii=false; SHA-256 exact UTF-8 bytes</t>
        </is>
      </c>
      <c r="C35" s="4" t="inlineStr">
        <is>
          <t>See rows 13–34</t>
        </is>
      </c>
      <c r="D35" s="4" t="inlineStr">
        <is>
          <t>UTF-8</t>
        </is>
      </c>
      <c r="E35" s="4" t="inlineStr">
        <is>
          <t>de32c6bfa2cd5cde8bd705eed11f8c209a0ff30f68d22f1ac7479bb439b04207</t>
        </is>
      </c>
      <c r="F35" s="4" t="inlineStr">
        <is>
          <t>Derived console sheet excluded; it is a view of canonical workflow data.</t>
        </is>
      </c>
    </row>
    <row r="36" ht="15.75" customHeight="1" s="29">
      <c r="A36" s="4" t="n"/>
      <c r="B36" s="4" t="n"/>
      <c r="C36" s="4" t="n"/>
      <c r="D36" s="4" t="n"/>
      <c r="E36" s="4" t="n"/>
    </row>
    <row r="37" ht="15.75" customHeight="1" s="29">
      <c r="A37" s="5" t="inlineStr">
        <is>
          <t>Author workflow snapshot</t>
        </is>
      </c>
      <c r="B37" s="5" t="inlineStr">
        <is>
          <t>Tracked decisions</t>
        </is>
      </c>
      <c r="C37" s="5" t="inlineStr">
        <is>
          <t>Currently actionable</t>
        </is>
      </c>
      <c r="D37" s="5" t="inlineStr">
        <is>
          <t>Future blocked</t>
        </is>
      </c>
      <c r="E37" s="5" t="inlineStr">
        <is>
          <t>Current item</t>
        </is>
      </c>
      <c r="F37" s="5" t="inlineStr">
        <is>
          <t>Open holds</t>
        </is>
      </c>
    </row>
    <row r="38" ht="15.75" customHeight="1" s="29">
      <c r="A38" s="5" t="inlineStr">
        <is>
          <t>2026-09-08</t>
        </is>
      </c>
      <c r="B38" s="5" t="n">
        <v>104</v>
      </c>
      <c r="C38" s="5" t="n">
        <v>101</v>
      </c>
      <c r="D38" s="5" t="n">
        <v>3</v>
      </c>
      <c r="E38" s="5" t="inlineStr">
        <is>
          <t>AUTH-ARCH-001</t>
        </is>
      </c>
      <c r="F38" s="8" t="n">
        <v>0</v>
      </c>
    </row>
    <row r="39" ht="15.75" customHeight="1" s="29">
      <c r="A39" s="4" t="n"/>
      <c r="B39" s="4" t="n"/>
      <c r="C39" s="4" t="n"/>
      <c r="D39" s="4" t="n"/>
      <c r="E39" s="4" t="n"/>
    </row>
    <row r="40" ht="15.75" customHeight="1" s="29">
      <c r="A40" s="5" t="inlineStr">
        <is>
          <t>Artifact policy</t>
        </is>
      </c>
      <c r="B40" s="5" t="inlineStr">
        <is>
          <t>Controlled extension</t>
        </is>
      </c>
      <c r="C40" s="5" t="inlineStr">
        <is>
          <t>Macros/VBA</t>
        </is>
      </c>
      <c r="D40" s="5" t="inlineStr">
        <is>
          <t>Validation location</t>
        </is>
      </c>
      <c r="E40" s="5" t="inlineStr">
        <is>
          <t>Authority rule</t>
        </is>
      </c>
    </row>
    <row r="41" ht="15.75" customHeight="1" s="29">
      <c r="A41" s="4" t="inlineStr">
        <is>
          <t>Current decision</t>
        </is>
      </c>
      <c r="B41" s="4" t="inlineStr">
        <is>
          <t>.xlsx</t>
        </is>
      </c>
      <c r="C41" s="4" t="inlineStr">
        <is>
          <t>NONE</t>
        </is>
      </c>
      <c r="D41" s="4" t="inlineStr">
        <is>
          <t>Pipeline + workbook formulas</t>
        </is>
      </c>
      <c r="E41" s="4" t="inlineStr">
        <is>
          <t>Workbook remains controlled research source</t>
        </is>
      </c>
    </row>
    <row r="42" ht="15.75" customHeight="1" s="29">
      <c r="A42" s="4" t="inlineStr">
        <is>
          <t>Macro-enabled format</t>
        </is>
      </c>
      <c r="B42" s="4" t="inlineStr">
        <is>
          <t>.xlsm</t>
        </is>
      </c>
      <c r="C42" s="4" t="inlineStr">
        <is>
          <t>NOT PERMITTED by default</t>
        </is>
      </c>
      <c r="D42" s="4" t="inlineStr">
        <is>
          <t>Only if executable VBA is intentionally introduced and audited</t>
        </is>
      </c>
      <c r="E42" s="4" t="inlineStr">
        <is>
          <t>Do not use executable-code extension for inert source</t>
        </is>
      </c>
    </row>
    <row r="43" ht="15.75" customHeight="1" s="29">
      <c r="A43" s="0" t="inlineStr">
        <is>
          <t>Author ratification pass</t>
        </is>
      </c>
      <c r="B43" s="0" t="inlineStr">
        <is>
          <t>v2.15 / 2026-09-09</t>
        </is>
      </c>
      <c r="C43" s="0" t="inlineStr">
        <is>
          <t>n/a</t>
        </is>
      </c>
      <c r="D43" s="0" t="inlineStr">
        <is>
          <t>G1–G6 author decisions written via Author Response Entry; wording propagated to All 83 / Inherited 57 / Restoration 26 / Row Ratification / citations / phrase targets</t>
        </is>
      </c>
      <c r="E43" s="0" t="inlineStr">
        <is>
          <t>AUTHOR RATIFIED — pipeline must recompute canonical hash and rerun P018/P019 on changed phrases</t>
        </is>
      </c>
    </row>
    <row r="44" ht="15.75" customHeight="1" s="29">
      <c r="A44" s="0" t="inlineStr">
        <is>
          <t>H37 Eastern Orthodox source strengthening</t>
        </is>
      </c>
      <c r="B44" s="0" t="inlineStr">
        <is>
          <t>v2.16 / 2026-09-09</t>
        </is>
      </c>
      <c r="C44" s="0" t="inlineStr">
        <is>
          <t>n/a</t>
        </is>
      </c>
      <c r="D44" s="0" t="inlineStr">
        <is>
          <t>Controlling source → OCA official catechesis; pipeline must add a phrase target for this cell and rerun P006/P020 on the two OCA URLs</t>
        </is>
      </c>
      <c r="E44" s="0" t="inlineStr">
        <is>
          <t>SOURCE STRENGTHENED</t>
        </is>
      </c>
    </row>
    <row r="45" ht="15.75" customHeight="1" s="29">
      <c r="A45" s="0" t="inlineStr">
        <is>
          <t>ICC-002 approval and merge</t>
        </is>
      </c>
      <c r="B45" s="0" t="inlineStr">
        <is>
          <t>v2.17 / 2026-09-09</t>
        </is>
      </c>
      <c r="C45" s="0" t="inlineStr">
        <is>
          <t>n/a</t>
        </is>
      </c>
      <c r="D45" s="0" t="inlineStr">
        <is>
          <t>ICC-002 case/triggers/sources merged; ICC-001 release hold lifted; vocabulary roles CANONICAL_SCRIPTURE and OFFICIAL_EXPOSITION added; Author Decision Queue not extended (fixed formula ranges) — decisions recorded on the case row</t>
        </is>
      </c>
      <c r="E45" s="0" t="inlineStr">
        <is>
          <t>AUTHOR APPROVED</t>
        </is>
      </c>
    </row>
    <row r="46" ht="15.75" customHeight="1" s="29">
      <c r="A46" s="0" t="inlineStr">
        <is>
          <t>Code reconciliation</t>
        </is>
      </c>
      <c r="B46" s="0" t="inlineStr">
        <is>
          <t>v2.18 / 2026-09-09</t>
        </is>
      </c>
      <c r="C46" s="0" t="inlineStr">
        <is>
          <t>n/a</t>
        </is>
      </c>
      <c r="D46" s="0" t="inlineStr">
        <is>
          <t>Three phrase overrides incorporated; Q-290 targets added; INF-05/06 prose refreshed (141/315; spread 27); style law applied to learner-surfacing text; H43 essence–energies note; Sensitivity Ranges sheet (paper §14); four-clause definitions in APP CONFIG</t>
        </is>
      </c>
      <c r="E46" s="0" t="inlineStr">
        <is>
          <t>READY FOR LIVE PIPELINE RUN</t>
        </is>
      </c>
    </row>
    <row r="47" ht="15.75" customHeight="1" s="29">
      <c r="A47" s="0" t="inlineStr">
        <is>
          <t>Author read-through ratification</t>
        </is>
      </c>
      <c r="B47" s="0" t="inlineStr">
        <is>
          <t>v2.19 / 2026-09-09</t>
        </is>
      </c>
      <c r="C47" s="0" t="inlineStr">
        <is>
          <t>n/a</t>
        </is>
      </c>
      <c r="D47" s="0" t="inlineStr">
        <is>
          <t>Sensitivity Ranges Basis column rewritten in plain learner language; GOD-01–04 context propositions replaced with the fuller Orientation-draft (M0 §0.8) prose as canonical; ICS-019 locator corrected to Section "Why Then Obey?"; Build Validation refreshed to 26 Case Study Phrase Target rows / 142 structural + 20 clarification = 162 total assertions. All ten global author calls and per-section exceptions ratified 2026-09-09 (AJP).</t>
        </is>
      </c>
      <c r="E47" s="0" t="inlineStr">
        <is>
          <t>AUTHOR RATIFIED — ready for live pipeline rerun</t>
        </is>
      </c>
    </row>
    <row r="48" ht="15.75" customHeight="1" s="29">
      <c r="A48" s="0" t="inlineStr">
        <is>
          <t>Version-key correction + boolean-literal repair</t>
        </is>
      </c>
      <c r="B48" s="0" t="inlineStr">
        <is>
          <t>v2.20 / 2026-09-09</t>
        </is>
      </c>
      <c r="C48" s="0" t="inlineStr">
        <is>
          <t>n/a</t>
        </is>
      </c>
      <c r="D48" s="0" t="inlineStr">
        <is>
          <t>APP CONFIG app_master_version bumped v2.18 CODE RECONCILED -&gt; v2.20 AUTHOR RATIFIED (v2.19 carried the stale key, so the site colophon reported v2.18). All 491 boolean literal cells restored to real booleans: LibreOffice recalculation rewrote them as =TRUE()/=FALSE() formulas in v2.19, which broke P013 retired-witness detection and left the P016 gate open on Code's first run. Content is otherwise identical to v2.19; no doctrinal, copy, or count changes.</t>
        </is>
      </c>
      <c r="E48" s="0" t="inlineStr">
        <is>
          <t>AUTHOR RATIFIED — supersedes v2.19</t>
        </is>
      </c>
    </row>
    <row r="49" ht="15.75" customHeight="1" s="29">
      <c r="A49" s="0" t="inlineStr">
        <is>
          <t>Branch Study internal analytics</t>
        </is>
      </c>
      <c r="B49" s="0" t="inlineStr">
        <is>
          <t>v2.21 / 2026-09-10</t>
        </is>
      </c>
      <c r="C49" s="0" t="inlineStr">
        <is>
          <t>n/a</t>
        </is>
      </c>
      <c r="D49" s="0" t="inlineStr">
        <is>
          <t>Adds internal Branch Study sheet (per-branch coverage and agreement-among-located percentages on two denominators, not-located split, eligibility flag, per-predicate grid); APP CONFIG internal_stats_*, branch_view_*, expansion_plan keys; app_master_version bumped. No doctrinal, copy, count, or gate-value changes. Supersedes v2.20.</t>
        </is>
      </c>
      <c r="E49" s="0" t="inlineStr">
        <is>
          <t>AUTHOR RATIFIED — supersedes v2.20</t>
        </is>
      </c>
    </row>
    <row r="50" ht="15.75" customHeight="1" s="29">
      <c r="A50" s="41" t="inlineStr">
        <is>
          <t>Branch Source Registries ratified</t>
        </is>
      </c>
      <c r="B50" s="42" t="inlineStr">
        <is>
          <t>v2.22 / 2026-09-10</t>
        </is>
      </c>
      <c r="C50" s="42" t="inlineStr">
        <is>
          <t>n/a</t>
        </is>
      </c>
      <c r="D50" s="41" t="inlineStr">
        <is>
          <t>Adds Branch Source Registry (38 ratified, 0 retired, 0 draft) and the registry-only enforcement key; author decisions recorded card by card in the Decision Console.</t>
        </is>
      </c>
      <c r="E50" s="41" t="inlineStr">
        <is>
          <t>AUTHOR RATIFIED — supersedes the prior version</t>
        </is>
      </c>
    </row>
    <row r="51" ht="15.75" customHeight="1" s="29">
      <c r="A51" s="41" t="inlineStr">
        <is>
          <t>Branch Source Registry corrections</t>
        </is>
      </c>
      <c r="B51" s="42" t="inlineStr">
        <is>
          <t>v2.23 / 2026-09-10</t>
        </is>
      </c>
      <c r="C51" s="42" t="inlineStr">
        <is>
          <t>n/a</t>
        </is>
      </c>
      <c r="D51" s="41" t="inlineStr">
        <is>
          <t>Rebuilds Branch Source Registry from corrected console decisions (36 ratified, 2 retired, 0 draft). Registry rows only; no other sheet changed.</t>
        </is>
      </c>
      <c r="E51" s="41" t="inlineStr">
        <is>
          <t>AUTHOR RATIFIED — supersedes the prior version</t>
        </is>
      </c>
    </row>
    <row r="52" ht="15.75" customHeight="1" s="29">
      <c r="A52" s="41" t="inlineStr">
        <is>
          <t>Branch Source Registry corrections</t>
        </is>
      </c>
      <c r="B52" s="42" t="inlineStr">
        <is>
          <t>v2.24 / 2026-09-12</t>
        </is>
      </c>
      <c r="C52" s="42" t="inlineStr">
        <is>
          <t>n/a</t>
        </is>
      </c>
      <c r="D52" s="41" t="inlineStr">
        <is>
          <t>Rebuilds Branch Source Registry from corrected console decisions (36 ratified, 2 retired, 0 draft). Registry rows only; no other sheet changed.</t>
        </is>
      </c>
      <c r="E52" s="41" t="inlineStr">
        <is>
          <t>AUTHOR RATIFIED — supersedes the prior version</t>
        </is>
      </c>
    </row>
    <row r="53" ht="15.75" customHeight="1" s="29">
      <c r="A53" s="41" t="inlineStr">
        <is>
          <t>Branch Source Registry corrections</t>
        </is>
      </c>
      <c r="B53" s="42" t="inlineStr">
        <is>
          <t>v2.25 / 2026-09-12</t>
        </is>
      </c>
      <c r="C53" s="42" t="inlineStr">
        <is>
          <t>n/a</t>
        </is>
      </c>
      <c r="D53" s="41" t="inlineStr">
        <is>
          <t>Rebuilds Branch Source Registry from corrected console decisions (42 ratified, 2 retired, 0 draft). Registry rows only; no other sheet changed.</t>
        </is>
      </c>
      <c r="E53" s="41" t="inlineStr">
        <is>
          <t>AUTHOR RATIFIED — supersedes the prior version</t>
        </is>
      </c>
    </row>
    <row r="54" ht="15.75" customHeight="1" s="29">
      <c r="A54" s="41" t="inlineStr">
        <is>
          <t>Branch Source Registry corrections</t>
        </is>
      </c>
      <c r="B54" s="42" t="inlineStr">
        <is>
          <t>v2.25r1 / 2026-09-12</t>
        </is>
      </c>
      <c r="C54" s="42" t="inlineStr">
        <is>
          <t>n/a</t>
        </is>
      </c>
      <c r="D54" s="41" t="inlineStr">
        <is>
          <t>Rebuilds Branch Source Registry from corrected console decisions (43 ratified, 2 retired, 0 draft). Registry rows only; no other sheet changed.</t>
        </is>
      </c>
      <c r="E54" s="41" t="inlineStr">
        <is>
          <t>AUTHOR RATIFIED — supersedes the prior version</t>
        </is>
      </c>
    </row>
    <row r="55" ht="15.75" customHeight="1" s="29">
      <c r="A55" s="41" t="inlineStr">
        <is>
          <t>Branch Source Registry corrections</t>
        </is>
      </c>
      <c r="B55" s="42" t="inlineStr">
        <is>
          <t>v2.25r2 / 2026-09-12</t>
        </is>
      </c>
      <c r="C55" s="42" t="inlineStr">
        <is>
          <t>n/a</t>
        </is>
      </c>
      <c r="D55" s="41" t="inlineStr">
        <is>
          <t>Rebuilds Branch Source Registry from corrected console decisions (44 ratified, 2 retired, 0 draft). Registry rows only; no other sheet changed.</t>
        </is>
      </c>
      <c r="E55" s="41" t="inlineStr">
        <is>
          <t>AUTHOR RATIFIED — supersedes the prior version</t>
        </is>
      </c>
    </row>
    <row r="56" ht="15.75" customHeight="1" s="29">
      <c r="A56" s="41" t="inlineStr">
        <is>
          <t>Branch Source Registry corrections</t>
        </is>
      </c>
      <c r="B56" s="42" t="inlineStr">
        <is>
          <t>v2.25r3 / 2026-09-12</t>
        </is>
      </c>
      <c r="C56" s="42" t="inlineStr">
        <is>
          <t>n/a</t>
        </is>
      </c>
      <c r="D56" s="41" t="inlineStr">
        <is>
          <t>Rebuilds Branch Source Registry from corrected console decisions (45 ratified, 2 retired, 0 draft). Registry rows only; no other sheet changed.</t>
        </is>
      </c>
      <c r="E56" s="41" t="inlineStr">
        <is>
          <t>AUTHOR RATIFIED — supersedes the prior version</t>
        </is>
      </c>
    </row>
    <row r="57" ht="15.75" customHeight="1" s="29">
      <c r="A57" s="41" t="inlineStr">
        <is>
          <t>Branch Source Registry corrections</t>
        </is>
      </c>
      <c r="B57" s="42" t="inlineStr">
        <is>
          <t>v2.25r4 / 2026-09-13</t>
        </is>
      </c>
      <c r="C57" s="42" t="inlineStr">
        <is>
          <t>n/a</t>
        </is>
      </c>
      <c r="D57" s="41" t="inlineStr">
        <is>
          <t>Rebuilds Branch Source Registry from corrected console decisions (45 ratified, 2 retired, 0 draft). Registry rows only; no other sheet changed.</t>
        </is>
      </c>
      <c r="E57" s="41" t="inlineStr">
        <is>
          <t>AUTHOR RATIFIED — supersedes the prior version</t>
        </is>
      </c>
    </row>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ColWidth="12.63" defaultRowHeight="15" customHeight="1"/>
  <cols>
    <col width="40" customWidth="1" style="29" min="1" max="1"/>
    <col width="16" customWidth="1" style="29" min="2" max="2"/>
    <col width="64" customWidth="1" style="29" min="3" max="3"/>
    <col width="62" customWidth="1" style="29" min="4" max="4"/>
    <col width="24" customWidth="1" style="29" min="5" max="5"/>
    <col width="8.630000000000001" customWidth="1" style="29" min="6" max="26"/>
  </cols>
  <sheetData>
    <row r="1">
      <c r="A1" s="1" t="inlineStr">
        <is>
          <t>Authoritative State &amp; Enumeration Vocabulary</t>
        </is>
      </c>
    </row>
    <row r="3">
      <c r="A3" s="5" t="inlineStr">
        <is>
          <t>Rendered State</t>
        </is>
      </c>
      <c r="B3" s="5" t="inlineStr">
        <is>
          <t>Metric Class</t>
        </is>
      </c>
      <c r="C3" s="5" t="inlineStr">
        <is>
          <t>Public meaning</t>
        </is>
      </c>
      <c r="D3" s="5" t="inlineStr">
        <is>
          <t>App rendering rule</t>
        </is>
      </c>
      <c r="E3" s="5" t="inlineStr">
        <is>
          <t>Counts as theological result?</t>
        </is>
      </c>
    </row>
    <row r="4">
      <c r="A4" s="4" t="inlineStr">
        <is>
          <t>A</t>
        </is>
      </c>
      <c r="B4" s="4" t="inlineStr">
        <is>
          <t>A</t>
        </is>
      </c>
      <c r="C4" s="4" t="inlineStr">
        <is>
          <t>Substantive agreement at the controlled proposition floor.</t>
        </is>
      </c>
      <c r="D4" s="4" t="inlineStr">
        <is>
          <t>Render positive agreement; source/scope drill-down required.</t>
        </is>
      </c>
      <c r="E4" s="4" t="inlineStr">
        <is>
          <t>YES</t>
        </is>
      </c>
    </row>
    <row r="5">
      <c r="A5" s="4" t="inlineStr">
        <is>
          <t>A-SF</t>
        </is>
      </c>
      <c r="B5" s="4" t="inlineStr">
        <is>
          <t>A</t>
        </is>
      </c>
      <c r="C5" s="4" t="inlineStr">
        <is>
          <t>Source-floor agreement: source attests a narrower proposition wholly within the shared floor; master family may remain Q.</t>
        </is>
      </c>
      <c r="D5" s="4" t="inlineStr">
        <is>
          <t>Render distinctly from A; explain source-floor qualification.</t>
        </is>
      </c>
      <c r="E5" s="4" t="inlineStr">
        <is>
          <t>YES</t>
        </is>
      </c>
    </row>
    <row r="6">
      <c r="A6" s="4" t="inlineStr">
        <is>
          <t>Q</t>
        </is>
      </c>
      <c r="B6" s="4" t="inlineStr">
        <is>
          <t>Q</t>
        </is>
      </c>
      <c r="C6" s="4" t="inlineStr">
        <is>
          <t>Qualified/redefined agreement.</t>
        </is>
      </c>
      <c r="D6" s="4" t="inlineStr">
        <is>
          <t>Render shared concern plus material reinterpretation.</t>
        </is>
      </c>
      <c r="E6" s="4" t="inlineStr">
        <is>
          <t>YES</t>
        </is>
      </c>
    </row>
    <row r="7">
      <c r="A7" s="4" t="inlineStr">
        <is>
          <t>D</t>
        </is>
      </c>
      <c r="B7" s="4" t="inlineStr">
        <is>
          <t>D</t>
        </is>
      </c>
      <c r="C7" s="4" t="inlineStr">
        <is>
          <t>Direct divergence at the controlled scope.</t>
        </is>
      </c>
      <c r="D7" s="4" t="inlineStr">
        <is>
          <t>Render divergence with exact scope and comparator source.</t>
        </is>
      </c>
      <c r="E7" s="4" t="inlineStr">
        <is>
          <t>YES</t>
        </is>
      </c>
    </row>
    <row r="8">
      <c r="A8" s="4" t="inlineStr">
        <is>
          <t>VECTOR COMPLETE</t>
        </is>
      </c>
      <c r="B8" s="4" t="inlineStr">
        <is>
          <t>EXCLUDED</t>
        </is>
      </c>
      <c r="C8" s="4" t="inlineStr">
        <is>
          <t>All required atomic layers recovered, but family is intrinsically multi-layered.</t>
        </is>
      </c>
      <c r="D8" s="4" t="inlineStr">
        <is>
          <t>Render multi-segment vector, never collapse to one A/Q/D tile.</t>
        </is>
      </c>
      <c r="E8" s="4" t="inlineStr">
        <is>
          <t>NO single tile</t>
        </is>
      </c>
    </row>
    <row r="9">
      <c r="A9" s="4" t="inlineStr">
        <is>
          <t>VECTOR PENDING</t>
        </is>
      </c>
      <c r="B9" s="4" t="inlineStr">
        <is>
          <t>EXCLUDED</t>
        </is>
      </c>
      <c r="C9" s="4" t="inlineStr">
        <is>
          <t>Split family has unresolved or unrecovered atomic layer(s).</t>
        </is>
      </c>
      <c r="D9" s="4" t="inlineStr">
        <is>
          <t>Render visibly incomplete/pending.</t>
        </is>
      </c>
      <c r="E9" s="4" t="inlineStr">
        <is>
          <t>NO</t>
        </is>
      </c>
    </row>
    <row r="10">
      <c r="A10" s="4" t="inlineStr">
        <is>
          <t>PENDING REVIEW</t>
        </is>
      </c>
      <c r="B10" s="4" t="inlineStr">
        <is>
          <t>EXCLUDED</t>
        </is>
      </c>
      <c r="C10" s="4" t="inlineStr">
        <is>
          <t>Evidence exists but semantic or scope review remains.</t>
        </is>
      </c>
      <c r="D10" s="4" t="inlineStr">
        <is>
          <t>Render pending; no A/Q/D inference.</t>
        </is>
      </c>
      <c r="E10" s="4" t="inlineStr">
        <is>
          <t>NO</t>
        </is>
      </c>
    </row>
    <row r="11">
      <c r="A11" s="4" t="inlineStr">
        <is>
          <t>RECONCILIATION HOLD</t>
        </is>
      </c>
      <c r="B11" s="4" t="inlineStr">
        <is>
          <t>EXCLUDED</t>
        </is>
      </c>
      <c r="C11" s="4" t="inlineStr">
        <is>
          <t>Historical/current family state conflict not reconciled.</t>
        </is>
      </c>
      <c r="D11" s="4" t="inlineStr">
        <is>
          <t>Render hold; no theological tile.</t>
        </is>
      </c>
      <c r="E11" s="4" t="inlineStr">
        <is>
          <t>NO</t>
        </is>
      </c>
    </row>
    <row r="12">
      <c r="A12" s="4" t="inlineStr">
        <is>
          <t>RECONCILIATION HOLD — SOURCE ROLE</t>
        </is>
      </c>
      <c r="B12" s="4" t="inlineStr">
        <is>
          <t>EXCLUDED</t>
        </is>
      </c>
      <c r="C12" s="4" t="inlineStr">
        <is>
          <t>Proposition evidence exists but source role is not approved for branch-level claim.</t>
        </is>
      </c>
      <c r="D12" s="4" t="inlineStr">
        <is>
          <t>Render hold and source-role explanation.</t>
        </is>
      </c>
      <c r="E12" s="4" t="inlineStr">
        <is>
          <t>NO</t>
        </is>
      </c>
    </row>
    <row r="13">
      <c r="A13" s="4" t="inlineStr">
        <is>
          <t>NOT LOCATED — CURRENT SOURCE</t>
        </is>
      </c>
      <c r="B13" s="4" t="inlineStr">
        <is>
          <t>EXCLUDED</t>
        </is>
      </c>
      <c r="C13" s="4" t="inlineStr">
        <is>
          <t>Historical witness retired; no current institutional source certified.</t>
        </is>
      </c>
      <c r="D13" s="4" t="inlineStr">
        <is>
          <t>Render explicit current-source gap.</t>
        </is>
      </c>
      <c r="E13" s="4" t="inlineStr">
        <is>
          <t>NO</t>
        </is>
      </c>
    </row>
    <row r="14">
      <c r="A14" s="4" t="inlineStr">
        <is>
          <t>NOT LOCATED — CURRENT STANDARD REVIEWED</t>
        </is>
      </c>
      <c r="B14" s="4" t="inlineStr">
        <is>
          <t>EXCLUDED</t>
        </is>
      </c>
      <c r="C14" s="4" t="inlineStr">
        <is>
          <t>Current controlling standard reviewed; exact predicate not attested.</t>
        </is>
      </c>
      <c r="D14" s="4" t="inlineStr">
        <is>
          <t>Render explicit reviewed gap; never infer denial.</t>
        </is>
      </c>
      <c r="E14" s="4" t="inlineStr">
        <is>
          <t>NO</t>
        </is>
      </c>
    </row>
    <row r="15">
      <c r="A15" s="4" t="inlineStr">
        <is>
          <t>NOT LOCATED — NOT YET RECOVERED</t>
        </is>
      </c>
      <c r="B15" s="4" t="inlineStr">
        <is>
          <t>EXCLUDED</t>
        </is>
      </c>
      <c r="C15" s="4" t="inlineStr">
        <is>
          <t>Evidence recovery has not yet reached this branch×predicate cell.</t>
        </is>
      </c>
      <c r="D15" s="4" t="inlineStr">
        <is>
          <t>Render explicit recovery gap.</t>
        </is>
      </c>
      <c r="E15" s="4" t="inlineStr">
        <is>
          <t>NO</t>
        </is>
      </c>
    </row>
    <row r="16">
      <c r="A16" s="4" t="inlineStr">
        <is>
          <t>NOT LOCATED — NO PUBLIC EVIDENCE</t>
        </is>
      </c>
      <c r="B16" s="4" t="inlineStr">
        <is>
          <t>EXCLUDED</t>
        </is>
      </c>
      <c r="C16" s="4" t="inlineStr">
        <is>
          <t>No evidence currently suitable for public display.</t>
        </is>
      </c>
      <c r="D16" s="4" t="inlineStr">
        <is>
          <t>Render explicit evidence gap.</t>
        </is>
      </c>
      <c r="E16" s="4" t="inlineStr">
        <is>
          <t>NO</t>
        </is>
      </c>
    </row>
    <row r="17">
      <c r="A17" s="4" t="inlineStr">
        <is>
          <t>OUT OF SCOPE</t>
        </is>
      </c>
      <c r="B17" s="4" t="inlineStr">
        <is>
          <t>EXCLUDED</t>
        </is>
      </c>
      <c r="C17" s="4" t="inlineStr">
        <is>
          <t>Source architecture excludes the cell from current branch analysis.</t>
        </is>
      </c>
      <c r="D17" s="4" t="inlineStr">
        <is>
          <t>Render scope marker, not doctrine.</t>
        </is>
      </c>
      <c r="E17" s="4" t="inlineStr">
        <is>
          <t>NO</t>
        </is>
      </c>
    </row>
    <row r="19">
      <c r="A19" s="5" t="inlineStr">
        <is>
          <t>Enumeration</t>
        </is>
      </c>
      <c r="B19" s="5" t="inlineStr">
        <is>
          <t>Allowed values</t>
        </is>
      </c>
      <c r="C19" s="5" t="inlineStr">
        <is>
          <t>Rule</t>
        </is>
      </c>
    </row>
    <row r="20">
      <c r="A20" s="4" t="inlineStr">
        <is>
          <t>Evidence confidence</t>
        </is>
      </c>
      <c r="B20" s="4" t="inlineStr">
        <is>
          <t>HIGH | MEDIUM-HIGH | MEDIUM | REVIEW | HISTORICAL-ONLY | NOT-ASSESSED</t>
        </is>
      </c>
      <c r="C20" s="4" t="inlineStr">
        <is>
          <t>Case-sensitive canonical output.</t>
        </is>
      </c>
    </row>
    <row r="21" ht="15.75" customHeight="1" s="29">
      <c r="A21" s="4" t="inlineStr">
        <is>
          <t>Metric Class</t>
        </is>
      </c>
      <c r="B21" s="4" t="inlineStr">
        <is>
          <t>A | Q | D | EXCLUDED</t>
        </is>
      </c>
      <c r="C21" s="4" t="inlineStr">
        <is>
          <t>A-SF renders distinctly but maps to A.</t>
        </is>
      </c>
    </row>
    <row r="22" ht="15.75" customHeight="1" s="29">
      <c r="A22" s="4" t="inlineStr">
        <is>
          <t>Reviewer status</t>
        </is>
      </c>
      <c r="B22" s="4" t="inlineStr">
        <is>
          <t>CERTIFIED | CERTIFIED — RECONCILED | PENDING REVIEW | PENDING SOURCE-ROLE REVIEW | CLOSED — NOT ATTESTED | HOLD | NOT-REVIEWED</t>
        </is>
      </c>
      <c r="C22" s="4" t="inlineStr">
        <is>
          <t>Do not introduce ad-hoc spellings/case variants.</t>
        </is>
      </c>
    </row>
    <row r="23" ht="15.75" customHeight="1" s="29">
      <c r="A23" s="4" t="inlineStr">
        <is>
          <t>Card Mode</t>
        </is>
      </c>
      <c r="B23" s="4" t="inlineStr">
        <is>
          <t>STANDARD | VECTOR</t>
        </is>
      </c>
      <c r="C23" s="4" t="inlineStr">
        <is>
          <t>H07, H32, H56 must use VECTOR; ordinary predicate cards use STANDARD.</t>
        </is>
      </c>
    </row>
    <row r="24" ht="15.75" customHeight="1" s="29">
      <c r="A24" s="4" t="inlineStr">
        <is>
          <t>Content target status</t>
        </is>
      </c>
      <c r="B24" s="4" t="inlineStr">
        <is>
          <t>READY | ASSERT | NO TARGET — UNRELEASED | NO PUBLIC TARGET</t>
        </is>
      </c>
      <c r="C24" s="4" t="inlineStr">
        <is>
          <t>Phrase validation targets use only these explicit statuses.</t>
        </is>
      </c>
    </row>
    <row r="25" ht="15.75" customHeight="1" s="29">
      <c r="A25" s="4" t="inlineStr">
        <is>
          <t>Fetch mode</t>
        </is>
      </c>
      <c r="B25" s="4" t="inlineStr">
        <is>
          <t>PLAYWRIGHT RENDERED OR CHURCH CONTENT API | HTML GET/RENDERED | HTML | PDF | NO TARGET</t>
        </is>
      </c>
      <c r="C25" s="4" t="inlineStr">
        <is>
          <t>churchofjesuschrist.org assertions require rendered DOM/content API when static HTML lacks text.</t>
        </is>
      </c>
    </row>
    <row r="26" ht="15.75" customHeight="1" s="29">
      <c r="A26" s="4" t="inlineStr">
        <is>
          <t>Assertion scope mode</t>
        </is>
      </c>
      <c r="B26" s="4" t="inlineStr">
        <is>
          <t>LOCATOR-SCOPED | DOCUMENT-LEVEL ONLY BY EXPLICIT EXCEPTION</t>
        </is>
      </c>
      <c r="C26" s="4" t="inlineStr">
        <is>
          <t>P020 requires locator-scoped matching whenever the source exposes the cited verse/article/section; no silent whole-page fallback.</t>
        </is>
      </c>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J84"/>
  <sheetViews>
    <sheetView workbookViewId="0">
      <pane ySplit="1" topLeftCell="A2" activePane="bottomLeft" state="frozen"/>
      <selection pane="bottomLeft" activeCell="B3" sqref="B3"/>
    </sheetView>
  </sheetViews>
  <sheetFormatPr baseColWidth="8" defaultColWidth="12.63" defaultRowHeight="15" customHeight="1"/>
  <cols>
    <col width="24" customWidth="1" style="29" min="1" max="1"/>
    <col width="13" customWidth="1" style="29" min="2" max="2"/>
    <col width="23" customWidth="1" style="29" min="3" max="3"/>
    <col width="34" customWidth="1" style="29" min="4" max="4"/>
    <col width="40" customWidth="1" style="29" min="5" max="5"/>
    <col width="20" customWidth="1" style="29" min="6" max="6"/>
    <col width="18" customWidth="1" style="29" min="7" max="7"/>
    <col width="52" customWidth="1" style="29" min="8" max="8"/>
    <col width="48" customWidth="1" style="29" min="9" max="9"/>
    <col width="46" customWidth="1" style="29" min="10" max="10"/>
    <col width="8.630000000000001" customWidth="1" style="29" min="11" max="26"/>
  </cols>
  <sheetData>
    <row r="1">
      <c r="A1" s="5" t="inlineStr">
        <is>
          <t>Corpus</t>
        </is>
      </c>
      <c r="B1" s="5" t="inlineStr">
        <is>
          <t>ID</t>
        </is>
      </c>
      <c r="C1" s="5" t="inlineStr">
        <is>
          <t>Family / mode</t>
        </is>
      </c>
      <c r="D1" s="5" t="inlineStr">
        <is>
          <t>Teaching family</t>
        </is>
      </c>
      <c r="E1" s="5" t="inlineStr">
        <is>
          <t>Predicate family</t>
        </is>
      </c>
      <c r="F1" s="5" t="inlineStr">
        <is>
          <t>Comparison / authority</t>
        </is>
      </c>
      <c r="G1" s="5" t="inlineStr">
        <is>
          <t>Teaching lens</t>
        </is>
      </c>
      <c r="H1" s="5" t="inlineStr">
        <is>
          <t>Plain-language teaching summary</t>
        </is>
      </c>
      <c r="I1" s="5" t="inlineStr">
        <is>
          <t>Key caution / nuance</t>
        </is>
      </c>
      <c r="J1" s="5" t="inlineStr">
        <is>
          <t>Source pointer</t>
        </is>
      </c>
    </row>
    <row r="2">
      <c r="A2" s="7" t="inlineStr">
        <is>
          <t>Inherited creed/confession</t>
        </is>
      </c>
      <c r="B2" s="7" t="inlineStr">
        <is>
          <t>RNR-H01</t>
        </is>
      </c>
      <c r="C2" s="7" t="inlineStr">
        <is>
          <t>Kataphatic</t>
        </is>
      </c>
      <c r="D2" s="7" t="inlineStr">
        <is>
          <t>Divine identity &amp; relation</t>
        </is>
      </c>
      <c r="E2" s="7" t="inlineStr">
        <is>
          <t>Living</t>
        </is>
      </c>
      <c r="F2" s="7" t="inlineStr">
        <is>
          <t>A</t>
        </is>
      </c>
      <c r="G2" s="7" t="inlineStr">
        <is>
          <t>Continuity</t>
        </is>
      </c>
      <c r="H2" s="7" t="inlineStr">
        <is>
          <t>God is the living God.</t>
        </is>
      </c>
      <c r="I2" s="7" t="inlineStr">
        <is>
          <t>Shared. Both traditions affirm this of God in the same sense.</t>
        </is>
      </c>
      <c r="J2" s="7" t="inlineStr">
        <is>
          <t>See Inherited 57</t>
        </is>
      </c>
    </row>
    <row r="3">
      <c r="A3" s="7" t="inlineStr">
        <is>
          <t>Inherited creed/confession</t>
        </is>
      </c>
      <c r="B3" s="7" t="inlineStr">
        <is>
          <t>RNR-H02</t>
        </is>
      </c>
      <c r="C3" s="7" t="inlineStr">
        <is>
          <t>Kataphatic</t>
        </is>
      </c>
      <c r="D3" s="7" t="inlineStr">
        <is>
          <t>Divine identity &amp; relation</t>
        </is>
      </c>
      <c r="E3" s="7" t="inlineStr">
        <is>
          <t>True</t>
        </is>
      </c>
      <c r="F3" s="7" t="inlineStr">
        <is>
          <t>A</t>
        </is>
      </c>
      <c r="G3" s="7" t="inlineStr">
        <is>
          <t>Continuity</t>
        </is>
      </c>
      <c r="H3" s="7" t="inlineStr">
        <is>
          <t>God is true — authentic, faithful, and real.</t>
        </is>
      </c>
      <c r="I3" s="7" t="inlineStr">
        <is>
          <t>Shared. Both traditions affirm this of God in the same sense.</t>
        </is>
      </c>
      <c r="J3" s="7" t="inlineStr">
        <is>
          <t>See Inherited 57</t>
        </is>
      </c>
    </row>
    <row r="4">
      <c r="A4" s="7" t="inlineStr">
        <is>
          <t>Inherited creed/confession</t>
        </is>
      </c>
      <c r="B4" s="7" t="inlineStr">
        <is>
          <t>RNR-H03</t>
        </is>
      </c>
      <c r="C4" s="7" t="inlineStr">
        <is>
          <t>Kataphatic</t>
        </is>
      </c>
      <c r="D4" s="7" t="inlineStr">
        <is>
          <t>Divine identity &amp; relation</t>
        </is>
      </c>
      <c r="E4" s="7" t="inlineStr">
        <is>
          <t>Spirit</t>
        </is>
      </c>
      <c r="F4" s="7" t="inlineStr">
        <is>
          <t>Q</t>
        </is>
      </c>
      <c r="G4" s="7" t="inlineStr">
        <is>
          <t>Reconstruction / qualified continuity</t>
        </is>
      </c>
      <c r="H4" s="7" t="inlineStr">
        <is>
          <t>God is positively named as spiritual being.</t>
        </is>
      </c>
      <c r="I4" s="7" t="inlineStr">
        <is>
          <t>Shared spiritual language; Restoration materially redefines spirit as refined matter (D&amp;C 131:7–8).</t>
        </is>
      </c>
      <c r="J4" s="7" t="inlineStr">
        <is>
          <t>See Inherited 57</t>
        </is>
      </c>
    </row>
    <row r="5">
      <c r="A5" s="7" t="inlineStr">
        <is>
          <t>Inherited creed/confession</t>
        </is>
      </c>
      <c r="B5" s="7" t="inlineStr">
        <is>
          <t>RNR-H04</t>
        </is>
      </c>
      <c r="C5" s="7" t="inlineStr">
        <is>
          <t>Kataphatic</t>
        </is>
      </c>
      <c r="D5" s="7" t="inlineStr">
        <is>
          <t>Divine identity &amp; relation</t>
        </is>
      </c>
      <c r="E5" s="7" t="inlineStr">
        <is>
          <t>Father</t>
        </is>
      </c>
      <c r="F5" s="7" t="inlineStr">
        <is>
          <t>A</t>
        </is>
      </c>
      <c r="G5" s="7" t="inlineStr">
        <is>
          <t>Continuity</t>
        </is>
      </c>
      <c r="H5" s="7" t="inlineStr">
        <is>
          <t>God is Father.</t>
        </is>
      </c>
      <c r="I5" s="7" t="inlineStr">
        <is>
          <t>Shared divine paternity/relational identity at the controlling floor.</t>
        </is>
      </c>
      <c r="J5" s="7" t="inlineStr">
        <is>
          <t>See Inherited 57</t>
        </is>
      </c>
    </row>
    <row r="6">
      <c r="A6" s="7" t="inlineStr">
        <is>
          <t>Inherited creed/confession</t>
        </is>
      </c>
      <c r="B6" s="7" t="inlineStr">
        <is>
          <t>RNR-H05</t>
        </is>
      </c>
      <c r="C6" s="7" t="inlineStr">
        <is>
          <t>Kataphatic</t>
        </is>
      </c>
      <c r="D6" s="7" t="inlineStr">
        <is>
          <t>Divine identity &amp; relation</t>
        </is>
      </c>
      <c r="E6" s="7" t="inlineStr">
        <is>
          <t>Son</t>
        </is>
      </c>
      <c r="F6" s="7" t="inlineStr">
        <is>
          <t>A</t>
        </is>
      </c>
      <c r="G6" s="7" t="inlineStr">
        <is>
          <t>Continuity</t>
        </is>
      </c>
      <c r="H6" s="7" t="inlineStr">
        <is>
          <t>Names Jesus Christ as the eternal Son of God.</t>
        </is>
      </c>
      <c r="I6" s="7" t="inlineStr">
        <is>
          <t>Shared filial identity/relationship controls A; thick Nicene metaphysical entailments are not imported automatically.</t>
        </is>
      </c>
      <c r="J6" s="7" t="inlineStr">
        <is>
          <t>See Inherited 57</t>
        </is>
      </c>
    </row>
    <row r="7">
      <c r="A7" s="7" t="inlineStr">
        <is>
          <t>Inherited creed/confession</t>
        </is>
      </c>
      <c r="B7" s="7" t="inlineStr">
        <is>
          <t>RNR-H06</t>
        </is>
      </c>
      <c r="C7" s="7" t="inlineStr">
        <is>
          <t>Kataphatic</t>
        </is>
      </c>
      <c r="D7" s="7" t="inlineStr">
        <is>
          <t>Divine identity &amp; relation</t>
        </is>
      </c>
      <c r="E7" s="7" t="inlineStr">
        <is>
          <t>Lord</t>
        </is>
      </c>
      <c r="F7" s="7" t="inlineStr">
        <is>
          <t>A</t>
        </is>
      </c>
      <c r="G7" s="7" t="inlineStr">
        <is>
          <t>Continuity</t>
        </is>
      </c>
      <c r="H7" s="7" t="inlineStr">
        <is>
          <t>Jesus Christ is Lord.</t>
        </is>
      </c>
      <c r="I7" s="7" t="inlineStr">
        <is>
          <t>Shared authority and lordship.</t>
        </is>
      </c>
      <c r="J7" s="7" t="inlineStr">
        <is>
          <t>See Inherited 57</t>
        </is>
      </c>
    </row>
    <row r="8">
      <c r="A8" s="7" t="inlineStr">
        <is>
          <t>Inherited creed/confession</t>
        </is>
      </c>
      <c r="B8" s="7" t="inlineStr">
        <is>
          <t>RNR-H07</t>
        </is>
      </c>
      <c r="C8" s="7" t="inlineStr">
        <is>
          <t>Kataphatic</t>
        </is>
      </c>
      <c r="D8" s="7" t="inlineStr">
        <is>
          <t>Power, wisdom, goodness &amp; holiness</t>
        </is>
      </c>
      <c r="E8" s="7" t="inlineStr">
        <is>
          <t>Almighty / omnipotent</t>
        </is>
      </c>
      <c r="F8" s="7" t="inlineStr">
        <is>
          <t>A</t>
        </is>
      </c>
      <c r="G8" s="7" t="inlineStr">
        <is>
          <t>Continuity</t>
        </is>
      </c>
      <c r="H8" s="7" t="inlineStr">
        <is>
          <t>God is almighty; all power is His.</t>
        </is>
      </c>
      <c r="I8" s="7" t="inlineStr">
        <is>
          <t>Shared supreme divine power; absolute modal or creatio-ex-nihilo implications are not imported automatically.</t>
        </is>
      </c>
      <c r="J8" s="7" t="inlineStr">
        <is>
          <t>See Inherited 57</t>
        </is>
      </c>
    </row>
    <row r="9">
      <c r="A9" s="7" t="inlineStr">
        <is>
          <t>Inherited creed/confession</t>
        </is>
      </c>
      <c r="B9" s="7" t="inlineStr">
        <is>
          <t>RNR-H08</t>
        </is>
      </c>
      <c r="C9" s="7" t="inlineStr">
        <is>
          <t>Kataphatic</t>
        </is>
      </c>
      <c r="D9" s="7" t="inlineStr">
        <is>
          <t>Power, wisdom, goodness &amp; holiness</t>
        </is>
      </c>
      <c r="E9" s="7" t="inlineStr">
        <is>
          <t>Wise / all-wise</t>
        </is>
      </c>
      <c r="F9" s="7" t="inlineStr">
        <is>
          <t>A</t>
        </is>
      </c>
      <c r="G9" s="7" t="inlineStr">
        <is>
          <t>Continuity</t>
        </is>
      </c>
      <c r="H9" s="7" t="inlineStr">
        <is>
          <t>God is all-wise.</t>
        </is>
      </c>
      <c r="I9" s="7" t="inlineStr">
        <is>
          <t>Shared divine wisdom.</t>
        </is>
      </c>
      <c r="J9" s="7" t="inlineStr">
        <is>
          <t>See Inherited 57</t>
        </is>
      </c>
    </row>
    <row r="10">
      <c r="A10" s="7" t="inlineStr">
        <is>
          <t>Inherited creed/confession</t>
        </is>
      </c>
      <c r="B10" s="7" t="inlineStr">
        <is>
          <t>RNR-H09</t>
        </is>
      </c>
      <c r="C10" s="7" t="inlineStr">
        <is>
          <t>Kataphatic</t>
        </is>
      </c>
      <c r="D10" s="7" t="inlineStr">
        <is>
          <t>Power, wisdom, goodness &amp; holiness</t>
        </is>
      </c>
      <c r="E10" s="7" t="inlineStr">
        <is>
          <t>Good</t>
        </is>
      </c>
      <c r="F10" s="7" t="inlineStr">
        <is>
          <t>A</t>
        </is>
      </c>
      <c r="G10" s="7" t="inlineStr">
        <is>
          <t>Continuity</t>
        </is>
      </c>
      <c r="H10" s="7" t="inlineStr">
        <is>
          <t>God is good.</t>
        </is>
      </c>
      <c r="I10" s="7" t="inlineStr">
        <is>
          <t>Shared divine goodness.</t>
        </is>
      </c>
      <c r="J10" s="7" t="inlineStr">
        <is>
          <t>See Inherited 57</t>
        </is>
      </c>
    </row>
    <row r="11">
      <c r="A11" s="7" t="inlineStr">
        <is>
          <t>Inherited creed/confession</t>
        </is>
      </c>
      <c r="B11" s="7" t="inlineStr">
        <is>
          <t>RNR-H10</t>
        </is>
      </c>
      <c r="C11" s="7" t="inlineStr">
        <is>
          <t>Kataphatic</t>
        </is>
      </c>
      <c r="D11" s="7" t="inlineStr">
        <is>
          <t>Power, wisdom, goodness &amp; holiness</t>
        </is>
      </c>
      <c r="E11" s="7" t="inlineStr">
        <is>
          <t>Source of all good</t>
        </is>
      </c>
      <c r="F11" s="7" t="inlineStr">
        <is>
          <t>A</t>
        </is>
      </c>
      <c r="G11" s="7" t="inlineStr">
        <is>
          <t>Continuity</t>
        </is>
      </c>
      <c r="H11" s="7" t="inlineStr">
        <is>
          <t>Every good thing comes from God.</t>
        </is>
      </c>
      <c r="I11" s="7" t="inlineStr">
        <is>
          <t>Shared. Both traditions affirm this of God in the same sense.</t>
        </is>
      </c>
      <c r="J11" s="7" t="inlineStr">
        <is>
          <t>See Inherited 57</t>
        </is>
      </c>
    </row>
    <row r="12">
      <c r="A12" s="7" t="inlineStr">
        <is>
          <t>Inherited creed/confession</t>
        </is>
      </c>
      <c r="B12" s="7" t="inlineStr">
        <is>
          <t>RNR-H11</t>
        </is>
      </c>
      <c r="C12" s="7" t="inlineStr">
        <is>
          <t>Kataphatic</t>
        </is>
      </c>
      <c r="D12" s="7" t="inlineStr">
        <is>
          <t>Power, wisdom, goodness &amp; holiness</t>
        </is>
      </c>
      <c r="E12" s="7" t="inlineStr">
        <is>
          <t>Just / righteous</t>
        </is>
      </c>
      <c r="F12" s="7" t="inlineStr">
        <is>
          <t>A</t>
        </is>
      </c>
      <c r="G12" s="7" t="inlineStr">
        <is>
          <t>Continuity</t>
        </is>
      </c>
      <c r="H12" s="7" t="inlineStr">
        <is>
          <t>God is just and righteous.</t>
        </is>
      </c>
      <c r="I12" s="7" t="inlineStr">
        <is>
          <t>Shared divine justice/righteousness.</t>
        </is>
      </c>
      <c r="J12" s="7" t="inlineStr">
        <is>
          <t>See Inherited 57</t>
        </is>
      </c>
    </row>
    <row r="13">
      <c r="A13" s="7" t="inlineStr">
        <is>
          <t>Inherited creed/confession</t>
        </is>
      </c>
      <c r="B13" s="7" t="inlineStr">
        <is>
          <t>RNR-H12</t>
        </is>
      </c>
      <c r="C13" s="7" t="inlineStr">
        <is>
          <t>Kataphatic</t>
        </is>
      </c>
      <c r="D13" s="7" t="inlineStr">
        <is>
          <t>Power, wisdom, goodness &amp; holiness</t>
        </is>
      </c>
      <c r="E13" s="7" t="inlineStr">
        <is>
          <t>Holy</t>
        </is>
      </c>
      <c r="F13" s="7" t="inlineStr">
        <is>
          <t>A</t>
        </is>
      </c>
      <c r="G13" s="7" t="inlineStr">
        <is>
          <t>Continuity</t>
        </is>
      </c>
      <c r="H13" s="7" t="inlineStr">
        <is>
          <t>God is holy.</t>
        </is>
      </c>
      <c r="I13" s="7" t="inlineStr">
        <is>
          <t>Shared holiness.</t>
        </is>
      </c>
      <c r="J13" s="7" t="inlineStr">
        <is>
          <t>See Inherited 57</t>
        </is>
      </c>
    </row>
    <row r="14">
      <c r="A14" s="7" t="inlineStr">
        <is>
          <t>Inherited creed/confession</t>
        </is>
      </c>
      <c r="B14" s="7" t="inlineStr">
        <is>
          <t>RNR-H13</t>
        </is>
      </c>
      <c r="C14" s="7" t="inlineStr">
        <is>
          <t>Kataphatic</t>
        </is>
      </c>
      <c r="D14" s="7" t="inlineStr">
        <is>
          <t>Power, wisdom, goodness &amp; holiness</t>
        </is>
      </c>
      <c r="E14" s="7" t="inlineStr">
        <is>
          <t>Truthful / faithful</t>
        </is>
      </c>
      <c r="F14" s="7" t="inlineStr">
        <is>
          <t>A</t>
        </is>
      </c>
      <c r="G14" s="7" t="inlineStr">
        <is>
          <t>Continuity</t>
        </is>
      </c>
      <c r="H14" s="7" t="inlineStr">
        <is>
          <t>God is a God of truth; He cannot lie.</t>
        </is>
      </c>
      <c r="I14" s="7" t="inlineStr">
        <is>
          <t>Shared faithfulness and truthfulness.</t>
        </is>
      </c>
      <c r="J14" s="7" t="inlineStr">
        <is>
          <t>See Inherited 57</t>
        </is>
      </c>
    </row>
    <row r="15">
      <c r="A15" s="7" t="inlineStr">
        <is>
          <t>Inherited creed/confession</t>
        </is>
      </c>
      <c r="B15" s="7" t="inlineStr">
        <is>
          <t>RNR-H14</t>
        </is>
      </c>
      <c r="C15" s="7" t="inlineStr">
        <is>
          <t>Kataphatic</t>
        </is>
      </c>
      <c r="D15" s="7" t="inlineStr">
        <is>
          <t>Love, mercy, grace &amp; glory</t>
        </is>
      </c>
      <c r="E15" s="7" t="inlineStr">
        <is>
          <t>Love / loving</t>
        </is>
      </c>
      <c r="F15" s="7" t="inlineStr">
        <is>
          <t>A</t>
        </is>
      </c>
      <c r="G15" s="7" t="inlineStr">
        <is>
          <t>Continuity</t>
        </is>
      </c>
      <c r="H15" s="7" t="inlineStr">
        <is>
          <t>God is love; He loves His children.</t>
        </is>
      </c>
      <c r="I15" s="7" t="inlineStr">
        <is>
          <t>Shared divine love.</t>
        </is>
      </c>
      <c r="J15" s="7" t="inlineStr">
        <is>
          <t>See Inherited 57</t>
        </is>
      </c>
    </row>
    <row r="16">
      <c r="A16" s="7" t="inlineStr">
        <is>
          <t>Inherited creed/confession</t>
        </is>
      </c>
      <c r="B16" s="7" t="inlineStr">
        <is>
          <t>RNR-H15</t>
        </is>
      </c>
      <c r="C16" s="7" t="inlineStr">
        <is>
          <t>Kataphatic</t>
        </is>
      </c>
      <c r="D16" s="7" t="inlineStr">
        <is>
          <t>Love, mercy, grace &amp; glory</t>
        </is>
      </c>
      <c r="E16" s="7" t="inlineStr">
        <is>
          <t>Merciful</t>
        </is>
      </c>
      <c r="F16" s="7" t="inlineStr">
        <is>
          <t>A</t>
        </is>
      </c>
      <c r="G16" s="7" t="inlineStr">
        <is>
          <t>Continuity</t>
        </is>
      </c>
      <c r="H16" s="7" t="inlineStr">
        <is>
          <t>God is merciful.</t>
        </is>
      </c>
      <c r="I16" s="7" t="inlineStr">
        <is>
          <t>Shared mercy.</t>
        </is>
      </c>
      <c r="J16" s="7" t="inlineStr">
        <is>
          <t>See Inherited 57</t>
        </is>
      </c>
    </row>
    <row r="17">
      <c r="A17" s="7" t="inlineStr">
        <is>
          <t>Inherited creed/confession</t>
        </is>
      </c>
      <c r="B17" s="7" t="inlineStr">
        <is>
          <t>RNR-H16</t>
        </is>
      </c>
      <c r="C17" s="7" t="inlineStr">
        <is>
          <t>Kataphatic</t>
        </is>
      </c>
      <c r="D17" s="7" t="inlineStr">
        <is>
          <t>Love, mercy, grace &amp; glory</t>
        </is>
      </c>
      <c r="E17" s="7" t="inlineStr">
        <is>
          <t>Gracious</t>
        </is>
      </c>
      <c r="F17" s="7" t="inlineStr">
        <is>
          <t>A</t>
        </is>
      </c>
      <c r="G17" s="7" t="inlineStr">
        <is>
          <t>Continuity</t>
        </is>
      </c>
      <c r="H17" s="7" t="inlineStr">
        <is>
          <t>God is gracious.</t>
        </is>
      </c>
      <c r="I17" s="7" t="inlineStr">
        <is>
          <t>Shared grace/gracious action.</t>
        </is>
      </c>
      <c r="J17" s="7" t="inlineStr">
        <is>
          <t>See Inherited 57</t>
        </is>
      </c>
    </row>
    <row r="18">
      <c r="A18" s="7" t="inlineStr">
        <is>
          <t>Inherited creed/confession</t>
        </is>
      </c>
      <c r="B18" s="7" t="inlineStr">
        <is>
          <t>RNR-H17</t>
        </is>
      </c>
      <c r="C18" s="7" t="inlineStr">
        <is>
          <t>Kataphatic</t>
        </is>
      </c>
      <c r="D18" s="7" t="inlineStr">
        <is>
          <t>Love, mercy, grace &amp; glory</t>
        </is>
      </c>
      <c r="E18" s="7" t="inlineStr">
        <is>
          <t>Long-suffering / patient</t>
        </is>
      </c>
      <c r="F18" s="7" t="inlineStr">
        <is>
          <t>A</t>
        </is>
      </c>
      <c r="G18" s="7" t="inlineStr">
        <is>
          <t>Continuity</t>
        </is>
      </c>
      <c r="H18" s="7" t="inlineStr">
        <is>
          <t>God is long-suffering and patient.</t>
        </is>
      </c>
      <c r="I18" s="7" t="inlineStr">
        <is>
          <t>Shared divine patience/forbearance.</t>
        </is>
      </c>
      <c r="J18" s="7" t="inlineStr">
        <is>
          <t>See Inherited 57</t>
        </is>
      </c>
    </row>
    <row r="19">
      <c r="A19" s="7" t="inlineStr">
        <is>
          <t>Inherited creed/confession</t>
        </is>
      </c>
      <c r="B19" s="7" t="inlineStr">
        <is>
          <t>RNR-H18</t>
        </is>
      </c>
      <c r="C19" s="7" t="inlineStr">
        <is>
          <t>Kataphatic</t>
        </is>
      </c>
      <c r="D19" s="7" t="inlineStr">
        <is>
          <t>Love, mercy, grace &amp; glory</t>
        </is>
      </c>
      <c r="E19" s="7" t="inlineStr">
        <is>
          <t>Forgiving</t>
        </is>
      </c>
      <c r="F19" s="7" t="inlineStr">
        <is>
          <t>A</t>
        </is>
      </c>
      <c r="G19" s="7" t="inlineStr">
        <is>
          <t>Continuity</t>
        </is>
      </c>
      <c r="H19" s="7" t="inlineStr">
        <is>
          <t>God forgives sin.</t>
        </is>
      </c>
      <c r="I19" s="7" t="inlineStr">
        <is>
          <t>Shared forgiving action.</t>
        </is>
      </c>
      <c r="J19" s="7" t="inlineStr">
        <is>
          <t>See Inherited 57</t>
        </is>
      </c>
    </row>
    <row r="20">
      <c r="A20" s="7" t="inlineStr">
        <is>
          <t>Inherited creed/confession</t>
        </is>
      </c>
      <c r="B20" s="7" t="inlineStr">
        <is>
          <t>RNR-H19</t>
        </is>
      </c>
      <c r="C20" s="7" t="inlineStr">
        <is>
          <t>Kataphatic</t>
        </is>
      </c>
      <c r="D20" s="7" t="inlineStr">
        <is>
          <t>Love, mercy, grace &amp; glory</t>
        </is>
      </c>
      <c r="E20" s="7" t="inlineStr">
        <is>
          <t>Blessed</t>
        </is>
      </c>
      <c r="F20" s="7" t="inlineStr">
        <is>
          <t>A</t>
        </is>
      </c>
      <c r="G20" s="7" t="inlineStr">
        <is>
          <t>Continuity</t>
        </is>
      </c>
      <c r="H20" s="7" t="inlineStr">
        <is>
          <t>God is blessed; all blessedness is in Him.</t>
        </is>
      </c>
      <c r="I20" s="7" t="inlineStr">
        <is>
          <t>Shared. Both traditions affirm this of God in the same sense.</t>
        </is>
      </c>
      <c r="J20" s="7" t="inlineStr">
        <is>
          <t>See Inherited 57</t>
        </is>
      </c>
    </row>
    <row r="21" ht="15.75" customHeight="1" s="29">
      <c r="A21" s="7" t="inlineStr">
        <is>
          <t>Inherited creed/confession</t>
        </is>
      </c>
      <c r="B21" s="7" t="inlineStr">
        <is>
          <t>RNR-H20</t>
        </is>
      </c>
      <c r="C21" s="7" t="inlineStr">
        <is>
          <t>Kataphatic</t>
        </is>
      </c>
      <c r="D21" s="7" t="inlineStr">
        <is>
          <t>Love, mercy, grace &amp; glory</t>
        </is>
      </c>
      <c r="E21" s="7" t="inlineStr">
        <is>
          <t>Glorious</t>
        </is>
      </c>
      <c r="F21" s="7" t="inlineStr">
        <is>
          <t>A</t>
        </is>
      </c>
      <c r="G21" s="7" t="inlineStr">
        <is>
          <t>Continuity</t>
        </is>
      </c>
      <c r="H21" s="7" t="inlineStr">
        <is>
          <t>God is glorious.</t>
        </is>
      </c>
      <c r="I21" s="7" t="inlineStr">
        <is>
          <t>Shared divine glory.</t>
        </is>
      </c>
      <c r="J21" s="7" t="inlineStr">
        <is>
          <t>See Inherited 57</t>
        </is>
      </c>
    </row>
    <row r="22" ht="15.75" customHeight="1" s="29">
      <c r="A22" s="7" t="inlineStr">
        <is>
          <t>Inherited creed/confession</t>
        </is>
      </c>
      <c r="B22" s="7" t="inlineStr">
        <is>
          <t>RNR-H21</t>
        </is>
      </c>
      <c r="C22" s="7" t="inlineStr">
        <is>
          <t>Kataphatic</t>
        </is>
      </c>
      <c r="D22" s="7" t="inlineStr">
        <is>
          <t>Divine action, providence &amp; salvation</t>
        </is>
      </c>
      <c r="E22" s="7" t="inlineStr">
        <is>
          <t>Life-giving</t>
        </is>
      </c>
      <c r="F22" s="7" t="inlineStr">
        <is>
          <t>A</t>
        </is>
      </c>
      <c r="G22" s="7" t="inlineStr">
        <is>
          <t>Continuity</t>
        </is>
      </c>
      <c r="H22" s="7" t="inlineStr">
        <is>
          <t>God gives life.</t>
        </is>
      </c>
      <c r="I22" s="7" t="inlineStr">
        <is>
          <t>Shared life-giving divine action.</t>
        </is>
      </c>
      <c r="J22" s="7" t="inlineStr">
        <is>
          <t>See Inherited 57</t>
        </is>
      </c>
    </row>
    <row r="23" ht="15.75" customHeight="1" s="29">
      <c r="A23" s="7" t="inlineStr">
        <is>
          <t>Inherited creed/confession</t>
        </is>
      </c>
      <c r="B23" s="7" t="inlineStr">
        <is>
          <t>RNR-H22</t>
        </is>
      </c>
      <c r="C23" s="7" t="inlineStr">
        <is>
          <t>Kataphatic</t>
        </is>
      </c>
      <c r="D23" s="7" t="inlineStr">
        <is>
          <t>Divine action, providence &amp; salvation</t>
        </is>
      </c>
      <c r="E23" s="7" t="inlineStr">
        <is>
          <t>Creator / Maker</t>
        </is>
      </c>
      <c r="F23" s="7" t="inlineStr">
        <is>
          <t>Q</t>
        </is>
      </c>
      <c r="G23" s="7" t="inlineStr">
        <is>
          <t>Reconstruction / qualified continuity</t>
        </is>
      </c>
      <c r="H23" s="7" t="inlineStr">
        <is>
          <t>Affirms divine causation of created existence.</t>
        </is>
      </c>
      <c r="I23" s="7" t="inlineStr">
        <is>
          <t>Creator/Maker confession is shared; creation ontology/mechanics are materially redefined around preexistent reality.</t>
        </is>
      </c>
      <c r="J23" s="7" t="inlineStr">
        <is>
          <t>See Inherited 57</t>
        </is>
      </c>
    </row>
    <row r="24" ht="15.75" customHeight="1" s="29">
      <c r="A24" s="7" t="inlineStr">
        <is>
          <t>Inherited creed/confession</t>
        </is>
      </c>
      <c r="B24" s="7" t="inlineStr">
        <is>
          <t>RNR-H23</t>
        </is>
      </c>
      <c r="C24" s="7" t="inlineStr">
        <is>
          <t>Kataphatic</t>
        </is>
      </c>
      <c r="D24" s="7" t="inlineStr">
        <is>
          <t>Divine action, providence &amp; salvation</t>
        </is>
      </c>
      <c r="E24" s="7" t="inlineStr">
        <is>
          <t>Preserver / Sustainer</t>
        </is>
      </c>
      <c r="F24" s="7" t="inlineStr">
        <is>
          <t>A</t>
        </is>
      </c>
      <c r="G24" s="7" t="inlineStr">
        <is>
          <t>Continuity</t>
        </is>
      </c>
      <c r="H24" s="7" t="inlineStr">
        <is>
          <t>God preserves and sustains all things.</t>
        </is>
      </c>
      <c r="I24" s="7" t="inlineStr">
        <is>
          <t>Shared sustaining/preserving action; stronger continuous ontological-conservation theory remains a thick-layer issue.</t>
        </is>
      </c>
      <c r="J24" s="7" t="inlineStr">
        <is>
          <t>See Inherited 57</t>
        </is>
      </c>
    </row>
    <row r="25" ht="15.75" customHeight="1" s="29">
      <c r="A25" s="7" t="inlineStr">
        <is>
          <t>Inherited creed/confession</t>
        </is>
      </c>
      <c r="B25" s="7" t="inlineStr">
        <is>
          <t>RNR-H24</t>
        </is>
      </c>
      <c r="C25" s="7" t="inlineStr">
        <is>
          <t>Kataphatic</t>
        </is>
      </c>
      <c r="D25" s="7" t="inlineStr">
        <is>
          <t>Divine action, providence &amp; salvation</t>
        </is>
      </c>
      <c r="E25" s="7" t="inlineStr">
        <is>
          <t>Governor / Ruler</t>
        </is>
      </c>
      <c r="F25" s="7" t="inlineStr">
        <is>
          <t>A</t>
        </is>
      </c>
      <c r="G25" s="7" t="inlineStr">
        <is>
          <t>Continuity</t>
        </is>
      </c>
      <c r="H25" s="7" t="inlineStr">
        <is>
          <t>God governs all things.</t>
        </is>
      </c>
      <c r="I25" s="7" t="inlineStr">
        <is>
          <t>Shared providential governance.</t>
        </is>
      </c>
      <c r="J25" s="7" t="inlineStr">
        <is>
          <t>See Inherited 57</t>
        </is>
      </c>
    </row>
    <row r="26" ht="15.75" customHeight="1" s="29">
      <c r="A26" s="7" t="inlineStr">
        <is>
          <t>Inherited creed/confession</t>
        </is>
      </c>
      <c r="B26" s="7" t="inlineStr">
        <is>
          <t>RNR-H25</t>
        </is>
      </c>
      <c r="C26" s="7" t="inlineStr">
        <is>
          <t>Kataphatic</t>
        </is>
      </c>
      <c r="D26" s="7" t="inlineStr">
        <is>
          <t>Divine action, providence &amp; salvation</t>
        </is>
      </c>
      <c r="E26" s="7" t="inlineStr">
        <is>
          <t>Sovereign</t>
        </is>
      </c>
      <c r="F26" s="7" t="inlineStr">
        <is>
          <t>A</t>
        </is>
      </c>
      <c r="G26" s="7" t="inlineStr">
        <is>
          <t>Continuity</t>
        </is>
      </c>
      <c r="H26" s="7" t="inlineStr">
        <is>
          <t>God is sovereign over all.</t>
        </is>
      </c>
      <c r="I26" s="7" t="inlineStr">
        <is>
          <t>Shared divine sovereignty.</t>
        </is>
      </c>
      <c r="J26" s="7" t="inlineStr">
        <is>
          <t>See Inherited 57</t>
        </is>
      </c>
    </row>
    <row r="27" ht="15.75" customHeight="1" s="29">
      <c r="A27" s="7" t="inlineStr">
        <is>
          <t>Inherited creed/confession</t>
        </is>
      </c>
      <c r="B27" s="7" t="inlineStr">
        <is>
          <t>RNR-H26</t>
        </is>
      </c>
      <c r="C27" s="7" t="inlineStr">
        <is>
          <t>Kataphatic</t>
        </is>
      </c>
      <c r="D27" s="7" t="inlineStr">
        <is>
          <t>Divine action, providence &amp; salvation</t>
        </is>
      </c>
      <c r="E27" s="7" t="inlineStr">
        <is>
          <t>Judge</t>
        </is>
      </c>
      <c r="F27" s="7" t="inlineStr">
        <is>
          <t>A</t>
        </is>
      </c>
      <c r="G27" s="7" t="inlineStr">
        <is>
          <t>Continuity</t>
        </is>
      </c>
      <c r="H27" s="7" t="inlineStr">
        <is>
          <t>God judges all people.</t>
        </is>
      </c>
      <c r="I27" s="7" t="inlineStr">
        <is>
          <t>Shared divine judgment.</t>
        </is>
      </c>
      <c r="J27" s="7" t="inlineStr">
        <is>
          <t>See Inherited 57</t>
        </is>
      </c>
    </row>
    <row r="28" ht="15.75" customHeight="1" s="29">
      <c r="A28" s="7" t="inlineStr">
        <is>
          <t>Inherited creed/confession</t>
        </is>
      </c>
      <c r="B28" s="7" t="inlineStr">
        <is>
          <t>RNR-H27</t>
        </is>
      </c>
      <c r="C28" s="7" t="inlineStr">
        <is>
          <t>Kataphatic</t>
        </is>
      </c>
      <c r="D28" s="7" t="inlineStr">
        <is>
          <t>Divine action, providence &amp; salvation</t>
        </is>
      </c>
      <c r="E28" s="7" t="inlineStr">
        <is>
          <t>Savior</t>
        </is>
      </c>
      <c r="F28" s="7" t="inlineStr">
        <is>
          <t>A</t>
        </is>
      </c>
      <c r="G28" s="7" t="inlineStr">
        <is>
          <t>Continuity</t>
        </is>
      </c>
      <c r="H28" s="7" t="inlineStr">
        <is>
          <t>God saves; Jesus Christ is the Savior.</t>
        </is>
      </c>
      <c r="I28" s="7" t="inlineStr">
        <is>
          <t>Shared saving/redemptive action.</t>
        </is>
      </c>
      <c r="J28" s="7" t="inlineStr">
        <is>
          <t>See Inherited 57</t>
        </is>
      </c>
    </row>
    <row r="29" ht="15.75" customHeight="1" s="29">
      <c r="A29" s="7" t="inlineStr">
        <is>
          <t>Inherited creed/confession</t>
        </is>
      </c>
      <c r="B29" s="7" t="inlineStr">
        <is>
          <t>RNR-H28</t>
        </is>
      </c>
      <c r="C29" s="7" t="inlineStr">
        <is>
          <t>Kataphatic</t>
        </is>
      </c>
      <c r="D29" s="7" t="inlineStr">
        <is>
          <t>Divine action, providence &amp; salvation</t>
        </is>
      </c>
      <c r="E29" s="7" t="inlineStr">
        <is>
          <t>Revealer</t>
        </is>
      </c>
      <c r="F29" s="7" t="inlineStr">
        <is>
          <t>A</t>
        </is>
      </c>
      <c r="G29" s="7" t="inlineStr">
        <is>
          <t>Continuity</t>
        </is>
      </c>
      <c r="H29" s="7" t="inlineStr">
        <is>
          <t>God reveals Himself.</t>
        </is>
      </c>
      <c r="I29" s="7" t="inlineStr">
        <is>
          <t>Shared divine revelation/self-communication.</t>
        </is>
      </c>
      <c r="J29" s="7" t="inlineStr">
        <is>
          <t>See Inherited 57</t>
        </is>
      </c>
    </row>
    <row r="30" ht="15.75" customHeight="1" s="29">
      <c r="A30" s="7" t="inlineStr">
        <is>
          <t>Inherited creed/confession</t>
        </is>
      </c>
      <c r="B30" s="7" t="inlineStr">
        <is>
          <t>RNR-H29</t>
        </is>
      </c>
      <c r="C30" s="7" t="inlineStr">
        <is>
          <t>Kataphatic</t>
        </is>
      </c>
      <c r="D30" s="7" t="inlineStr">
        <is>
          <t>Divine action, providence &amp; salvation</t>
        </is>
      </c>
      <c r="E30" s="7" t="inlineStr">
        <is>
          <t>Fountain of being</t>
        </is>
      </c>
      <c r="F30" s="7" t="inlineStr">
        <is>
          <t>Q</t>
        </is>
      </c>
      <c r="G30" s="7" t="inlineStr">
        <is>
          <t>Reconstruction / qualified continuity</t>
        </is>
      </c>
      <c r="H30" s="7" t="inlineStr">
        <is>
          <t>Affirms creaturely existence as derived from God.</t>
        </is>
      </c>
      <c r="I30" s="7" t="inlineStr">
        <is>
          <t>Qualified because Restoration ontology affirms coeternal intelligence and elements rather than an exhaustive creator-created binary.</t>
        </is>
      </c>
      <c r="J30" s="7" t="inlineStr">
        <is>
          <t>See Inherited 57</t>
        </is>
      </c>
    </row>
    <row r="31" ht="15.75" customHeight="1" s="29">
      <c r="A31" s="7" t="inlineStr">
        <is>
          <t>Inherited creed/confession</t>
        </is>
      </c>
      <c r="B31" s="7" t="inlineStr">
        <is>
          <t>RNR-H30</t>
        </is>
      </c>
      <c r="C31" s="7" t="inlineStr">
        <is>
          <t>Kataphatic</t>
        </is>
      </c>
      <c r="D31" s="7" t="inlineStr">
        <is>
          <t>Christ &amp; Spirit titles</t>
        </is>
      </c>
      <c r="E31" s="7" t="inlineStr">
        <is>
          <t>Word / Logos</t>
        </is>
      </c>
      <c r="F31" s="7" t="inlineStr">
        <is>
          <t>A</t>
        </is>
      </c>
      <c r="G31" s="7" t="inlineStr">
        <is>
          <t>Continuity</t>
        </is>
      </c>
      <c r="H31" s="7" t="inlineStr">
        <is>
          <t>Jesus Christ is the Word.</t>
        </is>
      </c>
      <c r="I31" s="7" t="inlineStr">
        <is>
          <t>Shared identification/title of Christ.</t>
        </is>
      </c>
      <c r="J31" s="7" t="inlineStr">
        <is>
          <t>See Inherited 57</t>
        </is>
      </c>
    </row>
    <row r="32" ht="15.75" customHeight="1" s="29">
      <c r="A32" s="7" t="inlineStr">
        <is>
          <t>Inherited creed/confession</t>
        </is>
      </c>
      <c r="B32" s="7" t="inlineStr">
        <is>
          <t>RNR-H31</t>
        </is>
      </c>
      <c r="C32" s="7" t="inlineStr">
        <is>
          <t>Kataphatic</t>
        </is>
      </c>
      <c r="D32" s="7" t="inlineStr">
        <is>
          <t>Christ &amp; Spirit titles</t>
        </is>
      </c>
      <c r="E32" s="7" t="inlineStr">
        <is>
          <t>Wisdom</t>
        </is>
      </c>
      <c r="F32" s="7" t="inlineStr">
        <is>
          <t>A</t>
        </is>
      </c>
      <c r="G32" s="7" t="inlineStr">
        <is>
          <t>Continuity</t>
        </is>
      </c>
      <c r="H32" s="7" t="inlineStr">
        <is>
          <t>Jesus Christ is the Wisdom of God.</t>
        </is>
      </c>
      <c r="I32" s="7" t="inlineStr">
        <is>
          <t>Shared christological title/metaphor at the accepted floor.</t>
        </is>
      </c>
      <c r="J32" s="7" t="inlineStr">
        <is>
          <t>See Inherited 57</t>
        </is>
      </c>
    </row>
    <row r="33" ht="15.75" customHeight="1" s="29">
      <c r="A33" s="7" t="inlineStr">
        <is>
          <t>Inherited creed/confession</t>
        </is>
      </c>
      <c r="B33" s="7" t="inlineStr">
        <is>
          <t>RNR-H32</t>
        </is>
      </c>
      <c r="C33" s="7" t="inlineStr">
        <is>
          <t>Kataphatic</t>
        </is>
      </c>
      <c r="D33" s="7" t="inlineStr">
        <is>
          <t>Christ &amp; Spirit titles</t>
        </is>
      </c>
      <c r="E33" s="7" t="inlineStr">
        <is>
          <t>Light</t>
        </is>
      </c>
      <c r="F33" s="7" t="inlineStr">
        <is>
          <t>A</t>
        </is>
      </c>
      <c r="G33" s="7" t="inlineStr">
        <is>
          <t>Continuity</t>
        </is>
      </c>
      <c r="H33" s="7" t="inlineStr">
        <is>
          <t>Names Christ as the Light.</t>
        </is>
      </c>
      <c r="I33" s="7" t="inlineStr">
        <is>
          <t>Shared christological light language at the accepted floor.</t>
        </is>
      </c>
      <c r="J33" s="7" t="inlineStr">
        <is>
          <t>See Inherited 57</t>
        </is>
      </c>
    </row>
    <row r="34" ht="15.75" customHeight="1" s="29">
      <c r="A34" s="7" t="inlineStr">
        <is>
          <t>Inherited creed/confession</t>
        </is>
      </c>
      <c r="B34" s="7" t="inlineStr">
        <is>
          <t>RNR-H33</t>
        </is>
      </c>
      <c r="C34" s="7" t="inlineStr">
        <is>
          <t>Kataphatic</t>
        </is>
      </c>
      <c r="D34" s="7" t="inlineStr">
        <is>
          <t>Christ &amp; Spirit titles</t>
        </is>
      </c>
      <c r="E34" s="7" t="inlineStr">
        <is>
          <t>Image of the Father</t>
        </is>
      </c>
      <c r="F34" s="7" t="inlineStr">
        <is>
          <t>A</t>
        </is>
      </c>
      <c r="G34" s="7" t="inlineStr">
        <is>
          <t>Continuity</t>
        </is>
      </c>
      <c r="H34" s="7" t="inlineStr">
        <is>
          <t>Jesus Christ is the image of the Father.</t>
        </is>
      </c>
      <c r="I34" s="7" t="inlineStr">
        <is>
          <t>Shared image/manifestation language at the accepted floor.</t>
        </is>
      </c>
      <c r="J34" s="7" t="inlineStr">
        <is>
          <t>See Inherited 57</t>
        </is>
      </c>
    </row>
    <row r="35" ht="15.75" customHeight="1" s="29">
      <c r="A35" s="7" t="inlineStr">
        <is>
          <t>Inherited creed/confession</t>
        </is>
      </c>
      <c r="B35" s="7" t="inlineStr">
        <is>
          <t>RNR-H34</t>
        </is>
      </c>
      <c r="C35" s="7" t="inlineStr">
        <is>
          <t>Kataphatic</t>
        </is>
      </c>
      <c r="D35" s="7" t="inlineStr">
        <is>
          <t>Christ &amp; Spirit titles</t>
        </is>
      </c>
      <c r="E35" s="7" t="inlineStr">
        <is>
          <t>Giver of life</t>
        </is>
      </c>
      <c r="F35" s="7" t="inlineStr">
        <is>
          <t>A</t>
        </is>
      </c>
      <c r="G35" s="7" t="inlineStr">
        <is>
          <t>Continuity</t>
        </is>
      </c>
      <c r="H35" s="7" t="inlineStr">
        <is>
          <t>The Holy Spirit gives life.</t>
        </is>
      </c>
      <c r="I35" s="7" t="inlineStr">
        <is>
          <t>Shared life-giving agency of the Spirit.</t>
        </is>
      </c>
      <c r="J35" s="7" t="inlineStr">
        <is>
          <t>See Inherited 57</t>
        </is>
      </c>
    </row>
    <row r="36" ht="15.75" customHeight="1" s="29">
      <c r="A36" s="7" t="inlineStr">
        <is>
          <t>Inherited creed/confession</t>
        </is>
      </c>
      <c r="B36" s="7" t="inlineStr">
        <is>
          <t>RNR-H35</t>
        </is>
      </c>
      <c r="C36" s="7" t="inlineStr">
        <is>
          <t>Kataphatic</t>
        </is>
      </c>
      <c r="D36" s="7" t="inlineStr">
        <is>
          <t>Christ &amp; Spirit titles</t>
        </is>
      </c>
      <c r="E36" s="7" t="inlineStr">
        <is>
          <t>Eternal power and might</t>
        </is>
      </c>
      <c r="F36" s="7" t="inlineStr">
        <is>
          <t>A</t>
        </is>
      </c>
      <c r="G36" s="7" t="inlineStr">
        <is>
          <t>Continuity</t>
        </is>
      </c>
      <c r="H36" s="7" t="inlineStr">
        <is>
          <t>The Holy Spirit is eternal power and might.</t>
        </is>
      </c>
      <c r="I36" s="7" t="inlineStr">
        <is>
          <t>Shared divine power of the Spirit.</t>
        </is>
      </c>
      <c r="J36" s="7" t="inlineStr">
        <is>
          <t>See Inherited 57</t>
        </is>
      </c>
    </row>
    <row r="37" ht="15.75" customHeight="1" s="29">
      <c r="A37" s="7" t="inlineStr">
        <is>
          <t>Inherited creed/confession</t>
        </is>
      </c>
      <c r="B37" s="7" t="inlineStr">
        <is>
          <t>RNR-H36</t>
        </is>
      </c>
      <c r="C37" s="7" t="inlineStr">
        <is>
          <t>Apophatic / privative</t>
        </is>
      </c>
      <c r="D37" s="7" t="inlineStr">
        <is>
          <t>Beginninglessness &amp; non-finitude</t>
        </is>
      </c>
      <c r="E37" s="7" t="inlineStr">
        <is>
          <t>Uncreated</t>
        </is>
      </c>
      <c r="F37" s="7" t="inlineStr">
        <is>
          <t>Q</t>
        </is>
      </c>
      <c r="G37" s="7" t="inlineStr">
        <is>
          <t>Reconstruction / qualified continuity</t>
        </is>
      </c>
      <c r="H37" s="7" t="inlineStr">
        <is>
          <t>Denies dependence on a creator or originating act.</t>
        </is>
      </c>
      <c r="I37" s="7" t="inlineStr">
        <is>
          <t>Beginningless divine reality is affirmed; the exhaustive God-versus-created-reality binary is rejected.</t>
        </is>
      </c>
      <c r="J37" s="7" t="inlineStr">
        <is>
          <t>See Inherited 57</t>
        </is>
      </c>
    </row>
    <row r="38" ht="15.75" customHeight="1" s="29">
      <c r="A38" s="7" t="inlineStr">
        <is>
          <t>Inherited creed/confession</t>
        </is>
      </c>
      <c r="B38" s="7" t="inlineStr">
        <is>
          <t>RNR-H37</t>
        </is>
      </c>
      <c r="C38" s="7" t="inlineStr">
        <is>
          <t>Apophatic / privative</t>
        </is>
      </c>
      <c r="D38" s="7" t="inlineStr">
        <is>
          <t>Beginninglessness &amp; non-finitude</t>
        </is>
      </c>
      <c r="E38" s="7" t="inlineStr">
        <is>
          <t>Unbegotten</t>
        </is>
      </c>
      <c r="F38" s="7" t="inlineStr">
        <is>
          <t>Q</t>
        </is>
      </c>
      <c r="G38" s="7" t="inlineStr">
        <is>
          <t>Reconstruction / qualified continuity</t>
        </is>
      </c>
      <c r="H38" s="7" t="inlineStr">
        <is>
          <t>Denies generation from another.</t>
        </is>
      </c>
      <c r="I38" s="7" t="inlineStr">
        <is>
          <t>Beginninglessness/source-status concern is shared; absolute 'from none' versus antecedent divine lineage remains a material qualification.</t>
        </is>
      </c>
      <c r="J38" s="7" t="inlineStr">
        <is>
          <t>See Inherited 57</t>
        </is>
      </c>
    </row>
    <row r="39" ht="15.75" customHeight="1" s="29">
      <c r="A39" s="7" t="inlineStr">
        <is>
          <t>Inherited creed/confession</t>
        </is>
      </c>
      <c r="B39" s="7" t="inlineStr">
        <is>
          <t>RNR-H38</t>
        </is>
      </c>
      <c r="C39" s="7" t="inlineStr">
        <is>
          <t>Negative delimiter</t>
        </is>
      </c>
      <c r="D39" s="7" t="inlineStr">
        <is>
          <t>Beginninglessness &amp; non-finitude</t>
        </is>
      </c>
      <c r="E39" s="7" t="inlineStr">
        <is>
          <t>Not made</t>
        </is>
      </c>
      <c r="F39" s="7" t="inlineStr">
        <is>
          <t>Q</t>
        </is>
      </c>
      <c r="G39" s="7" t="inlineStr">
        <is>
          <t>Reconstruction / qualified continuity</t>
        </is>
      </c>
      <c r="H39" s="7" t="inlineStr">
        <is>
          <t>Denies that the Son is a created being.</t>
        </is>
      </c>
      <c r="I39" s="7" t="inlineStr">
        <is>
          <t>Qualified by Restoration distinctions among intelligence, spirit birth, embodiment, and creation.</t>
        </is>
      </c>
      <c r="J39" s="7" t="inlineStr">
        <is>
          <t>See Inherited 57</t>
        </is>
      </c>
    </row>
    <row r="40" ht="15.75" customHeight="1" s="29">
      <c r="A40" s="7" t="inlineStr">
        <is>
          <t>Inherited creed/confession</t>
        </is>
      </c>
      <c r="B40" s="7" t="inlineStr">
        <is>
          <t>RNR-H39</t>
        </is>
      </c>
      <c r="C40" s="7" t="inlineStr">
        <is>
          <t>Apophatic / privative</t>
        </is>
      </c>
      <c r="D40" s="7" t="inlineStr">
        <is>
          <t>Beginninglessness &amp; non-finitude</t>
        </is>
      </c>
      <c r="E40" s="7" t="inlineStr">
        <is>
          <t>Infinite</t>
        </is>
      </c>
      <c r="F40" s="7" t="inlineStr">
        <is>
          <t>Q</t>
        </is>
      </c>
      <c r="G40" s="7" t="inlineStr">
        <is>
          <t>Reconstruction / qualified continuity</t>
        </is>
      </c>
      <c r="H40" s="7" t="inlineStr">
        <is>
          <t>Denies finite limitation.</t>
        </is>
      </c>
      <c r="I40" s="7" t="inlineStr">
        <is>
          <t>Shared unlimited perfection/transcendence; blanket non-finitude is too thick where divine personal presence is embodied/determinate.</t>
        </is>
      </c>
      <c r="J40" s="7" t="inlineStr">
        <is>
          <t>See Inherited 57</t>
        </is>
      </c>
    </row>
    <row r="41" ht="15.75" customHeight="1" s="29">
      <c r="A41" s="7" t="inlineStr">
        <is>
          <t>Inherited creed/confession</t>
        </is>
      </c>
      <c r="B41" s="7" t="inlineStr">
        <is>
          <t>RNR-H40</t>
        </is>
      </c>
      <c r="C41" s="7" t="inlineStr">
        <is>
          <t>Apophatic / privative</t>
        </is>
      </c>
      <c r="D41" s="7" t="inlineStr">
        <is>
          <t>Beginninglessness &amp; non-finitude</t>
        </is>
      </c>
      <c r="E41" s="7" t="inlineStr">
        <is>
          <t>Immense / immeasurable</t>
        </is>
      </c>
      <c r="F41" s="7" t="inlineStr">
        <is>
          <t>Q</t>
        </is>
      </c>
      <c r="G41" s="7" t="inlineStr">
        <is>
          <t>Reconstruction / qualified continuity</t>
        </is>
      </c>
      <c r="H41" s="7" t="inlineStr">
        <is>
          <t>Denies spatial or metaphysical circumscription.</t>
        </is>
      </c>
      <c r="I41" s="7" t="inlineStr">
        <is>
          <t>Embodied personal presence is distinguished from universally operative light, knowledge, power, and governance.</t>
        </is>
      </c>
      <c r="J41" s="7" t="inlineStr">
        <is>
          <t>See Inherited 57</t>
        </is>
      </c>
    </row>
    <row r="42" ht="15.75" customHeight="1" s="29">
      <c r="A42" s="7" t="inlineStr">
        <is>
          <t>Inherited creed/confession</t>
        </is>
      </c>
      <c r="B42" s="7" t="inlineStr">
        <is>
          <t>RNR-H41</t>
        </is>
      </c>
      <c r="C42" s="7" t="inlineStr">
        <is>
          <t>Apophatic / privative</t>
        </is>
      </c>
      <c r="D42" s="7" t="inlineStr">
        <is>
          <t>Embodiment &amp; classical divine metaphysics</t>
        </is>
      </c>
      <c r="E42" s="7" t="inlineStr">
        <is>
          <t>Invisible</t>
        </is>
      </c>
      <c r="F42" s="7" t="inlineStr">
        <is>
          <t>D</t>
        </is>
      </c>
      <c r="G42" s="7" t="inlineStr">
        <is>
          <t>Rejection / direct divergence</t>
        </is>
      </c>
      <c r="H42" s="7" t="inlineStr">
        <is>
          <t>Denies perceptibility by bodily sight.</t>
        </is>
      </c>
      <c r="I42" s="7" t="inlineStr">
        <is>
          <t>Direct divergence only when invisibility is treated as an intrinsic or absolute property of divine being.</t>
        </is>
      </c>
      <c r="J42" s="7" t="inlineStr">
        <is>
          <t>See Inherited 57</t>
        </is>
      </c>
    </row>
    <row r="43" ht="15.75" customHeight="1" s="29">
      <c r="A43" s="7" t="inlineStr">
        <is>
          <t>Inherited creed/confession</t>
        </is>
      </c>
      <c r="B43" s="7" t="inlineStr">
        <is>
          <t>RNR-H42</t>
        </is>
      </c>
      <c r="C43" s="7" t="inlineStr">
        <is>
          <t>Apophatic / privative</t>
        </is>
      </c>
      <c r="D43" s="7" t="inlineStr">
        <is>
          <t>Embodiment &amp; classical divine metaphysics</t>
        </is>
      </c>
      <c r="E43" s="7" t="inlineStr">
        <is>
          <t>Incorporeal / without body</t>
        </is>
      </c>
      <c r="F43" s="7" t="inlineStr">
        <is>
          <t>D</t>
        </is>
      </c>
      <c r="G43" s="7" t="inlineStr">
        <is>
          <t>Rejection / direct divergence</t>
        </is>
      </c>
      <c r="H43" s="7" t="inlineStr">
        <is>
          <t>Denies material embodiment.</t>
        </is>
      </c>
      <c r="I43" s="7" t="inlineStr">
        <is>
          <t>Directly conflicts with the Father's tangible glorified body.</t>
        </is>
      </c>
      <c r="J43" s="7" t="inlineStr">
        <is>
          <t>See Inherited 57</t>
        </is>
      </c>
    </row>
    <row r="44" ht="15.75" customHeight="1" s="29">
      <c r="A44" s="7" t="inlineStr">
        <is>
          <t>Inherited creed/confession</t>
        </is>
      </c>
      <c r="B44" s="7" t="inlineStr">
        <is>
          <t>RNR-H43</t>
        </is>
      </c>
      <c r="C44" s="7" t="inlineStr">
        <is>
          <t>Apophatic / privative</t>
        </is>
      </c>
      <c r="D44" s="7" t="inlineStr">
        <is>
          <t>Embodiment &amp; classical divine metaphysics</t>
        </is>
      </c>
      <c r="E44" s="7" t="inlineStr">
        <is>
          <t>Without parts / simple</t>
        </is>
      </c>
      <c r="F44" s="7" t="inlineStr">
        <is>
          <t>D</t>
        </is>
      </c>
      <c r="G44" s="7" t="inlineStr">
        <is>
          <t>Rejection / direct divergence</t>
        </is>
      </c>
      <c r="H44" s="7" t="inlineStr">
        <is>
          <t>Denies metaphysical composition.</t>
        </is>
      </c>
      <c r="I44" s="7" t="inlineStr">
        <is>
          <t>Direct divergence in the accepted classical sense of absolute divine simplicity.</t>
        </is>
      </c>
      <c r="J44" s="7" t="inlineStr">
        <is>
          <t>See Inherited 57</t>
        </is>
      </c>
    </row>
    <row r="45" ht="15.75" customHeight="1" s="29">
      <c r="A45" s="7" t="inlineStr">
        <is>
          <t>Inherited creed/confession</t>
        </is>
      </c>
      <c r="B45" s="7" t="inlineStr">
        <is>
          <t>RNR-H44</t>
        </is>
      </c>
      <c r="C45" s="7" t="inlineStr">
        <is>
          <t>Apophatic / privative</t>
        </is>
      </c>
      <c r="D45" s="7" t="inlineStr">
        <is>
          <t>Embodiment &amp; classical divine metaphysics</t>
        </is>
      </c>
      <c r="E45" s="7" t="inlineStr">
        <is>
          <t>Without passions / impassible</t>
        </is>
      </c>
      <c r="F45" s="7" t="inlineStr">
        <is>
          <t>D</t>
        </is>
      </c>
      <c r="G45" s="7" t="inlineStr">
        <is>
          <t>Rejection / direct divergence</t>
        </is>
      </c>
      <c r="H45" s="7" t="inlineStr">
        <is>
          <t>Denies that God can be moved or affected by His creatures (classical impassibility).</t>
        </is>
      </c>
      <c r="I45" s="7" t="inlineStr">
        <is>
          <t>Direct divergence from strong classical impassibility.</t>
        </is>
      </c>
      <c r="J45" s="7" t="inlineStr">
        <is>
          <t>See Inherited 57</t>
        </is>
      </c>
    </row>
    <row r="46" ht="15.75" customHeight="1" s="29">
      <c r="A46" s="7" t="inlineStr">
        <is>
          <t>Inherited creed/confession</t>
        </is>
      </c>
      <c r="B46" s="7" t="inlineStr">
        <is>
          <t>RNR-H45</t>
        </is>
      </c>
      <c r="C46" s="7" t="inlineStr">
        <is>
          <t>Apophatic / privative</t>
        </is>
      </c>
      <c r="D46" s="7" t="inlineStr">
        <is>
          <t>Embodiment &amp; classical divine metaphysics</t>
        </is>
      </c>
      <c r="E46" s="7" t="inlineStr">
        <is>
          <t>Immutable / unchangeable</t>
        </is>
      </c>
      <c r="F46" s="7" t="inlineStr">
        <is>
          <t>Q</t>
        </is>
      </c>
      <c r="G46" s="7" t="inlineStr">
        <is>
          <t>Reconstruction / qualified continuity</t>
        </is>
      </c>
      <c r="H46" s="7" t="inlineStr">
        <is>
          <t>Denies change.</t>
        </is>
      </c>
      <c r="I46" s="7" t="inlineStr">
        <is>
          <t>Constancy of character, purpose, covenant faithfulness, and moral perfection is shared; strong metaphysical immutability is not imported.</t>
        </is>
      </c>
      <c r="J46" s="7" t="inlineStr">
        <is>
          <t>See Inherited 57</t>
        </is>
      </c>
    </row>
    <row r="47" ht="15.75" customHeight="1" s="29">
      <c r="A47" s="7" t="inlineStr">
        <is>
          <t>Inherited creed/confession</t>
        </is>
      </c>
      <c r="B47" s="7" t="inlineStr">
        <is>
          <t>RNR-H46</t>
        </is>
      </c>
      <c r="C47" s="7" t="inlineStr">
        <is>
          <t>Apophatic / privative</t>
        </is>
      </c>
      <c r="D47" s="7" t="inlineStr">
        <is>
          <t>Eternity &amp; epistemic transcendence</t>
        </is>
      </c>
      <c r="E47" s="7" t="inlineStr">
        <is>
          <t>Eternal</t>
        </is>
      </c>
      <c r="F47" s="7" t="inlineStr">
        <is>
          <t>A</t>
        </is>
      </c>
      <c r="G47" s="7" t="inlineStr">
        <is>
          <t>Continuity</t>
        </is>
      </c>
      <c r="H47" s="7" t="inlineStr">
        <is>
          <t>God is eternal — without beginning or end.</t>
        </is>
      </c>
      <c r="I47" s="7" t="inlineStr">
        <is>
          <t>A controls only beginningless/endless divine existence or duration; timelessness/denial of temporal succession is excluded.</t>
        </is>
      </c>
      <c r="J47" s="7" t="inlineStr">
        <is>
          <t>See Inherited 57</t>
        </is>
      </c>
    </row>
    <row r="48" ht="15.75" customHeight="1" s="29">
      <c r="A48" s="7" t="inlineStr">
        <is>
          <t>Inherited creed/confession</t>
        </is>
      </c>
      <c r="B48" s="7" t="inlineStr">
        <is>
          <t>RNR-H47</t>
        </is>
      </c>
      <c r="C48" s="7" t="inlineStr">
        <is>
          <t>Apophatic proper</t>
        </is>
      </c>
      <c r="D48" s="7" t="inlineStr">
        <is>
          <t>Eternity &amp; epistemic transcendence</t>
        </is>
      </c>
      <c r="E48" s="7" t="inlineStr">
        <is>
          <t>Incomprehensible</t>
        </is>
      </c>
      <c r="F48" s="7" t="inlineStr">
        <is>
          <t>A</t>
        </is>
      </c>
      <c r="G48" s="7" t="inlineStr">
        <is>
          <t>Continuity</t>
        </is>
      </c>
      <c r="H48" s="7" t="inlineStr">
        <is>
          <t>God cannot be fully comprehended.</t>
        </is>
      </c>
      <c r="I48" s="7" t="inlineStr">
        <is>
          <t>Compatible with Restoration epistemic humility.</t>
        </is>
      </c>
      <c r="J48" s="7" t="inlineStr">
        <is>
          <t>See Inherited 57</t>
        </is>
      </c>
    </row>
    <row r="49" ht="15.75" customHeight="1" s="29">
      <c r="A49" s="7" t="inlineStr">
        <is>
          <t>Inherited creed/confession</t>
        </is>
      </c>
      <c r="B49" s="7" t="inlineStr">
        <is>
          <t>RNR-H48</t>
        </is>
      </c>
      <c r="C49" s="7" t="inlineStr">
        <is>
          <t>Apophatic proper</t>
        </is>
      </c>
      <c r="D49" s="7" t="inlineStr">
        <is>
          <t>Eternity &amp; epistemic transcendence</t>
        </is>
      </c>
      <c r="E49" s="7" t="inlineStr">
        <is>
          <t>Ineffable</t>
        </is>
      </c>
      <c r="F49" s="7" t="inlineStr">
        <is>
          <t>A</t>
        </is>
      </c>
      <c r="G49" s="7" t="inlineStr">
        <is>
          <t>Continuity</t>
        </is>
      </c>
      <c r="H49" s="7" t="inlineStr">
        <is>
          <t>God cannot be fully put into words.</t>
        </is>
      </c>
      <c r="I49" s="7" t="inlineStr">
        <is>
          <t>Compatible with Restoration epistemic humility.</t>
        </is>
      </c>
      <c r="J49" s="7" t="inlineStr">
        <is>
          <t>See Inherited 57</t>
        </is>
      </c>
    </row>
    <row r="50" ht="15.75" customHeight="1" s="29">
      <c r="A50" s="7" t="inlineStr">
        <is>
          <t>Inherited creed/confession</t>
        </is>
      </c>
      <c r="B50" s="7" t="inlineStr">
        <is>
          <t>RNR-H49</t>
        </is>
      </c>
      <c r="C50" s="7" t="inlineStr">
        <is>
          <t>Apophatic proper</t>
        </is>
      </c>
      <c r="D50" s="7" t="inlineStr">
        <is>
          <t>Eternity &amp; epistemic transcendence</t>
        </is>
      </c>
      <c r="E50" s="7" t="inlineStr">
        <is>
          <t>Inscrutable</t>
        </is>
      </c>
      <c r="F50" s="7" t="inlineStr">
        <is>
          <t>A</t>
        </is>
      </c>
      <c r="G50" s="7" t="inlineStr">
        <is>
          <t>Continuity</t>
        </is>
      </c>
      <c r="H50" s="7" t="inlineStr">
        <is>
          <t>God's counsels cannot be fully searched out.</t>
        </is>
      </c>
      <c r="I50" s="7" t="inlineStr">
        <is>
          <t>Compatible with Restoration epistemic humility.</t>
        </is>
      </c>
      <c r="J50" s="7" t="inlineStr">
        <is>
          <t>See Inherited 57</t>
        </is>
      </c>
    </row>
    <row r="51" ht="15.75" customHeight="1" s="29">
      <c r="A51" s="7" t="inlineStr">
        <is>
          <t>Inherited creed/confession</t>
        </is>
      </c>
      <c r="B51" s="7" t="inlineStr">
        <is>
          <t>RNR-H50</t>
        </is>
      </c>
      <c r="C51" s="7" t="inlineStr">
        <is>
          <t>Apophatic / privative</t>
        </is>
      </c>
      <c r="D51" s="7" t="inlineStr">
        <is>
          <t>Eternity &amp; epistemic transcendence</t>
        </is>
      </c>
      <c r="E51" s="7" t="inlineStr">
        <is>
          <t>Not circumscribed / not contained</t>
        </is>
      </c>
      <c r="F51" s="7" t="inlineStr">
        <is>
          <t>Q</t>
        </is>
      </c>
      <c r="G51" s="7" t="inlineStr">
        <is>
          <t>Reconstruction / qualified continuity</t>
        </is>
      </c>
      <c r="H51" s="7" t="inlineStr">
        <is>
          <t>Denies localization within bounded place.</t>
        </is>
      </c>
      <c r="I51" s="7" t="inlineStr">
        <is>
          <t>Universal divine operation/omnipresence concern is shared while determinate personal presence remains materially differentiated.</t>
        </is>
      </c>
      <c r="J51" s="7" t="inlineStr">
        <is>
          <t>See Inherited 57</t>
        </is>
      </c>
    </row>
    <row r="52" ht="15.75" customHeight="1" s="29">
      <c r="A52" s="7" t="inlineStr">
        <is>
          <t>Inherited creed/confession</t>
        </is>
      </c>
      <c r="B52" s="7" t="inlineStr">
        <is>
          <t>RNR-H51</t>
        </is>
      </c>
      <c r="C52" s="7" t="inlineStr">
        <is>
          <t>Meta-apophatic</t>
        </is>
      </c>
      <c r="D52" s="7" t="inlineStr">
        <is>
          <t>Eternity &amp; epistemic transcendence</t>
        </is>
      </c>
      <c r="E52" s="7" t="inlineStr">
        <is>
          <t>No adequate likeness or comparison</t>
        </is>
      </c>
      <c r="F52" s="7" t="inlineStr">
        <is>
          <t>Q</t>
        </is>
      </c>
      <c r="G52" s="7" t="inlineStr">
        <is>
          <t>Reconstruction / qualified continuity</t>
        </is>
      </c>
      <c r="H52" s="7" t="inlineStr">
        <is>
          <t>Denies univocal or fully adequate Creator-creature correspondence.</t>
        </is>
      </c>
      <c r="I52" s="7" t="inlineStr">
        <is>
          <t>Epistemic restraint is shared, but literal divine-human kinship prevents an absolute denial of likeness.</t>
        </is>
      </c>
      <c r="J52" s="7" t="inlineStr">
        <is>
          <t>See Inherited 57</t>
        </is>
      </c>
    </row>
    <row r="53" ht="15.75" customHeight="1" s="29">
      <c r="A53" s="7" t="inlineStr">
        <is>
          <t>Inherited creed/confession</t>
        </is>
      </c>
      <c r="B53" s="7" t="inlineStr">
        <is>
          <t>RNR-H52</t>
        </is>
      </c>
      <c r="C53" s="7" t="inlineStr">
        <is>
          <t>Christological delimiter</t>
        </is>
      </c>
      <c r="D53" s="7" t="inlineStr">
        <is>
          <t>Christological delimiters</t>
        </is>
      </c>
      <c r="E53" s="7" t="inlineStr">
        <is>
          <t>Without confusion</t>
        </is>
      </c>
      <c r="F53" s="7" t="inlineStr">
        <is>
          <t>Q</t>
        </is>
      </c>
      <c r="G53" s="7" t="inlineStr">
        <is>
          <t>Reconstruction / qualified continuity</t>
        </is>
      </c>
      <c r="H53" s="7" t="inlineStr">
        <is>
          <t>Denies collapse of distinctions.</t>
        </is>
      </c>
      <c r="I53" s="7" t="inlineStr">
        <is>
          <t>Underlying Christological concern is shared without adopting Chalcedonian two-natures metaphysics.</t>
        </is>
      </c>
      <c r="J53" s="7" t="inlineStr">
        <is>
          <t>See Inherited 57</t>
        </is>
      </c>
    </row>
    <row r="54" ht="15.75" customHeight="1" s="29">
      <c r="A54" s="7" t="inlineStr">
        <is>
          <t>Inherited creed/confession</t>
        </is>
      </c>
      <c r="B54" s="7" t="inlineStr">
        <is>
          <t>RNR-H53</t>
        </is>
      </c>
      <c r="C54" s="7" t="inlineStr">
        <is>
          <t>Christological delimiter</t>
        </is>
      </c>
      <c r="D54" s="7" t="inlineStr">
        <is>
          <t>Christological delimiters</t>
        </is>
      </c>
      <c r="E54" s="7" t="inlineStr">
        <is>
          <t>Without change</t>
        </is>
      </c>
      <c r="F54" s="7" t="inlineStr">
        <is>
          <t>Q</t>
        </is>
      </c>
      <c r="G54" s="7" t="inlineStr">
        <is>
          <t>Reconstruction / qualified continuity</t>
        </is>
      </c>
      <c r="H54" s="7" t="inlineStr">
        <is>
          <t>Denies conversion of one nature into another.</t>
        </is>
      </c>
      <c r="I54" s="7" t="inlineStr">
        <is>
          <t>Underlying Christological concern is shared without adopting Chalcedonian two-natures metaphysics.</t>
        </is>
      </c>
      <c r="J54" s="7" t="inlineStr">
        <is>
          <t>See Inherited 57</t>
        </is>
      </c>
    </row>
    <row r="55" ht="15.75" customHeight="1" s="29">
      <c r="A55" s="7" t="inlineStr">
        <is>
          <t>Inherited creed/confession</t>
        </is>
      </c>
      <c r="B55" s="7" t="inlineStr">
        <is>
          <t>RNR-H54</t>
        </is>
      </c>
      <c r="C55" s="7" t="inlineStr">
        <is>
          <t>Christological delimiter</t>
        </is>
      </c>
      <c r="D55" s="7" t="inlineStr">
        <is>
          <t>Christological delimiters</t>
        </is>
      </c>
      <c r="E55" s="7" t="inlineStr">
        <is>
          <t>Without division</t>
        </is>
      </c>
      <c r="F55" s="7" t="inlineStr">
        <is>
          <t>Q</t>
        </is>
      </c>
      <c r="G55" s="7" t="inlineStr">
        <is>
          <t>Reconstruction / qualified continuity</t>
        </is>
      </c>
      <c r="H55" s="7" t="inlineStr">
        <is>
          <t>Denies partition into distinct subjects.</t>
        </is>
      </c>
      <c r="I55" s="7" t="inlineStr">
        <is>
          <t>Underlying Christological concern is shared without adopting Chalcedonian two-natures metaphysics.</t>
        </is>
      </c>
      <c r="J55" s="7" t="inlineStr">
        <is>
          <t>See Inherited 57</t>
        </is>
      </c>
    </row>
    <row r="56" ht="15.75" customHeight="1" s="29">
      <c r="A56" s="7" t="inlineStr">
        <is>
          <t>Inherited creed/confession</t>
        </is>
      </c>
      <c r="B56" s="7" t="inlineStr">
        <is>
          <t>RNR-H55</t>
        </is>
      </c>
      <c r="C56" s="7" t="inlineStr">
        <is>
          <t>Christological delimiter</t>
        </is>
      </c>
      <c r="D56" s="7" t="inlineStr">
        <is>
          <t>Christological delimiters</t>
        </is>
      </c>
      <c r="E56" s="7" t="inlineStr">
        <is>
          <t>Without separation</t>
        </is>
      </c>
      <c r="F56" s="7" t="inlineStr">
        <is>
          <t>Q</t>
        </is>
      </c>
      <c r="G56" s="7" t="inlineStr">
        <is>
          <t>Reconstruction / qualified continuity</t>
        </is>
      </c>
      <c r="H56" s="7" t="inlineStr">
        <is>
          <t>Denies disjunction of Christ's natures.</t>
        </is>
      </c>
      <c r="I56" s="7" t="inlineStr">
        <is>
          <t>Underlying Christological concern is shared without adopting Chalcedonian two-natures metaphysics.</t>
        </is>
      </c>
      <c r="J56" s="7" t="inlineStr">
        <is>
          <t>See Inherited 57</t>
        </is>
      </c>
    </row>
    <row r="57" ht="15.75" customHeight="1" s="29">
      <c r="A57" s="7" t="inlineStr">
        <is>
          <t>Inherited creed/confession</t>
        </is>
      </c>
      <c r="B57" s="7" t="inlineStr">
        <is>
          <t>RNR-H56</t>
        </is>
      </c>
      <c r="C57" s="7" t="inlineStr">
        <is>
          <t>Trinitarian delimiter</t>
        </is>
      </c>
      <c r="D57" s="7" t="inlineStr">
        <is>
          <t>Godhead unity &amp; distinction</t>
        </is>
      </c>
      <c r="E57" s="7" t="inlineStr">
        <is>
          <t>Neither confounding nor dividing</t>
        </is>
      </c>
      <c r="F57" s="7" t="inlineStr">
        <is>
          <t>Q</t>
        </is>
      </c>
      <c r="G57" s="7" t="inlineStr">
        <is>
          <t>Reconstruction / qualified continuity</t>
        </is>
      </c>
      <c r="H57" s="7" t="inlineStr">
        <is>
          <t>Excludes both collapse and division in Trinitarian description.</t>
        </is>
      </c>
      <c r="I57" s="7" t="inlineStr">
        <is>
          <t>Shared concern for distinction and unity, with materially different Godhead ontology.</t>
        </is>
      </c>
      <c r="J57" s="7" t="inlineStr">
        <is>
          <t>See Inherited 57</t>
        </is>
      </c>
    </row>
    <row r="58" ht="15.75" customHeight="1" s="29">
      <c r="A58" s="7" t="inlineStr">
        <is>
          <t>Inherited creed/confession</t>
        </is>
      </c>
      <c r="B58" s="7" t="inlineStr">
        <is>
          <t>RNR-H57</t>
        </is>
      </c>
      <c r="C58" s="7" t="inlineStr">
        <is>
          <t>Meta-apophatic</t>
        </is>
      </c>
      <c r="D58" s="7" t="inlineStr">
        <is>
          <t>Divine-human analogy &amp; kinship boundary</t>
        </is>
      </c>
      <c r="E58" s="7" t="inlineStr">
        <is>
          <t>Greater dissimilarity than similarity</t>
        </is>
      </c>
      <c r="F58" s="7" t="inlineStr">
        <is>
          <t>D</t>
        </is>
      </c>
      <c r="G58" s="7" t="inlineStr">
        <is>
          <t>Rejection / direct divergence</t>
        </is>
      </c>
      <c r="H58" s="7" t="inlineStr">
        <is>
          <t>Denies adequacy of any creaturely likeness to the divine mode of being.</t>
        </is>
      </c>
      <c r="I58" s="7" t="inlineStr">
        <is>
          <t>Direct divergence when the principle denies strong literal divine-human kinship and ontological continuity.</t>
        </is>
      </c>
      <c r="J58" s="7" t="inlineStr">
        <is>
          <t>See Inherited 57</t>
        </is>
      </c>
    </row>
    <row r="59" ht="15.75" customHeight="1" s="29">
      <c r="A59" s="7" t="inlineStr">
        <is>
          <t>Restoration addition</t>
        </is>
      </c>
      <c r="B59" s="7" t="inlineStr">
        <is>
          <t>RNR-A01</t>
        </is>
      </c>
      <c r="C59" s="7" t="inlineStr">
        <is>
          <t>Deity / Godhead</t>
        </is>
      </c>
      <c r="D59" s="7" t="inlineStr">
        <is>
          <t>Deity / Godhead</t>
        </is>
      </c>
      <c r="E59" s="7" t="inlineStr">
        <is>
          <t>The Father is an embodied, tangible, glorified person; humanity is made in His image.</t>
        </is>
      </c>
      <c r="F59" s="7" t="inlineStr">
        <is>
          <t>Tier I</t>
        </is>
      </c>
      <c r="G59" s="7" t="inlineStr">
        <is>
          <t>Expansion</t>
        </is>
      </c>
      <c r="H59" s="7" t="inlineStr">
        <is>
          <t>The Father is an embodied, tangible, glorified person; humanity is made in His image.</t>
        </is>
      </c>
      <c r="I59" s="7" t="inlineStr">
        <is>
          <t>Counted as an addition because it does not appear as a positive doctrine in the creeds and confessions studied — not because no Christian ever taught something like it.</t>
        </is>
      </c>
      <c r="J59" s="7" t="inlineStr">
        <is>
          <t>https://www.churchofjesuschrist.org/study/scriptures/dc-testament/dc/130?lang=eng</t>
        </is>
      </c>
    </row>
    <row r="60" ht="15.75" customHeight="1" s="29">
      <c r="A60" s="7" t="inlineStr">
        <is>
          <t>Restoration addition</t>
        </is>
      </c>
      <c r="B60" s="7" t="inlineStr">
        <is>
          <t>RNR-A02</t>
        </is>
      </c>
      <c r="C60" s="7" t="inlineStr">
        <is>
          <t>Deity / Godhead</t>
        </is>
      </c>
      <c r="D60" s="7" t="inlineStr">
        <is>
          <t>Deity / Godhead</t>
        </is>
      </c>
      <c r="E60" s="7" t="inlineStr">
        <is>
          <t>Father presides within the Godhead.</t>
        </is>
      </c>
      <c r="F60" s="7" t="inlineStr">
        <is>
          <t>Tier II</t>
        </is>
      </c>
      <c r="G60" s="7" t="inlineStr">
        <is>
          <t>Expansion</t>
        </is>
      </c>
      <c r="H60" s="7" t="inlineStr">
        <is>
          <t>Father presides within the Godhead.</t>
        </is>
      </c>
      <c r="I60" s="7" t="inlineStr">
        <is>
          <t>Counted as an addition because it does not appear as a positive doctrine in the creeds and confessions studied — not because no Christian ever taught something like it.</t>
        </is>
      </c>
      <c r="J60" s="7" t="inlineStr">
        <is>
          <t>https://www.churchofjesuschrist.org/study/manual/gospel-topics/godhead?lang=eng</t>
        </is>
      </c>
    </row>
    <row r="61" ht="15.75" customHeight="1" s="29">
      <c r="A61" s="7" t="inlineStr">
        <is>
          <t>Restoration addition</t>
        </is>
      </c>
      <c r="B61" s="7" t="inlineStr">
        <is>
          <t>RNR-A03</t>
        </is>
      </c>
      <c r="C61" s="7" t="inlineStr">
        <is>
          <t>Deity / Godhead</t>
        </is>
      </c>
      <c r="D61" s="7" t="inlineStr">
        <is>
          <t>Deity / Godhead</t>
        </is>
      </c>
      <c r="E61" s="7" t="inlineStr">
        <is>
          <t>God is personally present in one place at a time, while His light, knowledge, power, and governance fill all creation.</t>
        </is>
      </c>
      <c r="F61" s="7" t="inlineStr">
        <is>
          <t>Tier I</t>
        </is>
      </c>
      <c r="G61" s="7" t="inlineStr">
        <is>
          <t>Expansion</t>
        </is>
      </c>
      <c r="H61" s="7" t="inlineStr">
        <is>
          <t>God is personally present in one place at a time, while His light, knowledge, power, and governance fill all creation.</t>
        </is>
      </c>
      <c r="I61" s="7" t="inlineStr">
        <is>
          <t>Counted as an addition because it does not appear as a positive doctrine in the creeds and confessions studied — not because no Christian ever taught something like it.</t>
        </is>
      </c>
      <c r="J61" s="7" t="inlineStr">
        <is>
          <t>https://www.churchofjesuschrist.org/study/scriptures/dc-testament/dc/88?lang=eng</t>
        </is>
      </c>
    </row>
    <row r="62" ht="15.75" customHeight="1" s="29">
      <c r="A62" s="7" t="inlineStr">
        <is>
          <t>Restoration addition</t>
        </is>
      </c>
      <c r="B62" s="7" t="inlineStr">
        <is>
          <t>RNR-A04</t>
        </is>
      </c>
      <c r="C62" s="7" t="inlineStr">
        <is>
          <t>Deity / Godhead</t>
        </is>
      </c>
      <c r="D62" s="7" t="inlineStr">
        <is>
          <t>Deity / Godhead</t>
        </is>
      </c>
      <c r="E62" s="7" t="inlineStr">
        <is>
          <t>God the Father was once as humanity now is and is an exalted man.</t>
        </is>
      </c>
      <c r="F62" s="7" t="inlineStr">
        <is>
          <t>Tier III</t>
        </is>
      </c>
      <c r="G62" s="7" t="inlineStr">
        <is>
          <t>Expansion</t>
        </is>
      </c>
      <c r="H62" s="7" t="inlineStr">
        <is>
          <t>God the Father was once as humanity now is and is an exalted man.</t>
        </is>
      </c>
      <c r="I62"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2" s="7" t="inlineStr">
        <is>
          <t>https://www.churchofjesuschrist.org/study/manual/doctrines-of-the-gospel/chapter-3?lang=eng</t>
        </is>
      </c>
    </row>
    <row r="63" ht="15.75" customHeight="1" s="29">
      <c r="A63" s="7" t="inlineStr">
        <is>
          <t>Restoration addition</t>
        </is>
      </c>
      <c r="B63" s="7" t="inlineStr">
        <is>
          <t>RNR-A05</t>
        </is>
      </c>
      <c r="C63" s="7" t="inlineStr">
        <is>
          <t>Deity / Godhead</t>
        </is>
      </c>
      <c r="D63" s="7" t="inlineStr">
        <is>
          <t>Deity / Godhead</t>
        </is>
      </c>
      <c r="E63" s="7" t="inlineStr">
        <is>
          <t>God the Father had a Father, implying antecedent divine lineage while leaving the mechanics unrevealed.</t>
        </is>
      </c>
      <c r="F63" s="7" t="inlineStr">
        <is>
          <t>Tier III</t>
        </is>
      </c>
      <c r="G63" s="7" t="inlineStr">
        <is>
          <t>Expansion</t>
        </is>
      </c>
      <c r="H63" s="7" t="inlineStr">
        <is>
          <t>God the Father had a Father, implying antecedent divine lineage while leaving the mechanics unrevealed.</t>
        </is>
      </c>
      <c r="I63"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3" s="7" t="inlineStr">
        <is>
          <t>https://www.josephsmithpapers.org/paper-summary/history-1838-1856-volume-f-1-1-may-1844-8-august-1844/109</t>
        </is>
      </c>
    </row>
    <row r="64" ht="15.75" customHeight="1" s="29">
      <c r="A64" s="7" t="inlineStr">
        <is>
          <t>Restoration addition</t>
        </is>
      </c>
      <c r="B64" s="7" t="inlineStr">
        <is>
          <t>RNR-A06</t>
        </is>
      </c>
      <c r="C64" s="7" t="inlineStr">
        <is>
          <t>Divine-human kinship / premortality</t>
        </is>
      </c>
      <c r="D64" s="7" t="inlineStr">
        <is>
          <t>Divine-human kinship / premortality</t>
        </is>
      </c>
      <c r="E64" s="7" t="inlineStr">
        <is>
          <t>Humans are literal spirit children of Heavenly Parents.</t>
        </is>
      </c>
      <c r="F64" s="7" t="inlineStr">
        <is>
          <t>Tier II</t>
        </is>
      </c>
      <c r="G64" s="7" t="inlineStr">
        <is>
          <t>Expansion</t>
        </is>
      </c>
      <c r="H64" s="7" t="inlineStr">
        <is>
          <t>Humans are literal spirit children of Heavenly Parents.</t>
        </is>
      </c>
      <c r="I64" s="7" t="inlineStr">
        <is>
          <t>Counted as an addition because it does not appear as a positive doctrine in the creeds and confessions studied — not because no Christian ever taught something like it.</t>
        </is>
      </c>
      <c r="J64" s="7" t="inlineStr">
        <is>
          <t>https://www.churchofjesuschrist.org/study/manual/eternal-marriage-student-manual/the-family-a-proclamation?lang=eng</t>
        </is>
      </c>
    </row>
    <row r="65" ht="15.75" customHeight="1" s="29">
      <c r="A65" s="7" t="inlineStr">
        <is>
          <t>Restoration addition</t>
        </is>
      </c>
      <c r="B65" s="7" t="inlineStr">
        <is>
          <t>RNR-A07</t>
        </is>
      </c>
      <c r="C65" s="7" t="inlineStr">
        <is>
          <t>Divine-human kinship / premortality</t>
        </is>
      </c>
      <c r="D65" s="7" t="inlineStr">
        <is>
          <t>Divine-human kinship / premortality</t>
        </is>
      </c>
      <c r="E65" s="7" t="inlineStr">
        <is>
          <t>Heavenly Mother exists as a divine parent.</t>
        </is>
      </c>
      <c r="F65" s="7" t="inlineStr">
        <is>
          <t>Tier II</t>
        </is>
      </c>
      <c r="G65" s="7" t="inlineStr">
        <is>
          <t>Expansion</t>
        </is>
      </c>
      <c r="H65" s="7" t="inlineStr">
        <is>
          <t>Heavenly Mother exists as a divine parent.</t>
        </is>
      </c>
      <c r="I65" s="7" t="inlineStr">
        <is>
          <t>Historical maternal-Spirit imagery is only a remote analogue; not direct Heavenly Mother continuity.</t>
        </is>
      </c>
      <c r="J65" s="7" t="inlineStr">
        <is>
          <t>https://www.churchofjesuschrist.org/study/manual/gospel-topics-essays/mother-in-heaven?lang=eng</t>
        </is>
      </c>
    </row>
    <row r="66" ht="15.75" customHeight="1" s="29">
      <c r="A66" s="7" t="inlineStr">
        <is>
          <t>Restoration addition</t>
        </is>
      </c>
      <c r="B66" s="7" t="inlineStr">
        <is>
          <t>RNR-A08</t>
        </is>
      </c>
      <c r="C66" s="7" t="inlineStr">
        <is>
          <t>Divine-human kinship / premortality</t>
        </is>
      </c>
      <c r="D66" s="7" t="inlineStr">
        <is>
          <t>Divine-human kinship / premortality</t>
        </is>
      </c>
      <c r="E66" s="7" t="inlineStr">
        <is>
          <t>Human beings possessed personal premortal existence.</t>
        </is>
      </c>
      <c r="F66" s="7" t="inlineStr">
        <is>
          <t>Tier I</t>
        </is>
      </c>
      <c r="G66" s="7" t="inlineStr">
        <is>
          <t>Expansion</t>
        </is>
      </c>
      <c r="H66" s="7" t="inlineStr">
        <is>
          <t>Human beings possessed personal premortal existence.</t>
        </is>
      </c>
      <c r="I66" s="7" t="inlineStr">
        <is>
          <t>Counted as an addition because it does not appear as a positive doctrine in the creeds and confessions studied — not because no Christian ever taught something like it.</t>
        </is>
      </c>
      <c r="J66" s="7" t="inlineStr">
        <is>
          <t>https://www.churchofjesuschrist.org/study/scriptures/pgp/abr/3?lang=eng</t>
        </is>
      </c>
    </row>
    <row r="67" ht="15.75" customHeight="1" s="29">
      <c r="A67" s="7" t="inlineStr">
        <is>
          <t>Restoration addition</t>
        </is>
      </c>
      <c r="B67" s="7" t="inlineStr">
        <is>
          <t>RNR-A09</t>
        </is>
      </c>
      <c r="C67" s="7" t="inlineStr">
        <is>
          <t>Divine-human kinship / premortality</t>
        </is>
      </c>
      <c r="D67" s="7" t="inlineStr">
        <is>
          <t>Divine-human kinship / premortality</t>
        </is>
      </c>
      <c r="E67" s="7" t="inlineStr">
        <is>
          <t>Gender is an essential characteristic of premortal, mortal, and eternal identity.</t>
        </is>
      </c>
      <c r="F67" s="7" t="inlineStr">
        <is>
          <t>Tier II</t>
        </is>
      </c>
      <c r="G67" s="7" t="inlineStr">
        <is>
          <t>Expansion</t>
        </is>
      </c>
      <c r="H67" s="7" t="inlineStr">
        <is>
          <t>Gender is an essential characteristic of premortal, mortal, and eternal identity.</t>
        </is>
      </c>
      <c r="I67" s="7" t="inlineStr">
        <is>
          <t>Counted as an addition because it does not appear as a positive doctrine in the creeds and confessions studied — not because no Christian ever taught something like it.</t>
        </is>
      </c>
      <c r="J67" s="7" t="inlineStr">
        <is>
          <t>https://www.churchofjesuschrist.org/study/manual/eternal-marriage-student-manual/the-family-a-proclamation?lang=eng</t>
        </is>
      </c>
    </row>
    <row r="68" ht="15.75" customHeight="1" s="29">
      <c r="A68" s="7" t="inlineStr">
        <is>
          <t>Restoration addition</t>
        </is>
      </c>
      <c r="B68" s="7" t="inlineStr">
        <is>
          <t>RNR-A10</t>
        </is>
      </c>
      <c r="C68" s="7" t="inlineStr">
        <is>
          <t>Divine-human kinship / premortality</t>
        </is>
      </c>
      <c r="D68" s="7" t="inlineStr">
        <is>
          <t>Divine-human kinship / premortality</t>
        </is>
      </c>
      <c r="E68" s="7" t="inlineStr">
        <is>
          <t>Human intelligence is uncreated/unmade and beginningless in a fundamental sense.</t>
        </is>
      </c>
      <c r="F68" s="7" t="inlineStr">
        <is>
          <t>Tier I</t>
        </is>
      </c>
      <c r="G68" s="7" t="inlineStr">
        <is>
          <t>Expansion</t>
        </is>
      </c>
      <c r="H68" s="7" t="inlineStr">
        <is>
          <t>Human intelligence is uncreated/unmade and beginningless in a fundamental sense.</t>
        </is>
      </c>
      <c r="I68" s="7" t="inlineStr">
        <is>
          <t>Counted as an addition because it does not appear as a positive doctrine in the creeds and confessions studied — not because no Christian ever taught something like it.</t>
        </is>
      </c>
      <c r="J68" s="7" t="inlineStr">
        <is>
          <t>https://www.churchofjesuschrist.org/study/scriptures/dc-testament/dc/93?lang=eng</t>
        </is>
      </c>
    </row>
    <row r="69" ht="15.75" customHeight="1" s="29">
      <c r="A69" s="7" t="inlineStr">
        <is>
          <t>Restoration addition</t>
        </is>
      </c>
      <c r="B69" s="7" t="inlineStr">
        <is>
          <t>RNR-A11</t>
        </is>
      </c>
      <c r="C69" s="7" t="inlineStr">
        <is>
          <t>Divine-human kinship / premortality</t>
        </is>
      </c>
      <c r="D69" s="7" t="inlineStr">
        <is>
          <t>Divine-human kinship / premortality</t>
        </is>
      </c>
      <c r="E69" s="7" t="inlineStr">
        <is>
          <t>Human divine nature and potential arise from literal heavenly parentage.</t>
        </is>
      </c>
      <c r="F69" s="7" t="inlineStr">
        <is>
          <t>Tier II</t>
        </is>
      </c>
      <c r="G69" s="7" t="inlineStr">
        <is>
          <t>Expansion</t>
        </is>
      </c>
      <c r="H69" s="7" t="inlineStr">
        <is>
          <t>Human divine nature and potential arise from literal heavenly parentage.</t>
        </is>
      </c>
      <c r="I69" s="7" t="inlineStr">
        <is>
          <t>Counted as an addition because it does not appear as a positive doctrine in the creeds and confessions studied — not because no Christian ever taught something like it.</t>
        </is>
      </c>
      <c r="J69" s="7" t="inlineStr">
        <is>
          <t>https://www.churchofjesuschrist.org/study/manual/eternal-marriage-student-manual/the-family-a-proclamation?lang=eng</t>
        </is>
      </c>
    </row>
    <row r="70" ht="15.75" customHeight="1" s="29">
      <c r="A70" s="7" t="inlineStr">
        <is>
          <t>Restoration addition</t>
        </is>
      </c>
      <c r="B70" s="7" t="inlineStr">
        <is>
          <t>RNR-A12</t>
        </is>
      </c>
      <c r="C70" s="7" t="inlineStr">
        <is>
          <t>Divine-human kinship / premortality</t>
        </is>
      </c>
      <c r="D70" s="7" t="inlineStr">
        <is>
          <t>Divine-human kinship / premortality</t>
        </is>
      </c>
      <c r="E70" s="7" t="inlineStr">
        <is>
          <t>Christ is the Firstborn spirit Son and stands in genuine familial relation to the Father's other spirit children while remaining uniquely Savior and Redeemer.</t>
        </is>
      </c>
      <c r="F70" s="7" t="inlineStr">
        <is>
          <t>Tier II</t>
        </is>
      </c>
      <c r="G70" s="7" t="inlineStr">
        <is>
          <t>Expansion</t>
        </is>
      </c>
      <c r="H70" s="7" t="inlineStr">
        <is>
          <t>Christ is the Firstborn spirit Son and stands in genuine familial relation to the Father's other spirit children while remaining uniquely Savior and Redeemer.</t>
        </is>
      </c>
      <c r="I70" s="7" t="inlineStr">
        <is>
          <t>Counted as an addition because it does not appear as a positive doctrine in the creeds and confessions studied — not because no Christian ever taught something like it.</t>
        </is>
      </c>
      <c r="J70" s="7" t="inlineStr">
        <is>
          <t>https://www.churchofjesuschrist.org/study/manual/eternal-marriage-student-manual/jesus-christ?lang=eng</t>
        </is>
      </c>
    </row>
    <row r="71" ht="15.75" customHeight="1" s="29">
      <c r="A71" s="7" t="inlineStr">
        <is>
          <t>Restoration addition</t>
        </is>
      </c>
      <c r="B71" s="7" t="inlineStr">
        <is>
          <t>RNR-A13</t>
        </is>
      </c>
      <c r="C71" s="7" t="inlineStr">
        <is>
          <t>Cosmology / ontology / embodiment</t>
        </is>
      </c>
      <c r="D71" s="7" t="inlineStr">
        <is>
          <t>Cosmology / ontology / embodiment</t>
        </is>
      </c>
      <c r="E71" s="7" t="inlineStr">
        <is>
          <t>Elements are eternal.</t>
        </is>
      </c>
      <c r="F71" s="7" t="inlineStr">
        <is>
          <t>Tier I</t>
        </is>
      </c>
      <c r="G71" s="7" t="inlineStr">
        <is>
          <t>Expansion</t>
        </is>
      </c>
      <c r="H71" s="7" t="inlineStr">
        <is>
          <t>Elements are eternal.</t>
        </is>
      </c>
      <c r="I71" s="7" t="inlineStr">
        <is>
          <t>Counted as an addition because it does not appear as a positive doctrine in the creeds and confessions studied — not because no Christian ever taught something like it.</t>
        </is>
      </c>
      <c r="J71" s="7" t="inlineStr">
        <is>
          <t>https://www.churchofjesuschrist.org/study/scriptures/dc-testament/dc/93?lang=eng</t>
        </is>
      </c>
    </row>
    <row r="72" ht="15.75" customHeight="1" s="29">
      <c r="A72" s="7" t="inlineStr">
        <is>
          <t>Restoration addition</t>
        </is>
      </c>
      <c r="B72" s="7" t="inlineStr">
        <is>
          <t>RNR-A14</t>
        </is>
      </c>
      <c r="C72" s="7" t="inlineStr">
        <is>
          <t>Cosmology / ontology / embodiment</t>
        </is>
      </c>
      <c r="D72" s="7" t="inlineStr">
        <is>
          <t>Cosmology / ontology / embodiment</t>
        </is>
      </c>
      <c r="E72" s="7" t="inlineStr">
        <is>
          <t>Spirit is refined matter rather than immaterial substance.</t>
        </is>
      </c>
      <c r="F72" s="7" t="inlineStr">
        <is>
          <t>Tier I</t>
        </is>
      </c>
      <c r="G72" s="7" t="inlineStr">
        <is>
          <t>Expansion</t>
        </is>
      </c>
      <c r="H72" s="7" t="inlineStr">
        <is>
          <t>Spirit is refined matter rather than immaterial substance.</t>
        </is>
      </c>
      <c r="I72" s="7" t="inlineStr">
        <is>
          <t>Counted as an addition because it does not appear as a positive doctrine in the creeds and confessions studied — not because no Christian ever taught something like it.</t>
        </is>
      </c>
      <c r="J72" s="7" t="inlineStr">
        <is>
          <t>https://www.churchofjesuschrist.org/study/scriptures/dc-testament/dc/131?lang=eng</t>
        </is>
      </c>
    </row>
    <row r="73" ht="15.75" customHeight="1" s="29">
      <c r="A73" s="7" t="inlineStr">
        <is>
          <t>Restoration addition</t>
        </is>
      </c>
      <c r="B73" s="7" t="inlineStr">
        <is>
          <t>RNR-A15</t>
        </is>
      </c>
      <c r="C73" s="7" t="inlineStr">
        <is>
          <t>Cosmology / ontology / embodiment</t>
        </is>
      </c>
      <c r="D73" s="7" t="inlineStr">
        <is>
          <t>Cosmology / ontology / embodiment</t>
        </is>
      </c>
      <c r="E73" s="7" t="inlineStr">
        <is>
          <t>Divine creation organizes preexistent reality rather than creating all constituent reality from absolute nothing.</t>
        </is>
      </c>
      <c r="F73" s="7" t="inlineStr">
        <is>
          <t>Tier I</t>
        </is>
      </c>
      <c r="G73" s="7" t="inlineStr">
        <is>
          <t>Expansion</t>
        </is>
      </c>
      <c r="H73" s="7" t="inlineStr">
        <is>
          <t>Divine creation organizes preexistent reality rather than creating all constituent reality from absolute nothing.</t>
        </is>
      </c>
      <c r="I73" s="7" t="inlineStr">
        <is>
          <t>Counted as an addition because it does not appear as a positive doctrine in the creeds and confessions studied — not because no Christian ever taught something like it.</t>
        </is>
      </c>
      <c r="J73" s="7" t="inlineStr">
        <is>
          <t>https://www.churchofjesuschrist.org/study/scriptures/pgp/abr/3?lang=eng</t>
        </is>
      </c>
    </row>
    <row r="74" ht="15.75" customHeight="1" s="29">
      <c r="A74" s="7" t="inlineStr">
        <is>
          <t>Restoration addition</t>
        </is>
      </c>
      <c r="B74" s="7" t="inlineStr">
        <is>
          <t>RNR-A16</t>
        </is>
      </c>
      <c r="C74" s="7" t="inlineStr">
        <is>
          <t>Cosmology / ontology / embodiment</t>
        </is>
      </c>
      <c r="D74" s="7" t="inlineStr">
        <is>
          <t>Cosmology / ontology / embodiment</t>
        </is>
      </c>
      <c r="E74" s="7" t="inlineStr">
        <is>
          <t>The Light of Christ fills the immensity of space and functions as life, law, illumination, divine power, and governance.</t>
        </is>
      </c>
      <c r="F74" s="7" t="inlineStr">
        <is>
          <t>Tier I</t>
        </is>
      </c>
      <c r="G74" s="7" t="inlineStr">
        <is>
          <t>Expansion</t>
        </is>
      </c>
      <c r="H74" s="7" t="inlineStr">
        <is>
          <t>The Light of Christ fills the immensity of space and functions as life, law, illumination, divine power, and governance.</t>
        </is>
      </c>
      <c r="I74" s="7" t="inlineStr">
        <is>
          <t>Counted as an addition because it does not appear as a positive doctrine in the creeds and confessions studied — not because no Christian ever taught something like it.</t>
        </is>
      </c>
      <c r="J74" s="7" t="inlineStr">
        <is>
          <t>https://www.churchofjesuschrist.org/study/scriptures/dc-testament/dc/88?lang=eng</t>
        </is>
      </c>
    </row>
    <row r="75" ht="15.75" customHeight="1" s="29">
      <c r="A75" s="7" t="inlineStr">
        <is>
          <t>Restoration addition</t>
        </is>
      </c>
      <c r="B75" s="7" t="inlineStr">
        <is>
          <t>RNR-A17</t>
        </is>
      </c>
      <c r="C75" s="7" t="inlineStr">
        <is>
          <t>Cosmology / ontology / embodiment</t>
        </is>
      </c>
      <c r="D75" s="7" t="inlineStr">
        <is>
          <t>Cosmology / ontology / embodiment</t>
        </is>
      </c>
      <c r="E75" s="7" t="inlineStr">
        <is>
          <t>Spirit and element permanently and inseparably united constitute the condition for fulness of joy.</t>
        </is>
      </c>
      <c r="F75" s="7" t="inlineStr">
        <is>
          <t>Tier I</t>
        </is>
      </c>
      <c r="G75" s="7" t="inlineStr">
        <is>
          <t>Expansion</t>
        </is>
      </c>
      <c r="H75" s="7" t="inlineStr">
        <is>
          <t>Spirit and element permanently and inseparably united constitute the condition for fulness of joy.</t>
        </is>
      </c>
      <c r="I75" s="7" t="inlineStr">
        <is>
          <t>Counted as an addition because it does not appear as a positive doctrine in the creeds and confessions studied — not because no Christian ever taught something like it.</t>
        </is>
      </c>
      <c r="J75" s="7" t="inlineStr">
        <is>
          <t>https://www.churchofjesuschrist.org/study/scriptures/dc-testament/dc/93?lang=eng</t>
        </is>
      </c>
    </row>
    <row r="76" ht="15.75" customHeight="1" s="29">
      <c r="A76" s="7" t="inlineStr">
        <is>
          <t>Restoration addition</t>
        </is>
      </c>
      <c r="B76" s="7" t="inlineStr">
        <is>
          <t>RNR-A18</t>
        </is>
      </c>
      <c r="C76" s="7" t="inlineStr">
        <is>
          <t>Cosmology / ontology / embodiment</t>
        </is>
      </c>
      <c r="D76" s="7" t="inlineStr">
        <is>
          <t>Cosmology / ontology / embodiment</t>
        </is>
      </c>
      <c r="E76" s="7" t="inlineStr">
        <is>
          <t>Mortal social relationships can continue eternally when sealed and transformed by eternal glory.</t>
        </is>
      </c>
      <c r="F76" s="7" t="inlineStr">
        <is>
          <t>Tier I</t>
        </is>
      </c>
      <c r="G76" s="7" t="inlineStr">
        <is>
          <t>Expansion</t>
        </is>
      </c>
      <c r="H76" s="7" t="inlineStr">
        <is>
          <t>Mortal social relationships can continue eternally when sealed and transformed by eternal glory.</t>
        </is>
      </c>
      <c r="I76" s="7" t="inlineStr">
        <is>
          <t>Counted as an addition because it does not appear as a positive doctrine in the creeds and confessions studied — not because no Christian ever taught something like it.</t>
        </is>
      </c>
      <c r="J76" s="7" t="inlineStr">
        <is>
          <t>https://www.churchofjesuschrist.org/study/scriptures/dc-testament/dc/130?lang=eng</t>
        </is>
      </c>
    </row>
    <row r="77" ht="15.75" customHeight="1" s="29">
      <c r="A77" s="7" t="inlineStr">
        <is>
          <t>Restoration addition</t>
        </is>
      </c>
      <c r="B77" s="7" t="inlineStr">
        <is>
          <t>RNR-A19</t>
        </is>
      </c>
      <c r="C77" s="7" t="inlineStr">
        <is>
          <t>Exaltation / eternal family / progression</t>
        </is>
      </c>
      <c r="D77" s="7" t="inlineStr">
        <is>
          <t>Exaltation / eternal family / progression</t>
        </is>
      </c>
      <c r="E77" s="7" t="inlineStr">
        <is>
          <t>Human beings may receive divine fulness and become like God, canonically described as becoming gods.</t>
        </is>
      </c>
      <c r="F77" s="7" t="inlineStr">
        <is>
          <t>Tier I</t>
        </is>
      </c>
      <c r="G77" s="7" t="inlineStr">
        <is>
          <t>Expansion</t>
        </is>
      </c>
      <c r="H77" s="7" t="inlineStr">
        <is>
          <t>Human beings may receive divine fulness and become like God, canonically described as becoming gods.</t>
        </is>
      </c>
      <c r="I77" s="7" t="inlineStr">
        <is>
          <t>Counted as an addition because it does not appear as a positive doctrine in the creeds and confessions studied — not because no Christian ever taught something like it.</t>
        </is>
      </c>
      <c r="J77" s="7" t="inlineStr">
        <is>
          <t>https://www.churchofjesuschrist.org/study/scriptures/dc-testament/dc/132?lang=eng</t>
        </is>
      </c>
    </row>
    <row r="78" ht="15.75" customHeight="1" s="29">
      <c r="A78" s="7" t="inlineStr">
        <is>
          <t>Restoration addition</t>
        </is>
      </c>
      <c r="B78" s="7" t="inlineStr">
        <is>
          <t>RNR-A20</t>
        </is>
      </c>
      <c r="C78" s="7" t="inlineStr">
        <is>
          <t>Exaltation / eternal family / progression</t>
        </is>
      </c>
      <c r="D78" s="7" t="inlineStr">
        <is>
          <t>Exaltation / eternal family / progression</t>
        </is>
      </c>
      <c r="E78" s="7" t="inlineStr">
        <is>
          <t>Celestial marriage continues eternally.</t>
        </is>
      </c>
      <c r="F78" s="7" t="inlineStr">
        <is>
          <t>Tier I</t>
        </is>
      </c>
      <c r="G78" s="7" t="inlineStr">
        <is>
          <t>Expansion</t>
        </is>
      </c>
      <c r="H78" s="7" t="inlineStr">
        <is>
          <t>Celestial marriage continues eternally.</t>
        </is>
      </c>
      <c r="I78" s="7" t="inlineStr">
        <is>
          <t>Counted as an addition because it does not appear as a positive doctrine in the creeds and confessions studied — not because no Christian ever taught something like it.</t>
        </is>
      </c>
      <c r="J78" s="7" t="inlineStr">
        <is>
          <t>https://www.churchofjesuschrist.org/study/scriptures/dc-testament/dc/132?lang=eng</t>
        </is>
      </c>
    </row>
    <row r="79" ht="15.75" customHeight="1" s="29">
      <c r="A79" s="7" t="inlineStr">
        <is>
          <t>Restoration addition</t>
        </is>
      </c>
      <c r="B79" s="7" t="inlineStr">
        <is>
          <t>RNR-A21</t>
        </is>
      </c>
      <c r="C79" s="7" t="inlineStr">
        <is>
          <t>Exaltation / eternal family / progression</t>
        </is>
      </c>
      <c r="D79" s="7" t="inlineStr">
        <is>
          <t>Exaltation / eternal family / progression</t>
        </is>
      </c>
      <c r="E79" s="7" t="inlineStr">
        <is>
          <t>Celestial marriage is required for the highest degree of exaltation.</t>
        </is>
      </c>
      <c r="F79" s="7" t="inlineStr">
        <is>
          <t>Tier I</t>
        </is>
      </c>
      <c r="G79" s="7" t="inlineStr">
        <is>
          <t>Expansion</t>
        </is>
      </c>
      <c r="H79" s="7" t="inlineStr">
        <is>
          <t>Celestial marriage is required for the highest degree of exaltation.</t>
        </is>
      </c>
      <c r="I79" s="7" t="inlineStr">
        <is>
          <t>Counted as an addition because it does not appear as a positive doctrine in the creeds and confessions studied — not because no Christian ever taught something like it.</t>
        </is>
      </c>
      <c r="J79" s="7" t="inlineStr">
        <is>
          <t>https://www.churchofjesuschrist.org/study/scriptures/dc-testament/dc/131?lang=eng</t>
        </is>
      </c>
    </row>
    <row r="80" ht="15.75" customHeight="1" s="29">
      <c r="A80" s="7" t="inlineStr">
        <is>
          <t>Restoration addition</t>
        </is>
      </c>
      <c r="B80" s="7" t="inlineStr">
        <is>
          <t>RNR-A22</t>
        </is>
      </c>
      <c r="C80" s="7" t="inlineStr">
        <is>
          <t>Exaltation / eternal family / progression</t>
        </is>
      </c>
      <c r="D80" s="7" t="inlineStr">
        <is>
          <t>Exaltation / eternal family / progression</t>
        </is>
      </c>
      <c r="E80" s="7" t="inlineStr">
        <is>
          <t>Family relationships can be perpetuated eternally.</t>
        </is>
      </c>
      <c r="F80" s="7" t="inlineStr">
        <is>
          <t>Tier I</t>
        </is>
      </c>
      <c r="G80" s="7" t="inlineStr">
        <is>
          <t>Expansion</t>
        </is>
      </c>
      <c r="H80" s="7" t="inlineStr">
        <is>
          <t>Family relationships can be perpetuated eternally.</t>
        </is>
      </c>
      <c r="I80" s="7" t="inlineStr">
        <is>
          <t>Counted as an addition because it does not appear as a positive doctrine in the creeds and confessions studied — not because no Christian ever taught something like it.</t>
        </is>
      </c>
      <c r="J80" s="7" t="inlineStr">
        <is>
          <t>https://www.churchofjesuschrist.org/study/scriptures/dc-testament/dc/132?lang=eng</t>
        </is>
      </c>
    </row>
    <row r="81" ht="15.75" customHeight="1" s="29">
      <c r="A81" s="7" t="inlineStr">
        <is>
          <t>Restoration addition</t>
        </is>
      </c>
      <c r="B81" s="7" t="inlineStr">
        <is>
          <t>RNR-A23</t>
        </is>
      </c>
      <c r="C81" s="7" t="inlineStr">
        <is>
          <t>Exaltation / eternal family / progression</t>
        </is>
      </c>
      <c r="D81" s="7" t="inlineStr">
        <is>
          <t>Exaltation / eternal family / progression</t>
        </is>
      </c>
      <c r="E81" s="7" t="inlineStr">
        <is>
          <t>Exalted spouses receive continuation of the seeds / eternal increase.</t>
        </is>
      </c>
      <c r="F81" s="7" t="inlineStr">
        <is>
          <t>Tier I</t>
        </is>
      </c>
      <c r="G81" s="7" t="inlineStr">
        <is>
          <t>Expansion</t>
        </is>
      </c>
      <c r="H81" s="7" t="inlineStr">
        <is>
          <t>Exalted spouses receive continuation of the seeds / eternal increase.</t>
        </is>
      </c>
      <c r="I81" s="7" t="inlineStr">
        <is>
          <t>Counted as an addition because it does not appear as a positive doctrine in the creeds and confessions studied — not because no Christian ever taught something like it.</t>
        </is>
      </c>
      <c r="J81" s="7" t="inlineStr">
        <is>
          <t>https://www.churchofjesuschrist.org/study/scriptures/dc-testament/dc/132?lang=eng</t>
        </is>
      </c>
    </row>
    <row r="82" ht="15.75" customHeight="1" s="29">
      <c r="A82" s="7" t="inlineStr">
        <is>
          <t>Restoration addition</t>
        </is>
      </c>
      <c r="B82" s="7" t="inlineStr">
        <is>
          <t>RNR-A24</t>
        </is>
      </c>
      <c r="C82" s="7" t="inlineStr">
        <is>
          <t>Exaltation / eternal family / progression</t>
        </is>
      </c>
      <c r="D82" s="7" t="inlineStr">
        <is>
          <t>Exaltation / eternal family / progression</t>
        </is>
      </c>
      <c r="E82" s="7" t="inlineStr">
        <is>
          <t>Resurrected and glorified exalted beings become parents of spirit offspring.</t>
        </is>
      </c>
      <c r="F82" s="7" t="inlineStr">
        <is>
          <t>Tier II</t>
        </is>
      </c>
      <c r="G82" s="7" t="inlineStr">
        <is>
          <t>Expansion</t>
        </is>
      </c>
      <c r="H82" s="7" t="inlineStr">
        <is>
          <t>Resurrected and glorified exalted beings become parents of spirit offspring.</t>
        </is>
      </c>
      <c r="I82" s="7" t="inlineStr">
        <is>
          <t>Counted as an addition because it does not appear as a positive doctrine in the creeds and confessions studied — not because no Christian ever taught something like it.</t>
        </is>
      </c>
      <c r="J82" s="7" t="inlineStr">
        <is>
          <t>https://www.churchofjesuschrist.org/study/manual/gospel-principles/chapter-47-exaltation?lang=eng</t>
        </is>
      </c>
    </row>
    <row r="83" ht="15.75" customHeight="1" s="29">
      <c r="A83" s="7" t="inlineStr">
        <is>
          <t>Restoration addition</t>
        </is>
      </c>
      <c r="B83" s="7" t="inlineStr">
        <is>
          <t>RNR-A25</t>
        </is>
      </c>
      <c r="C83" s="7" t="inlineStr">
        <is>
          <t>Exaltation / eternal family / progression</t>
        </is>
      </c>
      <c r="D83" s="7" t="inlineStr">
        <is>
          <t>Exaltation / eternal family / progression</t>
        </is>
      </c>
      <c r="E83" s="7" t="inlineStr">
        <is>
          <t>Their spirit offspring subsequently pass through estates corresponding to those through which their glorified parents attained exaltation.</t>
        </is>
      </c>
      <c r="F83" s="7" t="inlineStr">
        <is>
          <t>Tier III</t>
        </is>
      </c>
      <c r="G83" s="7" t="inlineStr">
        <is>
          <t>Expansion</t>
        </is>
      </c>
      <c r="H83" s="7" t="inlineStr">
        <is>
          <t>Their spirit offspring subsequently pass through estates corresponding to those through which their glorified parents attained exaltation.</t>
        </is>
      </c>
      <c r="I83" s="7" t="inlineStr">
        <is>
          <t>Detailed mechanics are not revealed; use source-role and evidence caution. Attributed to a prophet's teaching rather than canonized scripture; the details are not revealed, and Latter-day Saints hold them with reverence and restraint.</t>
        </is>
      </c>
      <c r="J83" s="7" t="inlineStr">
        <is>
          <t>https://www.churchofjesuschrist.org/study/manual/teachings-of-presidents-of-the-church-lorenzo-snow/chapter-5-the-grand-destiny-of-the-faithful?lang=eng</t>
        </is>
      </c>
    </row>
    <row r="84" ht="15.75" customHeight="1" s="29">
      <c r="A84" s="7" t="inlineStr">
        <is>
          <t>Restoration addition</t>
        </is>
      </c>
      <c r="B84" s="7" t="inlineStr">
        <is>
          <t>RNR-A26</t>
        </is>
      </c>
      <c r="C84" s="7" t="inlineStr">
        <is>
          <t>Exaltation / eternal family / progression</t>
        </is>
      </c>
      <c r="D84" s="7" t="inlineStr">
        <is>
          <t>Exaltation / eternal family / progression</t>
        </is>
      </c>
      <c r="E84" s="7" t="inlineStr">
        <is>
          <t>Exalted existence entails continuing increase in knowledge, wisdom, power, glory, relationship, posterity, and divine capacity.</t>
        </is>
      </c>
      <c r="F84" s="7" t="inlineStr">
        <is>
          <t>Tier III</t>
        </is>
      </c>
      <c r="G84" s="7" t="inlineStr">
        <is>
          <t>Expansion</t>
        </is>
      </c>
      <c r="H84" s="7" t="inlineStr">
        <is>
          <t>Exalted existence entails continuing increase in knowledge, wisdom, power, glory, relationship, posterity, and divine capacity.</t>
        </is>
      </c>
      <c r="I84"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84" s="7" t="inlineStr">
        <is>
          <t>https://www.churchofjesuschrist.org/study/manual/teachings-of-presidents-of-the-church-lorenzo-snow/chapter-5-the-grand-destiny-of-the-faithful?lang=eng</t>
        </is>
      </c>
    </row>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24" customWidth="1" style="29" min="2" max="2"/>
    <col width="34" customWidth="1" style="29" min="3" max="3"/>
    <col width="38" customWidth="1" style="29" min="4" max="4"/>
    <col width="48" customWidth="1" style="29" min="5" max="5"/>
    <col width="14" customWidth="1" style="29" min="6" max="6"/>
    <col width="30" customWidth="1" style="29" min="7" max="7"/>
    <col width="62" customWidth="1" style="29" min="8" max="8"/>
    <col width="36" customWidth="1" style="29" min="9" max="9"/>
    <col width="16" customWidth="1" style="29" min="10" max="10"/>
    <col width="48" customWidth="1" style="29" min="11" max="11"/>
    <col width="42" customWidth="1" style="29" min="12" max="12"/>
    <col width="8.630000000000001" customWidth="1" style="29" min="13" max="26"/>
  </cols>
  <sheetData>
    <row r="1">
      <c r="A1" s="5" t="inlineStr">
        <is>
          <t>Predicate ID</t>
        </is>
      </c>
      <c r="B1" s="5" t="inlineStr">
        <is>
          <t>Original mode</t>
        </is>
      </c>
      <c r="C1" s="5" t="inlineStr">
        <is>
          <t>Teaching family (editorial)</t>
        </is>
      </c>
      <c r="D1" s="5" t="inlineStr">
        <is>
          <t>Normalized predicate family</t>
        </is>
      </c>
      <c r="E1" s="5" t="inlineStr">
        <is>
          <t>Historical source-report definition</t>
        </is>
      </c>
      <c r="F1" s="5" t="inlineStr">
        <is>
          <t>Current A/Q/D/U</t>
        </is>
      </c>
      <c r="G1" s="5" t="inlineStr">
        <is>
          <t>Teaching lens</t>
        </is>
      </c>
      <c r="H1" s="5" t="inlineStr">
        <is>
          <t>Accepted comparison / semantic-floor note</t>
        </is>
      </c>
      <c r="I1" s="5" t="inlineStr">
        <is>
          <t>Coding provenance</t>
        </is>
      </c>
      <c r="J1" s="5" t="inlineStr">
        <is>
          <t>Confidence</t>
        </is>
      </c>
      <c r="K1" s="5" t="inlineStr">
        <is>
          <t>Historical source record</t>
        </is>
      </c>
      <c r="L1" s="5" t="inlineStr">
        <is>
          <t>Source locator</t>
        </is>
      </c>
    </row>
    <row r="2">
      <c r="A2" s="7" t="inlineStr">
        <is>
          <t>RNR-H01</t>
        </is>
      </c>
      <c r="B2" s="7" t="inlineStr">
        <is>
          <t>Kataphatic</t>
        </is>
      </c>
      <c r="C2" s="7" t="inlineStr">
        <is>
          <t>Divine identity &amp; relation</t>
        </is>
      </c>
      <c r="D2" s="7" t="inlineStr">
        <is>
          <t>Living</t>
        </is>
      </c>
      <c r="E2" s="7" t="inlineStr">
        <is>
          <t>God possesses life intrinsically.</t>
        </is>
      </c>
      <c r="F2" s="7" t="inlineStr">
        <is>
          <t>A</t>
        </is>
      </c>
      <c r="G2" s="7" t="inlineStr">
        <is>
          <t>Continuity</t>
        </is>
      </c>
      <c r="H2" s="7" t="inlineStr">
        <is>
          <t>Shared. Both traditions affirm this of God in the same sense.</t>
        </is>
      </c>
      <c r="I2" s="7" t="inlineStr">
        <is>
          <t>Count-constrained reconstruction</t>
        </is>
      </c>
      <c r="J2" s="7" t="inlineStr">
        <is>
          <t>Medium-High</t>
        </is>
      </c>
      <c r="K2" s="7" t="inlineStr">
        <is>
          <t>Apophatic_and_Kataphatic_Theology_in_Christian_Creeds_and_Confessions</t>
        </is>
      </c>
      <c r="L2" s="7" t="inlineStr">
        <is>
          <t>Recurring Kataphatic Vocabulary table</t>
        </is>
      </c>
    </row>
    <row r="3">
      <c r="A3" s="7" t="inlineStr">
        <is>
          <t>RNR-H02</t>
        </is>
      </c>
      <c r="B3" s="7" t="inlineStr">
        <is>
          <t>Kataphatic</t>
        </is>
      </c>
      <c r="C3" s="7" t="inlineStr">
        <is>
          <t>Divine identity &amp; relation</t>
        </is>
      </c>
      <c r="D3" s="7" t="inlineStr">
        <is>
          <t>True</t>
        </is>
      </c>
      <c r="E3" s="7" t="inlineStr">
        <is>
          <t>God is authentic, faithful, and ultimately real.</t>
        </is>
      </c>
      <c r="F3" s="7" t="inlineStr">
        <is>
          <t>A</t>
        </is>
      </c>
      <c r="G3" s="7" t="inlineStr">
        <is>
          <t>Continuity</t>
        </is>
      </c>
      <c r="H3" s="7" t="inlineStr">
        <is>
          <t>Shared. Both traditions affirm this of God in the same sense.</t>
        </is>
      </c>
      <c r="I3" s="7" t="inlineStr">
        <is>
          <t>Count-constrained reconstruction</t>
        </is>
      </c>
      <c r="J3" s="7" t="inlineStr">
        <is>
          <t>Medium-High</t>
        </is>
      </c>
      <c r="K3" s="7" t="inlineStr">
        <is>
          <t>Apophatic_and_Kataphatic_Theology_in_Christian_Creeds_and_Confessions</t>
        </is>
      </c>
      <c r="L3" s="7" t="inlineStr">
        <is>
          <t>Recurring Kataphatic Vocabulary table</t>
        </is>
      </c>
    </row>
    <row r="4">
      <c r="A4" s="7" t="inlineStr">
        <is>
          <t>RNR-H03</t>
        </is>
      </c>
      <c r="B4" s="7" t="inlineStr">
        <is>
          <t>Kataphatic</t>
        </is>
      </c>
      <c r="C4" s="7" t="inlineStr">
        <is>
          <t>Divine identity &amp; relation</t>
        </is>
      </c>
      <c r="D4" s="7" t="inlineStr">
        <is>
          <t>Spirit</t>
        </is>
      </c>
      <c r="E4" s="7" t="inlineStr">
        <is>
          <t>God is positively named as spiritual being.</t>
        </is>
      </c>
      <c r="F4" s="7" t="inlineStr">
        <is>
          <t>Q</t>
        </is>
      </c>
      <c r="G4" s="7" t="inlineStr">
        <is>
          <t>Reconstruction / qualified continuity</t>
        </is>
      </c>
      <c r="H4" s="7" t="inlineStr">
        <is>
          <t>Shared spiritual language; Restoration materially redefines spirit as refined matter (D&amp;C 131:7–8).</t>
        </is>
      </c>
      <c r="I4" s="7" t="inlineStr">
        <is>
          <t>Count-constrained reconstruction</t>
        </is>
      </c>
      <c r="J4" s="7" t="inlineStr">
        <is>
          <t>Medium</t>
        </is>
      </c>
      <c r="K4" s="7" t="inlineStr">
        <is>
          <t>Apophatic_and_Kataphatic_Theology_in_Christian_Creeds_and_Confessions</t>
        </is>
      </c>
      <c r="L4" s="7" t="inlineStr">
        <is>
          <t>Recurring Kataphatic Vocabulary table</t>
        </is>
      </c>
    </row>
    <row r="5">
      <c r="A5" s="7" t="inlineStr">
        <is>
          <t>RNR-H04</t>
        </is>
      </c>
      <c r="B5" s="7" t="inlineStr">
        <is>
          <t>Kataphatic</t>
        </is>
      </c>
      <c r="C5" s="7" t="inlineStr">
        <is>
          <t>Divine identity &amp; relation</t>
        </is>
      </c>
      <c r="D5" s="7" t="inlineStr">
        <is>
          <t>Father</t>
        </is>
      </c>
      <c r="E5" s="7" t="inlineStr">
        <is>
          <t>Names divine paternity and relational identity.</t>
        </is>
      </c>
      <c r="F5" s="7" t="inlineStr">
        <is>
          <t>A</t>
        </is>
      </c>
      <c r="G5" s="7" t="inlineStr">
        <is>
          <t>Continuity</t>
        </is>
      </c>
      <c r="H5" s="7" t="inlineStr">
        <is>
          <t>Shared divine paternity/relational identity at the controlling floor.</t>
        </is>
      </c>
      <c r="I5" s="7" t="inlineStr">
        <is>
          <t>Count-constrained reconstruction</t>
        </is>
      </c>
      <c r="J5" s="7" t="inlineStr">
        <is>
          <t>High</t>
        </is>
      </c>
      <c r="K5" s="7" t="inlineStr">
        <is>
          <t>Apophatic_and_Kataphatic_Theology_in_Christian_Creeds_and_Confessions</t>
        </is>
      </c>
      <c r="L5" s="7" t="inlineStr">
        <is>
          <t>Recurring Kataphatic Vocabulary table</t>
        </is>
      </c>
    </row>
    <row r="6">
      <c r="A6" s="7" t="inlineStr">
        <is>
          <t>RNR-H05</t>
        </is>
      </c>
      <c r="B6" s="7" t="inlineStr">
        <is>
          <t>Kataphatic</t>
        </is>
      </c>
      <c r="C6" s="7" t="inlineStr">
        <is>
          <t>Divine identity &amp; relation</t>
        </is>
      </c>
      <c r="D6" s="7" t="inlineStr">
        <is>
          <t>Son</t>
        </is>
      </c>
      <c r="E6" s="7" t="inlineStr">
        <is>
          <t>Names the eternal filial relation of the Logos.</t>
        </is>
      </c>
      <c r="F6" s="7" t="inlineStr">
        <is>
          <t>A</t>
        </is>
      </c>
      <c r="G6" s="7" t="inlineStr">
        <is>
          <t>Continuity</t>
        </is>
      </c>
      <c r="H6" s="7" t="inlineStr">
        <is>
          <t>Shared filial identity/relationship controls A; thick Nicene metaphysical entailments are not imported automatically.</t>
        </is>
      </c>
      <c r="I6" s="7" t="inlineStr">
        <is>
          <t>Count-constrained reconstruction</t>
        </is>
      </c>
      <c r="J6" s="7" t="inlineStr">
        <is>
          <t>High</t>
        </is>
      </c>
      <c r="K6" s="7" t="inlineStr">
        <is>
          <t>Apophatic_and_Kataphatic_Theology_in_Christian_Creeds_and_Confessions</t>
        </is>
      </c>
      <c r="L6" s="7" t="inlineStr">
        <is>
          <t>Recurring Kataphatic Vocabulary table</t>
        </is>
      </c>
    </row>
    <row r="7">
      <c r="A7" s="7" t="inlineStr">
        <is>
          <t>RNR-H06</t>
        </is>
      </c>
      <c r="B7" s="7" t="inlineStr">
        <is>
          <t>Kataphatic</t>
        </is>
      </c>
      <c r="C7" s="7" t="inlineStr">
        <is>
          <t>Divine identity &amp; relation</t>
        </is>
      </c>
      <c r="D7" s="7" t="inlineStr">
        <is>
          <t>Lord</t>
        </is>
      </c>
      <c r="E7" s="7" t="inlineStr">
        <is>
          <t>Affirms authority and sovereignty.</t>
        </is>
      </c>
      <c r="F7" s="7" t="inlineStr">
        <is>
          <t>A</t>
        </is>
      </c>
      <c r="G7" s="7" t="inlineStr">
        <is>
          <t>Continuity</t>
        </is>
      </c>
      <c r="H7" s="7" t="inlineStr">
        <is>
          <t>Shared authority and lordship.</t>
        </is>
      </c>
      <c r="I7" s="7" t="inlineStr">
        <is>
          <t>Count-constrained reconstruction</t>
        </is>
      </c>
      <c r="J7" s="7" t="inlineStr">
        <is>
          <t>High</t>
        </is>
      </c>
      <c r="K7" s="7" t="inlineStr">
        <is>
          <t>Apophatic_and_Kataphatic_Theology_in_Christian_Creeds_and_Confessions</t>
        </is>
      </c>
      <c r="L7" s="7" t="inlineStr">
        <is>
          <t>Recurring Kataphatic Vocabulary table</t>
        </is>
      </c>
    </row>
    <row r="8">
      <c r="A8" s="7" t="inlineStr">
        <is>
          <t>RNR-H07</t>
        </is>
      </c>
      <c r="B8" s="7" t="inlineStr">
        <is>
          <t>Kataphatic</t>
        </is>
      </c>
      <c r="C8" s="7" t="inlineStr">
        <is>
          <t>Power, wisdom, goodness &amp; holiness</t>
        </is>
      </c>
      <c r="D8" s="7" t="inlineStr">
        <is>
          <t>Almighty / omnipotent</t>
        </is>
      </c>
      <c r="E8" s="7" t="inlineStr">
        <is>
          <t>Affirms supreme power.</t>
        </is>
      </c>
      <c r="F8" s="7" t="inlineStr">
        <is>
          <t>A</t>
        </is>
      </c>
      <c r="G8" s="7" t="inlineStr">
        <is>
          <t>Continuity</t>
        </is>
      </c>
      <c r="H8" s="7" t="inlineStr">
        <is>
          <t>Shared supreme divine power; absolute modal or creatio-ex-nihilo implications are not imported automatically.</t>
        </is>
      </c>
      <c r="I8" s="7" t="inlineStr">
        <is>
          <t>Count-constrained reconstruction</t>
        </is>
      </c>
      <c r="J8" s="7" t="inlineStr">
        <is>
          <t>High</t>
        </is>
      </c>
      <c r="K8" s="7" t="inlineStr">
        <is>
          <t>Apophatic_and_Kataphatic_Theology_in_Christian_Creeds_and_Confessions</t>
        </is>
      </c>
      <c r="L8" s="7" t="inlineStr">
        <is>
          <t>Recurring Kataphatic Vocabulary table</t>
        </is>
      </c>
    </row>
    <row r="9">
      <c r="A9" s="7" t="inlineStr">
        <is>
          <t>RNR-H08</t>
        </is>
      </c>
      <c r="B9" s="7" t="inlineStr">
        <is>
          <t>Kataphatic</t>
        </is>
      </c>
      <c r="C9" s="7" t="inlineStr">
        <is>
          <t>Power, wisdom, goodness &amp; holiness</t>
        </is>
      </c>
      <c r="D9" s="7" t="inlineStr">
        <is>
          <t>Wise / all-wise</t>
        </is>
      </c>
      <c r="E9" s="7" t="inlineStr">
        <is>
          <t>Affirms wisdom.</t>
        </is>
      </c>
      <c r="F9" s="7" t="inlineStr">
        <is>
          <t>A</t>
        </is>
      </c>
      <c r="G9" s="7" t="inlineStr">
        <is>
          <t>Continuity</t>
        </is>
      </c>
      <c r="H9" s="7" t="inlineStr">
        <is>
          <t>Shared divine wisdom.</t>
        </is>
      </c>
      <c r="I9" s="7" t="inlineStr">
        <is>
          <t>Count-constrained reconstruction</t>
        </is>
      </c>
      <c r="J9" s="7" t="inlineStr">
        <is>
          <t>High</t>
        </is>
      </c>
      <c r="K9" s="7" t="inlineStr">
        <is>
          <t>Apophatic_and_Kataphatic_Theology_in_Christian_Creeds_and_Confessions</t>
        </is>
      </c>
      <c r="L9" s="7" t="inlineStr">
        <is>
          <t>Recurring Kataphatic Vocabulary table</t>
        </is>
      </c>
    </row>
    <row r="10">
      <c r="A10" s="7" t="inlineStr">
        <is>
          <t>RNR-H09</t>
        </is>
      </c>
      <c r="B10" s="7" t="inlineStr">
        <is>
          <t>Kataphatic</t>
        </is>
      </c>
      <c r="C10" s="7" t="inlineStr">
        <is>
          <t>Power, wisdom, goodness &amp; holiness</t>
        </is>
      </c>
      <c r="D10" s="7" t="inlineStr">
        <is>
          <t>Good</t>
        </is>
      </c>
      <c r="E10" s="7" t="inlineStr">
        <is>
          <t>Affirms goodness as belonging to God.</t>
        </is>
      </c>
      <c r="F10" s="7" t="inlineStr">
        <is>
          <t>A</t>
        </is>
      </c>
      <c r="G10" s="7" t="inlineStr">
        <is>
          <t>Continuity</t>
        </is>
      </c>
      <c r="H10" s="7" t="inlineStr">
        <is>
          <t>Shared divine goodness.</t>
        </is>
      </c>
      <c r="I10" s="7" t="inlineStr">
        <is>
          <t>Count-constrained reconstruction</t>
        </is>
      </c>
      <c r="J10" s="7" t="inlineStr">
        <is>
          <t>High</t>
        </is>
      </c>
      <c r="K10" s="7" t="inlineStr">
        <is>
          <t>Apophatic_and_Kataphatic_Theology_in_Christian_Creeds_and_Confessions</t>
        </is>
      </c>
      <c r="L10" s="7" t="inlineStr">
        <is>
          <t>Recurring Kataphatic Vocabulary table</t>
        </is>
      </c>
    </row>
    <row r="11">
      <c r="A11" s="7" t="inlineStr">
        <is>
          <t>RNR-H10</t>
        </is>
      </c>
      <c r="B11" s="7" t="inlineStr">
        <is>
          <t>Kataphatic</t>
        </is>
      </c>
      <c r="C11" s="7" t="inlineStr">
        <is>
          <t>Power, wisdom, goodness &amp; holiness</t>
        </is>
      </c>
      <c r="D11" s="7" t="inlineStr">
        <is>
          <t>Source of all good</t>
        </is>
      </c>
      <c r="E11" s="7" t="inlineStr">
        <is>
          <t>Affirms creaturely goodness as derived from God.</t>
        </is>
      </c>
      <c r="F11" s="7" t="inlineStr">
        <is>
          <t>A</t>
        </is>
      </c>
      <c r="G11" s="7" t="inlineStr">
        <is>
          <t>Continuity</t>
        </is>
      </c>
      <c r="H11" s="7" t="inlineStr">
        <is>
          <t>Shared. Both traditions affirm this of God in the same sense.</t>
        </is>
      </c>
      <c r="I11" s="7" t="inlineStr">
        <is>
          <t>Count-constrained reconstruction</t>
        </is>
      </c>
      <c r="J11" s="7" t="inlineStr">
        <is>
          <t>Medium-High</t>
        </is>
      </c>
      <c r="K11" s="7" t="inlineStr">
        <is>
          <t>Apophatic_and_Kataphatic_Theology_in_Christian_Creeds_and_Confessions</t>
        </is>
      </c>
      <c r="L11" s="7" t="inlineStr">
        <is>
          <t>Recurring Kataphatic Vocabulary table</t>
        </is>
      </c>
    </row>
    <row r="12">
      <c r="A12" s="7" t="inlineStr">
        <is>
          <t>RNR-H11</t>
        </is>
      </c>
      <c r="B12" s="7" t="inlineStr">
        <is>
          <t>Kataphatic</t>
        </is>
      </c>
      <c r="C12" s="7" t="inlineStr">
        <is>
          <t>Power, wisdom, goodness &amp; holiness</t>
        </is>
      </c>
      <c r="D12" s="7" t="inlineStr">
        <is>
          <t>Just / righteous</t>
        </is>
      </c>
      <c r="E12" s="7" t="inlineStr">
        <is>
          <t>Affirms perfect justice.</t>
        </is>
      </c>
      <c r="F12" s="7" t="inlineStr">
        <is>
          <t>A</t>
        </is>
      </c>
      <c r="G12" s="7" t="inlineStr">
        <is>
          <t>Continuity</t>
        </is>
      </c>
      <c r="H12" s="7" t="inlineStr">
        <is>
          <t>Shared divine justice/righteousness.</t>
        </is>
      </c>
      <c r="I12" s="7" t="inlineStr">
        <is>
          <t>Count-constrained reconstruction</t>
        </is>
      </c>
      <c r="J12" s="7" t="inlineStr">
        <is>
          <t>High</t>
        </is>
      </c>
      <c r="K12" s="7" t="inlineStr">
        <is>
          <t>Apophatic_and_Kataphatic_Theology_in_Christian_Creeds_and_Confessions</t>
        </is>
      </c>
      <c r="L12" s="7" t="inlineStr">
        <is>
          <t>Recurring Kataphatic Vocabulary table</t>
        </is>
      </c>
    </row>
    <row r="13">
      <c r="A13" s="7" t="inlineStr">
        <is>
          <t>RNR-H12</t>
        </is>
      </c>
      <c r="B13" s="7" t="inlineStr">
        <is>
          <t>Kataphatic</t>
        </is>
      </c>
      <c r="C13" s="7" t="inlineStr">
        <is>
          <t>Power, wisdom, goodness &amp; holiness</t>
        </is>
      </c>
      <c r="D13" s="7" t="inlineStr">
        <is>
          <t>Holy</t>
        </is>
      </c>
      <c r="E13" s="7" t="inlineStr">
        <is>
          <t>Affirms holiness.</t>
        </is>
      </c>
      <c r="F13" s="7" t="inlineStr">
        <is>
          <t>A</t>
        </is>
      </c>
      <c r="G13" s="7" t="inlineStr">
        <is>
          <t>Continuity</t>
        </is>
      </c>
      <c r="H13" s="7" t="inlineStr">
        <is>
          <t>Shared holiness.</t>
        </is>
      </c>
      <c r="I13" s="7" t="inlineStr">
        <is>
          <t>Count-constrained reconstruction</t>
        </is>
      </c>
      <c r="J13" s="7" t="inlineStr">
        <is>
          <t>High</t>
        </is>
      </c>
      <c r="K13" s="7" t="inlineStr">
        <is>
          <t>Apophatic_and_Kataphatic_Theology_in_Christian_Creeds_and_Confessions</t>
        </is>
      </c>
      <c r="L13" s="7" t="inlineStr">
        <is>
          <t>Recurring Kataphatic Vocabulary table</t>
        </is>
      </c>
    </row>
    <row r="14">
      <c r="A14" s="7" t="inlineStr">
        <is>
          <t>RNR-H13</t>
        </is>
      </c>
      <c r="B14" s="7" t="inlineStr">
        <is>
          <t>Kataphatic</t>
        </is>
      </c>
      <c r="C14" s="7" t="inlineStr">
        <is>
          <t>Power, wisdom, goodness &amp; holiness</t>
        </is>
      </c>
      <c r="D14" s="7" t="inlineStr">
        <is>
          <t>Truthful / faithful</t>
        </is>
      </c>
      <c r="E14" s="7" t="inlineStr">
        <is>
          <t>Affirms truthfulness and trustworthiness.</t>
        </is>
      </c>
      <c r="F14" s="7" t="inlineStr">
        <is>
          <t>A</t>
        </is>
      </c>
      <c r="G14" s="7" t="inlineStr">
        <is>
          <t>Continuity</t>
        </is>
      </c>
      <c r="H14" s="7" t="inlineStr">
        <is>
          <t>Shared faithfulness and truthfulness.</t>
        </is>
      </c>
      <c r="I14" s="7" t="inlineStr">
        <is>
          <t>Count-constrained reconstruction</t>
        </is>
      </c>
      <c r="J14" s="7" t="inlineStr">
        <is>
          <t>High</t>
        </is>
      </c>
      <c r="K14" s="7" t="inlineStr">
        <is>
          <t>Apophatic_and_Kataphatic_Theology_in_Christian_Creeds_and_Confessions</t>
        </is>
      </c>
      <c r="L14" s="7" t="inlineStr">
        <is>
          <t>Recurring Kataphatic Vocabulary table</t>
        </is>
      </c>
    </row>
    <row r="15">
      <c r="A15" s="7" t="inlineStr">
        <is>
          <t>RNR-H14</t>
        </is>
      </c>
      <c r="B15" s="7" t="inlineStr">
        <is>
          <t>Kataphatic</t>
        </is>
      </c>
      <c r="C15" s="7" t="inlineStr">
        <is>
          <t>Love, mercy, grace &amp; glory</t>
        </is>
      </c>
      <c r="D15" s="7" t="inlineStr">
        <is>
          <t>Love / loving</t>
        </is>
      </c>
      <c r="E15" s="7" t="inlineStr">
        <is>
          <t>Affirms love as divine character and action.</t>
        </is>
      </c>
      <c r="F15" s="7" t="inlineStr">
        <is>
          <t>A</t>
        </is>
      </c>
      <c r="G15" s="7" t="inlineStr">
        <is>
          <t>Continuity</t>
        </is>
      </c>
      <c r="H15" s="7" t="inlineStr">
        <is>
          <t>Shared divine love.</t>
        </is>
      </c>
      <c r="I15" s="7" t="inlineStr">
        <is>
          <t>Count-constrained reconstruction</t>
        </is>
      </c>
      <c r="J15" s="7" t="inlineStr">
        <is>
          <t>High</t>
        </is>
      </c>
      <c r="K15" s="7" t="inlineStr">
        <is>
          <t>Apophatic_and_Kataphatic_Theology_in_Christian_Creeds_and_Confessions</t>
        </is>
      </c>
      <c r="L15" s="7" t="inlineStr">
        <is>
          <t>Recurring Kataphatic Vocabulary table</t>
        </is>
      </c>
    </row>
    <row r="16">
      <c r="A16" s="7" t="inlineStr">
        <is>
          <t>RNR-H15</t>
        </is>
      </c>
      <c r="B16" s="7" t="inlineStr">
        <is>
          <t>Kataphatic</t>
        </is>
      </c>
      <c r="C16" s="7" t="inlineStr">
        <is>
          <t>Love, mercy, grace &amp; glory</t>
        </is>
      </c>
      <c r="D16" s="7" t="inlineStr">
        <is>
          <t>Merciful</t>
        </is>
      </c>
      <c r="E16" s="7" t="inlineStr">
        <is>
          <t>Affirms mercy.</t>
        </is>
      </c>
      <c r="F16" s="7" t="inlineStr">
        <is>
          <t>A</t>
        </is>
      </c>
      <c r="G16" s="7" t="inlineStr">
        <is>
          <t>Continuity</t>
        </is>
      </c>
      <c r="H16" s="7" t="inlineStr">
        <is>
          <t>Shared mercy.</t>
        </is>
      </c>
      <c r="I16" s="7" t="inlineStr">
        <is>
          <t>Count-constrained reconstruction</t>
        </is>
      </c>
      <c r="J16" s="7" t="inlineStr">
        <is>
          <t>High</t>
        </is>
      </c>
      <c r="K16" s="7" t="inlineStr">
        <is>
          <t>Apophatic_and_Kataphatic_Theology_in_Christian_Creeds_and_Confessions</t>
        </is>
      </c>
      <c r="L16" s="7" t="inlineStr">
        <is>
          <t>Recurring Kataphatic Vocabulary table</t>
        </is>
      </c>
    </row>
    <row r="17">
      <c r="A17" s="7" t="inlineStr">
        <is>
          <t>RNR-H16</t>
        </is>
      </c>
      <c r="B17" s="7" t="inlineStr">
        <is>
          <t>Kataphatic</t>
        </is>
      </c>
      <c r="C17" s="7" t="inlineStr">
        <is>
          <t>Love, mercy, grace &amp; glory</t>
        </is>
      </c>
      <c r="D17" s="7" t="inlineStr">
        <is>
          <t>Gracious</t>
        </is>
      </c>
      <c r="E17" s="7" t="inlineStr">
        <is>
          <t>Affirms gracious action toward creatures.</t>
        </is>
      </c>
      <c r="F17" s="7" t="inlineStr">
        <is>
          <t>A</t>
        </is>
      </c>
      <c r="G17" s="7" t="inlineStr">
        <is>
          <t>Continuity</t>
        </is>
      </c>
      <c r="H17" s="7" t="inlineStr">
        <is>
          <t>Shared grace/gracious action.</t>
        </is>
      </c>
      <c r="I17" s="7" t="inlineStr">
        <is>
          <t>Count-constrained reconstruction</t>
        </is>
      </c>
      <c r="J17" s="7" t="inlineStr">
        <is>
          <t>High</t>
        </is>
      </c>
      <c r="K17" s="7" t="inlineStr">
        <is>
          <t>Apophatic_and_Kataphatic_Theology_in_Christian_Creeds_and_Confessions</t>
        </is>
      </c>
      <c r="L17" s="7" t="inlineStr">
        <is>
          <t>Recurring Kataphatic Vocabulary table</t>
        </is>
      </c>
    </row>
    <row r="18">
      <c r="A18" s="7" t="inlineStr">
        <is>
          <t>RNR-H17</t>
        </is>
      </c>
      <c r="B18" s="7" t="inlineStr">
        <is>
          <t>Kataphatic</t>
        </is>
      </c>
      <c r="C18" s="7" t="inlineStr">
        <is>
          <t>Love, mercy, grace &amp; glory</t>
        </is>
      </c>
      <c r="D18" s="7" t="inlineStr">
        <is>
          <t>Long-suffering / patient</t>
        </is>
      </c>
      <c r="E18" s="7" t="inlineStr">
        <is>
          <t>Affirms forbearance.</t>
        </is>
      </c>
      <c r="F18" s="7" t="inlineStr">
        <is>
          <t>A</t>
        </is>
      </c>
      <c r="G18" s="7" t="inlineStr">
        <is>
          <t>Continuity</t>
        </is>
      </c>
      <c r="H18" s="7" t="inlineStr">
        <is>
          <t>Shared divine patience/forbearance.</t>
        </is>
      </c>
      <c r="I18" s="7" t="inlineStr">
        <is>
          <t>Count-constrained reconstruction</t>
        </is>
      </c>
      <c r="J18" s="7" t="inlineStr">
        <is>
          <t>High</t>
        </is>
      </c>
      <c r="K18" s="7" t="inlineStr">
        <is>
          <t>Apophatic_and_Kataphatic_Theology_in_Christian_Creeds_and_Confessions</t>
        </is>
      </c>
      <c r="L18" s="7" t="inlineStr">
        <is>
          <t>Recurring Kataphatic Vocabulary table</t>
        </is>
      </c>
    </row>
    <row r="19">
      <c r="A19" s="7" t="inlineStr">
        <is>
          <t>RNR-H18</t>
        </is>
      </c>
      <c r="B19" s="7" t="inlineStr">
        <is>
          <t>Kataphatic</t>
        </is>
      </c>
      <c r="C19" s="7" t="inlineStr">
        <is>
          <t>Love, mercy, grace &amp; glory</t>
        </is>
      </c>
      <c r="D19" s="7" t="inlineStr">
        <is>
          <t>Forgiving</t>
        </is>
      </c>
      <c r="E19" s="7" t="inlineStr">
        <is>
          <t>Affirms remission of sin.</t>
        </is>
      </c>
      <c r="F19" s="7" t="inlineStr">
        <is>
          <t>A</t>
        </is>
      </c>
      <c r="G19" s="7" t="inlineStr">
        <is>
          <t>Continuity</t>
        </is>
      </c>
      <c r="H19" s="7" t="inlineStr">
        <is>
          <t>Shared forgiving action.</t>
        </is>
      </c>
      <c r="I19" s="7" t="inlineStr">
        <is>
          <t>Count-constrained reconstruction</t>
        </is>
      </c>
      <c r="J19" s="7" t="inlineStr">
        <is>
          <t>High</t>
        </is>
      </c>
      <c r="K19" s="7" t="inlineStr">
        <is>
          <t>Apophatic_and_Kataphatic_Theology_in_Christian_Creeds_and_Confessions</t>
        </is>
      </c>
      <c r="L19" s="7" t="inlineStr">
        <is>
          <t>Recurring Kataphatic Vocabulary table</t>
        </is>
      </c>
    </row>
    <row r="20">
      <c r="A20" s="7" t="inlineStr">
        <is>
          <t>RNR-H19</t>
        </is>
      </c>
      <c r="B20" s="7" t="inlineStr">
        <is>
          <t>Kataphatic</t>
        </is>
      </c>
      <c r="C20" s="7" t="inlineStr">
        <is>
          <t>Love, mercy, grace &amp; glory</t>
        </is>
      </c>
      <c r="D20" s="7" t="inlineStr">
        <is>
          <t>Blessed</t>
        </is>
      </c>
      <c r="E20" s="7" t="inlineStr">
        <is>
          <t>Affirms beatitude in God.</t>
        </is>
      </c>
      <c r="F20" s="7" t="inlineStr">
        <is>
          <t>A</t>
        </is>
      </c>
      <c r="G20" s="7" t="inlineStr">
        <is>
          <t>Continuity</t>
        </is>
      </c>
      <c r="H20" s="7" t="inlineStr">
        <is>
          <t>Shared. Both traditions affirm this of God in the same sense.</t>
        </is>
      </c>
      <c r="I20" s="7" t="inlineStr">
        <is>
          <t>Count-constrained reconstruction</t>
        </is>
      </c>
      <c r="J20" s="7" t="inlineStr">
        <is>
          <t>Medium-High</t>
        </is>
      </c>
      <c r="K20" s="7" t="inlineStr">
        <is>
          <t>Apophatic_and_Kataphatic_Theology_in_Christian_Creeds_and_Confessions</t>
        </is>
      </c>
      <c r="L20" s="7" t="inlineStr">
        <is>
          <t>Recurring Kataphatic Vocabulary table</t>
        </is>
      </c>
    </row>
    <row r="21" ht="15.75" customHeight="1" s="29">
      <c r="A21" s="7" t="inlineStr">
        <is>
          <t>RNR-H20</t>
        </is>
      </c>
      <c r="B21" s="7" t="inlineStr">
        <is>
          <t>Kataphatic</t>
        </is>
      </c>
      <c r="C21" s="7" t="inlineStr">
        <is>
          <t>Love, mercy, grace &amp; glory</t>
        </is>
      </c>
      <c r="D21" s="7" t="inlineStr">
        <is>
          <t>Glorious</t>
        </is>
      </c>
      <c r="E21" s="7" t="inlineStr">
        <is>
          <t>Affirms glory as properly divine.</t>
        </is>
      </c>
      <c r="F21" s="7" t="inlineStr">
        <is>
          <t>A</t>
        </is>
      </c>
      <c r="G21" s="7" t="inlineStr">
        <is>
          <t>Continuity</t>
        </is>
      </c>
      <c r="H21" s="7" t="inlineStr">
        <is>
          <t>Shared divine glory.</t>
        </is>
      </c>
      <c r="I21" s="7" t="inlineStr">
        <is>
          <t>Count-constrained reconstruction</t>
        </is>
      </c>
      <c r="J21" s="7" t="inlineStr">
        <is>
          <t>High</t>
        </is>
      </c>
      <c r="K21" s="7" t="inlineStr">
        <is>
          <t>Apophatic_and_Kataphatic_Theology_in_Christian_Creeds_and_Confessions</t>
        </is>
      </c>
      <c r="L21" s="7" t="inlineStr">
        <is>
          <t>Recurring Kataphatic Vocabulary table</t>
        </is>
      </c>
    </row>
    <row r="22" ht="15.75" customHeight="1" s="29">
      <c r="A22" s="7" t="inlineStr">
        <is>
          <t>RNR-H21</t>
        </is>
      </c>
      <c r="B22" s="7" t="inlineStr">
        <is>
          <t>Kataphatic</t>
        </is>
      </c>
      <c r="C22" s="7" t="inlineStr">
        <is>
          <t>Divine action, providence &amp; salvation</t>
        </is>
      </c>
      <c r="D22" s="7" t="inlineStr">
        <is>
          <t>Life-giving</t>
        </is>
      </c>
      <c r="E22" s="7" t="inlineStr">
        <is>
          <t>Affirms communication of life.</t>
        </is>
      </c>
      <c r="F22" s="7" t="inlineStr">
        <is>
          <t>A</t>
        </is>
      </c>
      <c r="G22" s="7" t="inlineStr">
        <is>
          <t>Continuity</t>
        </is>
      </c>
      <c r="H22" s="7" t="inlineStr">
        <is>
          <t>Shared life-giving divine action.</t>
        </is>
      </c>
      <c r="I22" s="7" t="inlineStr">
        <is>
          <t>Count-constrained reconstruction</t>
        </is>
      </c>
      <c r="J22" s="7" t="inlineStr">
        <is>
          <t>High</t>
        </is>
      </c>
      <c r="K22" s="7" t="inlineStr">
        <is>
          <t>Apophatic_and_Kataphatic_Theology_in_Christian_Creeds_and_Confessions</t>
        </is>
      </c>
      <c r="L22" s="7" t="inlineStr">
        <is>
          <t>Recurring Kataphatic Vocabulary table</t>
        </is>
      </c>
    </row>
    <row r="23" ht="15.75" customHeight="1" s="29">
      <c r="A23" s="7" t="inlineStr">
        <is>
          <t>RNR-H22</t>
        </is>
      </c>
      <c r="B23" s="7" t="inlineStr">
        <is>
          <t>Kataphatic</t>
        </is>
      </c>
      <c r="C23" s="7" t="inlineStr">
        <is>
          <t>Divine action, providence &amp; salvation</t>
        </is>
      </c>
      <c r="D23" s="7" t="inlineStr">
        <is>
          <t>Creator / Maker</t>
        </is>
      </c>
      <c r="E23" s="7" t="inlineStr">
        <is>
          <t>Affirms divine causation of created existence.</t>
        </is>
      </c>
      <c r="F23" s="7" t="inlineStr">
        <is>
          <t>Q</t>
        </is>
      </c>
      <c r="G23" s="7" t="inlineStr">
        <is>
          <t>Reconstruction / qualified continuity</t>
        </is>
      </c>
      <c r="H23" s="7" t="inlineStr">
        <is>
          <t>Creator/Maker confession is shared; creation ontology/mechanics are materially redefined around preexistent reality.</t>
        </is>
      </c>
      <c r="I23" s="7" t="inlineStr">
        <is>
          <t>Explicit in master handoff</t>
        </is>
      </c>
      <c r="J23" s="7" t="inlineStr">
        <is>
          <t>High</t>
        </is>
      </c>
      <c r="K23" s="7" t="inlineStr">
        <is>
          <t>Apophatic_and_Kataphatic_Theology_in_Christian_Creeds_and_Confessions</t>
        </is>
      </c>
      <c r="L23" s="7" t="inlineStr">
        <is>
          <t>Recurring Kataphatic Vocabulary table</t>
        </is>
      </c>
    </row>
    <row r="24" ht="15.75" customHeight="1" s="29">
      <c r="A24" s="7" t="inlineStr">
        <is>
          <t>RNR-H23</t>
        </is>
      </c>
      <c r="B24" s="7" t="inlineStr">
        <is>
          <t>Kataphatic</t>
        </is>
      </c>
      <c r="C24" s="7" t="inlineStr">
        <is>
          <t>Divine action, providence &amp; salvation</t>
        </is>
      </c>
      <c r="D24" s="7" t="inlineStr">
        <is>
          <t>Preserver / Sustainer</t>
        </is>
      </c>
      <c r="E24" s="7" t="inlineStr">
        <is>
          <t>Affirms continued conservation of creatures.</t>
        </is>
      </c>
      <c r="F24" s="7" t="inlineStr">
        <is>
          <t>A</t>
        </is>
      </c>
      <c r="G24" s="7" t="inlineStr">
        <is>
          <t>Continuity</t>
        </is>
      </c>
      <c r="H24" s="7" t="inlineStr">
        <is>
          <t>Shared sustaining/preserving action; stronger continuous ontological-conservation theory remains a thick-layer issue.</t>
        </is>
      </c>
      <c r="I24" s="7" t="inlineStr">
        <is>
          <t>Count-constrained reconstruction</t>
        </is>
      </c>
      <c r="J24" s="7" t="inlineStr">
        <is>
          <t>High</t>
        </is>
      </c>
      <c r="K24" s="7" t="inlineStr">
        <is>
          <t>Apophatic_and_Kataphatic_Theology_in_Christian_Creeds_and_Confessions</t>
        </is>
      </c>
      <c r="L24" s="7" t="inlineStr">
        <is>
          <t>Recurring Kataphatic Vocabulary table</t>
        </is>
      </c>
    </row>
    <row r="25" ht="15.75" customHeight="1" s="29">
      <c r="A25" s="7" t="inlineStr">
        <is>
          <t>RNR-H24</t>
        </is>
      </c>
      <c r="B25" s="7" t="inlineStr">
        <is>
          <t>Kataphatic</t>
        </is>
      </c>
      <c r="C25" s="7" t="inlineStr">
        <is>
          <t>Divine action, providence &amp; salvation</t>
        </is>
      </c>
      <c r="D25" s="7" t="inlineStr">
        <is>
          <t>Governor / Ruler</t>
        </is>
      </c>
      <c r="E25" s="7" t="inlineStr">
        <is>
          <t>Affirms providential ordering.</t>
        </is>
      </c>
      <c r="F25" s="7" t="inlineStr">
        <is>
          <t>A</t>
        </is>
      </c>
      <c r="G25" s="7" t="inlineStr">
        <is>
          <t>Continuity</t>
        </is>
      </c>
      <c r="H25" s="7" t="inlineStr">
        <is>
          <t>Shared providential governance.</t>
        </is>
      </c>
      <c r="I25" s="7" t="inlineStr">
        <is>
          <t>Count-constrained reconstruction</t>
        </is>
      </c>
      <c r="J25" s="7" t="inlineStr">
        <is>
          <t>High</t>
        </is>
      </c>
      <c r="K25" s="7" t="inlineStr">
        <is>
          <t>Apophatic_and_Kataphatic_Theology_in_Christian_Creeds_and_Confessions</t>
        </is>
      </c>
      <c r="L25" s="7" t="inlineStr">
        <is>
          <t>Recurring Kataphatic Vocabulary table</t>
        </is>
      </c>
    </row>
    <row r="26" ht="15.75" customHeight="1" s="29">
      <c r="A26" s="7" t="inlineStr">
        <is>
          <t>RNR-H25</t>
        </is>
      </c>
      <c r="B26" s="7" t="inlineStr">
        <is>
          <t>Kataphatic</t>
        </is>
      </c>
      <c r="C26" s="7" t="inlineStr">
        <is>
          <t>Divine action, providence &amp; salvation</t>
        </is>
      </c>
      <c r="D26" s="7" t="inlineStr">
        <is>
          <t>Sovereign</t>
        </is>
      </c>
      <c r="E26" s="7" t="inlineStr">
        <is>
          <t>Affirms supreme dominion.</t>
        </is>
      </c>
      <c r="F26" s="7" t="inlineStr">
        <is>
          <t>A</t>
        </is>
      </c>
      <c r="G26" s="7" t="inlineStr">
        <is>
          <t>Continuity</t>
        </is>
      </c>
      <c r="H26" s="7" t="inlineStr">
        <is>
          <t>Shared divine sovereignty.</t>
        </is>
      </c>
      <c r="I26" s="7" t="inlineStr">
        <is>
          <t>Count-constrained reconstruction</t>
        </is>
      </c>
      <c r="J26" s="7" t="inlineStr">
        <is>
          <t>High</t>
        </is>
      </c>
      <c r="K26" s="7" t="inlineStr">
        <is>
          <t>Apophatic_and_Kataphatic_Theology_in_Christian_Creeds_and_Confessions</t>
        </is>
      </c>
      <c r="L26" s="7" t="inlineStr">
        <is>
          <t>Recurring Kataphatic Vocabulary table</t>
        </is>
      </c>
    </row>
    <row r="27" ht="15.75" customHeight="1" s="29">
      <c r="A27" s="7" t="inlineStr">
        <is>
          <t>RNR-H26</t>
        </is>
      </c>
      <c r="B27" s="7" t="inlineStr">
        <is>
          <t>Kataphatic</t>
        </is>
      </c>
      <c r="C27" s="7" t="inlineStr">
        <is>
          <t>Divine action, providence &amp; salvation</t>
        </is>
      </c>
      <c r="D27" s="7" t="inlineStr">
        <is>
          <t>Judge</t>
        </is>
      </c>
      <c r="E27" s="7" t="inlineStr">
        <is>
          <t>Affirms divine judgment.</t>
        </is>
      </c>
      <c r="F27" s="7" t="inlineStr">
        <is>
          <t>A</t>
        </is>
      </c>
      <c r="G27" s="7" t="inlineStr">
        <is>
          <t>Continuity</t>
        </is>
      </c>
      <c r="H27" s="7" t="inlineStr">
        <is>
          <t>Shared divine judgment.</t>
        </is>
      </c>
      <c r="I27" s="7" t="inlineStr">
        <is>
          <t>Count-constrained reconstruction</t>
        </is>
      </c>
      <c r="J27" s="7" t="inlineStr">
        <is>
          <t>High</t>
        </is>
      </c>
      <c r="K27" s="7" t="inlineStr">
        <is>
          <t>Apophatic_and_Kataphatic_Theology_in_Christian_Creeds_and_Confessions</t>
        </is>
      </c>
      <c r="L27" s="7" t="inlineStr">
        <is>
          <t>Recurring Kataphatic Vocabulary table</t>
        </is>
      </c>
    </row>
    <row r="28" ht="15.75" customHeight="1" s="29">
      <c r="A28" s="7" t="inlineStr">
        <is>
          <t>RNR-H27</t>
        </is>
      </c>
      <c r="B28" s="7" t="inlineStr">
        <is>
          <t>Kataphatic</t>
        </is>
      </c>
      <c r="C28" s="7" t="inlineStr">
        <is>
          <t>Divine action, providence &amp; salvation</t>
        </is>
      </c>
      <c r="D28" s="7" t="inlineStr">
        <is>
          <t>Savior</t>
        </is>
      </c>
      <c r="E28" s="7" t="inlineStr">
        <is>
          <t>Affirms redemptive action.</t>
        </is>
      </c>
      <c r="F28" s="7" t="inlineStr">
        <is>
          <t>A</t>
        </is>
      </c>
      <c r="G28" s="7" t="inlineStr">
        <is>
          <t>Continuity</t>
        </is>
      </c>
      <c r="H28" s="7" t="inlineStr">
        <is>
          <t>Shared saving/redemptive action.</t>
        </is>
      </c>
      <c r="I28" s="7" t="inlineStr">
        <is>
          <t>Count-constrained reconstruction</t>
        </is>
      </c>
      <c r="J28" s="7" t="inlineStr">
        <is>
          <t>High</t>
        </is>
      </c>
      <c r="K28" s="7" t="inlineStr">
        <is>
          <t>Apophatic_and_Kataphatic_Theology_in_Christian_Creeds_and_Confessions</t>
        </is>
      </c>
      <c r="L28" s="7" t="inlineStr">
        <is>
          <t>Recurring Kataphatic Vocabulary table</t>
        </is>
      </c>
    </row>
    <row r="29" ht="15.75" customHeight="1" s="29">
      <c r="A29" s="7" t="inlineStr">
        <is>
          <t>RNR-H28</t>
        </is>
      </c>
      <c r="B29" s="7" t="inlineStr">
        <is>
          <t>Kataphatic</t>
        </is>
      </c>
      <c r="C29" s="7" t="inlineStr">
        <is>
          <t>Divine action, providence &amp; salvation</t>
        </is>
      </c>
      <c r="D29" s="7" t="inlineStr">
        <is>
          <t>Revealer</t>
        </is>
      </c>
      <c r="E29" s="7" t="inlineStr">
        <is>
          <t>Affirms divine self-communication.</t>
        </is>
      </c>
      <c r="F29" s="7" t="inlineStr">
        <is>
          <t>A</t>
        </is>
      </c>
      <c r="G29" s="7" t="inlineStr">
        <is>
          <t>Continuity</t>
        </is>
      </c>
      <c r="H29" s="7" t="inlineStr">
        <is>
          <t>Shared divine revelation/self-communication.</t>
        </is>
      </c>
      <c r="I29" s="7" t="inlineStr">
        <is>
          <t>Count-constrained reconstruction</t>
        </is>
      </c>
      <c r="J29" s="7" t="inlineStr">
        <is>
          <t>High</t>
        </is>
      </c>
      <c r="K29" s="7" t="inlineStr">
        <is>
          <t>Apophatic_and_Kataphatic_Theology_in_Christian_Creeds_and_Confessions</t>
        </is>
      </c>
      <c r="L29" s="7" t="inlineStr">
        <is>
          <t>Recurring Kataphatic Vocabulary table</t>
        </is>
      </c>
    </row>
    <row r="30" ht="15.75" customHeight="1" s="29">
      <c r="A30" s="7" t="inlineStr">
        <is>
          <t>RNR-H29</t>
        </is>
      </c>
      <c r="B30" s="7" t="inlineStr">
        <is>
          <t>Kataphatic</t>
        </is>
      </c>
      <c r="C30" s="7" t="inlineStr">
        <is>
          <t>Divine action, providence &amp; salvation</t>
        </is>
      </c>
      <c r="D30" s="7" t="inlineStr">
        <is>
          <t>Fountain of being</t>
        </is>
      </c>
      <c r="E30" s="7" t="inlineStr">
        <is>
          <t>Affirms creaturely existence as derived from God.</t>
        </is>
      </c>
      <c r="F30" s="7" t="inlineStr">
        <is>
          <t>Q</t>
        </is>
      </c>
      <c r="G30" s="7" t="inlineStr">
        <is>
          <t>Reconstruction / qualified continuity</t>
        </is>
      </c>
      <c r="H30" s="7" t="inlineStr">
        <is>
          <t>Qualified because Restoration ontology affirms coeternal intelligence and elements rather than an exhaustive creator-created binary.</t>
        </is>
      </c>
      <c r="I30" s="7" t="inlineStr">
        <is>
          <t>Count-constrained reconstruction</t>
        </is>
      </c>
      <c r="J30" s="7" t="inlineStr">
        <is>
          <t>Medium</t>
        </is>
      </c>
      <c r="K30" s="7" t="inlineStr">
        <is>
          <t>Apophatic_and_Kataphatic_Theology_in_Christian_Creeds_and_Confessions</t>
        </is>
      </c>
      <c r="L30" s="7" t="inlineStr">
        <is>
          <t>Recurring Kataphatic Vocabulary table</t>
        </is>
      </c>
    </row>
    <row r="31" ht="15.75" customHeight="1" s="29">
      <c r="A31" s="7" t="inlineStr">
        <is>
          <t>RNR-H30</t>
        </is>
      </c>
      <c r="B31" s="7" t="inlineStr">
        <is>
          <t>Kataphatic</t>
        </is>
      </c>
      <c r="C31" s="7" t="inlineStr">
        <is>
          <t>Christ &amp; Spirit titles</t>
        </is>
      </c>
      <c r="D31" s="7" t="inlineStr">
        <is>
          <t>Word / Logos</t>
        </is>
      </c>
      <c r="E31" s="7" t="inlineStr">
        <is>
          <t>Positively identifies the Son.</t>
        </is>
      </c>
      <c r="F31" s="7" t="inlineStr">
        <is>
          <t>A</t>
        </is>
      </c>
      <c r="G31" s="7" t="inlineStr">
        <is>
          <t>Continuity</t>
        </is>
      </c>
      <c r="H31" s="7" t="inlineStr">
        <is>
          <t>Shared identification/title of Christ.</t>
        </is>
      </c>
      <c r="I31" s="7" t="inlineStr">
        <is>
          <t>Count-constrained reconstruction</t>
        </is>
      </c>
      <c r="J31" s="7" t="inlineStr">
        <is>
          <t>High</t>
        </is>
      </c>
      <c r="K31" s="7" t="inlineStr">
        <is>
          <t>Apophatic_and_Kataphatic_Theology_in_Christian_Creeds_and_Confessions</t>
        </is>
      </c>
      <c r="L31" s="7" t="inlineStr">
        <is>
          <t>Recurring Kataphatic Vocabulary table</t>
        </is>
      </c>
    </row>
    <row r="32" ht="15.75" customHeight="1" s="29">
      <c r="A32" s="7" t="inlineStr">
        <is>
          <t>RNR-H31</t>
        </is>
      </c>
      <c r="B32" s="7" t="inlineStr">
        <is>
          <t>Kataphatic</t>
        </is>
      </c>
      <c r="C32" s="7" t="inlineStr">
        <is>
          <t>Christ &amp; Spirit titles</t>
        </is>
      </c>
      <c r="D32" s="7" t="inlineStr">
        <is>
          <t>Wisdom</t>
        </is>
      </c>
      <c r="E32" s="7" t="inlineStr">
        <is>
          <t>Names the Son as divine Wisdom in confessional usage.</t>
        </is>
      </c>
      <c r="F32" s="7" t="inlineStr">
        <is>
          <t>A</t>
        </is>
      </c>
      <c r="G32" s="7" t="inlineStr">
        <is>
          <t>Continuity</t>
        </is>
      </c>
      <c r="H32" s="7" t="inlineStr">
        <is>
          <t>Shared christological title/metaphor at the accepted floor.</t>
        </is>
      </c>
      <c r="I32" s="7" t="inlineStr">
        <is>
          <t>Count-constrained reconstruction</t>
        </is>
      </c>
      <c r="J32" s="7" t="inlineStr">
        <is>
          <t>High</t>
        </is>
      </c>
      <c r="K32" s="7" t="inlineStr">
        <is>
          <t>Apophatic_and_Kataphatic_Theology_in_Christian_Creeds_and_Confessions</t>
        </is>
      </c>
      <c r="L32" s="7" t="inlineStr">
        <is>
          <t>Recurring Kataphatic Vocabulary table</t>
        </is>
      </c>
    </row>
    <row r="33" ht="15.75" customHeight="1" s="29">
      <c r="A33" s="7" t="inlineStr">
        <is>
          <t>RNR-H32</t>
        </is>
      </c>
      <c r="B33" s="7" t="inlineStr">
        <is>
          <t>Kataphatic</t>
        </is>
      </c>
      <c r="C33" s="7" t="inlineStr">
        <is>
          <t>Christ &amp; Spirit titles</t>
        </is>
      </c>
      <c r="D33" s="7" t="inlineStr">
        <is>
          <t>Light</t>
        </is>
      </c>
      <c r="E33" s="7" t="inlineStr">
        <is>
          <t>Names the Son through the Nicene metaphor 'Light from Light.'</t>
        </is>
      </c>
      <c r="F33" s="7" t="inlineStr">
        <is>
          <t>A</t>
        </is>
      </c>
      <c r="G33" s="7" t="inlineStr">
        <is>
          <t>Continuity</t>
        </is>
      </c>
      <c r="H33" s="7" t="inlineStr">
        <is>
          <t>Shared christological light language at the accepted floor.</t>
        </is>
      </c>
      <c r="I33" s="7" t="inlineStr">
        <is>
          <t>Count-constrained reconstruction</t>
        </is>
      </c>
      <c r="J33" s="7" t="inlineStr">
        <is>
          <t>High</t>
        </is>
      </c>
      <c r="K33" s="7" t="inlineStr">
        <is>
          <t>Apophatic_and_Kataphatic_Theology_in_Christian_Creeds_and_Confessions</t>
        </is>
      </c>
      <c r="L33" s="7" t="inlineStr">
        <is>
          <t>Recurring Kataphatic Vocabulary table</t>
        </is>
      </c>
    </row>
    <row r="34" ht="15.75" customHeight="1" s="29">
      <c r="A34" s="7" t="inlineStr">
        <is>
          <t>RNR-H33</t>
        </is>
      </c>
      <c r="B34" s="7" t="inlineStr">
        <is>
          <t>Kataphatic</t>
        </is>
      </c>
      <c r="C34" s="7" t="inlineStr">
        <is>
          <t>Christ &amp; Spirit titles</t>
        </is>
      </c>
      <c r="D34" s="7" t="inlineStr">
        <is>
          <t>Image of the Father</t>
        </is>
      </c>
      <c r="E34" s="7" t="inlineStr">
        <is>
          <t>Affirms the Son as manifestation of the Father.</t>
        </is>
      </c>
      <c r="F34" s="7" t="inlineStr">
        <is>
          <t>A</t>
        </is>
      </c>
      <c r="G34" s="7" t="inlineStr">
        <is>
          <t>Continuity</t>
        </is>
      </c>
      <c r="H34" s="7" t="inlineStr">
        <is>
          <t>Shared image/manifestation language at the accepted floor.</t>
        </is>
      </c>
      <c r="I34" s="7" t="inlineStr">
        <is>
          <t>Count-constrained reconstruction</t>
        </is>
      </c>
      <c r="J34" s="7" t="inlineStr">
        <is>
          <t>High</t>
        </is>
      </c>
      <c r="K34" s="7" t="inlineStr">
        <is>
          <t>Apophatic_and_Kataphatic_Theology_in_Christian_Creeds_and_Confessions</t>
        </is>
      </c>
      <c r="L34" s="7" t="inlineStr">
        <is>
          <t>Recurring Kataphatic Vocabulary table</t>
        </is>
      </c>
    </row>
    <row r="35" ht="15.75" customHeight="1" s="29">
      <c r="A35" s="7" t="inlineStr">
        <is>
          <t>RNR-H34</t>
        </is>
      </c>
      <c r="B35" s="7" t="inlineStr">
        <is>
          <t>Kataphatic</t>
        </is>
      </c>
      <c r="C35" s="7" t="inlineStr">
        <is>
          <t>Christ &amp; Spirit titles</t>
        </is>
      </c>
      <c r="D35" s="7" t="inlineStr">
        <is>
          <t>Giver of life</t>
        </is>
      </c>
      <c r="E35" s="7" t="inlineStr">
        <is>
          <t>Names the Holy Spirit's vivifying agency.</t>
        </is>
      </c>
      <c r="F35" s="7" t="inlineStr">
        <is>
          <t>A</t>
        </is>
      </c>
      <c r="G35" s="7" t="inlineStr">
        <is>
          <t>Continuity</t>
        </is>
      </c>
      <c r="H35" s="7" t="inlineStr">
        <is>
          <t>Shared life-giving agency of the Spirit.</t>
        </is>
      </c>
      <c r="I35" s="7" t="inlineStr">
        <is>
          <t>Count-constrained reconstruction</t>
        </is>
      </c>
      <c r="J35" s="7" t="inlineStr">
        <is>
          <t>High</t>
        </is>
      </c>
      <c r="K35" s="7" t="inlineStr">
        <is>
          <t>Apophatic_and_Kataphatic_Theology_in_Christian_Creeds_and_Confessions</t>
        </is>
      </c>
      <c r="L35" s="7" t="inlineStr">
        <is>
          <t>Recurring Kataphatic Vocabulary table</t>
        </is>
      </c>
    </row>
    <row r="36" ht="15.75" customHeight="1" s="29">
      <c r="A36" s="7" t="inlineStr">
        <is>
          <t>RNR-H35</t>
        </is>
      </c>
      <c r="B36" s="7" t="inlineStr">
        <is>
          <t>Kataphatic</t>
        </is>
      </c>
      <c r="C36" s="7" t="inlineStr">
        <is>
          <t>Christ &amp; Spirit titles</t>
        </is>
      </c>
      <c r="D36" s="7" t="inlineStr">
        <is>
          <t>Eternal power and might</t>
        </is>
      </c>
      <c r="E36" s="7" t="inlineStr">
        <is>
          <t>Affirms the Holy Spirit's divine power.</t>
        </is>
      </c>
      <c r="F36" s="7" t="inlineStr">
        <is>
          <t>A</t>
        </is>
      </c>
      <c r="G36" s="7" t="inlineStr">
        <is>
          <t>Continuity</t>
        </is>
      </c>
      <c r="H36" s="7" t="inlineStr">
        <is>
          <t>Shared divine power of the Spirit.</t>
        </is>
      </c>
      <c r="I36" s="7" t="inlineStr">
        <is>
          <t>Count-constrained reconstruction</t>
        </is>
      </c>
      <c r="J36" s="7" t="inlineStr">
        <is>
          <t>High</t>
        </is>
      </c>
      <c r="K36" s="7" t="inlineStr">
        <is>
          <t>Apophatic_and_Kataphatic_Theology_in_Christian_Creeds_and_Confessions</t>
        </is>
      </c>
      <c r="L36" s="7" t="inlineStr">
        <is>
          <t>Recurring Kataphatic Vocabulary table</t>
        </is>
      </c>
    </row>
    <row r="37" ht="15.75" customHeight="1" s="29">
      <c r="A37" s="7" t="inlineStr">
        <is>
          <t>RNR-H36</t>
        </is>
      </c>
      <c r="B37" s="7" t="inlineStr">
        <is>
          <t>Apophatic / privative</t>
        </is>
      </c>
      <c r="C37" s="7" t="inlineStr">
        <is>
          <t>Beginninglessness &amp; non-finitude</t>
        </is>
      </c>
      <c r="D37" s="7" t="inlineStr">
        <is>
          <t>Uncreated</t>
        </is>
      </c>
      <c r="E37" s="7" t="inlineStr">
        <is>
          <t>Denies dependence on a creator or originating act.</t>
        </is>
      </c>
      <c r="F37" s="7" t="inlineStr">
        <is>
          <t>Q</t>
        </is>
      </c>
      <c r="G37" s="7" t="inlineStr">
        <is>
          <t>Reconstruction / qualified continuity</t>
        </is>
      </c>
      <c r="H37" s="7" t="inlineStr">
        <is>
          <t>Beginningless divine reality is affirmed; the exhaustive God-versus-created-reality binary is rejected.</t>
        </is>
      </c>
      <c r="I37" s="7" t="inlineStr">
        <is>
          <t>Explicit in master handoff</t>
        </is>
      </c>
      <c r="J37" s="7" t="inlineStr">
        <is>
          <t>High</t>
        </is>
      </c>
      <c r="K37" s="7" t="inlineStr">
        <is>
          <t>Apophatic_and_Kataphatic_Theology_in_Christian_Creeds_and_Confessions</t>
        </is>
      </c>
      <c r="L37" s="7" t="inlineStr">
        <is>
          <t>Recurring Apophatic Vocabulary table</t>
        </is>
      </c>
    </row>
    <row r="38" ht="15.75" customHeight="1" s="29">
      <c r="A38" s="7" t="inlineStr">
        <is>
          <t>RNR-H37</t>
        </is>
      </c>
      <c r="B38" s="7" t="inlineStr">
        <is>
          <t>Apophatic / privative</t>
        </is>
      </c>
      <c r="C38" s="7" t="inlineStr">
        <is>
          <t>Beginninglessness &amp; non-finitude</t>
        </is>
      </c>
      <c r="D38" s="7" t="inlineStr">
        <is>
          <t>Unbegotten</t>
        </is>
      </c>
      <c r="E38" s="7" t="inlineStr">
        <is>
          <t>Denies generation from another.</t>
        </is>
      </c>
      <c r="F38" s="7" t="inlineStr">
        <is>
          <t>Q</t>
        </is>
      </c>
      <c r="G38" s="7" t="inlineStr">
        <is>
          <t>Reconstruction / qualified continuity</t>
        </is>
      </c>
      <c r="H38" s="7" t="inlineStr">
        <is>
          <t>Beginninglessness/source-status concern is shared; absolute 'from none' versus antecedent divine lineage remains a material qualification.</t>
        </is>
      </c>
      <c r="I38" s="7" t="inlineStr">
        <is>
          <t>Explicit in master handoff</t>
        </is>
      </c>
      <c r="J38" s="7" t="inlineStr">
        <is>
          <t>High</t>
        </is>
      </c>
      <c r="K38" s="7" t="inlineStr">
        <is>
          <t>Apophatic_and_Kataphatic_Theology_in_Christian_Creeds_and_Confessions</t>
        </is>
      </c>
      <c r="L38" s="7" t="inlineStr">
        <is>
          <t>Recurring Apophatic Vocabulary table</t>
        </is>
      </c>
    </row>
    <row r="39" ht="15.75" customHeight="1" s="29">
      <c r="A39" s="7" t="inlineStr">
        <is>
          <t>RNR-H38</t>
        </is>
      </c>
      <c r="B39" s="7" t="inlineStr">
        <is>
          <t>Negative delimiter</t>
        </is>
      </c>
      <c r="C39" s="7" t="inlineStr">
        <is>
          <t>Beginninglessness &amp; non-finitude</t>
        </is>
      </c>
      <c r="D39" s="7" t="inlineStr">
        <is>
          <t>Not made</t>
        </is>
      </c>
      <c r="E39" s="7" t="inlineStr">
        <is>
          <t>Denies creaturehood.</t>
        </is>
      </c>
      <c r="F39" s="7" t="inlineStr">
        <is>
          <t>Q</t>
        </is>
      </c>
      <c r="G39" s="7" t="inlineStr">
        <is>
          <t>Reconstruction / qualified continuity</t>
        </is>
      </c>
      <c r="H39" s="7" t="inlineStr">
        <is>
          <t>Qualified by Restoration distinctions among intelligence, spirit birth, embodiment, and creation.</t>
        </is>
      </c>
      <c r="I39" s="7" t="inlineStr">
        <is>
          <t>Count-constrained reconstruction</t>
        </is>
      </c>
      <c r="J39" s="7" t="inlineStr">
        <is>
          <t>Medium</t>
        </is>
      </c>
      <c r="K39" s="7" t="inlineStr">
        <is>
          <t>Apophatic_and_Kataphatic_Theology_in_Christian_Creeds_and_Confessions</t>
        </is>
      </c>
      <c r="L39" s="7" t="inlineStr">
        <is>
          <t>Recurring Apophatic Vocabulary table</t>
        </is>
      </c>
    </row>
    <row r="40" ht="15.75" customHeight="1" s="29">
      <c r="A40" s="7" t="inlineStr">
        <is>
          <t>RNR-H39</t>
        </is>
      </c>
      <c r="B40" s="7" t="inlineStr">
        <is>
          <t>Apophatic / privative</t>
        </is>
      </c>
      <c r="C40" s="7" t="inlineStr">
        <is>
          <t>Beginninglessness &amp; non-finitude</t>
        </is>
      </c>
      <c r="D40" s="7" t="inlineStr">
        <is>
          <t>Infinite</t>
        </is>
      </c>
      <c r="E40" s="7" t="inlineStr">
        <is>
          <t>Denies finite limitation.</t>
        </is>
      </c>
      <c r="F40" s="7" t="inlineStr">
        <is>
          <t>Q</t>
        </is>
      </c>
      <c r="G40" s="7" t="inlineStr">
        <is>
          <t>Reconstruction / qualified continuity</t>
        </is>
      </c>
      <c r="H40" s="7" t="inlineStr">
        <is>
          <t>Shared unlimited perfection/transcendence; blanket non-finitude is too thick where divine personal presence is embodied/determinate.</t>
        </is>
      </c>
      <c r="I40" s="7" t="inlineStr">
        <is>
          <t>Author adjudication (Session 18A)</t>
        </is>
      </c>
      <c r="J40" s="7" t="inlineStr">
        <is>
          <t>High</t>
        </is>
      </c>
      <c r="K40" s="7" t="inlineStr">
        <is>
          <t>Apophatic_and_Kataphatic_Theology_in_Christian_Creeds_and_Confessions</t>
        </is>
      </c>
      <c r="L40" s="7" t="inlineStr">
        <is>
          <t>Recurring Apophatic Vocabulary table</t>
        </is>
      </c>
    </row>
    <row r="41" ht="15.75" customHeight="1" s="29">
      <c r="A41" s="7" t="inlineStr">
        <is>
          <t>RNR-H40</t>
        </is>
      </c>
      <c r="B41" s="7" t="inlineStr">
        <is>
          <t>Apophatic / privative</t>
        </is>
      </c>
      <c r="C41" s="7" t="inlineStr">
        <is>
          <t>Beginninglessness &amp; non-finitude</t>
        </is>
      </c>
      <c r="D41" s="7" t="inlineStr">
        <is>
          <t>Immense / immeasurable</t>
        </is>
      </c>
      <c r="E41" s="7" t="inlineStr">
        <is>
          <t>Denies spatial or metaphysical circumscription.</t>
        </is>
      </c>
      <c r="F41" s="7" t="inlineStr">
        <is>
          <t>Q</t>
        </is>
      </c>
      <c r="G41" s="7" t="inlineStr">
        <is>
          <t>Reconstruction / qualified continuity</t>
        </is>
      </c>
      <c r="H41" s="7" t="inlineStr">
        <is>
          <t>Embodied personal presence is distinguished from universally operative light, knowledge, power, and governance.</t>
        </is>
      </c>
      <c r="I41" s="7" t="inlineStr">
        <is>
          <t>Explicit in master handoff</t>
        </is>
      </c>
      <c r="J41" s="7" t="inlineStr">
        <is>
          <t>High</t>
        </is>
      </c>
      <c r="K41" s="7" t="inlineStr">
        <is>
          <t>Apophatic_and_Kataphatic_Theology_in_Christian_Creeds_and_Confessions</t>
        </is>
      </c>
      <c r="L41" s="7" t="inlineStr">
        <is>
          <t>Recurring Apophatic Vocabulary table</t>
        </is>
      </c>
    </row>
    <row r="42" ht="15.75" customHeight="1" s="29">
      <c r="A42" s="7" t="inlineStr">
        <is>
          <t>RNR-H41</t>
        </is>
      </c>
      <c r="B42" s="7" t="inlineStr">
        <is>
          <t>Apophatic / privative</t>
        </is>
      </c>
      <c r="C42" s="7" t="inlineStr">
        <is>
          <t>Embodiment &amp; classical divine metaphysics</t>
        </is>
      </c>
      <c r="D42" s="7" t="inlineStr">
        <is>
          <t>Invisible</t>
        </is>
      </c>
      <c r="E42" s="7" t="inlineStr">
        <is>
          <t>Denies perceptibility by bodily sight.</t>
        </is>
      </c>
      <c r="F42" s="7" t="inlineStr">
        <is>
          <t>D</t>
        </is>
      </c>
      <c r="G42" s="7" t="inlineStr">
        <is>
          <t>Rejection / direct divergence</t>
        </is>
      </c>
      <c r="H42" s="7" t="inlineStr">
        <is>
          <t>Direct divergence only when invisibility is treated as an intrinsic or absolute property of divine being.</t>
        </is>
      </c>
      <c r="I42" s="7" t="inlineStr">
        <is>
          <t>Explicit in master handoff</t>
        </is>
      </c>
      <c r="J42" s="7" t="inlineStr">
        <is>
          <t>High</t>
        </is>
      </c>
      <c r="K42" s="7" t="inlineStr">
        <is>
          <t>Apophatic_and_Kataphatic_Theology_in_Christian_Creeds_and_Confessions</t>
        </is>
      </c>
      <c r="L42" s="7" t="inlineStr">
        <is>
          <t>Recurring Apophatic Vocabulary table</t>
        </is>
      </c>
    </row>
    <row r="43" ht="15.75" customHeight="1" s="29">
      <c r="A43" s="7" t="inlineStr">
        <is>
          <t>RNR-H42</t>
        </is>
      </c>
      <c r="B43" s="7" t="inlineStr">
        <is>
          <t>Apophatic / privative</t>
        </is>
      </c>
      <c r="C43" s="7" t="inlineStr">
        <is>
          <t>Embodiment &amp; classical divine metaphysics</t>
        </is>
      </c>
      <c r="D43" s="7" t="inlineStr">
        <is>
          <t>Incorporeal / without body</t>
        </is>
      </c>
      <c r="E43" s="7" t="inlineStr">
        <is>
          <t>Denies material embodiment.</t>
        </is>
      </c>
      <c r="F43" s="7" t="inlineStr">
        <is>
          <t>D</t>
        </is>
      </c>
      <c r="G43" s="7" t="inlineStr">
        <is>
          <t>Rejection / direct divergence</t>
        </is>
      </c>
      <c r="H43" s="7" t="inlineStr">
        <is>
          <t>Directly conflicts with the Father's tangible glorified body.</t>
        </is>
      </c>
      <c r="I43" s="7" t="inlineStr">
        <is>
          <t>Explicit in master handoff</t>
        </is>
      </c>
      <c r="J43" s="7" t="inlineStr">
        <is>
          <t>High</t>
        </is>
      </c>
      <c r="K43" s="7" t="inlineStr">
        <is>
          <t>Apophatic_and_Kataphatic_Theology_in_Christian_Creeds_and_Confessions</t>
        </is>
      </c>
      <c r="L43" s="7" t="inlineStr">
        <is>
          <t>Recurring Apophatic Vocabulary table</t>
        </is>
      </c>
    </row>
    <row r="44" ht="15.75" customHeight="1" s="29">
      <c r="A44" s="7" t="inlineStr">
        <is>
          <t>RNR-H43</t>
        </is>
      </c>
      <c r="B44" s="7" t="inlineStr">
        <is>
          <t>Apophatic / privative</t>
        </is>
      </c>
      <c r="C44" s="7" t="inlineStr">
        <is>
          <t>Embodiment &amp; classical divine metaphysics</t>
        </is>
      </c>
      <c r="D44" s="7" t="inlineStr">
        <is>
          <t>Without parts / simple</t>
        </is>
      </c>
      <c r="E44" s="7" t="inlineStr">
        <is>
          <t>Denies metaphysical composition.</t>
        </is>
      </c>
      <c r="F44" s="7" t="inlineStr">
        <is>
          <t>D</t>
        </is>
      </c>
      <c r="G44" s="7" t="inlineStr">
        <is>
          <t>Rejection / direct divergence</t>
        </is>
      </c>
      <c r="H44" s="7" t="inlineStr">
        <is>
          <t>Direct divergence in the accepted classical sense of absolute divine simplicity.</t>
        </is>
      </c>
      <c r="I44" s="7" t="inlineStr">
        <is>
          <t>Explicit in master handoff</t>
        </is>
      </c>
      <c r="J44" s="7" t="inlineStr">
        <is>
          <t>High</t>
        </is>
      </c>
      <c r="K44" s="7" t="inlineStr">
        <is>
          <t>Apophatic_and_Kataphatic_Theology_in_Christian_Creeds_and_Confessions</t>
        </is>
      </c>
      <c r="L44" s="7" t="inlineStr">
        <is>
          <t>Recurring Apophatic Vocabulary table</t>
        </is>
      </c>
    </row>
    <row r="45" ht="15.75" customHeight="1" s="29">
      <c r="A45" s="7" t="inlineStr">
        <is>
          <t>RNR-H44</t>
        </is>
      </c>
      <c r="B45" s="7" t="inlineStr">
        <is>
          <t>Apophatic / privative</t>
        </is>
      </c>
      <c r="C45" s="7" t="inlineStr">
        <is>
          <t>Embodiment &amp; classical divine metaphysics</t>
        </is>
      </c>
      <c r="D45" s="7" t="inlineStr">
        <is>
          <t>Without passions / impassible</t>
        </is>
      </c>
      <c r="E45" s="7" t="inlineStr">
        <is>
          <t>Denies passive susceptibility to creaturely alteration in classical usage.</t>
        </is>
      </c>
      <c r="F45" s="7" t="inlineStr">
        <is>
          <t>D</t>
        </is>
      </c>
      <c r="G45" s="7" t="inlineStr">
        <is>
          <t>Rejection / direct divergence</t>
        </is>
      </c>
      <c r="H45" s="7" t="inlineStr">
        <is>
          <t>Direct divergence from strong classical impassibility.</t>
        </is>
      </c>
      <c r="I45" s="7" t="inlineStr">
        <is>
          <t>Explicit in master handoff</t>
        </is>
      </c>
      <c r="J45" s="7" t="inlineStr">
        <is>
          <t>High</t>
        </is>
      </c>
      <c r="K45" s="7" t="inlineStr">
        <is>
          <t>Apophatic_and_Kataphatic_Theology_in_Christian_Creeds_and_Confessions</t>
        </is>
      </c>
      <c r="L45" s="7" t="inlineStr">
        <is>
          <t>Recurring Apophatic Vocabulary table</t>
        </is>
      </c>
    </row>
    <row r="46" ht="15.75" customHeight="1" s="29">
      <c r="A46" s="7" t="inlineStr">
        <is>
          <t>RNR-H45</t>
        </is>
      </c>
      <c r="B46" s="7" t="inlineStr">
        <is>
          <t>Apophatic / privative</t>
        </is>
      </c>
      <c r="C46" s="7" t="inlineStr">
        <is>
          <t>Embodiment &amp; classical divine metaphysics</t>
        </is>
      </c>
      <c r="D46" s="7" t="inlineStr">
        <is>
          <t>Immutable / unchangeable</t>
        </is>
      </c>
      <c r="E46" s="7" t="inlineStr">
        <is>
          <t>Denies change.</t>
        </is>
      </c>
      <c r="F46" s="7" t="inlineStr">
        <is>
          <t>Q</t>
        </is>
      </c>
      <c r="G46" s="7" t="inlineStr">
        <is>
          <t>Reconstruction / qualified continuity</t>
        </is>
      </c>
      <c r="H46" s="7" t="inlineStr">
        <is>
          <t>Constancy of character, purpose, covenant faithfulness, and moral perfection is shared; strong metaphysical immutability is not imported.</t>
        </is>
      </c>
      <c r="I46" s="7" t="inlineStr">
        <is>
          <t>Author adjudication (Session 18A)</t>
        </is>
      </c>
      <c r="J46" s="7" t="inlineStr">
        <is>
          <t>High</t>
        </is>
      </c>
      <c r="K46" s="7" t="inlineStr">
        <is>
          <t>Apophatic_and_Kataphatic_Theology_in_Christian_Creeds_and_Confessions</t>
        </is>
      </c>
      <c r="L46" s="7" t="inlineStr">
        <is>
          <t>Recurring Apophatic Vocabulary table</t>
        </is>
      </c>
    </row>
    <row r="47" ht="15.75" customHeight="1" s="29">
      <c r="A47" s="7" t="inlineStr">
        <is>
          <t>RNR-H46</t>
        </is>
      </c>
      <c r="B47" s="7" t="inlineStr">
        <is>
          <t>Apophatic / privative</t>
        </is>
      </c>
      <c r="C47" s="7" t="inlineStr">
        <is>
          <t>Eternity &amp; epistemic transcendence</t>
        </is>
      </c>
      <c r="D47" s="7" t="inlineStr">
        <is>
          <t>Eternal</t>
        </is>
      </c>
      <c r="E47" s="7" t="inlineStr">
        <is>
          <t>Denies temporal beginning or ending; often also temporal succession in classical theology.</t>
        </is>
      </c>
      <c r="F47" s="7" t="inlineStr">
        <is>
          <t>A</t>
        </is>
      </c>
      <c r="G47" s="7" t="inlineStr">
        <is>
          <t>Continuity</t>
        </is>
      </c>
      <c r="H47" s="7" t="inlineStr">
        <is>
          <t>A controls only beginningless/endless divine existence or duration; timelessness/denial of temporal succession is excluded.</t>
        </is>
      </c>
      <c r="I47" s="7" t="inlineStr">
        <is>
          <t>Author adjudication retained A</t>
        </is>
      </c>
      <c r="J47" s="7" t="inlineStr">
        <is>
          <t>High</t>
        </is>
      </c>
      <c r="K47" s="7" t="inlineStr">
        <is>
          <t>Apophatic_and_Kataphatic_Theology_in_Christian_Creeds_and_Confessions</t>
        </is>
      </c>
      <c r="L47" s="7" t="inlineStr">
        <is>
          <t>Recurring Apophatic Vocabulary table</t>
        </is>
      </c>
    </row>
    <row r="48" ht="15.75" customHeight="1" s="29">
      <c r="A48" s="7" t="inlineStr">
        <is>
          <t>RNR-H47</t>
        </is>
      </c>
      <c r="B48" s="7" t="inlineStr">
        <is>
          <t>Apophatic proper</t>
        </is>
      </c>
      <c r="C48" s="7" t="inlineStr">
        <is>
          <t>Eternity &amp; epistemic transcendence</t>
        </is>
      </c>
      <c r="D48" s="7" t="inlineStr">
        <is>
          <t>Incomprehensible</t>
        </is>
      </c>
      <c r="E48" s="7" t="inlineStr">
        <is>
          <t>Denies exhaustive intellectual comprehension.</t>
        </is>
      </c>
      <c r="F48" s="7" t="inlineStr">
        <is>
          <t>A</t>
        </is>
      </c>
      <c r="G48" s="7" t="inlineStr">
        <is>
          <t>Continuity</t>
        </is>
      </c>
      <c r="H48" s="7" t="inlineStr">
        <is>
          <t>Compatible with Restoration epistemic humility.</t>
        </is>
      </c>
      <c r="I48" s="7" t="inlineStr">
        <is>
          <t>Count-constrained reconstruction</t>
        </is>
      </c>
      <c r="J48" s="7" t="inlineStr">
        <is>
          <t>High</t>
        </is>
      </c>
      <c r="K48" s="7" t="inlineStr">
        <is>
          <t>Apophatic_and_Kataphatic_Theology_in_Christian_Creeds_and_Confessions</t>
        </is>
      </c>
      <c r="L48" s="7" t="inlineStr">
        <is>
          <t>Recurring Apophatic Vocabulary table</t>
        </is>
      </c>
    </row>
    <row r="49" ht="15.75" customHeight="1" s="29">
      <c r="A49" s="7" t="inlineStr">
        <is>
          <t>RNR-H48</t>
        </is>
      </c>
      <c r="B49" s="7" t="inlineStr">
        <is>
          <t>Apophatic proper</t>
        </is>
      </c>
      <c r="C49" s="7" t="inlineStr">
        <is>
          <t>Eternity &amp; epistemic transcendence</t>
        </is>
      </c>
      <c r="D49" s="7" t="inlineStr">
        <is>
          <t>Ineffable</t>
        </is>
      </c>
      <c r="E49" s="7" t="inlineStr">
        <is>
          <t>Denies exhaustive linguistic expression.</t>
        </is>
      </c>
      <c r="F49" s="7" t="inlineStr">
        <is>
          <t>A</t>
        </is>
      </c>
      <c r="G49" s="7" t="inlineStr">
        <is>
          <t>Continuity</t>
        </is>
      </c>
      <c r="H49" s="7" t="inlineStr">
        <is>
          <t>Compatible with Restoration epistemic humility.</t>
        </is>
      </c>
      <c r="I49" s="7" t="inlineStr">
        <is>
          <t>Count-constrained reconstruction</t>
        </is>
      </c>
      <c r="J49" s="7" t="inlineStr">
        <is>
          <t>High</t>
        </is>
      </c>
      <c r="K49" s="7" t="inlineStr">
        <is>
          <t>Apophatic_and_Kataphatic_Theology_in_Christian_Creeds_and_Confessions</t>
        </is>
      </c>
      <c r="L49" s="7" t="inlineStr">
        <is>
          <t>Recurring Apophatic Vocabulary table</t>
        </is>
      </c>
    </row>
    <row r="50" ht="15.75" customHeight="1" s="29">
      <c r="A50" s="7" t="inlineStr">
        <is>
          <t>RNR-H49</t>
        </is>
      </c>
      <c r="B50" s="7" t="inlineStr">
        <is>
          <t>Apophatic proper</t>
        </is>
      </c>
      <c r="C50" s="7" t="inlineStr">
        <is>
          <t>Eternity &amp; epistemic transcendence</t>
        </is>
      </c>
      <c r="D50" s="7" t="inlineStr">
        <is>
          <t>Inscrutable</t>
        </is>
      </c>
      <c r="E50" s="7" t="inlineStr">
        <is>
          <t>Denies exhaustive rational penetration of divine counsel.</t>
        </is>
      </c>
      <c r="F50" s="7" t="inlineStr">
        <is>
          <t>A</t>
        </is>
      </c>
      <c r="G50" s="7" t="inlineStr">
        <is>
          <t>Continuity</t>
        </is>
      </c>
      <c r="H50" s="7" t="inlineStr">
        <is>
          <t>Compatible with Restoration epistemic humility.</t>
        </is>
      </c>
      <c r="I50" s="7" t="inlineStr">
        <is>
          <t>Count-constrained reconstruction</t>
        </is>
      </c>
      <c r="J50" s="7" t="inlineStr">
        <is>
          <t>High</t>
        </is>
      </c>
      <c r="K50" s="7" t="inlineStr">
        <is>
          <t>Apophatic_and_Kataphatic_Theology_in_Christian_Creeds_and_Confessions</t>
        </is>
      </c>
      <c r="L50" s="7" t="inlineStr">
        <is>
          <t>Recurring Apophatic Vocabulary table</t>
        </is>
      </c>
    </row>
    <row r="51" ht="15.75" customHeight="1" s="29">
      <c r="A51" s="7" t="inlineStr">
        <is>
          <t>RNR-H50</t>
        </is>
      </c>
      <c r="B51" s="7" t="inlineStr">
        <is>
          <t>Apophatic / privative</t>
        </is>
      </c>
      <c r="C51" s="7" t="inlineStr">
        <is>
          <t>Eternity &amp; epistemic transcendence</t>
        </is>
      </c>
      <c r="D51" s="7" t="inlineStr">
        <is>
          <t>Not circumscribed / not contained</t>
        </is>
      </c>
      <c r="E51" s="7" t="inlineStr">
        <is>
          <t>Denies localization within bounded place.</t>
        </is>
      </c>
      <c r="F51" s="7" t="inlineStr">
        <is>
          <t>Q</t>
        </is>
      </c>
      <c r="G51" s="7" t="inlineStr">
        <is>
          <t>Reconstruction / qualified continuity</t>
        </is>
      </c>
      <c r="H51" s="7" t="inlineStr">
        <is>
          <t>Universal divine operation/omnipresence concern is shared while determinate personal presence remains materially differentiated.</t>
        </is>
      </c>
      <c r="I51" s="7" t="inlineStr">
        <is>
          <t>Explicit in master handoff</t>
        </is>
      </c>
      <c r="J51" s="7" t="inlineStr">
        <is>
          <t>High</t>
        </is>
      </c>
      <c r="K51" s="7" t="inlineStr">
        <is>
          <t>Apophatic_and_Kataphatic_Theology_in_Christian_Creeds_and_Confessions</t>
        </is>
      </c>
      <c r="L51" s="7" t="inlineStr">
        <is>
          <t>Recurring Apophatic Vocabulary table</t>
        </is>
      </c>
    </row>
    <row r="52" ht="15.75" customHeight="1" s="29">
      <c r="A52" s="7" t="inlineStr">
        <is>
          <t>RNR-H51</t>
        </is>
      </c>
      <c r="B52" s="7" t="inlineStr">
        <is>
          <t>Meta-apophatic</t>
        </is>
      </c>
      <c r="C52" s="7" t="inlineStr">
        <is>
          <t>Eternity &amp; epistemic transcendence</t>
        </is>
      </c>
      <c r="D52" s="7" t="inlineStr">
        <is>
          <t>No adequate likeness or comparison</t>
        </is>
      </c>
      <c r="E52" s="7" t="inlineStr">
        <is>
          <t>Denies univocal or fully adequate Creator-creature correspondence.</t>
        </is>
      </c>
      <c r="F52" s="7" t="inlineStr">
        <is>
          <t>Q</t>
        </is>
      </c>
      <c r="G52" s="7" t="inlineStr">
        <is>
          <t>Reconstruction / qualified continuity</t>
        </is>
      </c>
      <c r="H52" s="7" t="inlineStr">
        <is>
          <t>Epistemic restraint is shared, but literal divine-human kinship prevents an absolute denial of likeness.</t>
        </is>
      </c>
      <c r="I52" s="7" t="inlineStr">
        <is>
          <t>Count-constrained reconstruction</t>
        </is>
      </c>
      <c r="J52" s="7" t="inlineStr">
        <is>
          <t>Medium</t>
        </is>
      </c>
      <c r="K52" s="7" t="inlineStr">
        <is>
          <t>Apophatic_and_Kataphatic_Theology_in_Christian_Creeds_and_Confessions</t>
        </is>
      </c>
      <c r="L52" s="7" t="inlineStr">
        <is>
          <t>Recurring Apophatic Vocabulary table</t>
        </is>
      </c>
    </row>
    <row r="53" ht="15.75" customHeight="1" s="29">
      <c r="A53" s="7" t="inlineStr">
        <is>
          <t>RNR-H52</t>
        </is>
      </c>
      <c r="B53" s="7" t="inlineStr">
        <is>
          <t>Christological delimiter</t>
        </is>
      </c>
      <c r="C53" s="7" t="inlineStr">
        <is>
          <t>Christological delimiters</t>
        </is>
      </c>
      <c r="D53" s="7" t="inlineStr">
        <is>
          <t>Without confusion</t>
        </is>
      </c>
      <c r="E53" s="7" t="inlineStr">
        <is>
          <t>Denies collapse of distinctions.</t>
        </is>
      </c>
      <c r="F53" s="7" t="inlineStr">
        <is>
          <t>Q</t>
        </is>
      </c>
      <c r="G53" s="7" t="inlineStr">
        <is>
          <t>Reconstruction / qualified continuity</t>
        </is>
      </c>
      <c r="H53" s="7" t="inlineStr">
        <is>
          <t>Underlying Christological concern is shared without adopting Chalcedonian two-natures metaphysics.</t>
        </is>
      </c>
      <c r="I53" s="7" t="inlineStr">
        <is>
          <t>Explicit in master handoff</t>
        </is>
      </c>
      <c r="J53" s="7" t="inlineStr">
        <is>
          <t>High</t>
        </is>
      </c>
      <c r="K53" s="7" t="inlineStr">
        <is>
          <t>Apophatic_and_Kataphatic_Theology_in_Christian_Creeds_and_Confessions</t>
        </is>
      </c>
      <c r="L53" s="7" t="inlineStr">
        <is>
          <t>Recurring Apophatic Vocabulary table</t>
        </is>
      </c>
    </row>
    <row r="54" ht="15.75" customHeight="1" s="29">
      <c r="A54" s="7" t="inlineStr">
        <is>
          <t>RNR-H53</t>
        </is>
      </c>
      <c r="B54" s="7" t="inlineStr">
        <is>
          <t>Christological delimiter</t>
        </is>
      </c>
      <c r="C54" s="7" t="inlineStr">
        <is>
          <t>Christological delimiters</t>
        </is>
      </c>
      <c r="D54" s="7" t="inlineStr">
        <is>
          <t>Without change</t>
        </is>
      </c>
      <c r="E54" s="7" t="inlineStr">
        <is>
          <t>Denies conversion of one nature into another.</t>
        </is>
      </c>
      <c r="F54" s="7" t="inlineStr">
        <is>
          <t>Q</t>
        </is>
      </c>
      <c r="G54" s="7" t="inlineStr">
        <is>
          <t>Reconstruction / qualified continuity</t>
        </is>
      </c>
      <c r="H54" s="7" t="inlineStr">
        <is>
          <t>Underlying Christological concern is shared without adopting Chalcedonian two-natures metaphysics.</t>
        </is>
      </c>
      <c r="I54" s="7" t="inlineStr">
        <is>
          <t>Explicit in master handoff</t>
        </is>
      </c>
      <c r="J54" s="7" t="inlineStr">
        <is>
          <t>High</t>
        </is>
      </c>
      <c r="K54" s="7" t="inlineStr">
        <is>
          <t>Apophatic_and_Kataphatic_Theology_in_Christian_Creeds_and_Confessions</t>
        </is>
      </c>
      <c r="L54" s="7" t="inlineStr">
        <is>
          <t>Recurring Apophatic Vocabulary table</t>
        </is>
      </c>
    </row>
    <row r="55" ht="15.75" customHeight="1" s="29">
      <c r="A55" s="7" t="inlineStr">
        <is>
          <t>RNR-H54</t>
        </is>
      </c>
      <c r="B55" s="7" t="inlineStr">
        <is>
          <t>Christological delimiter</t>
        </is>
      </c>
      <c r="C55" s="7" t="inlineStr">
        <is>
          <t>Christological delimiters</t>
        </is>
      </c>
      <c r="D55" s="7" t="inlineStr">
        <is>
          <t>Without division</t>
        </is>
      </c>
      <c r="E55" s="7" t="inlineStr">
        <is>
          <t>Denies partition into distinct subjects.</t>
        </is>
      </c>
      <c r="F55" s="7" t="inlineStr">
        <is>
          <t>Q</t>
        </is>
      </c>
      <c r="G55" s="7" t="inlineStr">
        <is>
          <t>Reconstruction / qualified continuity</t>
        </is>
      </c>
      <c r="H55" s="7" t="inlineStr">
        <is>
          <t>Underlying Christological concern is shared without adopting Chalcedonian two-natures metaphysics.</t>
        </is>
      </c>
      <c r="I55" s="7" t="inlineStr">
        <is>
          <t>Explicit in master handoff</t>
        </is>
      </c>
      <c r="J55" s="7" t="inlineStr">
        <is>
          <t>High</t>
        </is>
      </c>
      <c r="K55" s="7" t="inlineStr">
        <is>
          <t>Apophatic_and_Kataphatic_Theology_in_Christian_Creeds_and_Confessions</t>
        </is>
      </c>
      <c r="L55" s="7" t="inlineStr">
        <is>
          <t>Recurring Apophatic Vocabulary table</t>
        </is>
      </c>
    </row>
    <row r="56" ht="15.75" customHeight="1" s="29">
      <c r="A56" s="7" t="inlineStr">
        <is>
          <t>RNR-H55</t>
        </is>
      </c>
      <c r="B56" s="7" t="inlineStr">
        <is>
          <t>Christological delimiter</t>
        </is>
      </c>
      <c r="C56" s="7" t="inlineStr">
        <is>
          <t>Christological delimiters</t>
        </is>
      </c>
      <c r="D56" s="7" t="inlineStr">
        <is>
          <t>Without separation</t>
        </is>
      </c>
      <c r="E56" s="7" t="inlineStr">
        <is>
          <t>Denies disjunction of Christ's natures.</t>
        </is>
      </c>
      <c r="F56" s="7" t="inlineStr">
        <is>
          <t>Q</t>
        </is>
      </c>
      <c r="G56" s="7" t="inlineStr">
        <is>
          <t>Reconstruction / qualified continuity</t>
        </is>
      </c>
      <c r="H56" s="7" t="inlineStr">
        <is>
          <t>Underlying Christological concern is shared without adopting Chalcedonian two-natures metaphysics.</t>
        </is>
      </c>
      <c r="I56" s="7" t="inlineStr">
        <is>
          <t>Explicit in master handoff</t>
        </is>
      </c>
      <c r="J56" s="7" t="inlineStr">
        <is>
          <t>High</t>
        </is>
      </c>
      <c r="K56" s="7" t="inlineStr">
        <is>
          <t>Apophatic_and_Kataphatic_Theology_in_Christian_Creeds_and_Confessions</t>
        </is>
      </c>
      <c r="L56" s="7" t="inlineStr">
        <is>
          <t>Recurring Apophatic Vocabulary table</t>
        </is>
      </c>
    </row>
    <row r="57" ht="15.75" customHeight="1" s="29">
      <c r="A57" s="7" t="inlineStr">
        <is>
          <t>RNR-H56</t>
        </is>
      </c>
      <c r="B57" s="7" t="inlineStr">
        <is>
          <t>Trinitarian delimiter</t>
        </is>
      </c>
      <c r="C57" s="7" t="inlineStr">
        <is>
          <t>Godhead unity &amp; distinction</t>
        </is>
      </c>
      <c r="D57" s="7" t="inlineStr">
        <is>
          <t>Neither confounding nor dividing</t>
        </is>
      </c>
      <c r="E57" s="7" t="inlineStr">
        <is>
          <t>Excludes both collapse and division in Trinitarian description.</t>
        </is>
      </c>
      <c r="F57" s="7" t="inlineStr">
        <is>
          <t>Q</t>
        </is>
      </c>
      <c r="G57" s="7" t="inlineStr">
        <is>
          <t>Reconstruction / qualified continuity</t>
        </is>
      </c>
      <c r="H57" s="7" t="inlineStr">
        <is>
          <t>Shared concern for distinction and unity, with materially different Godhead ontology.</t>
        </is>
      </c>
      <c r="I57" s="7" t="inlineStr">
        <is>
          <t>Count-constrained reconstruction</t>
        </is>
      </c>
      <c r="J57" s="7" t="inlineStr">
        <is>
          <t>Medium</t>
        </is>
      </c>
      <c r="K57" s="7" t="inlineStr">
        <is>
          <t>Apophatic_and_Kataphatic_Theology_in_Christian_Creeds_and_Confessions</t>
        </is>
      </c>
      <c r="L57" s="7" t="inlineStr">
        <is>
          <t>Recurring Apophatic Vocabulary table</t>
        </is>
      </c>
    </row>
    <row r="58" ht="15.75" customHeight="1" s="29">
      <c r="A58" s="7" t="inlineStr">
        <is>
          <t>RNR-H57</t>
        </is>
      </c>
      <c r="B58" s="7" t="inlineStr">
        <is>
          <t>Meta-apophatic</t>
        </is>
      </c>
      <c r="C58" s="7" t="inlineStr">
        <is>
          <t>Divine-human analogy &amp; kinship boundary</t>
        </is>
      </c>
      <c r="D58" s="7" t="inlineStr">
        <is>
          <t>Greater dissimilarity than similarity</t>
        </is>
      </c>
      <c r="E58" s="7" t="inlineStr">
        <is>
          <t>Denies adequacy of any creaturely likeness to the divine mode of being.</t>
        </is>
      </c>
      <c r="F58" s="7" t="inlineStr">
        <is>
          <t>D</t>
        </is>
      </c>
      <c r="G58" s="7" t="inlineStr">
        <is>
          <t>Rejection / direct divergence</t>
        </is>
      </c>
      <c r="H58" s="7" t="inlineStr">
        <is>
          <t>Direct divergence when the principle denies strong literal divine-human kinship and ontological continuity.</t>
        </is>
      </c>
      <c r="I58" s="7" t="inlineStr">
        <is>
          <t>Explicit in master handoff</t>
        </is>
      </c>
      <c r="J58" s="7" t="inlineStr">
        <is>
          <t>High</t>
        </is>
      </c>
      <c r="K58" s="7" t="inlineStr">
        <is>
          <t>Apophatic_and_Kataphatic_Theology_in_Christian_Creeds_and_Confessions</t>
        </is>
      </c>
      <c r="L58" s="7" t="inlineStr">
        <is>
          <t>Recurring Apophatic Vocabulary table</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C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6" customWidth="1" style="29" min="2" max="2"/>
    <col width="15" customWidth="1" style="29" min="3" max="3"/>
    <col width="58" customWidth="1" style="29" min="4" max="4"/>
    <col width="27" customWidth="1" style="29" min="5" max="5"/>
    <col width="24" customWidth="1" style="29" min="6" max="6"/>
    <col width="38" customWidth="1" style="29" min="7" max="7"/>
    <col width="46" customWidth="1" style="29" min="8" max="8"/>
    <col width="42" customWidth="1" style="29" min="9" max="9"/>
    <col width="58" customWidth="1" style="29" min="10" max="11"/>
    <col width="38" customWidth="1" style="29" min="12" max="13"/>
    <col width="36" customWidth="1" style="29" min="14" max="14"/>
    <col width="62" customWidth="1" style="29" min="15" max="16"/>
    <col width="22" customWidth="1" style="29" min="17" max="17"/>
    <col width="46" customWidth="1" style="29" min="18" max="18"/>
    <col width="42" customWidth="1" style="29" min="19" max="19"/>
    <col width="30" customWidth="1" style="29" min="20" max="20"/>
    <col width="62" customWidth="1" style="29" min="21" max="21"/>
    <col width="22" customWidth="1" style="29" min="22" max="22"/>
    <col width="52" customWidth="1" style="29" min="23" max="23"/>
    <col width="18" customWidth="1" style="29" min="24" max="24"/>
    <col width="42" customWidth="1" style="29" min="25" max="25"/>
    <col width="66" customWidth="1" style="29" min="26" max="26"/>
    <col width="26" customWidth="1" style="29" min="27" max="27"/>
    <col width="52" customWidth="1" style="29" min="28" max="28"/>
    <col width="28" customWidth="1" style="29" min="29" max="29"/>
  </cols>
  <sheetData>
    <row r="1">
      <c r="A1" s="5" t="inlineStr">
        <is>
          <t>Predicate ID</t>
        </is>
      </c>
      <c r="B1" s="5" t="inlineStr">
        <is>
          <t>Predicate family</t>
        </is>
      </c>
      <c r="C1" s="5" t="inlineStr">
        <is>
          <t>Current master code</t>
        </is>
      </c>
      <c r="D1" s="5" t="inlineStr">
        <is>
          <t>Accepted scope note</t>
        </is>
      </c>
      <c r="E1" s="5" t="inlineStr">
        <is>
          <t>Historical citation status</t>
        </is>
      </c>
      <c r="F1" s="5" t="inlineStr">
        <is>
          <t>Historical teaching branch</t>
        </is>
      </c>
      <c r="G1" s="5" t="inlineStr">
        <is>
          <t>Historical institution / scope</t>
        </is>
      </c>
      <c r="H1" s="5" t="inlineStr">
        <is>
          <t>Historical document</t>
        </is>
      </c>
      <c r="I1" s="5" t="inlineStr">
        <is>
          <t>Historical locator</t>
        </is>
      </c>
      <c r="J1" s="5" t="inlineStr">
        <is>
          <t>Historical authority URL</t>
        </is>
      </c>
      <c r="K1" s="5" t="inlineStr">
        <is>
          <t>Historical text URL</t>
        </is>
      </c>
      <c r="L1" s="5" t="inlineStr">
        <is>
          <t>Restoration comparator label</t>
        </is>
      </c>
      <c r="M1" s="5" t="inlineStr">
        <is>
          <t>Restoration source</t>
        </is>
      </c>
      <c r="N1" s="5" t="inlineStr">
        <is>
          <t>Restoration locator</t>
        </is>
      </c>
      <c r="O1" s="5" t="inlineStr">
        <is>
          <t>Restoration primary URL</t>
        </is>
      </c>
      <c r="P1" s="5" t="inlineStr">
        <is>
          <t>Restoration supplemental URL</t>
        </is>
      </c>
      <c r="Q1" s="5" t="inlineStr">
        <is>
          <t>Public citation readiness</t>
        </is>
      </c>
      <c r="R1" s="5" t="inlineStr">
        <is>
          <t>Historical quoted phrase (≤15 words)</t>
        </is>
      </c>
      <c r="S1" s="5" t="inlineStr">
        <is>
          <t>Citation selection basis</t>
        </is>
      </c>
      <c r="T1" s="5" t="inlineStr">
        <is>
          <t>Citation QA status</t>
        </is>
      </c>
      <c r="U1" s="5" t="inlineStr">
        <is>
          <t>Comparator author-review flag</t>
        </is>
      </c>
      <c r="V1" s="5" t="inlineStr">
        <is>
          <t>Historical witness retired?</t>
        </is>
      </c>
      <c r="W1" s="5" t="inlineStr">
        <is>
          <t>Restoration quoted phrase (primary, ≤15 words)</t>
        </is>
      </c>
      <c r="X1" s="5" t="inlineStr">
        <is>
          <t>Restoration primary phrase word count</t>
        </is>
      </c>
      <c r="Y1" s="5" t="inlineStr">
        <is>
          <t>Restoration fetch mode</t>
        </is>
      </c>
      <c r="Z1" s="5" t="inlineStr">
        <is>
          <t>Restoration locator-scope rule</t>
        </is>
      </c>
      <c r="AA1" s="5" t="inlineStr">
        <is>
          <t>Restoration phrase QA</t>
        </is>
      </c>
      <c r="AB1" s="5" t="inlineStr">
        <is>
          <t>Restoration supplemental quoted phrase</t>
        </is>
      </c>
      <c r="AC1" s="5" t="inlineStr">
        <is>
          <t>Restoration supplemental phrase QA</t>
        </is>
      </c>
    </row>
    <row r="2">
      <c r="A2" s="7" t="inlineStr">
        <is>
          <t>RNR-H01</t>
        </is>
      </c>
      <c r="B2" s="7" t="inlineStr">
        <is>
          <t>Living</t>
        </is>
      </c>
      <c r="C2" s="7" t="inlineStr">
        <is>
          <t>A</t>
        </is>
      </c>
      <c r="D2" s="7" t="inlineStr">
        <is>
          <t>Positive continuity at the controlling proposition floor.</t>
        </is>
      </c>
      <c r="E2" s="7" t="inlineStr">
        <is>
          <t>QUEUE-DERIVED — BEST LOCATOR</t>
        </is>
      </c>
      <c r="F2" s="7" t="inlineStr">
        <is>
          <t>Anglican</t>
        </is>
      </c>
      <c r="G2" s="7" t="inlineStr">
        <is>
          <t>Church of England</t>
        </is>
      </c>
      <c r="H2" s="7" t="inlineStr">
        <is>
          <t>Thirty-Nine Articles</t>
        </is>
      </c>
      <c r="I2" s="7" t="inlineStr">
        <is>
          <t>Article I — Of Faith in the Holy Trinity</t>
        </is>
      </c>
      <c r="J2" s="7" t="inlineStr">
        <is>
          <t>https://www.churchofengland.org/prayer-and-worship/worship-texts-and-resources/book-common-prayer/articles-religion</t>
        </is>
      </c>
      <c r="K2" s="7" t="inlineStr">
        <is>
          <t>https://www.churchofengland.org/prayer-and-worship/worship-texts-and-resources/book-common-prayer/articles-religion</t>
        </is>
      </c>
      <c r="L2" s="7" t="inlineStr">
        <is>
          <t>D&amp;C 20:19</t>
        </is>
      </c>
      <c r="M2" s="7" t="inlineStr">
        <is>
          <t>Doctrine and Covenants</t>
        </is>
      </c>
      <c r="N2" s="7" t="inlineStr">
        <is>
          <t>D&amp;C 20:19</t>
        </is>
      </c>
      <c r="O2" s="7" t="inlineStr">
        <is>
          <t>https://www.churchofjesuschrist.org/study/scriptures/dc-testament/dc/20?lang=eng&amp;id=p19#p19</t>
        </is>
      </c>
      <c r="P2" s="7" t="n"/>
      <c r="Q2" s="7" t="inlineStr">
        <is>
          <t>READY</t>
        </is>
      </c>
      <c r="R2" s="9" t="inlineStr">
        <is>
          <t>one living and true God</t>
        </is>
      </c>
      <c r="S2" s="9" t="inlineStr">
        <is>
          <t>Released English cell; exact predicate phrase.</t>
        </is>
      </c>
      <c r="T2" s="9" t="inlineStr">
        <is>
          <t>PHRASE-READY</t>
        </is>
      </c>
      <c r="V2" s="9" t="inlineStr">
        <is>
          <t>FALSE</t>
        </is>
      </c>
      <c r="W2" s="7" t="inlineStr">
        <is>
          <t>the only living and true God</t>
        </is>
      </c>
      <c r="X2" s="7" t="n">
        <v>6</v>
      </c>
      <c r="Y2" s="7" t="inlineStr">
        <is>
          <t>PLAYWRIGHT RENDERED OR CHURCH CONTENT API</t>
        </is>
      </c>
      <c r="Z2" s="7" t="inlineStr">
        <is>
          <t>Extract cited verse/range or named document section before assertion; fail if scoped extraction is expected but unavailable.</t>
        </is>
      </c>
      <c r="AA2" s="7" t="inlineStr">
        <is>
          <t>PRIMARY PHRASE TARGET READY</t>
        </is>
      </c>
      <c r="AB2" s="7" t="n"/>
      <c r="AC2" s="7" t="inlineStr">
        <is>
          <t>NO SUPPLEMENTAL URL/TARGET</t>
        </is>
      </c>
    </row>
    <row r="3">
      <c r="A3" s="7" t="inlineStr">
        <is>
          <t>RNR-H02</t>
        </is>
      </c>
      <c r="B3" s="7" t="inlineStr">
        <is>
          <t>True</t>
        </is>
      </c>
      <c r="C3" s="7" t="inlineStr">
        <is>
          <t>A</t>
        </is>
      </c>
      <c r="D3" s="7" t="inlineStr">
        <is>
          <t>Positive continuity at the controlling proposition floor.</t>
        </is>
      </c>
      <c r="E3" s="7" t="inlineStr">
        <is>
          <t>DIRECT-PROPOSITION</t>
        </is>
      </c>
      <c r="F3" s="7" t="inlineStr">
        <is>
          <t>Anglican</t>
        </is>
      </c>
      <c r="G3" s="7" t="inlineStr">
        <is>
          <t>Church of England</t>
        </is>
      </c>
      <c r="H3" s="7" t="inlineStr">
        <is>
          <t>Thirty-Nine Articles</t>
        </is>
      </c>
      <c r="I3" s="7" t="inlineStr">
        <is>
          <t>Article I — Of Faith in the Holy Trinity</t>
        </is>
      </c>
      <c r="J3" s="7" t="inlineStr">
        <is>
          <t>https://www.churchofengland.org/prayer-and-worship/worship-texts-and-resources/book-common-prayer/articles-religion</t>
        </is>
      </c>
      <c r="K3" s="7" t="inlineStr">
        <is>
          <t>https://www.churchofengland.org/prayer-and-worship/worship-texts-and-resources/book-common-prayer/articles-religion</t>
        </is>
      </c>
      <c r="L3" s="7" t="inlineStr">
        <is>
          <t>D&amp;C 20:19</t>
        </is>
      </c>
      <c r="M3" s="7" t="inlineStr">
        <is>
          <t>Doctrine and Covenants</t>
        </is>
      </c>
      <c r="N3" s="7" t="inlineStr">
        <is>
          <t>D&amp;C 20:19</t>
        </is>
      </c>
      <c r="O3" s="7" t="inlineStr">
        <is>
          <t>https://www.churchofjesuschrist.org/study/scriptures/dc-testament/dc/20?lang=eng&amp;id=p19#p19</t>
        </is>
      </c>
      <c r="P3" s="7" t="n"/>
      <c r="Q3" s="7" t="inlineStr">
        <is>
          <t>READY</t>
        </is>
      </c>
      <c r="R3" s="9" t="inlineStr">
        <is>
          <t>one living and true God</t>
        </is>
      </c>
      <c r="S3" s="9" t="inlineStr">
        <is>
          <t>DIRECT — proposition phrase in authorized formulary</t>
        </is>
      </c>
      <c r="T3" s="9" t="inlineStr">
        <is>
          <t>PROPOSITION-LEVEL REVIEWED</t>
        </is>
      </c>
      <c r="V3" s="9" t="inlineStr">
        <is>
          <t>FALSE</t>
        </is>
      </c>
      <c r="W3" s="7" t="inlineStr">
        <is>
          <t>the only living and true God</t>
        </is>
      </c>
      <c r="X3" s="7" t="n">
        <v>6</v>
      </c>
      <c r="Y3" s="7" t="inlineStr">
        <is>
          <t>PLAYWRIGHT RENDERED OR CHURCH CONTENT API</t>
        </is>
      </c>
      <c r="Z3" s="7" t="inlineStr">
        <is>
          <t>Extract cited verse/range or named document section before assertion; fail if scoped extraction is expected but unavailable.</t>
        </is>
      </c>
      <c r="AA3" s="7" t="inlineStr">
        <is>
          <t>PRIMARY PHRASE TARGET READY</t>
        </is>
      </c>
      <c r="AB3" s="7" t="n"/>
      <c r="AC3" s="7" t="inlineStr">
        <is>
          <t>NO SUPPLEMENTAL URL/TARGET</t>
        </is>
      </c>
    </row>
    <row r="4">
      <c r="A4" s="7" t="inlineStr">
        <is>
          <t>RNR-H03</t>
        </is>
      </c>
      <c r="B4" s="7" t="inlineStr">
        <is>
          <t>Spirit</t>
        </is>
      </c>
      <c r="C4" s="7" t="inlineStr">
        <is>
          <t>Q</t>
        </is>
      </c>
      <c r="D4" s="7" t="inlineStr">
        <is>
          <t>Shared spiritual language; Restoration materially redefines spirit as refined matter (D&amp;C 131:7–8).</t>
        </is>
      </c>
      <c r="E4" s="7" t="inlineStr">
        <is>
          <t>DIRECT-PROPOSITION</t>
        </is>
      </c>
      <c r="F4" s="7" t="inlineStr">
        <is>
          <t>Reformed / Presbyterian</t>
        </is>
      </c>
      <c r="G4" s="7" t="inlineStr">
        <is>
          <t>Orthodox Presbyterian Church</t>
        </is>
      </c>
      <c r="H4" s="7" t="inlineStr">
        <is>
          <t>Westminster Confession of Faith</t>
        </is>
      </c>
      <c r="I4" s="7" t="inlineStr">
        <is>
          <t>Chapter II.1 — Of God, and of the Holy Trinity</t>
        </is>
      </c>
      <c r="J4" s="7" t="inlineStr">
        <is>
          <t>https://opc.org/wcf.html</t>
        </is>
      </c>
      <c r="K4" s="7" t="inlineStr">
        <is>
          <t>https://opc.org/wcf.html</t>
        </is>
      </c>
      <c r="L4" s="7" t="inlineStr">
        <is>
          <t>John 4:24; D&amp;C 131:7–8</t>
        </is>
      </c>
      <c r="M4" s="7" t="inlineStr">
        <is>
          <t>Bible (Latter-day Saint standard works); Doctrine and Covenants</t>
        </is>
      </c>
      <c r="N4" s="7" t="inlineStr">
        <is>
          <t>John 4:24; D&amp;C 131:7–8</t>
        </is>
      </c>
      <c r="O4" s="7" t="inlineStr">
        <is>
          <t>https://www.churchofjesuschrist.org/study/scriptures/nt/john/4?lang=eng&amp;id=p24#p24</t>
        </is>
      </c>
      <c r="P4" s="7" t="inlineStr">
        <is>
          <t>https://www.churchofjesuschrist.org/study/scriptures/dc-testament/dc/131?lang=eng&amp;id=p7-p8#p7</t>
        </is>
      </c>
      <c r="Q4" s="7" t="inlineStr">
        <is>
          <t>READY</t>
        </is>
      </c>
      <c r="R4" s="9" t="inlineStr">
        <is>
          <t>a most pure spirit</t>
        </is>
      </c>
      <c r="S4" s="9" t="inlineStr">
        <is>
          <t>Direct English source; exact Spirit proposition.</t>
        </is>
      </c>
      <c r="T4" s="9" t="inlineStr">
        <is>
          <t>PHRASE-READY</t>
        </is>
      </c>
      <c r="V4" s="9" t="inlineStr">
        <is>
          <t>FALSE</t>
        </is>
      </c>
      <c r="W4" s="7" t="inlineStr">
        <is>
          <t>God is a Spirit</t>
        </is>
      </c>
      <c r="X4" s="7" t="n">
        <v>4</v>
      </c>
      <c r="Y4" s="7" t="inlineStr">
        <is>
          <t>PLAYWRIGHT RENDERED OR CHURCH CONTENT API</t>
        </is>
      </c>
      <c r="Z4" s="7" t="inlineStr">
        <is>
          <t>Extract cited verse/range or named document section before assertion; fail if scoped extraction is expected but unavailable.</t>
        </is>
      </c>
      <c r="AA4" s="7" t="inlineStr">
        <is>
          <t>PRIMARY PHRASE TARGET READY</t>
        </is>
      </c>
      <c r="AB4" s="7" t="inlineStr">
        <is>
          <t>All spirit is matter</t>
        </is>
      </c>
      <c r="AC4" s="7" t="inlineStr">
        <is>
          <t>SUPPLEMENTAL TARGET READY</t>
        </is>
      </c>
    </row>
    <row r="5">
      <c r="A5" s="7" t="inlineStr">
        <is>
          <t>RNR-H04</t>
        </is>
      </c>
      <c r="B5" s="7" t="inlineStr">
        <is>
          <t>Father</t>
        </is>
      </c>
      <c r="C5" s="7" t="inlineStr">
        <is>
          <t>A</t>
        </is>
      </c>
      <c r="D5" s="7" t="inlineStr">
        <is>
          <t>Shared divine paternity/relational identity at the controlling floor.</t>
        </is>
      </c>
      <c r="E5" s="7" t="inlineStr">
        <is>
          <t>DIRECT-PROPOSITION</t>
        </is>
      </c>
      <c r="F5" s="7" t="inlineStr">
        <is>
          <t>Reformed / Presbyterian</t>
        </is>
      </c>
      <c r="G5" s="7" t="inlineStr">
        <is>
          <t>Presbyterian Church (U.S.A.)</t>
        </is>
      </c>
      <c r="H5" s="7" t="inlineStr">
        <is>
          <t>Apostles' Creed</t>
        </is>
      </c>
      <c r="I5" s="7" t="inlineStr">
        <is>
          <t>2.1</t>
        </is>
      </c>
      <c r="J5" s="7" t="inlineStr">
        <is>
          <t>https://pcusa.org/about-pcusa/agencies-entities/life-witness/ministry-areas/constitutional-interpretation/constitution</t>
        </is>
      </c>
      <c r="K5" s="7" t="inlineStr">
        <is>
          <t>https://pcusa.org/sites/default/files/boc2016.pdf</t>
        </is>
      </c>
      <c r="L5" s="7" t="inlineStr">
        <is>
          <t>Articles of Faith 1:1</t>
        </is>
      </c>
      <c r="M5" s="7" t="inlineStr">
        <is>
          <t>Articles of Faith</t>
        </is>
      </c>
      <c r="N5" s="7" t="inlineStr">
        <is>
          <t>AoF 1:1</t>
        </is>
      </c>
      <c r="O5" s="7" t="inlineStr">
        <is>
          <t>https://www.churchofjesuschrist.org/study/scriptures/pgp/a-of-f/1?lang=eng&amp;id=p1#p1</t>
        </is>
      </c>
      <c r="P5" s="7" t="n"/>
      <c r="Q5" s="7" t="inlineStr">
        <is>
          <t>READY</t>
        </is>
      </c>
      <c r="R5" s="9" t="inlineStr">
        <is>
          <t>God the Father Almighty</t>
        </is>
      </c>
      <c r="S5" s="9" t="inlineStr">
        <is>
          <t>DIRECT — proposition phrase in Book of Confessions</t>
        </is>
      </c>
      <c r="T5" s="9" t="inlineStr">
        <is>
          <t>PROPOSITION-LEVEL REVIEWED</t>
        </is>
      </c>
      <c r="V5" s="9" t="inlineStr">
        <is>
          <t>FALSE</t>
        </is>
      </c>
      <c r="W5" s="7" t="inlineStr">
        <is>
          <t>We believe in God, the Eternal Father</t>
        </is>
      </c>
      <c r="X5" s="7" t="n">
        <v>7</v>
      </c>
      <c r="Y5" s="7" t="inlineStr">
        <is>
          <t>PLAYWRIGHT RENDERED OR CHURCH CONTENT API</t>
        </is>
      </c>
      <c r="Z5" s="7" t="inlineStr">
        <is>
          <t>Extract cited verse/range or named document section before assertion; fail if scoped extraction is expected but unavailable.</t>
        </is>
      </c>
      <c r="AA5" s="7" t="inlineStr">
        <is>
          <t>PRIMARY PHRASE TARGET READY</t>
        </is>
      </c>
      <c r="AB5" s="7" t="n"/>
      <c r="AC5" s="7" t="inlineStr">
        <is>
          <t>NO SUPPLEMENTAL URL/TARGET</t>
        </is>
      </c>
    </row>
    <row r="6">
      <c r="A6" s="7" t="inlineStr">
        <is>
          <t>RNR-H05</t>
        </is>
      </c>
      <c r="B6" s="7" t="inlineStr">
        <is>
          <t>Son</t>
        </is>
      </c>
      <c r="C6" s="7" t="inlineStr">
        <is>
          <t>A</t>
        </is>
      </c>
      <c r="D6" s="7" t="inlineStr">
        <is>
          <t>Shared filial identity/relationship controls A; thick Nicene metaphysical entailments are not imported automatically.</t>
        </is>
      </c>
      <c r="E6" s="7" t="inlineStr">
        <is>
          <t>QUEUE-DERIVED — BEST LOCATOR</t>
        </is>
      </c>
      <c r="F6" s="7" t="inlineStr">
        <is>
          <t>Baptist</t>
        </is>
      </c>
      <c r="G6" s="7" t="inlineStr">
        <is>
          <t>Southern Baptist Convention</t>
        </is>
      </c>
      <c r="H6" s="7" t="inlineStr">
        <is>
          <t>Baptist Faith and Message 2000</t>
        </is>
      </c>
      <c r="I6" s="7" t="inlineStr">
        <is>
          <t>II.B. God the Son</t>
        </is>
      </c>
      <c r="J6" s="7" t="inlineStr">
        <is>
          <t>https://bfm.sbc.net/bfm2000/</t>
        </is>
      </c>
      <c r="K6" s="7" t="inlineStr">
        <is>
          <t>https://bfm.sbc.net/bfm2000/</t>
        </is>
      </c>
      <c r="L6" s="7" t="inlineStr">
        <is>
          <t>D&amp;C 20:21; Articles of Faith 1:1</t>
        </is>
      </c>
      <c r="M6" s="7" t="inlineStr">
        <is>
          <t>Doctrine and Covenants; Articles of Faith</t>
        </is>
      </c>
      <c r="N6" s="7" t="inlineStr">
        <is>
          <t>D&amp;C 20:21; AoF 1:1</t>
        </is>
      </c>
      <c r="O6" s="7" t="inlineStr">
        <is>
          <t>https://www.churchofjesuschrist.org/study/scriptures/dc-testament/dc/20?lang=eng&amp;id=p21#p21</t>
        </is>
      </c>
      <c r="P6" s="7" t="n"/>
      <c r="Q6" s="7" t="inlineStr">
        <is>
          <t>READY</t>
        </is>
      </c>
      <c r="R6" s="9" t="inlineStr">
        <is>
          <t>Christ is the eternal Son of God</t>
        </is>
      </c>
      <c r="S6" s="9" t="inlineStr">
        <is>
          <t>Released English A cell; exact Son phrase.</t>
        </is>
      </c>
      <c r="T6" s="9" t="inlineStr">
        <is>
          <t>PHRASE-READY</t>
        </is>
      </c>
      <c r="V6" s="9" t="inlineStr">
        <is>
          <t>FALSE</t>
        </is>
      </c>
      <c r="W6" s="7" t="inlineStr">
        <is>
          <t>the Almighty God gave his Only Begotten Son</t>
        </is>
      </c>
      <c r="X6" s="7" t="n">
        <v>8</v>
      </c>
      <c r="Y6" s="7" t="inlineStr">
        <is>
          <t>PLAYWRIGHT RENDERED OR CHURCH CONTENT API</t>
        </is>
      </c>
      <c r="Z6" s="7" t="inlineStr">
        <is>
          <t>Extract cited verse/range or named document section before assertion; fail if scoped extraction is expected but unavailable.</t>
        </is>
      </c>
      <c r="AA6" s="7" t="inlineStr">
        <is>
          <t>PRIMARY PHRASE TARGET READY</t>
        </is>
      </c>
      <c r="AB6" s="7" t="n"/>
      <c r="AC6" s="7" t="inlineStr">
        <is>
          <t>NO SUPPLEMENTAL URL/TARGET</t>
        </is>
      </c>
    </row>
    <row r="7">
      <c r="A7" s="7" t="inlineStr">
        <is>
          <t>RNR-H06</t>
        </is>
      </c>
      <c r="B7" s="7" t="inlineStr">
        <is>
          <t>Lord</t>
        </is>
      </c>
      <c r="C7" s="7" t="inlineStr">
        <is>
          <t>A</t>
        </is>
      </c>
      <c r="D7" s="7" t="inlineStr">
        <is>
          <t>Shared authority and lordship.</t>
        </is>
      </c>
      <c r="E7" s="7" t="inlineStr">
        <is>
          <t>DIRECT-PROPOSITION</t>
        </is>
      </c>
      <c r="F7" s="7" t="inlineStr">
        <is>
          <t>Reformed / Presbyterian</t>
        </is>
      </c>
      <c r="G7" s="7" t="inlineStr">
        <is>
          <t>Presbyterian Church (U.S.A.)</t>
        </is>
      </c>
      <c r="H7" s="7" t="inlineStr">
        <is>
          <t>Nicene Creed</t>
        </is>
      </c>
      <c r="I7" s="7" t="inlineStr">
        <is>
          <t>1.2</t>
        </is>
      </c>
      <c r="J7" s="7" t="inlineStr">
        <is>
          <t>https://pcusa.org/about-pcusa/agencies-entities/life-witness/ministry-areas/constitutional-interpretation/constitution</t>
        </is>
      </c>
      <c r="K7" s="7" t="inlineStr">
        <is>
          <t>https://pcusa.org/sites/default/files/boc2016.pdf</t>
        </is>
      </c>
      <c r="L7" s="7" t="inlineStr">
        <is>
          <t>D&amp;C 20:24</t>
        </is>
      </c>
      <c r="M7" s="7" t="inlineStr">
        <is>
          <t>Doctrine and Covenants</t>
        </is>
      </c>
      <c r="N7" s="7" t="inlineStr">
        <is>
          <t>D&amp;C 20:24</t>
        </is>
      </c>
      <c r="O7" s="7" t="inlineStr">
        <is>
          <t>https://www.churchofjesuschrist.org/study/scriptures/dc-testament/dc/20?lang=eng&amp;id=p24#p24</t>
        </is>
      </c>
      <c r="P7" s="7" t="n"/>
      <c r="Q7" s="7" t="inlineStr">
        <is>
          <t>READY</t>
        </is>
      </c>
      <c r="R7" s="9" t="inlineStr">
        <is>
          <t>one Lord, Jesus Christ</t>
        </is>
      </c>
      <c r="S7" s="9" t="inlineStr">
        <is>
          <t>DIRECT — proposition phrase in Book of Confessions</t>
        </is>
      </c>
      <c r="T7" s="9" t="inlineStr">
        <is>
          <t>PROPOSITION-LEVEL REVIEWED</t>
        </is>
      </c>
      <c r="U7" s="9" t="inlineStr">
        <is>
          <t>RESOLVED 2026-09-09 AJP: replaced per AUTH-COMP-H06</t>
        </is>
      </c>
      <c r="V7" s="9" t="inlineStr">
        <is>
          <t>FALSE</t>
        </is>
      </c>
      <c r="W7" s="7" t="inlineStr">
        <is>
          <t>to reign with almighty power according to the will of the Father</t>
        </is>
      </c>
      <c r="X7" s="7" t="n">
        <v>12</v>
      </c>
      <c r="Y7" s="7" t="inlineStr">
        <is>
          <t>PLAYWRIGHT RENDERED OR CHURCH CONTENT API</t>
        </is>
      </c>
      <c r="Z7" s="7" t="inlineStr">
        <is>
          <t>Extract cited verse/range or named document section before assertion; fail if scoped extraction is expected but unavailable.</t>
        </is>
      </c>
      <c r="AA7" s="7" t="inlineStr">
        <is>
          <t>AUTHOR-REPLACED — PIPELINE RECHECK REQUIRED</t>
        </is>
      </c>
      <c r="AB7" s="7" t="n"/>
      <c r="AC7" s="7" t="inlineStr">
        <is>
          <t>NO SUPPLEMENTAL URL/TARGET</t>
        </is>
      </c>
    </row>
    <row r="8">
      <c r="A8" s="7" t="inlineStr">
        <is>
          <t>RNR-H07</t>
        </is>
      </c>
      <c r="B8" s="7" t="inlineStr">
        <is>
          <t>Almighty / omnipotent</t>
        </is>
      </c>
      <c r="C8" s="7" t="inlineStr">
        <is>
          <t>A</t>
        </is>
      </c>
      <c r="D8" s="7" t="inlineStr">
        <is>
          <t>Shared supreme divine power; absolute modal or creatio-ex-nihilo implications are not imported automatically.</t>
        </is>
      </c>
      <c r="E8" s="7" t="inlineStr">
        <is>
          <t>DIRECT — ATOMIC LAYER SUPPORT</t>
        </is>
      </c>
      <c r="F8" s="7" t="inlineStr">
        <is>
          <t>Anglican</t>
        </is>
      </c>
      <c r="G8" s="7" t="inlineStr">
        <is>
          <t>Church of England</t>
        </is>
      </c>
      <c r="H8" s="7" t="inlineStr">
        <is>
          <t>Creed of S. Athanasius</t>
        </is>
      </c>
      <c r="I8" s="7" t="inlineStr">
        <is>
          <t>Athanasian Creed — Almighty clause</t>
        </is>
      </c>
      <c r="J8" s="7" t="inlineStr">
        <is>
          <t>https://www.churchofengland.org/prayer-and-worship/worship-texts-and-resources/book-common-prayer/articles-religion</t>
        </is>
      </c>
      <c r="K8" s="7" t="inlineStr">
        <is>
          <t>https://ccel.org/ccel/creeds/athanasian.creed.html</t>
        </is>
      </c>
      <c r="L8" s="7" t="inlineStr">
        <is>
          <t>Alma 26:35</t>
        </is>
      </c>
      <c r="M8" s="7" t="inlineStr">
        <is>
          <t>Book of Mormon</t>
        </is>
      </c>
      <c r="N8" s="7" t="inlineStr">
        <is>
          <t>Alma 26:35</t>
        </is>
      </c>
      <c r="O8" s="7" t="inlineStr">
        <is>
          <t>https://www.churchofjesuschrist.org/study/scriptures/bofm/alma/26?lang=eng&amp;id=p35#p35</t>
        </is>
      </c>
      <c r="P8" s="7" t="n"/>
      <c r="Q8" s="7" t="inlineStr">
        <is>
          <t>READY</t>
        </is>
      </c>
      <c r="R8" s="9" t="inlineStr">
        <is>
          <t>The Father is almighty</t>
        </is>
      </c>
      <c r="S8" s="9" t="inlineStr">
        <is>
          <t>DIRECT — Church of England authority/adoption; CCEL server-rendered Athanasian text witness</t>
        </is>
      </c>
      <c r="T8" s="9" t="inlineStr">
        <is>
          <t>PHRASE-READY</t>
        </is>
      </c>
      <c r="V8" s="9" t="inlineStr">
        <is>
          <t>FALSE</t>
        </is>
      </c>
      <c r="W8" s="7" t="inlineStr">
        <is>
          <t>he has all power, all wisdom, and all understanding</t>
        </is>
      </c>
      <c r="X8" s="7" t="n">
        <v>9</v>
      </c>
      <c r="Y8" s="7" t="inlineStr">
        <is>
          <t>PLAYWRIGHT RENDERED OR CHURCH CONTENT API</t>
        </is>
      </c>
      <c r="Z8" s="7" t="inlineStr">
        <is>
          <t>Extract cited verse/range or named document section before assertion; fail if scoped extraction is expected but unavailable.</t>
        </is>
      </c>
      <c r="AA8" s="7" t="inlineStr">
        <is>
          <t>PRIMARY PHRASE TARGET READY</t>
        </is>
      </c>
      <c r="AB8" s="7" t="n"/>
      <c r="AC8" s="7" t="inlineStr">
        <is>
          <t>NO SUPPLEMENTAL URL/TARGET</t>
        </is>
      </c>
    </row>
    <row r="9">
      <c r="A9" s="7" t="inlineStr">
        <is>
          <t>RNR-H08</t>
        </is>
      </c>
      <c r="B9" s="7" t="inlineStr">
        <is>
          <t>Wise / all-wise</t>
        </is>
      </c>
      <c r="C9" s="7" t="inlineStr">
        <is>
          <t>A</t>
        </is>
      </c>
      <c r="D9" s="7" t="inlineStr">
        <is>
          <t>Shared divine wisdom.</t>
        </is>
      </c>
      <c r="E9" s="7" t="inlineStr">
        <is>
          <t>QUEUE-DERIVED — BEST LOCATOR</t>
        </is>
      </c>
      <c r="F9" s="7" t="inlineStr">
        <is>
          <t>Baptist</t>
        </is>
      </c>
      <c r="G9" s="7" t="inlineStr">
        <is>
          <t>Southern Baptist Convention</t>
        </is>
      </c>
      <c r="H9" s="7" t="inlineStr">
        <is>
          <t>Baptist Faith and Message 2000</t>
        </is>
      </c>
      <c r="I9" s="7" t="inlineStr">
        <is>
          <t>II.A. God the Father</t>
        </is>
      </c>
      <c r="J9" s="7" t="inlineStr">
        <is>
          <t>https://bfm.sbc.net/bfm2000/</t>
        </is>
      </c>
      <c r="K9" s="7" t="inlineStr">
        <is>
          <t>https://bfm.sbc.net/bfm2000/</t>
        </is>
      </c>
      <c r="L9" s="7" t="inlineStr">
        <is>
          <t>Mosiah 4:9</t>
        </is>
      </c>
      <c r="M9" s="7" t="inlineStr">
        <is>
          <t>Book of Mormon</t>
        </is>
      </c>
      <c r="N9" s="7" t="inlineStr">
        <is>
          <t>Mosiah 4:9</t>
        </is>
      </c>
      <c r="O9" s="7" t="inlineStr">
        <is>
          <t>https://www.churchofjesuschrist.org/study/scriptures/bofm/mosiah/4?lang=eng&amp;id=p9#p9</t>
        </is>
      </c>
      <c r="P9" s="7" t="n"/>
      <c r="Q9" s="7" t="inlineStr">
        <is>
          <t>READY</t>
        </is>
      </c>
      <c r="R9" s="9" t="inlineStr">
        <is>
          <t>all wise</t>
        </is>
      </c>
      <c r="S9" s="9" t="inlineStr">
        <is>
          <t>Released English A cell; exact wisdom phrase.</t>
        </is>
      </c>
      <c r="T9" s="9" t="inlineStr">
        <is>
          <t>PHRASE-READY</t>
        </is>
      </c>
      <c r="V9" s="9" t="inlineStr">
        <is>
          <t>FALSE</t>
        </is>
      </c>
      <c r="W9" s="7" t="inlineStr">
        <is>
          <t>he has all wisdom, and all power</t>
        </is>
      </c>
      <c r="X9" s="7" t="n">
        <v>7</v>
      </c>
      <c r="Y9" s="7" t="inlineStr">
        <is>
          <t>PLAYWRIGHT RENDERED OR CHURCH CONTENT API</t>
        </is>
      </c>
      <c r="Z9" s="7" t="inlineStr">
        <is>
          <t>Extract cited verse/range or named document section before assertion; fail if scoped extraction is expected but unavailable.</t>
        </is>
      </c>
      <c r="AA9" s="7" t="inlineStr">
        <is>
          <t>PRIMARY PHRASE TARGET READY</t>
        </is>
      </c>
      <c r="AB9" s="7" t="n"/>
      <c r="AC9" s="7" t="inlineStr">
        <is>
          <t>NO SUPPLEMENTAL URL/TARGET</t>
        </is>
      </c>
    </row>
    <row r="10">
      <c r="A10" s="7" t="inlineStr">
        <is>
          <t>RNR-H09</t>
        </is>
      </c>
      <c r="B10" s="7" t="inlineStr">
        <is>
          <t>Good</t>
        </is>
      </c>
      <c r="C10" s="7" t="inlineStr">
        <is>
          <t>A</t>
        </is>
      </c>
      <c r="D10" s="7" t="inlineStr">
        <is>
          <t>Shared divine goodness.</t>
        </is>
      </c>
      <c r="E10" s="7" t="inlineStr">
        <is>
          <t>QUEUE-DERIVED — BEST LOCATOR</t>
        </is>
      </c>
      <c r="F10" s="7" t="inlineStr">
        <is>
          <t>Mennonite / Anabaptist</t>
        </is>
      </c>
      <c r="G10" s="7" t="inlineStr">
        <is>
          <t>Mennonite Church USA</t>
        </is>
      </c>
      <c r="H10" s="7" t="inlineStr">
        <is>
          <t>Confession of Faith in a Mennonite Perspective (1995)</t>
        </is>
      </c>
      <c r="I10" s="7" t="inlineStr">
        <is>
          <t>Article 5 — Creation and Divine Providence</t>
        </is>
      </c>
      <c r="J10" s="7" t="inlineStr">
        <is>
          <t>https://www.mennoniteusa.org/who-are-mennonites/what-we-believe/confession-of-faith/creation-and-divine-providence/</t>
        </is>
      </c>
      <c r="K10" s="7" t="inlineStr">
        <is>
          <t>https://www.mennoniteusa.org/who-are-mennonites/what-we-believe/confession-of-faith/creation-and-divine-providence/</t>
        </is>
      </c>
      <c r="L10" s="7" t="inlineStr">
        <is>
          <t>Moroni 7:12</t>
        </is>
      </c>
      <c r="M10" s="7" t="inlineStr">
        <is>
          <t>Book of Mormon</t>
        </is>
      </c>
      <c r="N10" s="7" t="inlineStr">
        <is>
          <t>Moroni 7:12</t>
        </is>
      </c>
      <c r="O10" s="7" t="inlineStr">
        <is>
          <t>https://www.churchofjesuschrist.org/study/scriptures/bofm/moro/7?lang=eng&amp;id=p12#p12</t>
        </is>
      </c>
      <c r="P10" s="7" t="n"/>
      <c r="Q10" s="7" t="inlineStr">
        <is>
          <t>READY</t>
        </is>
      </c>
      <c r="R10" s="9" t="inlineStr">
        <is>
          <t>God is good</t>
        </is>
      </c>
      <c r="S10" s="9" t="inlineStr">
        <is>
          <t>Released English cell; exact predicate phrase.</t>
        </is>
      </c>
      <c r="T10" s="9" t="inlineStr">
        <is>
          <t>PHRASE-READY</t>
        </is>
      </c>
      <c r="U10" s="9" t="inlineStr">
        <is>
          <t>RESOLVED 2026-09-09 AJP: replaced per AUTH-COMP-H09</t>
        </is>
      </c>
      <c r="V10" s="9" t="inlineStr">
        <is>
          <t>FALSE</t>
        </is>
      </c>
      <c r="W10" s="7" t="inlineStr">
        <is>
          <t>all things which are good cometh of God</t>
        </is>
      </c>
      <c r="X10" s="7" t="n">
        <v>8</v>
      </c>
      <c r="Y10" s="7" t="inlineStr">
        <is>
          <t>PLAYWRIGHT RENDERED OR CHURCH CONTENT API</t>
        </is>
      </c>
      <c r="Z10" s="7" t="inlineStr">
        <is>
          <t>Extract cited verse/range or named document section before assertion; fail if scoped extraction is expected but unavailable.</t>
        </is>
      </c>
      <c r="AA10" s="7" t="inlineStr">
        <is>
          <t>AUTHOR-REPLACED — PIPELINE RECHECK REQUIRED</t>
        </is>
      </c>
      <c r="AB10" s="7" t="n"/>
      <c r="AC10" s="7" t="inlineStr">
        <is>
          <t>NO SUPPLEMENTAL URL/TARGET</t>
        </is>
      </c>
    </row>
    <row r="11">
      <c r="A11" s="7" t="inlineStr">
        <is>
          <t>RNR-H10</t>
        </is>
      </c>
      <c r="B11" s="7" t="inlineStr">
        <is>
          <t>Source of all good</t>
        </is>
      </c>
      <c r="C11" s="7" t="inlineStr">
        <is>
          <t>A</t>
        </is>
      </c>
      <c r="D11" s="7" t="inlineStr">
        <is>
          <t>No material conflict identified at the accepted floor.</t>
        </is>
      </c>
      <c r="E11" s="7" t="inlineStr">
        <is>
          <t>DIRECT-PROPOSITION</t>
        </is>
      </c>
      <c r="F11" s="7" t="inlineStr">
        <is>
          <t>Reformed / Presbyterian</t>
        </is>
      </c>
      <c r="G11" s="7" t="inlineStr">
        <is>
          <t>Christian Reformed Church in North America</t>
        </is>
      </c>
      <c r="H11" s="7" t="inlineStr">
        <is>
          <t>Belgic Confession</t>
        </is>
      </c>
      <c r="I11" s="7" t="inlineStr">
        <is>
          <t>Article 1: The Only God</t>
        </is>
      </c>
      <c r="J11" s="7" t="inlineStr">
        <is>
          <t>https://www.crcna.org/welcome/beliefs/confessions/belgic-confession</t>
        </is>
      </c>
      <c r="K11" s="7" t="inlineStr">
        <is>
          <t>https://www.crcna.org/welcome/beliefs/confessions/belgic-confession</t>
        </is>
      </c>
      <c r="L11" s="7" t="inlineStr">
        <is>
          <t>Moroni 7:12–13</t>
        </is>
      </c>
      <c r="M11" s="7" t="inlineStr">
        <is>
          <t>Book of Mormon</t>
        </is>
      </c>
      <c r="N11" s="7" t="inlineStr">
        <is>
          <t>Moroni 7:12–13</t>
        </is>
      </c>
      <c r="O11" s="7" t="inlineStr">
        <is>
          <t>https://www.churchofjesuschrist.org/study/scriptures/bofm/moro/7?lang=eng&amp;id=p12-p13#p12</t>
        </is>
      </c>
      <c r="P11" s="7" t="n"/>
      <c r="Q11" s="7" t="inlineStr">
        <is>
          <t>READY</t>
        </is>
      </c>
      <c r="R11" s="9" t="inlineStr">
        <is>
          <t>the overflowing source of all good</t>
        </is>
      </c>
      <c r="S11" s="9" t="inlineStr">
        <is>
          <t>DIRECT — proposition phrase in Article 1</t>
        </is>
      </c>
      <c r="T11" s="9" t="inlineStr">
        <is>
          <t>PROPOSITION-LEVEL REVIEWED</t>
        </is>
      </c>
      <c r="V11" s="9" t="inlineStr">
        <is>
          <t>FALSE</t>
        </is>
      </c>
      <c r="W11" s="7" t="inlineStr">
        <is>
          <t>all things which are good cometh of God</t>
        </is>
      </c>
      <c r="X11" s="7" t="n">
        <v>8</v>
      </c>
      <c r="Y11" s="7" t="inlineStr">
        <is>
          <t>PLAYWRIGHT RENDERED OR CHURCH CONTENT API</t>
        </is>
      </c>
      <c r="Z11" s="7" t="inlineStr">
        <is>
          <t>Extract cited verse/range or named document section before assertion; fail if scoped extraction is expected but unavailable.</t>
        </is>
      </c>
      <c r="AA11" s="7" t="inlineStr">
        <is>
          <t>PRIMARY PHRASE TARGET READY</t>
        </is>
      </c>
      <c r="AB11" s="7" t="n"/>
      <c r="AC11" s="7" t="inlineStr">
        <is>
          <t>NO SUPPLEMENTAL URL/TARGET</t>
        </is>
      </c>
    </row>
    <row r="12">
      <c r="A12" s="7" t="inlineStr">
        <is>
          <t>RNR-H11</t>
        </is>
      </c>
      <c r="B12" s="7" t="inlineStr">
        <is>
          <t>Just / righteous</t>
        </is>
      </c>
      <c r="C12" s="7" t="inlineStr">
        <is>
          <t>A</t>
        </is>
      </c>
      <c r="D12" s="7" t="inlineStr">
        <is>
          <t>Shared divine justice/righteousness.</t>
        </is>
      </c>
      <c r="E12" s="7" t="inlineStr">
        <is>
          <t>QUEUE-DERIVED — BEST LOCATOR</t>
        </is>
      </c>
      <c r="F12" s="7" t="inlineStr">
        <is>
          <t>Methodist / Wesleyan</t>
        </is>
      </c>
      <c r="G12" s="7" t="inlineStr">
        <is>
          <t>The United Methodist Church</t>
        </is>
      </c>
      <c r="H12" s="7" t="inlineStr">
        <is>
          <t>Confession of Faith of the Evangelical United Brethren Church</t>
        </is>
      </c>
      <c r="I12" s="7" t="inlineStr">
        <is>
          <t>Article I — God</t>
        </is>
      </c>
      <c r="J12" s="7" t="inlineStr">
        <is>
          <t>https://www.umc.org/en/content/confession-of-faith</t>
        </is>
      </c>
      <c r="K12" s="7" t="inlineStr">
        <is>
          <t>https://www.umc.org/en/content/confession-of-faith</t>
        </is>
      </c>
      <c r="L12" s="7" t="inlineStr">
        <is>
          <t>Deuteronomy 32:4</t>
        </is>
      </c>
      <c r="M12" s="7" t="inlineStr">
        <is>
          <t>Bible (Latter-day Saint standard works)</t>
        </is>
      </c>
      <c r="N12" s="7" t="inlineStr">
        <is>
          <t>Deut. 32:4</t>
        </is>
      </c>
      <c r="O12" s="7" t="inlineStr">
        <is>
          <t>https://www.churchofjesuschrist.org/study/scriptures/ot/deut/32?lang=eng&amp;id=p4#p4</t>
        </is>
      </c>
      <c r="P12" s="7" t="n"/>
      <c r="Q12" s="7" t="inlineStr">
        <is>
          <t>READY</t>
        </is>
      </c>
      <c r="R12" s="9" t="inlineStr">
        <is>
          <t>infinite in power, wisdom, justice, goodness and love</t>
        </is>
      </c>
      <c r="S12" s="9" t="inlineStr">
        <is>
          <t>Released English A cell; exact attribute series.</t>
        </is>
      </c>
      <c r="T12" s="9" t="inlineStr">
        <is>
          <t>PHRASE-READY</t>
        </is>
      </c>
      <c r="V12" s="9" t="inlineStr">
        <is>
          <t>FALSE</t>
        </is>
      </c>
      <c r="W12" s="7" t="inlineStr">
        <is>
          <t>a God of truth and without iniquity, just and right is he</t>
        </is>
      </c>
      <c r="X12" s="7" t="n">
        <v>12</v>
      </c>
      <c r="Y12" s="7" t="inlineStr">
        <is>
          <t>PLAYWRIGHT RENDERED OR CHURCH CONTENT API</t>
        </is>
      </c>
      <c r="Z12" s="7" t="inlineStr">
        <is>
          <t>Extract cited verse/range or named document section before assertion; fail if scoped extraction is expected but unavailable.</t>
        </is>
      </c>
      <c r="AA12" s="7" t="inlineStr">
        <is>
          <t>PRIMARY PHRASE TARGET READY</t>
        </is>
      </c>
      <c r="AB12" s="7" t="n"/>
      <c r="AC12" s="7" t="inlineStr">
        <is>
          <t>NO SUPPLEMENTAL URL/TARGET</t>
        </is>
      </c>
    </row>
    <row r="13">
      <c r="A13" s="7" t="inlineStr">
        <is>
          <t>RNR-H12</t>
        </is>
      </c>
      <c r="B13" s="7" t="inlineStr">
        <is>
          <t>Holy</t>
        </is>
      </c>
      <c r="C13" s="7" t="inlineStr">
        <is>
          <t>A</t>
        </is>
      </c>
      <c r="D13" s="7" t="inlineStr">
        <is>
          <t>Shared holiness.</t>
        </is>
      </c>
      <c r="E13" s="7" t="inlineStr">
        <is>
          <t>QUEUE-DERIVED — BEST LOCATOR</t>
        </is>
      </c>
      <c r="F13" s="7" t="inlineStr">
        <is>
          <t>Baptist</t>
        </is>
      </c>
      <c r="G13" s="7" t="inlineStr">
        <is>
          <t>Southern Baptist Convention</t>
        </is>
      </c>
      <c r="H13" s="7" t="inlineStr">
        <is>
          <t>Baptist Faith and Message 2000</t>
        </is>
      </c>
      <c r="I13" s="7" t="inlineStr">
        <is>
          <t>II. God</t>
        </is>
      </c>
      <c r="J13" s="7" t="inlineStr">
        <is>
          <t>https://bfm.sbc.net/bfm2000/</t>
        </is>
      </c>
      <c r="K13" s="7" t="inlineStr">
        <is>
          <t>https://bfm.sbc.net/bfm2000/</t>
        </is>
      </c>
      <c r="L13" s="7" t="inlineStr">
        <is>
          <t>2 Nephi 9:20</t>
        </is>
      </c>
      <c r="M13" s="7" t="inlineStr">
        <is>
          <t>Book of Mormon</t>
        </is>
      </c>
      <c r="N13" s="7" t="inlineStr">
        <is>
          <t>2 Nephi 9:20</t>
        </is>
      </c>
      <c r="O13" s="7" t="inlineStr">
        <is>
          <t>https://www.churchofjesuschrist.org/study/scriptures/bofm/2-ne/9?lang=eng&amp;id=p20#p20</t>
        </is>
      </c>
      <c r="P13" s="7" t="n"/>
      <c r="Q13" s="7" t="inlineStr">
        <is>
          <t>READY</t>
        </is>
      </c>
      <c r="R13" s="9" t="inlineStr">
        <is>
          <t>infinite in holiness</t>
        </is>
      </c>
      <c r="S13" s="9" t="inlineStr">
        <is>
          <t>Released English A cell; exact holiness phrase.</t>
        </is>
      </c>
      <c r="T13" s="9" t="inlineStr">
        <is>
          <t>PHRASE-READY</t>
        </is>
      </c>
      <c r="V13" s="9" t="inlineStr">
        <is>
          <t>FALSE</t>
        </is>
      </c>
      <c r="W13" s="7" t="inlineStr">
        <is>
          <t>O how great the holiness of our God</t>
        </is>
      </c>
      <c r="X13" s="7" t="n">
        <v>8</v>
      </c>
      <c r="Y13" s="7" t="inlineStr">
        <is>
          <t>PLAYWRIGHT RENDERED OR CHURCH CONTENT API</t>
        </is>
      </c>
      <c r="Z13" s="7" t="inlineStr">
        <is>
          <t>Extract cited verse/range or named document section before assertion; fail if scoped extraction is expected but unavailable.</t>
        </is>
      </c>
      <c r="AA13" s="7" t="inlineStr">
        <is>
          <t>PRIMARY PHRASE TARGET READY</t>
        </is>
      </c>
      <c r="AB13" s="7" t="n"/>
      <c r="AC13" s="7" t="inlineStr">
        <is>
          <t>NO SUPPLEMENTAL URL/TARGET</t>
        </is>
      </c>
    </row>
    <row r="14">
      <c r="A14" s="7" t="inlineStr">
        <is>
          <t>RNR-H13</t>
        </is>
      </c>
      <c r="B14" s="7" t="inlineStr">
        <is>
          <t>Truthful / faithful</t>
        </is>
      </c>
      <c r="C14" s="7" t="inlineStr">
        <is>
          <t>A</t>
        </is>
      </c>
      <c r="D14" s="7" t="inlineStr">
        <is>
          <t>Shared faithfulness and truthfulness.</t>
        </is>
      </c>
      <c r="E14" s="7" t="inlineStr">
        <is>
          <t>DIRECT-PROPOSITION</t>
        </is>
      </c>
      <c r="F14" s="7" t="inlineStr">
        <is>
          <t>Reformed / Presbyterian</t>
        </is>
      </c>
      <c r="G14" s="7" t="inlineStr">
        <is>
          <t>Orthodox Presbyterian Church</t>
        </is>
      </c>
      <c r="H14" s="7" t="inlineStr">
        <is>
          <t>Westminster Confession of Faith</t>
        </is>
      </c>
      <c r="I14" s="7" t="inlineStr">
        <is>
          <t>Chapter II.1</t>
        </is>
      </c>
      <c r="J14" s="7" t="inlineStr">
        <is>
          <t>https://opc.org/wcf.html</t>
        </is>
      </c>
      <c r="K14" s="7" t="inlineStr">
        <is>
          <t>https://opc.org/wcf.html</t>
        </is>
      </c>
      <c r="L14" s="7" t="inlineStr">
        <is>
          <t>Ether 3:12</t>
        </is>
      </c>
      <c r="M14" s="7" t="inlineStr">
        <is>
          <t>Book of Mormon</t>
        </is>
      </c>
      <c r="N14" s="7" t="inlineStr">
        <is>
          <t>Ether 3:12</t>
        </is>
      </c>
      <c r="O14" s="7" t="inlineStr">
        <is>
          <t>https://www.churchofjesuschrist.org/study/scriptures/bofm/ether/3?lang=eng&amp;id=p12#p12</t>
        </is>
      </c>
      <c r="P14" s="7" t="n"/>
      <c r="Q14" s="7" t="inlineStr">
        <is>
          <t>READY</t>
        </is>
      </c>
      <c r="R14" s="9" t="inlineStr">
        <is>
          <t>abundant in goodness and truth</t>
        </is>
      </c>
      <c r="S14" s="9" t="inlineStr">
        <is>
          <t>DIRECT — proposition phrase in WCF II.1</t>
        </is>
      </c>
      <c r="T14" s="9" t="inlineStr">
        <is>
          <t>PROPOSITION-LEVEL REVIEWED</t>
        </is>
      </c>
      <c r="V14" s="9" t="inlineStr">
        <is>
          <t>FALSE</t>
        </is>
      </c>
      <c r="W14" s="7" t="inlineStr">
        <is>
          <t>thou art a God of truth, and canst not lie</t>
        </is>
      </c>
      <c r="X14" s="7" t="n">
        <v>10</v>
      </c>
      <c r="Y14" s="7" t="inlineStr">
        <is>
          <t>PLAYWRIGHT RENDERED OR CHURCH CONTENT API</t>
        </is>
      </c>
      <c r="Z14" s="7" t="inlineStr">
        <is>
          <t>Extract cited verse/range or named document section before assertion; fail if scoped extraction is expected but unavailable.</t>
        </is>
      </c>
      <c r="AA14" s="7" t="inlineStr">
        <is>
          <t>PRIMARY PHRASE TARGET READY</t>
        </is>
      </c>
      <c r="AB14" s="7" t="n"/>
      <c r="AC14" s="7" t="inlineStr">
        <is>
          <t>NO SUPPLEMENTAL URL/TARGET</t>
        </is>
      </c>
    </row>
    <row r="15">
      <c r="A15" s="7" t="inlineStr">
        <is>
          <t>RNR-H14</t>
        </is>
      </c>
      <c r="B15" s="7" t="inlineStr">
        <is>
          <t>Love / loving</t>
        </is>
      </c>
      <c r="C15" s="7" t="inlineStr">
        <is>
          <t>A</t>
        </is>
      </c>
      <c r="D15" s="7" t="inlineStr">
        <is>
          <t>Shared divine love.</t>
        </is>
      </c>
      <c r="E15" s="7" t="inlineStr">
        <is>
          <t>QUEUE-DERIVED — BEST LOCATOR</t>
        </is>
      </c>
      <c r="F15" s="7" t="inlineStr">
        <is>
          <t>Baptist</t>
        </is>
      </c>
      <c r="G15" s="7" t="inlineStr">
        <is>
          <t>Southern Baptist Convention</t>
        </is>
      </c>
      <c r="H15" s="7" t="inlineStr">
        <is>
          <t>Baptist Faith and Message 2000</t>
        </is>
      </c>
      <c r="I15" s="7" t="inlineStr">
        <is>
          <t>II.A. God the Father</t>
        </is>
      </c>
      <c r="J15" s="7" t="inlineStr">
        <is>
          <t>https://bfm.sbc.net/bfm2000/</t>
        </is>
      </c>
      <c r="K15" s="7" t="inlineStr">
        <is>
          <t>https://bfm.sbc.net/bfm2000/</t>
        </is>
      </c>
      <c r="L15" s="7" t="inlineStr">
        <is>
          <t>1 John 4:8,16</t>
        </is>
      </c>
      <c r="M15" s="7" t="inlineStr">
        <is>
          <t>Bible (Latter-day Saint standard works)</t>
        </is>
      </c>
      <c r="N15" s="7" t="inlineStr">
        <is>
          <t>1 John 4:8,16</t>
        </is>
      </c>
      <c r="O15" s="7" t="inlineStr">
        <is>
          <t>https://www.churchofjesuschrist.org/study/scriptures/nt/1-jn/4?lang=eng&amp;id=p8-p16#p8</t>
        </is>
      </c>
      <c r="P15" s="7" t="n"/>
      <c r="Q15" s="7" t="inlineStr">
        <is>
          <t>READY</t>
        </is>
      </c>
      <c r="R15" s="9" t="inlineStr">
        <is>
          <t>all loving</t>
        </is>
      </c>
      <c r="S15" s="9" t="inlineStr">
        <is>
          <t>Released English A cell; exact love phrase.</t>
        </is>
      </c>
      <c r="T15" s="9" t="inlineStr">
        <is>
          <t>PHRASE-READY</t>
        </is>
      </c>
      <c r="V15" s="9" t="inlineStr">
        <is>
          <t>FALSE</t>
        </is>
      </c>
      <c r="W15" s="7" t="inlineStr">
        <is>
          <t>God is love</t>
        </is>
      </c>
      <c r="X15" s="7" t="n">
        <v>3</v>
      </c>
      <c r="Y15" s="7" t="inlineStr">
        <is>
          <t>PLAYWRIGHT RENDERED OR CHURCH CONTENT API</t>
        </is>
      </c>
      <c r="Z15" s="7" t="inlineStr">
        <is>
          <t>Extract cited verse/range or named document section before assertion; fail if scoped extraction is expected but unavailable.</t>
        </is>
      </c>
      <c r="AA15" s="7" t="inlineStr">
        <is>
          <t>PRIMARY PHRASE TARGET READY</t>
        </is>
      </c>
      <c r="AB15" s="7" t="n"/>
      <c r="AC15" s="7" t="inlineStr">
        <is>
          <t>NO SUPPLEMENTAL URL/TARGET</t>
        </is>
      </c>
    </row>
    <row r="16">
      <c r="A16" s="7" t="inlineStr">
        <is>
          <t>RNR-H15</t>
        </is>
      </c>
      <c r="B16" s="7" t="inlineStr">
        <is>
          <t>Merciful</t>
        </is>
      </c>
      <c r="C16" s="7" t="inlineStr">
        <is>
          <t>A</t>
        </is>
      </c>
      <c r="D16" s="7" t="inlineStr">
        <is>
          <t>Shared mercy.</t>
        </is>
      </c>
      <c r="E16" s="7" t="inlineStr">
        <is>
          <t>DIRECT-PROPOSITION</t>
        </is>
      </c>
      <c r="F16" s="7" t="inlineStr">
        <is>
          <t>Reformed / Presbyterian</t>
        </is>
      </c>
      <c r="G16" s="7" t="inlineStr">
        <is>
          <t>Orthodox Presbyterian Church</t>
        </is>
      </c>
      <c r="H16" s="7" t="inlineStr">
        <is>
          <t>Westminster Confession of Faith</t>
        </is>
      </c>
      <c r="I16" s="7" t="inlineStr">
        <is>
          <t>Chapter II.1</t>
        </is>
      </c>
      <c r="J16" s="7" t="inlineStr">
        <is>
          <t>https://opc.org/wcf.html</t>
        </is>
      </c>
      <c r="K16" s="7" t="inlineStr">
        <is>
          <t>https://opc.org/wcf.html</t>
        </is>
      </c>
      <c r="L16" s="7" t="inlineStr">
        <is>
          <t>Exodus 34:6</t>
        </is>
      </c>
      <c r="M16" s="7" t="inlineStr">
        <is>
          <t>Bible (Latter-day Saint standard works)</t>
        </is>
      </c>
      <c r="N16" s="7" t="inlineStr">
        <is>
          <t>Exodus 34:6</t>
        </is>
      </c>
      <c r="O16" s="7" t="inlineStr">
        <is>
          <t>https://www.churchofjesuschrist.org/study/scriptures/ot/ex/34?lang=eng&amp;id=p6#p6</t>
        </is>
      </c>
      <c r="P16" s="7" t="n"/>
      <c r="Q16" s="7" t="inlineStr">
        <is>
          <t>READY</t>
        </is>
      </c>
      <c r="R16" s="9" t="inlineStr">
        <is>
          <t>gracious, merciful</t>
        </is>
      </c>
      <c r="S16" s="9" t="inlineStr">
        <is>
          <t>DIRECT — proposition phrase in WCF II.1</t>
        </is>
      </c>
      <c r="T16" s="9" t="inlineStr">
        <is>
          <t>PROPOSITION-LEVEL REVIEWED</t>
        </is>
      </c>
      <c r="V16" s="9" t="inlineStr">
        <is>
          <t>FALSE</t>
        </is>
      </c>
      <c r="W16" s="7" t="inlineStr">
        <is>
          <t>The Lord God, merciful and gracious</t>
        </is>
      </c>
      <c r="X16" s="7" t="n">
        <v>6</v>
      </c>
      <c r="Y16" s="7" t="inlineStr">
        <is>
          <t>PLAYWRIGHT RENDERED OR CHURCH CONTENT API</t>
        </is>
      </c>
      <c r="Z16" s="7" t="inlineStr">
        <is>
          <t>Extract cited verse/range or named document section before assertion; fail if scoped extraction is expected but unavailable.</t>
        </is>
      </c>
      <c r="AA16" s="7" t="inlineStr">
        <is>
          <t>PRIMARY PHRASE TARGET READY</t>
        </is>
      </c>
      <c r="AB16" s="7" t="n"/>
      <c r="AC16" s="7" t="inlineStr">
        <is>
          <t>NO SUPPLEMENTAL URL/TARGET</t>
        </is>
      </c>
    </row>
    <row r="17">
      <c r="A17" s="7" t="inlineStr">
        <is>
          <t>RNR-H16</t>
        </is>
      </c>
      <c r="B17" s="7" t="inlineStr">
        <is>
          <t>Gracious</t>
        </is>
      </c>
      <c r="C17" s="7" t="inlineStr">
        <is>
          <t>A</t>
        </is>
      </c>
      <c r="D17" s="7" t="inlineStr">
        <is>
          <t>Shared grace/gracious action.</t>
        </is>
      </c>
      <c r="E17" s="7" t="inlineStr">
        <is>
          <t>QUEUE-DERIVED — BEST LOCATOR</t>
        </is>
      </c>
      <c r="F17" s="7" t="inlineStr">
        <is>
          <t>Methodist / Wesleyan</t>
        </is>
      </c>
      <c r="G17" s="7" t="inlineStr">
        <is>
          <t>The United Methodist Church</t>
        </is>
      </c>
      <c r="H17" s="7" t="inlineStr">
        <is>
          <t>Confession of Faith of the Evangelical United Brethren Church</t>
        </is>
      </c>
      <c r="I17" s="7" t="inlineStr">
        <is>
          <t>Article I — God</t>
        </is>
      </c>
      <c r="J17" s="7" t="inlineStr">
        <is>
          <t>https://www.umc.org/en/content/confession-of-faith</t>
        </is>
      </c>
      <c r="K17" s="7" t="inlineStr">
        <is>
          <t>https://www.umc.org/en/content/confession-of-faith</t>
        </is>
      </c>
      <c r="L17" s="7" t="inlineStr">
        <is>
          <t>Exodus 34:6</t>
        </is>
      </c>
      <c r="M17" s="7" t="inlineStr">
        <is>
          <t>Bible (Latter-day Saint standard works)</t>
        </is>
      </c>
      <c r="N17" s="7" t="inlineStr">
        <is>
          <t>Exodus 34:6</t>
        </is>
      </c>
      <c r="O17" s="7" t="inlineStr">
        <is>
          <t>https://www.churchofjesuschrist.org/study/scriptures/ot/ex/34?lang=eng&amp;id=p6#p6</t>
        </is>
      </c>
      <c r="P17" s="7" t="n"/>
      <c r="Q17" s="7" t="inlineStr">
        <is>
          <t>READY</t>
        </is>
      </c>
      <c r="R17" s="9" t="inlineStr">
        <is>
          <t>rules with gracious regard</t>
        </is>
      </c>
      <c r="S17" s="9" t="inlineStr">
        <is>
          <t>Released English A cell; exact grace-bearing phrase.</t>
        </is>
      </c>
      <c r="T17" s="9" t="inlineStr">
        <is>
          <t>PHRASE-READY</t>
        </is>
      </c>
      <c r="V17" s="9" t="inlineStr">
        <is>
          <t>FALSE</t>
        </is>
      </c>
      <c r="W17" s="7" t="inlineStr">
        <is>
          <t>merciful and gracious, longsuffering</t>
        </is>
      </c>
      <c r="X17" s="7" t="n">
        <v>4</v>
      </c>
      <c r="Y17" s="7" t="inlineStr">
        <is>
          <t>PLAYWRIGHT RENDERED OR CHURCH CONTENT API</t>
        </is>
      </c>
      <c r="Z17" s="7" t="inlineStr">
        <is>
          <t>Extract cited verse/range or named document section before assertion; fail if scoped extraction is expected but unavailable.</t>
        </is>
      </c>
      <c r="AA17" s="7" t="inlineStr">
        <is>
          <t>PRIMARY PHRASE TARGET READY</t>
        </is>
      </c>
      <c r="AB17" s="7" t="n"/>
      <c r="AC17" s="7" t="inlineStr">
        <is>
          <t>NO SUPPLEMENTAL URL/TARGET</t>
        </is>
      </c>
    </row>
    <row r="18">
      <c r="A18" s="7" t="inlineStr">
        <is>
          <t>RNR-H17</t>
        </is>
      </c>
      <c r="B18" s="7" t="inlineStr">
        <is>
          <t>Long-suffering / patient</t>
        </is>
      </c>
      <c r="C18" s="7" t="inlineStr">
        <is>
          <t>A</t>
        </is>
      </c>
      <c r="D18" s="7" t="inlineStr">
        <is>
          <t>Shared divine patience/forbearance.</t>
        </is>
      </c>
      <c r="E18" s="7" t="inlineStr">
        <is>
          <t>DIRECT-PROPOSITION</t>
        </is>
      </c>
      <c r="F18" s="7" t="inlineStr">
        <is>
          <t>Reformed / Presbyterian</t>
        </is>
      </c>
      <c r="G18" s="7" t="inlineStr">
        <is>
          <t>Orthodox Presbyterian Church</t>
        </is>
      </c>
      <c r="H18" s="7" t="inlineStr">
        <is>
          <t>Westminster Confession of Faith</t>
        </is>
      </c>
      <c r="I18" s="7" t="inlineStr">
        <is>
          <t>Chapter II.1</t>
        </is>
      </c>
      <c r="J18" s="7" t="inlineStr">
        <is>
          <t>https://opc.org/wcf.html</t>
        </is>
      </c>
      <c r="K18" s="7" t="inlineStr">
        <is>
          <t>https://opc.org/wcf.html</t>
        </is>
      </c>
      <c r="L18" s="7" t="inlineStr">
        <is>
          <t>Exodus 34:6</t>
        </is>
      </c>
      <c r="M18" s="7" t="inlineStr">
        <is>
          <t>Bible (Latter-day Saint standard works)</t>
        </is>
      </c>
      <c r="N18" s="7" t="inlineStr">
        <is>
          <t>Exodus 34:6</t>
        </is>
      </c>
      <c r="O18" s="7" t="inlineStr">
        <is>
          <t>https://www.churchofjesuschrist.org/study/scriptures/ot/ex/34?lang=eng&amp;id=p6#p6</t>
        </is>
      </c>
      <c r="P18" s="7" t="n"/>
      <c r="Q18" s="7" t="inlineStr">
        <is>
          <t>READY</t>
        </is>
      </c>
      <c r="R18" s="9" t="inlineStr">
        <is>
          <t>long-suffering</t>
        </is>
      </c>
      <c r="S18" s="9" t="inlineStr">
        <is>
          <t>DIRECT — proposition phrase in WCF II.1</t>
        </is>
      </c>
      <c r="T18" s="9" t="inlineStr">
        <is>
          <t>PROPOSITION-LEVEL REVIEWED</t>
        </is>
      </c>
      <c r="V18" s="9" t="inlineStr">
        <is>
          <t>FALSE</t>
        </is>
      </c>
      <c r="W18" s="7" t="inlineStr">
        <is>
          <t>gracious, longsuffering, and abundant in goodness</t>
        </is>
      </c>
      <c r="X18" s="7" t="n">
        <v>6</v>
      </c>
      <c r="Y18" s="7" t="inlineStr">
        <is>
          <t>PLAYWRIGHT RENDERED OR CHURCH CONTENT API</t>
        </is>
      </c>
      <c r="Z18" s="7" t="inlineStr">
        <is>
          <t>Extract cited verse/range or named document section before assertion; fail if scoped extraction is expected but unavailable.</t>
        </is>
      </c>
      <c r="AA18" s="7" t="inlineStr">
        <is>
          <t>PRIMARY PHRASE TARGET READY</t>
        </is>
      </c>
      <c r="AB18" s="7" t="n"/>
      <c r="AC18" s="7" t="inlineStr">
        <is>
          <t>NO SUPPLEMENTAL URL/TARGET</t>
        </is>
      </c>
    </row>
    <row r="19">
      <c r="A19" s="7" t="inlineStr">
        <is>
          <t>RNR-H18</t>
        </is>
      </c>
      <c r="B19" s="7" t="inlineStr">
        <is>
          <t>Forgiving</t>
        </is>
      </c>
      <c r="C19" s="7" t="inlineStr">
        <is>
          <t>A</t>
        </is>
      </c>
      <c r="D19" s="7" t="inlineStr">
        <is>
          <t>Shared forgiving action.</t>
        </is>
      </c>
      <c r="E19" s="7" t="inlineStr">
        <is>
          <t>DIRECT-PROPOSITION</t>
        </is>
      </c>
      <c r="F19" s="7" t="inlineStr">
        <is>
          <t>Reformed / Presbyterian</t>
        </is>
      </c>
      <c r="G19" s="7" t="inlineStr">
        <is>
          <t>Orthodox Presbyterian Church</t>
        </is>
      </c>
      <c r="H19" s="7" t="inlineStr">
        <is>
          <t>Westminster Confession of Faith</t>
        </is>
      </c>
      <c r="I19" s="7" t="inlineStr">
        <is>
          <t>Chapter II.1</t>
        </is>
      </c>
      <c r="J19" s="7" t="inlineStr">
        <is>
          <t>https://opc.org/wcf.html</t>
        </is>
      </c>
      <c r="K19" s="7" t="inlineStr">
        <is>
          <t>https://opc.org/wcf.html</t>
        </is>
      </c>
      <c r="L19" s="7" t="inlineStr">
        <is>
          <t>D&amp;C 64:10</t>
        </is>
      </c>
      <c r="M19" s="7" t="inlineStr">
        <is>
          <t>Doctrine and Covenants</t>
        </is>
      </c>
      <c r="N19" s="7" t="inlineStr">
        <is>
          <t>D&amp;C 64:10</t>
        </is>
      </c>
      <c r="O19" s="7" t="inlineStr">
        <is>
          <t>https://www.churchofjesuschrist.org/study/scriptures/dc-testament/dc/64?lang=eng&amp;id=p10#p10</t>
        </is>
      </c>
      <c r="P19" s="7" t="n"/>
      <c r="Q19" s="7" t="inlineStr">
        <is>
          <t>READY</t>
        </is>
      </c>
      <c r="R19" s="9" t="inlineStr">
        <is>
          <t>forgiving iniquity, transgression, and sin</t>
        </is>
      </c>
      <c r="S19" s="9" t="inlineStr">
        <is>
          <t>DIRECT — proposition phrase in WCF II.1</t>
        </is>
      </c>
      <c r="T19" s="9" t="inlineStr">
        <is>
          <t>PROPOSITION-LEVEL REVIEWED</t>
        </is>
      </c>
      <c r="V19" s="9" t="inlineStr">
        <is>
          <t>FALSE</t>
        </is>
      </c>
      <c r="W19" s="7" t="inlineStr">
        <is>
          <t>I, the Lord, will forgive whom I will forgive</t>
        </is>
      </c>
      <c r="X19" s="7" t="n">
        <v>9</v>
      </c>
      <c r="Y19" s="7" t="inlineStr">
        <is>
          <t>PLAYWRIGHT RENDERED OR CHURCH CONTENT API</t>
        </is>
      </c>
      <c r="Z19" s="7" t="inlineStr">
        <is>
          <t>Extract cited verse/range or named document section before assertion; fail if scoped extraction is expected but unavailable.</t>
        </is>
      </c>
      <c r="AA19" s="7" t="inlineStr">
        <is>
          <t>AUTHOR-REPLACED — PIPELINE RECHECK REQUIRED</t>
        </is>
      </c>
      <c r="AB19" s="7" t="n"/>
      <c r="AC19" s="7" t="inlineStr">
        <is>
          <t>NO SUPPLEMENTAL URL/TARGET</t>
        </is>
      </c>
    </row>
    <row r="20">
      <c r="A20" s="7" t="inlineStr">
        <is>
          <t>RNR-H19</t>
        </is>
      </c>
      <c r="B20" s="7" t="inlineStr">
        <is>
          <t>Blessed</t>
        </is>
      </c>
      <c r="C20" s="7" t="inlineStr">
        <is>
          <t>A</t>
        </is>
      </c>
      <c r="D20" s="7" t="inlineStr">
        <is>
          <t>No material conflict identified at the accepted floor.</t>
        </is>
      </c>
      <c r="E20" s="7" t="inlineStr">
        <is>
          <t>QUEUE-DERIVED — BEST LOCATOR</t>
        </is>
      </c>
      <c r="F20" s="7" t="inlineStr">
        <is>
          <t>Reformed / Presbyterian</t>
        </is>
      </c>
      <c r="G20" s="7" t="inlineStr">
        <is>
          <t>Orthodox Presbyterian Church</t>
        </is>
      </c>
      <c r="H20" s="7" t="inlineStr">
        <is>
          <t>Westminster Confession of Faith</t>
        </is>
      </c>
      <c r="I20" s="7" t="inlineStr">
        <is>
          <t>Chapter II.2</t>
        </is>
      </c>
      <c r="J20" s="7" t="inlineStr">
        <is>
          <t>https://opc.org/wcf.html</t>
        </is>
      </c>
      <c r="K20" s="7" t="inlineStr">
        <is>
          <t>https://opc.org/wcf.html</t>
        </is>
      </c>
      <c r="L20" s="7" t="inlineStr">
        <is>
          <t>Alma 26:8</t>
        </is>
      </c>
      <c r="M20" s="7" t="inlineStr">
        <is>
          <t>Book of Mormon</t>
        </is>
      </c>
      <c r="N20" s="7" t="inlineStr">
        <is>
          <t>Alma 26:8</t>
        </is>
      </c>
      <c r="O20" s="7" t="inlineStr">
        <is>
          <t>https://www.churchofjesuschrist.org/study/scriptures/bofm/alma/26?lang=eng&amp;id=p8#p8</t>
        </is>
      </c>
      <c r="P20" s="7" t="n"/>
      <c r="Q20" s="7" t="inlineStr">
        <is>
          <t>READY</t>
        </is>
      </c>
      <c r="R20" s="9" t="inlineStr">
        <is>
          <t>all life, glory, goodness, blessedness</t>
        </is>
      </c>
      <c r="S20" s="9" t="inlineStr">
        <is>
          <t>Released English cell; proposition-level WCF locator.</t>
        </is>
      </c>
      <c r="T20" s="9" t="inlineStr">
        <is>
          <t>PHRASE-READY</t>
        </is>
      </c>
      <c r="U20" s="9" t="inlineStr">
        <is>
          <t>RESOLVED 2026-09-09 AJP: replaced per AUTH-COMP-H19</t>
        </is>
      </c>
      <c r="V20" s="9" t="inlineStr">
        <is>
          <t>FALSE</t>
        </is>
      </c>
      <c r="W20" s="7" t="inlineStr">
        <is>
          <t>Blessed be the name of our God</t>
        </is>
      </c>
      <c r="X20" s="7" t="n">
        <v>7</v>
      </c>
      <c r="Y20" s="7" t="inlineStr">
        <is>
          <t>PLAYWRIGHT RENDERED OR CHURCH CONTENT API</t>
        </is>
      </c>
      <c r="Z20" s="7" t="inlineStr">
        <is>
          <t>Extract cited verse/range or named document section before assertion; fail if scoped extraction is expected but unavailable.</t>
        </is>
      </c>
      <c r="AA20" s="7" t="inlineStr">
        <is>
          <t>AUTHOR-REPLACED — PIPELINE RECHECK REQUIRED</t>
        </is>
      </c>
      <c r="AB20" s="7" t="n"/>
      <c r="AC20" s="7" t="inlineStr">
        <is>
          <t>NO SUPPLEMENTAL URL/TARGET</t>
        </is>
      </c>
    </row>
    <row r="21" ht="15.75" customHeight="1" s="29">
      <c r="A21" s="7" t="inlineStr">
        <is>
          <t>RNR-H20</t>
        </is>
      </c>
      <c r="B21" s="7" t="inlineStr">
        <is>
          <t>Glorious</t>
        </is>
      </c>
      <c r="C21" s="7" t="inlineStr">
        <is>
          <t>A</t>
        </is>
      </c>
      <c r="D21" s="7" t="inlineStr">
        <is>
          <t>Shared divine glory.</t>
        </is>
      </c>
      <c r="E21" s="7" t="inlineStr">
        <is>
          <t>DIRECT-PROPOSITION</t>
        </is>
      </c>
      <c r="F21" s="7" t="inlineStr">
        <is>
          <t>Reformed / Presbyterian</t>
        </is>
      </c>
      <c r="G21" s="7" t="inlineStr">
        <is>
          <t>Orthodox Presbyterian Church</t>
        </is>
      </c>
      <c r="H21" s="7" t="inlineStr">
        <is>
          <t>Westminster Confession of Faith</t>
        </is>
      </c>
      <c r="I21" s="7" t="inlineStr">
        <is>
          <t>Chapter II.2</t>
        </is>
      </c>
      <c r="J21" s="7" t="inlineStr">
        <is>
          <t>https://opc.org/wcf.html</t>
        </is>
      </c>
      <c r="K21" s="7" t="inlineStr">
        <is>
          <t>https://opc.org/wcf.html</t>
        </is>
      </c>
      <c r="L21" s="7" t="inlineStr">
        <is>
          <t>D&amp;C 76:19–20</t>
        </is>
      </c>
      <c r="M21" s="7" t="inlineStr">
        <is>
          <t>Doctrine and Covenants</t>
        </is>
      </c>
      <c r="N21" s="7" t="inlineStr">
        <is>
          <t>D&amp;C 76:19–20</t>
        </is>
      </c>
      <c r="O21" s="7" t="inlineStr">
        <is>
          <t>https://www.churchofjesuschrist.org/study/scriptures/dc-testament/dc/76?lang=eng&amp;id=p19-p20#p19</t>
        </is>
      </c>
      <c r="P21" s="7" t="n"/>
      <c r="Q21" s="7" t="inlineStr">
        <is>
          <t>READY</t>
        </is>
      </c>
      <c r="R21" s="9" t="inlineStr">
        <is>
          <t>God hath all life, glory, goodness, blessedness</t>
        </is>
      </c>
      <c r="S21" s="9" t="inlineStr">
        <is>
          <t>DIRECT — proposition phrase in WCF II.2</t>
        </is>
      </c>
      <c r="T21" s="9" t="inlineStr">
        <is>
          <t>PROPOSITION-LEVEL REVIEWED</t>
        </is>
      </c>
      <c r="U21" s="9" t="inlineStr">
        <is>
          <t>RESOLVED 2026-09-09 AJP: replaced per AUTH-COMP-H20</t>
        </is>
      </c>
      <c r="V21" s="9" t="inlineStr">
        <is>
          <t>FALSE</t>
        </is>
      </c>
      <c r="W21" s="7" t="inlineStr">
        <is>
          <t>we beheld the glory of the Son</t>
        </is>
      </c>
      <c r="X21" s="7" t="n">
        <v>7</v>
      </c>
      <c r="Y21" s="7" t="inlineStr">
        <is>
          <t>PLAYWRIGHT RENDERED OR CHURCH CONTENT API</t>
        </is>
      </c>
      <c r="Z21" s="7" t="inlineStr">
        <is>
          <t>Extract cited verse/range or named document section before assertion; fail if scoped extraction is expected but unavailable.</t>
        </is>
      </c>
      <c r="AA21" s="7" t="inlineStr">
        <is>
          <t>AUTHOR-REPLACED — PIPELINE RECHECK REQUIRED</t>
        </is>
      </c>
      <c r="AB21" s="7" t="n"/>
      <c r="AC21" s="7" t="inlineStr">
        <is>
          <t>NO SUPPLEMENTAL URL/TARGET</t>
        </is>
      </c>
    </row>
    <row r="22" ht="15.75" customHeight="1" s="29">
      <c r="A22" s="7" t="inlineStr">
        <is>
          <t>RNR-H21</t>
        </is>
      </c>
      <c r="B22" s="7" t="inlineStr">
        <is>
          <t>Life-giving</t>
        </is>
      </c>
      <c r="C22" s="7" t="inlineStr">
        <is>
          <t>A</t>
        </is>
      </c>
      <c r="D22" s="7" t="inlineStr">
        <is>
          <t>Shared life-giving divine action.</t>
        </is>
      </c>
      <c r="E22" s="7" t="inlineStr">
        <is>
          <t>DIRECT-PROPOSITION</t>
        </is>
      </c>
      <c r="F22" s="7" t="inlineStr">
        <is>
          <t>Roman Catholic</t>
        </is>
      </c>
      <c r="G22" s="7" t="inlineStr">
        <is>
          <t>Roman Catholic Church</t>
        </is>
      </c>
      <c r="H22" s="7" t="inlineStr">
        <is>
          <t>Nicene-Constantinopolitan Creed</t>
        </is>
      </c>
      <c r="I22" s="7" t="inlineStr">
        <is>
          <t>Holy Spirit clause</t>
        </is>
      </c>
      <c r="J22" s="7" t="inlineStr">
        <is>
          <t>https://www.vatican.va/content/catechism/en/part_one/section_one/chapter_three/article_2/the_credo.html</t>
        </is>
      </c>
      <c r="K22" s="7" t="inlineStr">
        <is>
          <t>https://www.vatican.va/content/catechism/en/part_one/section_one/chapter_three/article_2/the_credo.html</t>
        </is>
      </c>
      <c r="L22" s="7" t="inlineStr">
        <is>
          <t>John 5:21</t>
        </is>
      </c>
      <c r="M22" s="7" t="inlineStr">
        <is>
          <t>Bible (Latter-day Saint standard works)</t>
        </is>
      </c>
      <c r="N22" s="7" t="inlineStr">
        <is>
          <t>John 5:21</t>
        </is>
      </c>
      <c r="O22" s="7" t="inlineStr">
        <is>
          <t>https://www.churchofjesuschrist.org/study/scriptures/nt/john/5?lang=eng&amp;id=p21#p21</t>
        </is>
      </c>
      <c r="P22" s="7" t="n"/>
      <c r="Q22" s="7" t="inlineStr">
        <is>
          <t>READY</t>
        </is>
      </c>
      <c r="R22" s="9" t="inlineStr">
        <is>
          <t>the Lord, the giver of life</t>
        </is>
      </c>
      <c r="S22" s="9" t="inlineStr">
        <is>
          <t>DIRECT — proposition phrase in creed</t>
        </is>
      </c>
      <c r="T22" s="9" t="inlineStr">
        <is>
          <t>PROPOSITION-LEVEL REVIEWED</t>
        </is>
      </c>
      <c r="V22" s="9" t="inlineStr">
        <is>
          <t>FALSE</t>
        </is>
      </c>
      <c r="W22" s="7" t="inlineStr">
        <is>
          <t>the Son quickeneth whom he will</t>
        </is>
      </c>
      <c r="X22" s="7" t="n">
        <v>6</v>
      </c>
      <c r="Y22" s="7" t="inlineStr">
        <is>
          <t>PLAYWRIGHT RENDERED OR CHURCH CONTENT API</t>
        </is>
      </c>
      <c r="Z22" s="7" t="inlineStr">
        <is>
          <t>Extract cited verse/range or named document section before assertion; fail if scoped extraction is expected but unavailable.</t>
        </is>
      </c>
      <c r="AA22" s="7" t="inlineStr">
        <is>
          <t>PRIMARY PHRASE TARGET READY</t>
        </is>
      </c>
      <c r="AB22" s="7" t="n"/>
      <c r="AC22" s="7" t="inlineStr">
        <is>
          <t>NO SUPPLEMENTAL URL/TARGET</t>
        </is>
      </c>
    </row>
    <row r="23" ht="15.75" customHeight="1" s="29">
      <c r="A23" s="7" t="inlineStr">
        <is>
          <t>RNR-H22</t>
        </is>
      </c>
      <c r="B23" s="7" t="inlineStr">
        <is>
          <t>Creator / Maker</t>
        </is>
      </c>
      <c r="C23" s="7" t="inlineStr">
        <is>
          <t>Q</t>
        </is>
      </c>
      <c r="D23" s="7" t="inlineStr">
        <is>
          <t>Creator/Maker confession is shared; creation ontology/mechanics are materially redefined around preexistent reality.</t>
        </is>
      </c>
      <c r="E23" s="7" t="inlineStr">
        <is>
          <t>QUEUE-DERIVED — BEST LOCATOR</t>
        </is>
      </c>
      <c r="F23" s="7" t="inlineStr">
        <is>
          <t>Roman Catholic</t>
        </is>
      </c>
      <c r="G23" s="7" t="inlineStr">
        <is>
          <t>Roman Catholic Church</t>
        </is>
      </c>
      <c r="H23" s="7" t="inlineStr">
        <is>
          <t>Nicene Creed</t>
        </is>
      </c>
      <c r="I23" s="7" t="inlineStr">
        <is>
          <t>Creator clause</t>
        </is>
      </c>
      <c r="J23" s="7" t="inlineStr">
        <is>
          <t>https://www.vaticannews.va/en/prayers/the-apostles_-creed.html</t>
        </is>
      </c>
      <c r="K23" s="7" t="inlineStr">
        <is>
          <t>https://www.vaticannews.va/en/prayers/the-apostles_-creed.html</t>
        </is>
      </c>
      <c r="L23" s="7" t="inlineStr">
        <is>
          <t>Abraham 3:24</t>
        </is>
      </c>
      <c r="M23" s="7" t="inlineStr">
        <is>
          <t>Pearl of Great Price</t>
        </is>
      </c>
      <c r="N23" s="7" t="inlineStr">
        <is>
          <t>Abraham 3:24</t>
        </is>
      </c>
      <c r="O23" s="7" t="inlineStr">
        <is>
          <t>https://www.churchofjesuschrist.org/study/scriptures/pgp/abr/3?lang=eng&amp;id=p24#p24</t>
        </is>
      </c>
      <c r="P23" s="7" t="n"/>
      <c r="Q23" s="7" t="inlineStr">
        <is>
          <t>READY</t>
        </is>
      </c>
      <c r="R23" s="9" t="inlineStr">
        <is>
          <t>maker of heaven and earth</t>
        </is>
      </c>
      <c r="S23" s="9" t="inlineStr">
        <is>
          <t>Released Catholic Q cell; server-rendered English creed text.</t>
        </is>
      </c>
      <c r="T23" s="9" t="inlineStr">
        <is>
          <t>PHRASE-READY</t>
        </is>
      </c>
      <c r="V23" s="9" t="inlineStr">
        <is>
          <t>FALSE</t>
        </is>
      </c>
      <c r="W23" s="7" t="inlineStr">
        <is>
          <t>we will take of these materials, and we will make an earth</t>
        </is>
      </c>
      <c r="X23" s="7" t="n">
        <v>12</v>
      </c>
      <c r="Y23" s="7" t="inlineStr">
        <is>
          <t>PLAYWRIGHT RENDERED OR CHURCH CONTENT API</t>
        </is>
      </c>
      <c r="Z23" s="7" t="inlineStr">
        <is>
          <t>Extract cited verse/range or named document section before assertion; fail if scoped extraction is expected but unavailable.</t>
        </is>
      </c>
      <c r="AA23" s="7" t="inlineStr">
        <is>
          <t>PRIMARY PHRASE TARGET READY</t>
        </is>
      </c>
      <c r="AB23" s="7" t="n"/>
      <c r="AC23" s="7" t="inlineStr">
        <is>
          <t>NO SUPPLEMENTAL URL/TARGET</t>
        </is>
      </c>
    </row>
    <row r="24" ht="15.75" customHeight="1" s="29">
      <c r="A24" s="7" t="inlineStr">
        <is>
          <t>RNR-H23</t>
        </is>
      </c>
      <c r="B24" s="7" t="inlineStr">
        <is>
          <t>Preserver / Sustainer</t>
        </is>
      </c>
      <c r="C24" s="7" t="inlineStr">
        <is>
          <t>A</t>
        </is>
      </c>
      <c r="D24" s="7" t="inlineStr">
        <is>
          <t>Shared sustaining/preserving action; stronger continuous ontological-conservation theory remains a thick-layer issue.</t>
        </is>
      </c>
      <c r="E24" s="7" t="inlineStr">
        <is>
          <t>QUEUE-DERIVED — BEST LOCATOR</t>
        </is>
      </c>
      <c r="F24" s="7" t="inlineStr">
        <is>
          <t>Anglican</t>
        </is>
      </c>
      <c r="G24" s="7" t="inlineStr">
        <is>
          <t>Church of England</t>
        </is>
      </c>
      <c r="H24" s="7" t="inlineStr">
        <is>
          <t>Thirty-Nine Articles</t>
        </is>
      </c>
      <c r="I24" s="7" t="inlineStr">
        <is>
          <t>Article I — Of Faith in the Holy Trinity</t>
        </is>
      </c>
      <c r="J24" s="7" t="inlineStr">
        <is>
          <t>https://www.churchofengland.org/prayer-and-worship/worship-texts-and-resources/book-common-prayer/articles-religion</t>
        </is>
      </c>
      <c r="K24" s="7" t="inlineStr">
        <is>
          <t>https://www.churchofengland.org/prayer-and-worship/worship-texts-and-resources/book-common-prayer/articles-religion</t>
        </is>
      </c>
      <c r="L24" s="7" t="inlineStr">
        <is>
          <t>Mosiah 2:21</t>
        </is>
      </c>
      <c r="M24" s="7" t="inlineStr">
        <is>
          <t>Book of Mormon</t>
        </is>
      </c>
      <c r="N24" s="7" t="inlineStr">
        <is>
          <t>Mosiah 2:21</t>
        </is>
      </c>
      <c r="O24" s="7" t="inlineStr">
        <is>
          <t>https://www.churchofjesuschrist.org/study/scriptures/bofm/mosiah/2?lang=eng&amp;id=p21#p21</t>
        </is>
      </c>
      <c r="P24" s="7" t="n"/>
      <c r="Q24" s="7" t="inlineStr">
        <is>
          <t>READY</t>
        </is>
      </c>
      <c r="R24" s="9" t="inlineStr">
        <is>
          <t>Preserver of all things</t>
        </is>
      </c>
      <c r="S24" s="9" t="inlineStr">
        <is>
          <t>Released English A cell; proposition phrase.</t>
        </is>
      </c>
      <c r="T24" s="9" t="inlineStr">
        <is>
          <t>PHRASE-READY</t>
        </is>
      </c>
      <c r="V24" s="9" t="inlineStr">
        <is>
          <t>FALSE</t>
        </is>
      </c>
      <c r="W24" s="7" t="inlineStr">
        <is>
          <t>preserving you from day to day</t>
        </is>
      </c>
      <c r="X24" s="7" t="n">
        <v>6</v>
      </c>
      <c r="Y24" s="7" t="inlineStr">
        <is>
          <t>PLAYWRIGHT RENDERED OR CHURCH CONTENT API</t>
        </is>
      </c>
      <c r="Z24" s="7" t="inlineStr">
        <is>
          <t>Extract cited verse/range or named document section before assertion; fail if scoped extraction is expected but unavailable.</t>
        </is>
      </c>
      <c r="AA24" s="7" t="inlineStr">
        <is>
          <t>PRIMARY PHRASE TARGET READY</t>
        </is>
      </c>
      <c r="AB24" s="7" t="n"/>
      <c r="AC24" s="7" t="inlineStr">
        <is>
          <t>NO SUPPLEMENTAL URL/TARGET</t>
        </is>
      </c>
    </row>
    <row r="25" ht="15.75" customHeight="1" s="29">
      <c r="A25" s="7" t="inlineStr">
        <is>
          <t>RNR-H24</t>
        </is>
      </c>
      <c r="B25" s="7" t="inlineStr">
        <is>
          <t>Governor / Ruler</t>
        </is>
      </c>
      <c r="C25" s="7" t="inlineStr">
        <is>
          <t>A</t>
        </is>
      </c>
      <c r="D25" s="7" t="inlineStr">
        <is>
          <t>Shared providential governance.</t>
        </is>
      </c>
      <c r="E25" s="7" t="inlineStr">
        <is>
          <t>QUEUE-DERIVED — BEST LOCATOR</t>
        </is>
      </c>
      <c r="F25" s="7" t="inlineStr">
        <is>
          <t>Baptist</t>
        </is>
      </c>
      <c r="G25" s="7" t="inlineStr">
        <is>
          <t>Southern Baptist Convention</t>
        </is>
      </c>
      <c r="H25" s="7" t="inlineStr">
        <is>
          <t>Baptist Faith and Message 2000</t>
        </is>
      </c>
      <c r="I25" s="7" t="inlineStr">
        <is>
          <t>Article II — God</t>
        </is>
      </c>
      <c r="J25" s="7" t="inlineStr">
        <is>
          <t>https://bfm.sbc.net/bfm2000/</t>
        </is>
      </c>
      <c r="K25" s="7" t="inlineStr">
        <is>
          <t>https://bfm.sbc.net/bfm2000/</t>
        </is>
      </c>
      <c r="L25" s="7" t="inlineStr">
        <is>
          <t>D&amp;C 88:13</t>
        </is>
      </c>
      <c r="M25" s="7" t="inlineStr">
        <is>
          <t>Doctrine and Covenants</t>
        </is>
      </c>
      <c r="N25" s="7" t="inlineStr">
        <is>
          <t>D&amp;C 88:13</t>
        </is>
      </c>
      <c r="O25" s="7" t="inlineStr">
        <is>
          <t>https://www.churchofjesuschrist.org/study/scriptures/dc-testament/dc/88?lang=eng&amp;id=p13#p13</t>
        </is>
      </c>
      <c r="P25" s="7" t="n"/>
      <c r="Q25" s="7" t="inlineStr">
        <is>
          <t>READY</t>
        </is>
      </c>
      <c r="R25" s="9" t="inlineStr">
        <is>
          <t>Ruler of the universe</t>
        </is>
      </c>
      <c r="S25" s="9" t="inlineStr">
        <is>
          <t>Released English cell; exact predicate phrase.</t>
        </is>
      </c>
      <c r="T25" s="9" t="inlineStr">
        <is>
          <t>PHRASE-READY</t>
        </is>
      </c>
      <c r="V25" s="9" t="inlineStr">
        <is>
          <t>FALSE</t>
        </is>
      </c>
      <c r="W25" s="7" t="inlineStr">
        <is>
          <t>the law by which all things are governed</t>
        </is>
      </c>
      <c r="X25" s="7" t="n">
        <v>8</v>
      </c>
      <c r="Y25" s="7" t="inlineStr">
        <is>
          <t>PLAYWRIGHT RENDERED OR CHURCH CONTENT API</t>
        </is>
      </c>
      <c r="Z25" s="7" t="inlineStr">
        <is>
          <t>Extract cited verse/range or named document section before assertion; fail if scoped extraction is expected but unavailable.</t>
        </is>
      </c>
      <c r="AA25" s="7" t="inlineStr">
        <is>
          <t>PRIMARY PHRASE TARGET READY</t>
        </is>
      </c>
      <c r="AB25" s="7" t="n"/>
      <c r="AC25" s="7" t="inlineStr">
        <is>
          <t>NO SUPPLEMENTAL URL/TARGET</t>
        </is>
      </c>
    </row>
    <row r="26" ht="15.75" customHeight="1" s="29">
      <c r="A26" s="7" t="inlineStr">
        <is>
          <t>RNR-H25</t>
        </is>
      </c>
      <c r="B26" s="7" t="inlineStr">
        <is>
          <t>Sovereign</t>
        </is>
      </c>
      <c r="C26" s="7" t="inlineStr">
        <is>
          <t>A</t>
        </is>
      </c>
      <c r="D26" s="7" t="inlineStr">
        <is>
          <t>Shared divine sovereignty.</t>
        </is>
      </c>
      <c r="E26" s="7" t="inlineStr">
        <is>
          <t>QUEUE-DERIVED — BEST LOCATOR</t>
        </is>
      </c>
      <c r="F26" s="7" t="inlineStr">
        <is>
          <t>Methodist / Wesleyan</t>
        </is>
      </c>
      <c r="G26" s="7" t="inlineStr">
        <is>
          <t>The United Methodist Church</t>
        </is>
      </c>
      <c r="H26" s="7" t="inlineStr">
        <is>
          <t>Confession of Faith of the Evangelical United Brethren Church</t>
        </is>
      </c>
      <c r="I26" s="7" t="inlineStr">
        <is>
          <t>Article I — God</t>
        </is>
      </c>
      <c r="J26" s="7" t="inlineStr">
        <is>
          <t>https://www.umc.org/en/content/confession-of-faith</t>
        </is>
      </c>
      <c r="K26" s="7" t="inlineStr">
        <is>
          <t>https://www.umc.org/en/content/confession-of-faith</t>
        </is>
      </c>
      <c r="L26" s="7" t="inlineStr">
        <is>
          <t>D&amp;C 104:14–17</t>
        </is>
      </c>
      <c r="M26" s="7" t="inlineStr">
        <is>
          <t>Doctrine and Covenants</t>
        </is>
      </c>
      <c r="N26" s="7" t="inlineStr">
        <is>
          <t>D&amp;C 104:14–17</t>
        </is>
      </c>
      <c r="O26" s="7" t="inlineStr">
        <is>
          <t>https://www.churchofjesuschrist.org/study/scriptures/dc-testament/dc/104?lang=eng&amp;id=p14-p17#p14</t>
        </is>
      </c>
      <c r="P26" s="7" t="n"/>
      <c r="Q26" s="7" t="inlineStr">
        <is>
          <t>READY</t>
        </is>
      </c>
      <c r="R26" s="9" t="inlineStr">
        <is>
          <t>Creator, Sovereign and Preserver</t>
        </is>
      </c>
      <c r="S26" s="9" t="inlineStr">
        <is>
          <t>Released English A cell; exact sovereign phrase.</t>
        </is>
      </c>
      <c r="T26" s="9" t="inlineStr">
        <is>
          <t>PHRASE-READY</t>
        </is>
      </c>
      <c r="V26" s="9" t="inlineStr">
        <is>
          <t>FALSE</t>
        </is>
      </c>
      <c r="W26" s="7" t="inlineStr">
        <is>
          <t>all things therein are mine</t>
        </is>
      </c>
      <c r="X26" s="7" t="n">
        <v>5</v>
      </c>
      <c r="Y26" s="7" t="inlineStr">
        <is>
          <t>PLAYWRIGHT RENDERED OR CHURCH CONTENT API</t>
        </is>
      </c>
      <c r="Z26" s="7" t="inlineStr">
        <is>
          <t>Extract cited verse/range or named document section before assertion; fail if scoped extraction is expected but unavailable.</t>
        </is>
      </c>
      <c r="AA26" s="7" t="inlineStr">
        <is>
          <t>PRIMARY PHRASE TARGET READY</t>
        </is>
      </c>
      <c r="AB26" s="7" t="n"/>
      <c r="AC26" s="7" t="inlineStr">
        <is>
          <t>NO SUPPLEMENTAL URL/TARGET</t>
        </is>
      </c>
    </row>
    <row r="27" ht="15.75" customHeight="1" s="29">
      <c r="A27" s="7" t="inlineStr">
        <is>
          <t>RNR-H26</t>
        </is>
      </c>
      <c r="B27" s="7" t="inlineStr">
        <is>
          <t>Judge</t>
        </is>
      </c>
      <c r="C27" s="7" t="inlineStr">
        <is>
          <t>A</t>
        </is>
      </c>
      <c r="D27" s="7" t="inlineStr">
        <is>
          <t>Shared divine judgment.</t>
        </is>
      </c>
      <c r="E27" s="7" t="inlineStr">
        <is>
          <t>QUEUE-DERIVED — BEST LOCATOR</t>
        </is>
      </c>
      <c r="F27" s="7" t="inlineStr">
        <is>
          <t>Roman Catholic</t>
        </is>
      </c>
      <c r="G27" s="7" t="inlineStr">
        <is>
          <t>Roman Catholic Church</t>
        </is>
      </c>
      <c r="H27" s="7" t="inlineStr">
        <is>
          <t>Apostles' Creed</t>
        </is>
      </c>
      <c r="I27" s="7" t="inlineStr">
        <is>
          <t>Judgment clause</t>
        </is>
      </c>
      <c r="J27" s="7" t="inlineStr">
        <is>
          <t>https://www.vaticannews.va/en/prayers/the-apostles_-creed.html</t>
        </is>
      </c>
      <c r="K27" s="7" t="inlineStr">
        <is>
          <t>https://www.vaticannews.va/en/prayers/the-apostles_-creed.html</t>
        </is>
      </c>
      <c r="L27" s="7" t="inlineStr">
        <is>
          <t>2 Nephi 9:15</t>
        </is>
      </c>
      <c r="M27" s="7" t="inlineStr">
        <is>
          <t>Book of Mormon</t>
        </is>
      </c>
      <c r="N27" s="7" t="inlineStr">
        <is>
          <t>2 Nephi 9:15</t>
        </is>
      </c>
      <c r="O27" s="7" t="inlineStr">
        <is>
          <t>https://www.churchofjesuschrist.org/study/scriptures/bofm/2-ne/9?lang=eng&amp;id=p15#p15</t>
        </is>
      </c>
      <c r="P27" s="7" t="n"/>
      <c r="Q27" s="7" t="inlineStr">
        <is>
          <t>READY</t>
        </is>
      </c>
      <c r="R27" s="9" t="inlineStr">
        <is>
          <t>judge the living and the dead</t>
        </is>
      </c>
      <c r="S27" s="9" t="inlineStr">
        <is>
          <t>Released Catholic A cell; server-rendered English creed text.</t>
        </is>
      </c>
      <c r="T27" s="9" t="inlineStr">
        <is>
          <t>PHRASE-READY</t>
        </is>
      </c>
      <c r="V27" s="9" t="inlineStr">
        <is>
          <t>FALSE</t>
        </is>
      </c>
      <c r="W27" s="7" t="inlineStr">
        <is>
          <t>they must appear before the judgment-seat of the Holy One of Israel</t>
        </is>
      </c>
      <c r="X27" s="7" t="n">
        <v>12</v>
      </c>
      <c r="Y27" s="7" t="inlineStr">
        <is>
          <t>PLAYWRIGHT RENDERED OR CHURCH CONTENT API</t>
        </is>
      </c>
      <c r="Z27" s="7" t="inlineStr">
        <is>
          <t>Extract cited verse/range or named document section before assertion; fail if scoped extraction is expected but unavailable.</t>
        </is>
      </c>
      <c r="AA27" s="7" t="inlineStr">
        <is>
          <t>PRIMARY PHRASE TARGET READY</t>
        </is>
      </c>
      <c r="AB27" s="7" t="n"/>
      <c r="AC27" s="7" t="inlineStr">
        <is>
          <t>NO SUPPLEMENTAL URL/TARGET</t>
        </is>
      </c>
    </row>
    <row r="28" ht="15.75" customHeight="1" s="29">
      <c r="A28" s="7" t="inlineStr">
        <is>
          <t>RNR-H27</t>
        </is>
      </c>
      <c r="B28" s="7" t="inlineStr">
        <is>
          <t>Savior</t>
        </is>
      </c>
      <c r="C28" s="7" t="inlineStr">
        <is>
          <t>A</t>
        </is>
      </c>
      <c r="D28" s="7" t="inlineStr">
        <is>
          <t>Shared saving/redemptive action.</t>
        </is>
      </c>
      <c r="E28" s="7" t="inlineStr">
        <is>
          <t>QUEUE-DERIVED — BEST LOCATOR</t>
        </is>
      </c>
      <c r="F28" s="7" t="inlineStr">
        <is>
          <t>Methodist / Wesleyan</t>
        </is>
      </c>
      <c r="G28" s="7" t="inlineStr">
        <is>
          <t>The United Methodist Church</t>
        </is>
      </c>
      <c r="H28" s="7" t="inlineStr">
        <is>
          <t>Confession of Faith of the Evangelical United Brethren Church</t>
        </is>
      </c>
      <c r="I28" s="7" t="inlineStr">
        <is>
          <t>Article II — Jesus Christ</t>
        </is>
      </c>
      <c r="J28" s="7" t="inlineStr">
        <is>
          <t>https://www.umc.org/en/content/confession-of-faith</t>
        </is>
      </c>
      <c r="K28" s="7" t="inlineStr">
        <is>
          <t>https://www.umc.org/en/content/confession-of-faith</t>
        </is>
      </c>
      <c r="L28" s="7" t="inlineStr">
        <is>
          <t>Moses 1:6</t>
        </is>
      </c>
      <c r="M28" s="7" t="inlineStr">
        <is>
          <t>Pearl of Great Price</t>
        </is>
      </c>
      <c r="N28" s="7" t="inlineStr">
        <is>
          <t>Moses 1:6</t>
        </is>
      </c>
      <c r="O28" s="7" t="inlineStr">
        <is>
          <t>https://www.churchofjesuschrist.org/study/scriptures/pgp/moses/1?lang=eng&amp;id=p6#p6</t>
        </is>
      </c>
      <c r="P28" s="7" t="n"/>
      <c r="Q28" s="7" t="inlineStr">
        <is>
          <t>READY</t>
        </is>
      </c>
      <c r="R28" s="9" t="inlineStr">
        <is>
          <t>eternal Savior and Mediator</t>
        </is>
      </c>
      <c r="S28" s="9" t="inlineStr">
        <is>
          <t>Released English A cell; exact Savior phrase.</t>
        </is>
      </c>
      <c r="T28" s="9" t="inlineStr">
        <is>
          <t>PHRASE-READY</t>
        </is>
      </c>
      <c r="V28" s="9" t="inlineStr">
        <is>
          <t>FALSE</t>
        </is>
      </c>
      <c r="W28" s="7" t="inlineStr">
        <is>
          <t>mine Only Begotten is and shall be the Savior</t>
        </is>
      </c>
      <c r="X28" s="7" t="n">
        <v>9</v>
      </c>
      <c r="Y28" s="7" t="inlineStr">
        <is>
          <t>PLAYWRIGHT RENDERED OR CHURCH CONTENT API</t>
        </is>
      </c>
      <c r="Z28" s="7" t="inlineStr">
        <is>
          <t>Extract cited verse/range or named document section before assertion; fail if scoped extraction is expected but unavailable.</t>
        </is>
      </c>
      <c r="AA28" s="7" t="inlineStr">
        <is>
          <t>PRIMARY PHRASE TARGET READY</t>
        </is>
      </c>
      <c r="AB28" s="7" t="n"/>
      <c r="AC28" s="7" t="inlineStr">
        <is>
          <t>NO SUPPLEMENTAL URL/TARGET</t>
        </is>
      </c>
    </row>
    <row r="29" ht="15.75" customHeight="1" s="29">
      <c r="A29" s="7" t="inlineStr">
        <is>
          <t>RNR-H28</t>
        </is>
      </c>
      <c r="B29" s="7" t="inlineStr">
        <is>
          <t>Revealer</t>
        </is>
      </c>
      <c r="C29" s="7" t="inlineStr">
        <is>
          <t>A</t>
        </is>
      </c>
      <c r="D29" s="7" t="inlineStr">
        <is>
          <t>Shared divine revelation/self-communication.</t>
        </is>
      </c>
      <c r="E29" s="7" t="inlineStr">
        <is>
          <t>QUEUE-DERIVED — BEST LOCATOR</t>
        </is>
      </c>
      <c r="F29" s="7" t="inlineStr">
        <is>
          <t>Baptist</t>
        </is>
      </c>
      <c r="G29" s="7" t="inlineStr">
        <is>
          <t>Southern Baptist Convention</t>
        </is>
      </c>
      <c r="H29" s="7" t="inlineStr">
        <is>
          <t>Baptist Faith and Message 2000</t>
        </is>
      </c>
      <c r="I29" s="7" t="inlineStr">
        <is>
          <t>II. God</t>
        </is>
      </c>
      <c r="J29" s="7" t="inlineStr">
        <is>
          <t>https://bfm.sbc.net/bfm2000/</t>
        </is>
      </c>
      <c r="K29" s="7" t="inlineStr">
        <is>
          <t>https://bfm.sbc.net/bfm2000/</t>
        </is>
      </c>
      <c r="L29" s="7" t="inlineStr">
        <is>
          <t>D&amp;C 1:38</t>
        </is>
      </c>
      <c r="M29" s="7" t="inlineStr">
        <is>
          <t>Doctrine and Covenants</t>
        </is>
      </c>
      <c r="N29" s="7" t="inlineStr">
        <is>
          <t>D&amp;C 1:38</t>
        </is>
      </c>
      <c r="O29" s="7" t="inlineStr">
        <is>
          <t>https://www.churchofjesuschrist.org/study/scriptures/dc-testament/dc/1?lang=eng&amp;id=p38#p38</t>
        </is>
      </c>
      <c r="P29" s="7" t="n"/>
      <c r="Q29" s="7" t="inlineStr">
        <is>
          <t>READY</t>
        </is>
      </c>
      <c r="R29" s="9" t="inlineStr">
        <is>
          <t>reveals Himself to us as Father, Son, and Holy Spirit</t>
        </is>
      </c>
      <c r="S29" s="9" t="inlineStr">
        <is>
          <t>Released English A cell; exact revelation phrase.</t>
        </is>
      </c>
      <c r="T29" s="9" t="inlineStr">
        <is>
          <t>PHRASE-READY</t>
        </is>
      </c>
      <c r="V29" s="9" t="inlineStr">
        <is>
          <t>FALSE</t>
        </is>
      </c>
      <c r="W29" s="7" t="inlineStr">
        <is>
          <t>whether by mine own voice or by the voice of my servants</t>
        </is>
      </c>
      <c r="X29" s="7" t="n">
        <v>12</v>
      </c>
      <c r="Y29" s="7" t="inlineStr">
        <is>
          <t>PLAYWRIGHT RENDERED OR CHURCH CONTENT API</t>
        </is>
      </c>
      <c r="Z29" s="7" t="inlineStr">
        <is>
          <t>Extract cited verse/range or named document section before assertion; fail if scoped extraction is expected but unavailable.</t>
        </is>
      </c>
      <c r="AA29" s="7" t="inlineStr">
        <is>
          <t>PRIMARY PHRASE TARGET READY</t>
        </is>
      </c>
      <c r="AB29" s="7" t="n"/>
      <c r="AC29" s="7" t="inlineStr">
        <is>
          <t>NO SUPPLEMENTAL URL/TARGET</t>
        </is>
      </c>
    </row>
    <row r="30" ht="15.75" customHeight="1" s="29">
      <c r="A30" s="7" t="inlineStr">
        <is>
          <t>RNR-H29</t>
        </is>
      </c>
      <c r="B30" s="7" t="inlineStr">
        <is>
          <t>Fountain of being</t>
        </is>
      </c>
      <c r="C30" s="7" t="inlineStr">
        <is>
          <t>Q</t>
        </is>
      </c>
      <c r="D30" s="7" t="inlineStr">
        <is>
          <t>Qualified because Restoration ontology affirms coeternal intelligence and elements rather than an exhaustive creator-created binary.</t>
        </is>
      </c>
      <c r="E30" s="7" t="inlineStr">
        <is>
          <t>DIRECT-PROPOSITION</t>
        </is>
      </c>
      <c r="F30" s="7" t="inlineStr">
        <is>
          <t>Reformed / Presbyterian</t>
        </is>
      </c>
      <c r="G30" s="7" t="inlineStr">
        <is>
          <t>Orthodox Presbyterian Church</t>
        </is>
      </c>
      <c r="H30" s="7" t="inlineStr">
        <is>
          <t>Westminster Confession of Faith</t>
        </is>
      </c>
      <c r="I30" s="7" t="inlineStr">
        <is>
          <t>Chapter II.2</t>
        </is>
      </c>
      <c r="J30" s="7" t="inlineStr">
        <is>
          <t>https://opc.org/wcf.html</t>
        </is>
      </c>
      <c r="K30" s="7" t="inlineStr">
        <is>
          <t>https://opc.org/wcf.html</t>
        </is>
      </c>
      <c r="L30" s="7" t="inlineStr">
        <is>
          <t>D&amp;C 93:29,33</t>
        </is>
      </c>
      <c r="M30" s="7" t="inlineStr">
        <is>
          <t>Doctrine and Covenants</t>
        </is>
      </c>
      <c r="N30" s="7" t="inlineStr">
        <is>
          <t>D&amp;C 93:29,33</t>
        </is>
      </c>
      <c r="O30" s="7" t="inlineStr">
        <is>
          <t>https://www.churchofjesuschrist.org/study/scriptures/dc-testament/dc/93?lang=eng&amp;id=p29-p33#p29</t>
        </is>
      </c>
      <c r="P30" s="7" t="n"/>
      <c r="Q30" s="7" t="inlineStr">
        <is>
          <t>READY</t>
        </is>
      </c>
      <c r="R30" s="9" t="inlineStr">
        <is>
          <t>the alone fountain of all being</t>
        </is>
      </c>
      <c r="S30" s="9" t="inlineStr">
        <is>
          <t>DIRECT — proposition phrase in WCF II.2</t>
        </is>
      </c>
      <c r="T30" s="9" t="inlineStr">
        <is>
          <t>PROPOSITION-LEVEL REVIEWED</t>
        </is>
      </c>
      <c r="V30" s="9" t="inlineStr">
        <is>
          <t>FALSE</t>
        </is>
      </c>
      <c r="W30" s="7" t="inlineStr">
        <is>
          <t>Man was also in the beginning with God</t>
        </is>
      </c>
      <c r="X30" s="7" t="n">
        <v>8</v>
      </c>
      <c r="Y30" s="7" t="inlineStr">
        <is>
          <t>PLAYWRIGHT RENDERED OR CHURCH CONTENT API</t>
        </is>
      </c>
      <c r="Z30" s="7" t="inlineStr">
        <is>
          <t>Extract cited verse/range or named document section before assertion; fail if scoped extraction is expected but unavailable.</t>
        </is>
      </c>
      <c r="AA30" s="7" t="inlineStr">
        <is>
          <t>PRIMARY PHRASE TARGET READY</t>
        </is>
      </c>
      <c r="AB30" s="7" t="n"/>
      <c r="AC30" s="7" t="inlineStr">
        <is>
          <t>NO SUPPLEMENTAL URL/TARGET</t>
        </is>
      </c>
    </row>
    <row r="31" ht="15.75" customHeight="1" s="29">
      <c r="A31" s="7" t="inlineStr">
        <is>
          <t>RNR-H30</t>
        </is>
      </c>
      <c r="B31" s="7" t="inlineStr">
        <is>
          <t>Word / Logos</t>
        </is>
      </c>
      <c r="C31" s="7" t="inlineStr">
        <is>
          <t>A</t>
        </is>
      </c>
      <c r="D31" s="7" t="inlineStr">
        <is>
          <t>Shared identification/title of Christ.</t>
        </is>
      </c>
      <c r="E31" s="7" t="inlineStr">
        <is>
          <t>QUEUE-DERIVED — BEST LOCATOR</t>
        </is>
      </c>
      <c r="F31" s="7" t="inlineStr">
        <is>
          <t>Mennonite / Anabaptist</t>
        </is>
      </c>
      <c r="G31" s="7" t="inlineStr">
        <is>
          <t>Mennonite Church USA</t>
        </is>
      </c>
      <c r="H31" s="7" t="inlineStr">
        <is>
          <t>Confession of Faith in a Mennonite Perspective (1995)</t>
        </is>
      </c>
      <c r="I31" s="7" t="inlineStr">
        <is>
          <t>Article 1 — God</t>
        </is>
      </c>
      <c r="J31" s="7" t="inlineStr">
        <is>
          <t>https://www.mennoniteusa.org/who-are-mennonites/what-we-believe/confession-of-faith/god/</t>
        </is>
      </c>
      <c r="K31" s="7" t="inlineStr">
        <is>
          <t>https://www.mennoniteusa.org/who-are-mennonites/what-we-believe/confession-of-faith/god/</t>
        </is>
      </c>
      <c r="L31" s="7" t="inlineStr">
        <is>
          <t>John 1:1,14</t>
        </is>
      </c>
      <c r="M31" s="7" t="inlineStr">
        <is>
          <t>Bible (Latter-day Saint standard works)</t>
        </is>
      </c>
      <c r="N31" s="7" t="inlineStr">
        <is>
          <t>John 1:1,14</t>
        </is>
      </c>
      <c r="O31" s="7" t="inlineStr">
        <is>
          <t>https://www.churchofjesuschrist.org/study/scriptures/nt/john/1?lang=eng&amp;id=p1-p14#p1</t>
        </is>
      </c>
      <c r="P31" s="7" t="n"/>
      <c r="Q31" s="7" t="inlineStr">
        <is>
          <t>READY</t>
        </is>
      </c>
      <c r="R31" s="9" t="inlineStr">
        <is>
          <t>the Word who became flesh</t>
        </is>
      </c>
      <c r="S31" s="9" t="inlineStr">
        <is>
          <t>Released English A cell; exact Word phrase.</t>
        </is>
      </c>
      <c r="T31" s="9" t="inlineStr">
        <is>
          <t>PHRASE-READY</t>
        </is>
      </c>
      <c r="V31" s="9" t="inlineStr">
        <is>
          <t>FALSE</t>
        </is>
      </c>
      <c r="W31" s="7" t="inlineStr">
        <is>
          <t>the Word was God</t>
        </is>
      </c>
      <c r="X31" s="7" t="n">
        <v>4</v>
      </c>
      <c r="Y31" s="7" t="inlineStr">
        <is>
          <t>PLAYWRIGHT RENDERED OR CHURCH CONTENT API</t>
        </is>
      </c>
      <c r="Z31" s="7" t="inlineStr">
        <is>
          <t>Extract cited verse/range or named document section before assertion; fail if scoped extraction is expected but unavailable.</t>
        </is>
      </c>
      <c r="AA31" s="7" t="inlineStr">
        <is>
          <t>PRIMARY PHRASE TARGET READY</t>
        </is>
      </c>
      <c r="AB31" s="7" t="n"/>
      <c r="AC31" s="7" t="inlineStr">
        <is>
          <t>NO SUPPLEMENTAL URL/TARGET</t>
        </is>
      </c>
    </row>
    <row r="32" ht="15.75" customHeight="1" s="29">
      <c r="A32" s="7" t="inlineStr">
        <is>
          <t>RNR-H31</t>
        </is>
      </c>
      <c r="B32" s="7" t="inlineStr">
        <is>
          <t>Wisdom</t>
        </is>
      </c>
      <c r="C32" s="7" t="inlineStr">
        <is>
          <t>A</t>
        </is>
      </c>
      <c r="D32" s="7" t="inlineStr">
        <is>
          <t>Shared christological title/metaphor at the accepted floor.</t>
        </is>
      </c>
      <c r="E32" s="7" t="inlineStr">
        <is>
          <t>DIRECT-PROPOSITION</t>
        </is>
      </c>
      <c r="F32" s="7" t="inlineStr">
        <is>
          <t>Reformed / Presbyterian</t>
        </is>
      </c>
      <c r="G32" s="7" t="inlineStr">
        <is>
          <t>Christian Reformed Church in North America</t>
        </is>
      </c>
      <c r="H32" s="7" t="inlineStr">
        <is>
          <t>Belgic Confession</t>
        </is>
      </c>
      <c r="I32" s="7" t="inlineStr">
        <is>
          <t>Article 8: The Trinity</t>
        </is>
      </c>
      <c r="J32" s="7" t="inlineStr">
        <is>
          <t>https://www.crcna.org/welcome/beliefs/confessions/belgic-confession</t>
        </is>
      </c>
      <c r="K32" s="7" t="inlineStr">
        <is>
          <t>https://www.crcna.org/welcome/beliefs/confessions/belgic-confession</t>
        </is>
      </c>
      <c r="L32" s="7" t="inlineStr">
        <is>
          <t>1 Corinthians 1:24</t>
        </is>
      </c>
      <c r="M32" s="7" t="inlineStr">
        <is>
          <t>Bible (Latter-day Saint standard works)</t>
        </is>
      </c>
      <c r="N32" s="7" t="inlineStr">
        <is>
          <t>1 Cor. 1:24</t>
        </is>
      </c>
      <c r="O32" s="7" t="inlineStr">
        <is>
          <t>https://www.churchofjesuschrist.org/study/scriptures/nt/1-cor/1?lang=eng&amp;id=p24#p24</t>
        </is>
      </c>
      <c r="P32" s="7" t="n"/>
      <c r="Q32" s="7" t="inlineStr">
        <is>
          <t>READY</t>
        </is>
      </c>
      <c r="R32" s="9" t="inlineStr">
        <is>
          <t>The Son is the Word, the Wisdom</t>
        </is>
      </c>
      <c r="S32" s="9" t="inlineStr">
        <is>
          <t>DIRECT — proposition phrase in Article 8</t>
        </is>
      </c>
      <c r="T32" s="9" t="inlineStr">
        <is>
          <t>PROPOSITION-LEVEL REVIEWED</t>
        </is>
      </c>
      <c r="V32" s="9" t="inlineStr">
        <is>
          <t>FALSE</t>
        </is>
      </c>
      <c r="W32" s="7" t="inlineStr">
        <is>
          <t>Christ the power of God, and the wisdom of God</t>
        </is>
      </c>
      <c r="X32" s="7" t="n">
        <v>10</v>
      </c>
      <c r="Y32" s="7" t="inlineStr">
        <is>
          <t>PLAYWRIGHT RENDERED OR CHURCH CONTENT API</t>
        </is>
      </c>
      <c r="Z32" s="7" t="inlineStr">
        <is>
          <t>Extract cited verse/range or named document section before assertion; fail if scoped extraction is expected but unavailable.</t>
        </is>
      </c>
      <c r="AA32" s="7" t="inlineStr">
        <is>
          <t>PRIMARY PHRASE TARGET READY</t>
        </is>
      </c>
      <c r="AB32" s="7" t="n"/>
      <c r="AC32" s="7" t="inlineStr">
        <is>
          <t>NO SUPPLEMENTAL URL/TARGET</t>
        </is>
      </c>
    </row>
    <row r="33" ht="15.75" customHeight="1" s="29">
      <c r="A33" s="7" t="inlineStr">
        <is>
          <t>RNR-H32</t>
        </is>
      </c>
      <c r="B33" s="7" t="inlineStr">
        <is>
          <t>Light</t>
        </is>
      </c>
      <c r="C33" s="7" t="inlineStr">
        <is>
          <t>A</t>
        </is>
      </c>
      <c r="D33" s="7" t="inlineStr">
        <is>
          <t>Shared christological light language at the accepted floor.</t>
        </is>
      </c>
      <c r="E33" s="7" t="inlineStr">
        <is>
          <t>DIRECT — ATOMIC LAYER SUPPORT</t>
        </is>
      </c>
      <c r="F33" s="7" t="inlineStr">
        <is>
          <t>Roman Catholic</t>
        </is>
      </c>
      <c r="G33" s="7" t="inlineStr">
        <is>
          <t>Roman Catholic Church</t>
        </is>
      </c>
      <c r="H33" s="7" t="inlineStr">
        <is>
          <t>Nicene-Constantinopolitan Creed</t>
        </is>
      </c>
      <c r="I33" s="7" t="inlineStr">
        <is>
          <t>Son clause — Light from Light</t>
        </is>
      </c>
      <c r="J33" s="7" t="inlineStr">
        <is>
          <t>https://www.vatican.va/content/catechism/en/part_one/section_one/chapter_three/article_2/the_credo.html</t>
        </is>
      </c>
      <c r="K33" s="7" t="inlineStr">
        <is>
          <t>https://www.vatican.va/content/catechism/en/part_one/section_one/chapter_three/article_2/the_credo.html</t>
        </is>
      </c>
      <c r="L33" s="7" t="inlineStr">
        <is>
          <t>D&amp;C 88:7–13; D&amp;C 93:21–23</t>
        </is>
      </c>
      <c r="M33" s="7" t="inlineStr">
        <is>
          <t>Doctrine and Covenants</t>
        </is>
      </c>
      <c r="N33" s="7" t="inlineStr">
        <is>
          <t>D&amp;C 88:7–13; 93:21–23</t>
        </is>
      </c>
      <c r="O33" s="7" t="inlineStr">
        <is>
          <t>https://www.churchofjesuschrist.org/study/scriptures/dc-testament/dc/88?lang=eng&amp;id=p7-p13#p7</t>
        </is>
      </c>
      <c r="P33" s="7" t="inlineStr">
        <is>
          <t>https://www.churchofjesuschrist.org/study/scriptures/dc-testament/dc/93?lang=eng&amp;id=p21-p23#p21</t>
        </is>
      </c>
      <c r="Q33" s="7" t="inlineStr">
        <is>
          <t>READY</t>
        </is>
      </c>
      <c r="R33" s="9" t="inlineStr">
        <is>
          <t>Light from Light</t>
        </is>
      </c>
      <c r="S33" s="9" t="inlineStr">
        <is>
          <t>DIRECT — supports H32b relational-light layer; H32 remains vector</t>
        </is>
      </c>
      <c r="T33" s="9" t="inlineStr">
        <is>
          <t>PROPOSITION-LEVEL REVIEWED</t>
        </is>
      </c>
      <c r="V33" s="9" t="inlineStr">
        <is>
          <t>FALSE</t>
        </is>
      </c>
      <c r="W33" s="7" t="inlineStr">
        <is>
          <t>This is the light of Christ</t>
        </is>
      </c>
      <c r="X33" s="7" t="n">
        <v>6</v>
      </c>
      <c r="Y33" s="7" t="inlineStr">
        <is>
          <t>PLAYWRIGHT RENDERED OR CHURCH CONTENT API</t>
        </is>
      </c>
      <c r="Z33" s="7" t="inlineStr">
        <is>
          <t>Extract cited verse/range or named document section before assertion; fail if scoped extraction is expected but unavailable.</t>
        </is>
      </c>
      <c r="AA33" s="7" t="inlineStr">
        <is>
          <t>PRIMARY PHRASE TARGET READY</t>
        </is>
      </c>
      <c r="AB33" s="7" t="inlineStr">
        <is>
          <t>I was in the beginning with the Father</t>
        </is>
      </c>
      <c r="AC33" s="7" t="inlineStr">
        <is>
          <t>SUPPLEMENTAL TARGET READY</t>
        </is>
      </c>
    </row>
    <row r="34" ht="15.75" customHeight="1" s="29">
      <c r="A34" s="7" t="inlineStr">
        <is>
          <t>RNR-H33</t>
        </is>
      </c>
      <c r="B34" s="7" t="inlineStr">
        <is>
          <t>Image of the Father</t>
        </is>
      </c>
      <c r="C34" s="7" t="inlineStr">
        <is>
          <t>A</t>
        </is>
      </c>
      <c r="D34" s="7" t="inlineStr">
        <is>
          <t>Shared image/manifestation language at the accepted floor.</t>
        </is>
      </c>
      <c r="E34" s="7" t="inlineStr">
        <is>
          <t>DIRECT-PROPOSITION</t>
        </is>
      </c>
      <c r="F34" s="7" t="inlineStr">
        <is>
          <t>Reformed / Presbyterian</t>
        </is>
      </c>
      <c r="G34" s="7" t="inlineStr">
        <is>
          <t>Christian Reformed Church in North America</t>
        </is>
      </c>
      <c r="H34" s="7" t="inlineStr">
        <is>
          <t>Belgic Confession</t>
        </is>
      </c>
      <c r="I34" s="7" t="inlineStr">
        <is>
          <t>Article 10: The Deity of Christ</t>
        </is>
      </c>
      <c r="J34" s="7" t="inlineStr">
        <is>
          <t>https://www.crcna.org/welcome/beliefs/confessions/belgic-confession</t>
        </is>
      </c>
      <c r="K34" s="7" t="inlineStr">
        <is>
          <t>https://www.crcna.org/welcome/beliefs/confessions/belgic-confession</t>
        </is>
      </c>
      <c r="L34" s="7" t="inlineStr">
        <is>
          <t>Hebrews 1:3</t>
        </is>
      </c>
      <c r="M34" s="7" t="inlineStr">
        <is>
          <t>Bible (Latter-day Saint standard works)</t>
        </is>
      </c>
      <c r="N34" s="7" t="inlineStr">
        <is>
          <t>Hebrews 1:3</t>
        </is>
      </c>
      <c r="O34" s="7" t="inlineStr">
        <is>
          <t>https://www.churchofjesuschrist.org/study/scriptures/nt/heb/1?lang=eng&amp;id=p3#p3</t>
        </is>
      </c>
      <c r="P34" s="7" t="n"/>
      <c r="Q34" s="7" t="inlineStr">
        <is>
          <t>READY</t>
        </is>
      </c>
      <c r="R34" s="9" t="inlineStr">
        <is>
          <t>the exact image of the person of the Father</t>
        </is>
      </c>
      <c r="S34" s="9" t="inlineStr">
        <is>
          <t>DIRECT — proposition phrase in Article 10</t>
        </is>
      </c>
      <c r="T34" s="9" t="inlineStr">
        <is>
          <t>PROPOSITION-LEVEL REVIEWED</t>
        </is>
      </c>
      <c r="V34" s="9" t="inlineStr">
        <is>
          <t>FALSE</t>
        </is>
      </c>
      <c r="W34" s="7" t="inlineStr">
        <is>
          <t>the express image of his person</t>
        </is>
      </c>
      <c r="X34" s="7" t="n">
        <v>6</v>
      </c>
      <c r="Y34" s="7" t="inlineStr">
        <is>
          <t>PLAYWRIGHT RENDERED OR CHURCH CONTENT API</t>
        </is>
      </c>
      <c r="Z34" s="7" t="inlineStr">
        <is>
          <t>Extract cited verse/range or named document section before assertion; fail if scoped extraction is expected but unavailable.</t>
        </is>
      </c>
      <c r="AA34" s="7" t="inlineStr">
        <is>
          <t>PRIMARY PHRASE TARGET READY</t>
        </is>
      </c>
      <c r="AB34" s="7" t="n"/>
      <c r="AC34" s="7" t="inlineStr">
        <is>
          <t>NO SUPPLEMENTAL URL/TARGET</t>
        </is>
      </c>
    </row>
    <row r="35" ht="15.75" customHeight="1" s="29">
      <c r="A35" s="7" t="inlineStr">
        <is>
          <t>RNR-H34</t>
        </is>
      </c>
      <c r="B35" s="7" t="inlineStr">
        <is>
          <t>Giver of life</t>
        </is>
      </c>
      <c r="C35" s="7" t="inlineStr">
        <is>
          <t>A</t>
        </is>
      </c>
      <c r="D35" s="7" t="inlineStr">
        <is>
          <t>Shared life-giving agency of the Spirit.</t>
        </is>
      </c>
      <c r="E35" s="7" t="inlineStr">
        <is>
          <t>DIRECT-PROPOSITION</t>
        </is>
      </c>
      <c r="F35" s="7" t="inlineStr">
        <is>
          <t>Roman Catholic</t>
        </is>
      </c>
      <c r="G35" s="7" t="inlineStr">
        <is>
          <t>Roman Catholic Church</t>
        </is>
      </c>
      <c r="H35" s="7" t="inlineStr">
        <is>
          <t>Nicene-Constantinopolitan Creed</t>
        </is>
      </c>
      <c r="I35" s="7" t="inlineStr">
        <is>
          <t>Holy Spirit clause</t>
        </is>
      </c>
      <c r="J35" s="7" t="inlineStr">
        <is>
          <t>https://www.vatican.va/content/catechism/en/part_one/section_one/chapter_three/article_2/the_credo.html</t>
        </is>
      </c>
      <c r="K35" s="7" t="inlineStr">
        <is>
          <t>https://www.vatican.va/content/catechism/en/part_one/section_one/chapter_three/article_2/the_credo.html</t>
        </is>
      </c>
      <c r="L35" s="7" t="inlineStr">
        <is>
          <t>Moses 6:61</t>
        </is>
      </c>
      <c r="M35" s="7" t="inlineStr">
        <is>
          <t>Pearl of Great Price</t>
        </is>
      </c>
      <c r="N35" s="7" t="inlineStr">
        <is>
          <t>Moses 6:61</t>
        </is>
      </c>
      <c r="O35" s="7" t="inlineStr">
        <is>
          <t>https://www.churchofjesuschrist.org/study/scriptures/pgp/moses/6?lang=eng&amp;id=p61#p61</t>
        </is>
      </c>
      <c r="P35" s="7" t="n"/>
      <c r="Q35" s="7" t="inlineStr">
        <is>
          <t>READY</t>
        </is>
      </c>
      <c r="R35" s="9" t="inlineStr">
        <is>
          <t>the Lord, the giver of life</t>
        </is>
      </c>
      <c r="S35" s="9" t="inlineStr">
        <is>
          <t>DIRECT — proposition phrase in creed</t>
        </is>
      </c>
      <c r="T35" s="9" t="inlineStr">
        <is>
          <t>PROPOSITION-LEVEL REVIEWED</t>
        </is>
      </c>
      <c r="V35" s="9" t="inlineStr">
        <is>
          <t>FALSE</t>
        </is>
      </c>
      <c r="W35" s="7" t="inlineStr">
        <is>
          <t>that which quickeneth all things, which maketh alive all things</t>
        </is>
      </c>
      <c r="X35" s="7" t="n">
        <v>10</v>
      </c>
      <c r="Y35" s="7" t="inlineStr">
        <is>
          <t>PLAYWRIGHT RENDERED OR CHURCH CONTENT API</t>
        </is>
      </c>
      <c r="Z35" s="7" t="inlineStr">
        <is>
          <t>Extract cited verse/range or named document section before assertion; fail if scoped extraction is expected but unavailable.</t>
        </is>
      </c>
      <c r="AA35" s="7" t="inlineStr">
        <is>
          <t>PRIMARY PHRASE TARGET READY</t>
        </is>
      </c>
      <c r="AB35" s="7" t="n"/>
      <c r="AC35" s="7" t="inlineStr">
        <is>
          <t>NO SUPPLEMENTAL URL/TARGET</t>
        </is>
      </c>
    </row>
    <row r="36" ht="15.75" customHeight="1" s="29">
      <c r="A36" s="7" t="inlineStr">
        <is>
          <t>RNR-H35</t>
        </is>
      </c>
      <c r="B36" s="7" t="inlineStr">
        <is>
          <t>Eternal power and might</t>
        </is>
      </c>
      <c r="C36" s="7" t="inlineStr">
        <is>
          <t>A</t>
        </is>
      </c>
      <c r="D36" s="7" t="inlineStr">
        <is>
          <t>Shared divine power of the Spirit.</t>
        </is>
      </c>
      <c r="E36" s="7" t="inlineStr">
        <is>
          <t>DIRECT-PROPOSITION</t>
        </is>
      </c>
      <c r="F36" s="7" t="inlineStr">
        <is>
          <t>Reformed / Presbyterian</t>
        </is>
      </c>
      <c r="G36" s="7" t="inlineStr">
        <is>
          <t>Christian Reformed Church in North America</t>
        </is>
      </c>
      <c r="H36" s="7" t="inlineStr">
        <is>
          <t>Belgic Confession</t>
        </is>
      </c>
      <c r="I36" s="7" t="inlineStr">
        <is>
          <t>Article 8: The Trinity</t>
        </is>
      </c>
      <c r="J36" s="7" t="inlineStr">
        <is>
          <t>https://www.crcna.org/welcome/beliefs/confessions/belgic-confession</t>
        </is>
      </c>
      <c r="K36" s="7" t="inlineStr">
        <is>
          <t>https://www.crcna.org/welcome/beliefs/confessions/belgic-confession</t>
        </is>
      </c>
      <c r="L36" s="7" t="inlineStr">
        <is>
          <t>Romans 1:20</t>
        </is>
      </c>
      <c r="M36" s="7" t="inlineStr">
        <is>
          <t>Bible (Latter-day Saint standard works)</t>
        </is>
      </c>
      <c r="N36" s="7" t="inlineStr">
        <is>
          <t>Romans 1:20</t>
        </is>
      </c>
      <c r="O36" s="7" t="inlineStr">
        <is>
          <t>https://www.churchofjesuschrist.org/study/scriptures/nt/rom/1?lang=eng&amp;id=p20#p20</t>
        </is>
      </c>
      <c r="P36" s="7" t="n"/>
      <c r="Q36" s="7" t="inlineStr">
        <is>
          <t>READY</t>
        </is>
      </c>
      <c r="R36" s="9" t="inlineStr">
        <is>
          <t>the eternal power and might</t>
        </is>
      </c>
      <c r="S36" s="9" t="inlineStr">
        <is>
          <t>DIRECT — proposition phrase in Article 8</t>
        </is>
      </c>
      <c r="T36" s="9" t="inlineStr">
        <is>
          <t>PROPOSITION-LEVEL REVIEWED</t>
        </is>
      </c>
      <c r="V36" s="9" t="inlineStr">
        <is>
          <t>FALSE</t>
        </is>
      </c>
      <c r="W36" s="7" t="inlineStr">
        <is>
          <t>his eternal power and Godhead</t>
        </is>
      </c>
      <c r="X36" s="7" t="n">
        <v>5</v>
      </c>
      <c r="Y36" s="7" t="inlineStr">
        <is>
          <t>PLAYWRIGHT RENDERED OR CHURCH CONTENT API</t>
        </is>
      </c>
      <c r="Z36" s="7" t="inlineStr">
        <is>
          <t>Extract cited verse/range or named document section before assertion; fail if scoped extraction is expected but unavailable.</t>
        </is>
      </c>
      <c r="AA36" s="7" t="inlineStr">
        <is>
          <t>PRIMARY PHRASE TARGET READY</t>
        </is>
      </c>
      <c r="AB36" s="7" t="n"/>
      <c r="AC36" s="7" t="inlineStr">
        <is>
          <t>NO SUPPLEMENTAL URL/TARGET</t>
        </is>
      </c>
    </row>
    <row r="37" ht="15.75" customHeight="1" s="29">
      <c r="A37" s="7" t="inlineStr">
        <is>
          <t>RNR-H36</t>
        </is>
      </c>
      <c r="B37" s="7" t="inlineStr">
        <is>
          <t>Uncreated</t>
        </is>
      </c>
      <c r="C37" s="7" t="inlineStr">
        <is>
          <t>Q</t>
        </is>
      </c>
      <c r="D37" s="7" t="inlineStr">
        <is>
          <t>Beginningless divine reality is affirmed; the exhaustive God-versus-created-reality binary is rejected.</t>
        </is>
      </c>
      <c r="E37" s="7" t="inlineStr">
        <is>
          <t>DIRECT-PROPOSITION</t>
        </is>
      </c>
      <c r="F37" s="7" t="inlineStr">
        <is>
          <t>Anglican</t>
        </is>
      </c>
      <c r="G37" s="7" t="inlineStr">
        <is>
          <t>Church of England</t>
        </is>
      </c>
      <c r="H37" s="7" t="inlineStr">
        <is>
          <t>Creed of S. Athanasius</t>
        </is>
      </c>
      <c r="I37" s="7" t="inlineStr">
        <is>
          <t>Athanasian Creed — uncreated clause</t>
        </is>
      </c>
      <c r="J37" s="7" t="inlineStr">
        <is>
          <t>https://www.churchofengland.org/prayer-and-worship/worship-texts-and-resources/book-common-prayer/articles-religion</t>
        </is>
      </c>
      <c r="K37" s="7" t="inlineStr">
        <is>
          <t>https://ccel.org/ccel/creeds/athanasian.creed.html</t>
        </is>
      </c>
      <c r="L37" s="7" t="inlineStr">
        <is>
          <t>D&amp;C 93:29,33</t>
        </is>
      </c>
      <c r="M37" s="7" t="inlineStr">
        <is>
          <t>Doctrine and Covenants</t>
        </is>
      </c>
      <c r="N37" s="7" t="inlineStr">
        <is>
          <t>D&amp;C 93:29,33</t>
        </is>
      </c>
      <c r="O37" s="7" t="inlineStr">
        <is>
          <t>https://www.churchofjesuschrist.org/study/scriptures/dc-testament/dc/93?lang=eng&amp;id=p29-p33#p29</t>
        </is>
      </c>
      <c r="P37" s="7" t="n"/>
      <c r="Q37" s="7" t="inlineStr">
        <is>
          <t>READY</t>
        </is>
      </c>
      <c r="R37" s="9" t="inlineStr">
        <is>
          <t>The Father uncreated</t>
        </is>
      </c>
      <c r="S37" s="9" t="inlineStr">
        <is>
          <t>DIRECT — Church of England authority/adoption; CCEL server-rendered Athanasian text witness</t>
        </is>
      </c>
      <c r="T37" s="9" t="inlineStr">
        <is>
          <t>PHRASE-READY</t>
        </is>
      </c>
      <c r="V37" s="9" t="inlineStr">
        <is>
          <t>FALSE</t>
        </is>
      </c>
      <c r="W37" s="7" t="inlineStr">
        <is>
          <t>was not created or made, neither indeed can be</t>
        </is>
      </c>
      <c r="X37" s="7" t="n">
        <v>9</v>
      </c>
      <c r="Y37" s="7" t="inlineStr">
        <is>
          <t>PLAYWRIGHT RENDERED OR CHURCH CONTENT API</t>
        </is>
      </c>
      <c r="Z37" s="7" t="inlineStr">
        <is>
          <t>Extract cited verse/range or named document section before assertion; fail if scoped extraction is expected but unavailable.</t>
        </is>
      </c>
      <c r="AA37" s="7" t="inlineStr">
        <is>
          <t>PRIMARY PHRASE TARGET READY</t>
        </is>
      </c>
      <c r="AB37" s="7" t="n"/>
      <c r="AC37" s="7" t="inlineStr">
        <is>
          <t>NO SUPPLEMENTAL URL/TARGET</t>
        </is>
      </c>
    </row>
    <row r="38" ht="15.75" customHeight="1" s="29">
      <c r="A38" s="7" t="inlineStr">
        <is>
          <t>RNR-H37</t>
        </is>
      </c>
      <c r="B38" s="7" t="inlineStr">
        <is>
          <t>Unbegotten</t>
        </is>
      </c>
      <c r="C38" s="7" t="inlineStr">
        <is>
          <t>Q</t>
        </is>
      </c>
      <c r="D38" s="7" t="inlineStr">
        <is>
          <t>Beginninglessness/source-status concern is shared; absolute 'from none' versus antecedent divine lineage remains a material qualification.</t>
        </is>
      </c>
      <c r="E38" s="7" t="inlineStr">
        <is>
          <t>QUEUE-DERIVED — BEST LOCATOR</t>
        </is>
      </c>
      <c r="F38" s="7" t="inlineStr">
        <is>
          <t>Roman Catholic</t>
        </is>
      </c>
      <c r="G38" s="7" t="inlineStr">
        <is>
          <t>Roman Catholic Church</t>
        </is>
      </c>
      <c r="H38" s="7" t="inlineStr">
        <is>
          <t>Compendium of the Catechism of the Catholic Church</t>
        </is>
      </c>
      <c r="I38" s="7" t="inlineStr">
        <is>
          <t>Q.47</t>
        </is>
      </c>
      <c r="J38" s="7" t="inlineStr">
        <is>
          <t>https://www.vatican.va/archive/compendium_ccc/documents/archive_2005_compendium-ccc_en.html</t>
        </is>
      </c>
      <c r="K38" s="7" t="inlineStr">
        <is>
          <t>https://www.vatican.va/archive/compendium_ccc/documents/archive_2005_compendium-ccc_en.html</t>
        </is>
      </c>
      <c r="L38" s="7" t="inlineStr">
        <is>
          <t>D&amp;C 20:17; Joseph Smith, Sermon in the Grove</t>
        </is>
      </c>
      <c r="M38" s="7" t="inlineStr">
        <is>
          <t>Doctrine and Covenants; Joseph Smith Papers</t>
        </is>
      </c>
      <c r="N38" s="7" t="inlineStr">
        <is>
          <t>D&amp;C 20:17; Sermon in the Grove, 16 June 1844</t>
        </is>
      </c>
      <c r="O38" s="7" t="inlineStr">
        <is>
          <t>https://www.churchofjesuschrist.org/study/scriptures/dc-testament/dc/20?lang=eng&amp;id=p17#p17</t>
        </is>
      </c>
      <c r="P38" s="7" t="inlineStr">
        <is>
          <t>https://www.josephsmithpapers.org/paper-summary/history-1838-1856-volume-f-1-1-may-1844-8-august-1844/109</t>
        </is>
      </c>
      <c r="Q38" s="7" t="inlineStr">
        <is>
          <t>READY</t>
        </is>
      </c>
      <c r="R38" s="9" t="inlineStr">
        <is>
          <t>principle without a principle</t>
        </is>
      </c>
      <c r="S38" s="9" t="inlineStr">
        <is>
          <t>Released Catholic Q cell; exact phrase.</t>
        </is>
      </c>
      <c r="T38" s="9" t="inlineStr">
        <is>
          <t>PHRASE-READY</t>
        </is>
      </c>
      <c r="V38" s="9" t="inlineStr">
        <is>
          <t>FALSE</t>
        </is>
      </c>
      <c r="W38" s="7" t="inlineStr">
        <is>
          <t>from everlasting to everlasting the same unchangeable God</t>
        </is>
      </c>
      <c r="X38" s="7" t="n">
        <v>8</v>
      </c>
      <c r="Y38" s="7" t="inlineStr">
        <is>
          <t>PLAYWRIGHT RENDERED OR CHURCH CONTENT API</t>
        </is>
      </c>
      <c r="Z38" s="7" t="inlineStr">
        <is>
          <t>Extract cited verse/range or named document section before assertion; fail if scoped extraction is expected but unavailable.</t>
        </is>
      </c>
      <c r="AA38" s="7" t="inlineStr">
        <is>
          <t>PRIMARY PHRASE TARGET READY</t>
        </is>
      </c>
      <c r="AB38" s="7" t="inlineStr">
        <is>
          <t>God the Father of Jesus Christ had a Father</t>
        </is>
      </c>
      <c r="AC38" s="7" t="inlineStr">
        <is>
          <t>SUPPLEMENTAL TARGET READY</t>
        </is>
      </c>
    </row>
    <row r="39" ht="15.75" customHeight="1" s="29">
      <c r="A39" s="7" t="inlineStr">
        <is>
          <t>RNR-H38</t>
        </is>
      </c>
      <c r="B39" s="7" t="inlineStr">
        <is>
          <t>Not made</t>
        </is>
      </c>
      <c r="C39" s="7" t="inlineStr">
        <is>
          <t>Q</t>
        </is>
      </c>
      <c r="D39" s="7" t="inlineStr">
        <is>
          <t>Qualified by Restoration distinctions among intelligence, spirit birth, embodiment, and creation.</t>
        </is>
      </c>
      <c r="E39" s="7" t="inlineStr">
        <is>
          <t>DIRECT-PROPOSITION</t>
        </is>
      </c>
      <c r="F39" s="7" t="inlineStr">
        <is>
          <t>Roman Catholic</t>
        </is>
      </c>
      <c r="G39" s="7" t="inlineStr">
        <is>
          <t>Roman Catholic Church</t>
        </is>
      </c>
      <c r="H39" s="7" t="inlineStr">
        <is>
          <t>Nicene Creed</t>
        </is>
      </c>
      <c r="I39" s="7" t="inlineStr">
        <is>
          <t>Son clause</t>
        </is>
      </c>
      <c r="J39" s="7" t="inlineStr">
        <is>
          <t>https://www.vaticannews.va/en/prayers/the-apostles_-creed.html</t>
        </is>
      </c>
      <c r="K39" s="7" t="inlineStr">
        <is>
          <t>https://www.vaticannews.va/en/prayers/the-apostles_-creed.html</t>
        </is>
      </c>
      <c r="L39" s="7" t="inlineStr">
        <is>
          <t>John 1:1–3; D&amp;C 93:21,29</t>
        </is>
      </c>
      <c r="M39" s="7" t="inlineStr">
        <is>
          <t>Bible (Latter-day Saint standard works); Doctrine and Covenants</t>
        </is>
      </c>
      <c r="N39" s="7" t="inlineStr">
        <is>
          <t>John 1:1–3; D&amp;C 93:21,29</t>
        </is>
      </c>
      <c r="O39" s="7" t="inlineStr">
        <is>
          <t>https://www.churchofjesuschrist.org/study/scriptures/nt/john/1?lang=eng&amp;id=p1-p3#p1</t>
        </is>
      </c>
      <c r="P39" s="7" t="n"/>
      <c r="Q39" s="7" t="inlineStr">
        <is>
          <t>READY</t>
        </is>
      </c>
      <c r="R39" s="9" t="inlineStr">
        <is>
          <t>begotten, not made</t>
        </is>
      </c>
      <c r="S39" s="9" t="inlineStr">
        <is>
          <t>Server-rendered English Nicene text.</t>
        </is>
      </c>
      <c r="T39" s="9" t="inlineStr">
        <is>
          <t>PHRASE-READY</t>
        </is>
      </c>
      <c r="V39" s="9" t="inlineStr">
        <is>
          <t>FALSE</t>
        </is>
      </c>
      <c r="W39" s="7" t="inlineStr">
        <is>
          <t>All things were made by him</t>
        </is>
      </c>
      <c r="X39" s="7" t="n">
        <v>6</v>
      </c>
      <c r="Y39" s="7" t="inlineStr">
        <is>
          <t>PLAYWRIGHT RENDERED OR CHURCH CONTENT API</t>
        </is>
      </c>
      <c r="Z39" s="7" t="inlineStr">
        <is>
          <t>Extract cited verse/range or named document section before assertion; fail if scoped extraction is expected but unavailable.</t>
        </is>
      </c>
      <c r="AA39" s="7" t="inlineStr">
        <is>
          <t>PRIMARY PHRASE TARGET READY</t>
        </is>
      </c>
      <c r="AB39" s="7" t="n"/>
      <c r="AC39" s="7" t="inlineStr">
        <is>
          <t>NO SUPPLEMENTAL URL/TARGET</t>
        </is>
      </c>
    </row>
    <row r="40" ht="15.75" customHeight="1" s="29">
      <c r="A40" s="7" t="inlineStr">
        <is>
          <t>RNR-H39</t>
        </is>
      </c>
      <c r="B40" s="7" t="inlineStr">
        <is>
          <t>Infinite</t>
        </is>
      </c>
      <c r="C40" s="7" t="inlineStr">
        <is>
          <t>Q</t>
        </is>
      </c>
      <c r="D40" s="7" t="inlineStr">
        <is>
          <t>Shared unlimited perfection/transcendence; blanket non-finitude is too thick where divine personal presence is embodied/determinate.</t>
        </is>
      </c>
      <c r="E40" s="7" t="inlineStr">
        <is>
          <t>QUEUE-DERIVED — BEST LOCATOR</t>
        </is>
      </c>
      <c r="F40" s="7" t="inlineStr">
        <is>
          <t>Reformed / Presbyterian</t>
        </is>
      </c>
      <c r="G40" s="7" t="inlineStr">
        <is>
          <t>Orthodox Presbyterian Church</t>
        </is>
      </c>
      <c r="H40" s="7" t="inlineStr">
        <is>
          <t>Westminster Shorter Catechism</t>
        </is>
      </c>
      <c r="I40" s="7" t="inlineStr">
        <is>
          <t>Q.4 — What is God?</t>
        </is>
      </c>
      <c r="J40" s="7" t="inlineStr">
        <is>
          <t>https://opc.org/sc.html</t>
        </is>
      </c>
      <c r="K40" s="7" t="inlineStr">
        <is>
          <t>https://opc.org/sc.html</t>
        </is>
      </c>
      <c r="L40" s="7" t="inlineStr">
        <is>
          <t>D&amp;C 20:17,28; D&amp;C 130:22</t>
        </is>
      </c>
      <c r="M40" s="7" t="inlineStr">
        <is>
          <t>Doctrine and Covenants</t>
        </is>
      </c>
      <c r="N40" s="7" t="inlineStr">
        <is>
          <t>D&amp;C 20:17,28; 130:22</t>
        </is>
      </c>
      <c r="O40" s="7" t="inlineStr">
        <is>
          <t>https://www.churchofjesuschrist.org/study/scriptures/dc-testament/dc/20?lang=eng&amp;id=p17-p28#p17</t>
        </is>
      </c>
      <c r="P40" s="7" t="inlineStr">
        <is>
          <t>https://www.churchofjesuschrist.org/study/scriptures/dc-testament/dc/130?lang=eng&amp;id=p22#p22</t>
        </is>
      </c>
      <c r="Q40" s="7" t="inlineStr">
        <is>
          <t>READY</t>
        </is>
      </c>
      <c r="R40" s="9" t="inlineStr">
        <is>
          <t>infinite, eternal, and unchangeable</t>
        </is>
      </c>
      <c r="S40" s="9" t="inlineStr">
        <is>
          <t>Released English Q cell; exact Q.4 phrase.</t>
        </is>
      </c>
      <c r="T40" s="9" t="inlineStr">
        <is>
          <t>PHRASE-READY</t>
        </is>
      </c>
      <c r="V40" s="9" t="inlineStr">
        <is>
          <t>FALSE</t>
        </is>
      </c>
      <c r="W40" s="7" t="inlineStr">
        <is>
          <t>one God, infinite and eternal, without end</t>
        </is>
      </c>
      <c r="X40" s="7" t="n">
        <v>7</v>
      </c>
      <c r="Y40" s="7" t="inlineStr">
        <is>
          <t>PLAYWRIGHT RENDERED OR CHURCH CONTENT API</t>
        </is>
      </c>
      <c r="Z40" s="7" t="inlineStr">
        <is>
          <t>Extract cited verse/range or named document section before assertion; fail if scoped extraction is expected but unavailable.</t>
        </is>
      </c>
      <c r="AA40" s="7" t="inlineStr">
        <is>
          <t>PRIMARY PHRASE TARGET READY</t>
        </is>
      </c>
      <c r="AB40" s="7" t="inlineStr">
        <is>
          <t>The Father has a body of flesh and bones as tangible as man’s</t>
        </is>
      </c>
      <c r="AC40" s="7" t="inlineStr">
        <is>
          <t>SUPPLEMENTAL TARGET READY</t>
        </is>
      </c>
    </row>
    <row r="41" ht="15.75" customHeight="1" s="29">
      <c r="A41" s="7" t="inlineStr">
        <is>
          <t>RNR-H40</t>
        </is>
      </c>
      <c r="B41" s="7" t="inlineStr">
        <is>
          <t>Immense / immeasurable</t>
        </is>
      </c>
      <c r="C41" s="7" t="inlineStr">
        <is>
          <t>Q</t>
        </is>
      </c>
      <c r="D41" s="7" t="inlineStr">
        <is>
          <t>Embodied personal presence is distinguished from universally operative light, knowledge, power, and governance.</t>
        </is>
      </c>
      <c r="E41" s="7" t="inlineStr">
        <is>
          <t>DIRECT-PROPOSITION</t>
        </is>
      </c>
      <c r="F41" s="7" t="inlineStr">
        <is>
          <t>Roman Catholic</t>
        </is>
      </c>
      <c r="G41" s="7" t="inlineStr">
        <is>
          <t>Roman Catholic Church</t>
        </is>
      </c>
      <c r="H41" s="7" t="inlineStr">
        <is>
          <t>Fourth Lateran Council</t>
        </is>
      </c>
      <c r="I41" s="7" t="inlineStr">
        <is>
          <t>Canon 1</t>
        </is>
      </c>
      <c r="J41" s="7" t="inlineStr">
        <is>
          <t>https://sourcebooks.web.fordham.edu/basis/lateran4.asp</t>
        </is>
      </c>
      <c r="K41" s="7" t="inlineStr">
        <is>
          <t>https://sourcebooks.web.fordham.edu/basis/lateran4.asp</t>
        </is>
      </c>
      <c r="L41" s="7" t="inlineStr">
        <is>
          <t>D&amp;C 88:6–13; 130:22</t>
        </is>
      </c>
      <c r="M41" s="7" t="inlineStr">
        <is>
          <t>Doctrine and Covenants</t>
        </is>
      </c>
      <c r="N41" s="7" t="inlineStr">
        <is>
          <t>D&amp;C 88:6–13; 130:22</t>
        </is>
      </c>
      <c r="O41" s="7" t="inlineStr">
        <is>
          <t>https://www.churchofjesuschrist.org/study/scriptures/dc-testament/dc/88?lang=eng&amp;id=p6-p13#p6</t>
        </is>
      </c>
      <c r="P41" s="7" t="inlineStr">
        <is>
          <t>https://www.churchofjesuschrist.org/study/scriptures/dc-testament/dc/130?lang=eng&amp;id=p22#p22</t>
        </is>
      </c>
      <c r="Q41" s="7" t="inlineStr">
        <is>
          <t>READY</t>
        </is>
      </c>
      <c r="R41" s="9" t="inlineStr">
        <is>
          <t>eternal and immense</t>
        </is>
      </c>
      <c r="S41" s="9" t="inlineStr">
        <is>
          <t>Server-rendered English historical text.</t>
        </is>
      </c>
      <c r="T41" s="9" t="inlineStr">
        <is>
          <t>PHRASE-READY</t>
        </is>
      </c>
      <c r="V41" s="9" t="inlineStr">
        <is>
          <t>FALSE</t>
        </is>
      </c>
      <c r="W41" s="7" t="inlineStr">
        <is>
          <t>proceedeth forth from the presence of God to fill the immensity of space</t>
        </is>
      </c>
      <c r="X41" s="7" t="n">
        <v>13</v>
      </c>
      <c r="Y41" s="7" t="inlineStr">
        <is>
          <t>PLAYWRIGHT RENDERED OR CHURCH CONTENT API</t>
        </is>
      </c>
      <c r="Z41" s="7" t="inlineStr">
        <is>
          <t>Extract cited verse/range or named document section before assertion; fail if scoped extraction is expected but unavailable.</t>
        </is>
      </c>
      <c r="AA41" s="7" t="inlineStr">
        <is>
          <t>PRIMARY PHRASE TARGET READY</t>
        </is>
      </c>
      <c r="AB41" s="7" t="inlineStr">
        <is>
          <t>The Father has a body of flesh and bones as tangible as man’s</t>
        </is>
      </c>
      <c r="AC41" s="7" t="inlineStr">
        <is>
          <t>SUPPLEMENTAL TARGET READY</t>
        </is>
      </c>
    </row>
    <row r="42" ht="15.75" customHeight="1" s="29">
      <c r="A42" s="7" t="inlineStr">
        <is>
          <t>RNR-H41</t>
        </is>
      </c>
      <c r="B42" s="7" t="inlineStr">
        <is>
          <t>Invisible</t>
        </is>
      </c>
      <c r="C42" s="7" t="inlineStr">
        <is>
          <t>D</t>
        </is>
      </c>
      <c r="D42" s="7" t="inlineStr">
        <is>
          <t>Direct divergence only when invisibility is treated as an intrinsic or absolute property of divine being.</t>
        </is>
      </c>
      <c r="E42" s="7" t="inlineStr">
        <is>
          <t>DIRECT-PROPOSITION</t>
        </is>
      </c>
      <c r="F42" s="7" t="inlineStr">
        <is>
          <t>Reformed / Presbyterian</t>
        </is>
      </c>
      <c r="G42" s="7" t="inlineStr">
        <is>
          <t>Christian Reformed Church in North America</t>
        </is>
      </c>
      <c r="H42" s="7" t="inlineStr">
        <is>
          <t>Belgic Confession</t>
        </is>
      </c>
      <c r="I42" s="7" t="inlineStr">
        <is>
          <t>Article 1: The Only God</t>
        </is>
      </c>
      <c r="J42" s="7" t="inlineStr">
        <is>
          <t>https://www.crcna.org/welcome/beliefs/confessions/belgic-confession</t>
        </is>
      </c>
      <c r="K42" s="7" t="inlineStr">
        <is>
          <t>https://www.crcna.org/welcome/beliefs/confessions/belgic-confession</t>
        </is>
      </c>
      <c r="L42" s="7" t="inlineStr">
        <is>
          <t>D&amp;C 130:22</t>
        </is>
      </c>
      <c r="M42" s="7" t="inlineStr">
        <is>
          <t>Doctrine and Covenants</t>
        </is>
      </c>
      <c r="N42" s="7" t="inlineStr">
        <is>
          <t>D&amp;C 130:22</t>
        </is>
      </c>
      <c r="O42" s="7" t="inlineStr">
        <is>
          <t>https://www.churchofjesuschrist.org/study/scriptures/dc-testament/dc/130?lang=eng&amp;id=p22#p22</t>
        </is>
      </c>
      <c r="P42" s="7" t="n"/>
      <c r="Q42" s="7" t="inlineStr">
        <is>
          <t>READY</t>
        </is>
      </c>
      <c r="R42" s="9" t="inlineStr">
        <is>
          <t>invisible</t>
        </is>
      </c>
      <c r="S42" s="9" t="inlineStr">
        <is>
          <t>DIRECT — proposition phrase in Article 1</t>
        </is>
      </c>
      <c r="T42" s="9" t="inlineStr">
        <is>
          <t>PROPOSITION-LEVEL REVIEWED</t>
        </is>
      </c>
      <c r="V42" s="9" t="inlineStr">
        <is>
          <t>FALSE</t>
        </is>
      </c>
      <c r="W42" s="7" t="inlineStr">
        <is>
          <t>The Father has a body of flesh and bones as tangible as man’s</t>
        </is>
      </c>
      <c r="X42" s="7" t="n">
        <v>13</v>
      </c>
      <c r="Y42" s="7" t="inlineStr">
        <is>
          <t>PLAYWRIGHT RENDERED OR CHURCH CONTENT API</t>
        </is>
      </c>
      <c r="Z42" s="7" t="inlineStr">
        <is>
          <t>Extract cited verse/range or named document section before assertion; fail if scoped extraction is expected but unavailable.</t>
        </is>
      </c>
      <c r="AA42" s="7" t="inlineStr">
        <is>
          <t>PRIMARY PHRASE TARGET READY</t>
        </is>
      </c>
      <c r="AB42" s="7" t="n"/>
      <c r="AC42" s="7" t="inlineStr">
        <is>
          <t>NO SUPPLEMENTAL URL/TARGET</t>
        </is>
      </c>
    </row>
    <row r="43" ht="15.75" customHeight="1" s="29">
      <c r="A43" s="7" t="inlineStr">
        <is>
          <t>RNR-H42</t>
        </is>
      </c>
      <c r="B43" s="7" t="inlineStr">
        <is>
          <t>Incorporeal / without body</t>
        </is>
      </c>
      <c r="C43" s="7" t="inlineStr">
        <is>
          <t>D</t>
        </is>
      </c>
      <c r="D43" s="7" t="inlineStr">
        <is>
          <t>Directly conflicts with the Father's tangible glorified body.</t>
        </is>
      </c>
      <c r="E43" s="7" t="inlineStr">
        <is>
          <t>QUEUE-DERIVED — BEST LOCATOR</t>
        </is>
      </c>
      <c r="F43" s="7" t="inlineStr">
        <is>
          <t>Methodist / Wesleyan</t>
        </is>
      </c>
      <c r="G43" s="7" t="inlineStr">
        <is>
          <t>The United Methodist Church</t>
        </is>
      </c>
      <c r="H43" s="7" t="inlineStr">
        <is>
          <t>Articles of Religion</t>
        </is>
      </c>
      <c r="I43" s="7" t="inlineStr">
        <is>
          <t>Article I — Of Faith in the Holy Trinity</t>
        </is>
      </c>
      <c r="J43" s="7" t="inlineStr">
        <is>
          <t>https://www.umc.org/en/content/articles-of-religion</t>
        </is>
      </c>
      <c r="K43" s="7" t="inlineStr">
        <is>
          <t>https://www.umc.org/en/content/articles-of-religion</t>
        </is>
      </c>
      <c r="L43" s="7" t="inlineStr">
        <is>
          <t>D&amp;C 130:22</t>
        </is>
      </c>
      <c r="M43" s="7" t="inlineStr">
        <is>
          <t>Doctrine and Covenants</t>
        </is>
      </c>
      <c r="N43" s="7" t="inlineStr">
        <is>
          <t>D&amp;C 130:22</t>
        </is>
      </c>
      <c r="O43" s="7" t="inlineStr">
        <is>
          <t>https://www.churchofjesuschrist.org/study/scriptures/dc-testament/dc/130?lang=eng&amp;id=p22#p22</t>
        </is>
      </c>
      <c r="P43" s="7" t="n"/>
      <c r="Q43" s="7" t="inlineStr">
        <is>
          <t>READY</t>
        </is>
      </c>
      <c r="R43" s="9" t="inlineStr">
        <is>
          <t>without body or parts</t>
        </is>
      </c>
      <c r="S43" s="9" t="inlineStr">
        <is>
          <t>Released English D cell; exact predicate phrase.</t>
        </is>
      </c>
      <c r="T43" s="9" t="inlineStr">
        <is>
          <t>PHRASE-READY</t>
        </is>
      </c>
      <c r="V43" s="9" t="inlineStr">
        <is>
          <t>FALSE</t>
        </is>
      </c>
      <c r="W43" s="7" t="inlineStr">
        <is>
          <t>The Father has a body of flesh and bones as tangible as man’s</t>
        </is>
      </c>
      <c r="X43" s="7" t="n">
        <v>13</v>
      </c>
      <c r="Y43" s="7" t="inlineStr">
        <is>
          <t>PLAYWRIGHT RENDERED OR CHURCH CONTENT API</t>
        </is>
      </c>
      <c r="Z43" s="7" t="inlineStr">
        <is>
          <t>Extract cited verse/range or named document section before assertion; fail if scoped extraction is expected but unavailable.</t>
        </is>
      </c>
      <c r="AA43" s="7" t="inlineStr">
        <is>
          <t>PRIMARY PHRASE TARGET READY</t>
        </is>
      </c>
      <c r="AB43" s="7" t="n"/>
      <c r="AC43" s="7" t="inlineStr">
        <is>
          <t>NO SUPPLEMENTAL URL/TARGET</t>
        </is>
      </c>
    </row>
    <row r="44" ht="15.75" customHeight="1" s="29">
      <c r="A44" s="7" t="inlineStr">
        <is>
          <t>RNR-H43</t>
        </is>
      </c>
      <c r="B44" s="7" t="inlineStr">
        <is>
          <t>Without parts / simple</t>
        </is>
      </c>
      <c r="C44" s="7" t="inlineStr">
        <is>
          <t>D</t>
        </is>
      </c>
      <c r="D44" s="7" t="inlineStr">
        <is>
          <t>Direct divergence in the accepted classical sense of absolute divine simplicity.</t>
        </is>
      </c>
      <c r="E44" s="7" t="inlineStr">
        <is>
          <t>QUEUE-DERIVED — BEST LOCATOR</t>
        </is>
      </c>
      <c r="F44" s="7" t="inlineStr">
        <is>
          <t>Anglican</t>
        </is>
      </c>
      <c r="G44" s="7" t="inlineStr">
        <is>
          <t>Church of England</t>
        </is>
      </c>
      <c r="H44" s="7" t="inlineStr">
        <is>
          <t>Thirty-Nine Articles</t>
        </is>
      </c>
      <c r="I44" s="7" t="inlineStr">
        <is>
          <t>Article I — Of Faith in the Holy Trinity</t>
        </is>
      </c>
      <c r="J44" s="7" t="inlineStr">
        <is>
          <t>https://www.churchofengland.org/prayer-and-worship/worship-texts-and-resources/book-common-prayer/articles-religion</t>
        </is>
      </c>
      <c r="K44" s="7" t="inlineStr">
        <is>
          <t>https://www.churchofengland.org/prayer-and-worship/worship-texts-and-resources/book-common-prayer/articles-religion</t>
        </is>
      </c>
      <c r="L44" s="7" t="inlineStr">
        <is>
          <t>D&amp;C 130:22</t>
        </is>
      </c>
      <c r="M44" s="7" t="inlineStr">
        <is>
          <t>Doctrine and Covenants</t>
        </is>
      </c>
      <c r="N44" s="7" t="inlineStr">
        <is>
          <t>D&amp;C 130:22</t>
        </is>
      </c>
      <c r="O44" s="7" t="inlineStr">
        <is>
          <t>https://www.churchofjesuschrist.org/study/scriptures/dc-testament/dc/130?lang=eng&amp;id=p22#p22</t>
        </is>
      </c>
      <c r="P44" s="7" t="n"/>
      <c r="Q44" s="7" t="inlineStr">
        <is>
          <t>READY</t>
        </is>
      </c>
      <c r="R44" s="9" t="inlineStr">
        <is>
          <t>without body, parts, or passions</t>
        </is>
      </c>
      <c r="S44" s="9" t="inlineStr">
        <is>
          <t>Released English D cell; exact predicate-bearing phrase.</t>
        </is>
      </c>
      <c r="T44" s="9" t="inlineStr">
        <is>
          <t>PHRASE-READY</t>
        </is>
      </c>
      <c r="V44" s="9" t="inlineStr">
        <is>
          <t>FALSE</t>
        </is>
      </c>
      <c r="W44" s="7" t="inlineStr">
        <is>
          <t>The Father has a body of flesh and bones as tangible as man’s</t>
        </is>
      </c>
      <c r="X44" s="7" t="n">
        <v>13</v>
      </c>
      <c r="Y44" s="7" t="inlineStr">
        <is>
          <t>PLAYWRIGHT RENDERED OR CHURCH CONTENT API</t>
        </is>
      </c>
      <c r="Z44" s="7" t="inlineStr">
        <is>
          <t>Extract cited verse/range or named document section before assertion; fail if scoped extraction is expected but unavailable.</t>
        </is>
      </c>
      <c r="AA44" s="7" t="inlineStr">
        <is>
          <t>PRIMARY PHRASE TARGET READY</t>
        </is>
      </c>
      <c r="AB44" s="7" t="n"/>
      <c r="AC44" s="7" t="inlineStr">
        <is>
          <t>NO SUPPLEMENTAL URL/TARGET</t>
        </is>
      </c>
    </row>
    <row r="45" ht="15.75" customHeight="1" s="29">
      <c r="A45" s="7" t="inlineStr">
        <is>
          <t>RNR-H44</t>
        </is>
      </c>
      <c r="B45" s="7" t="inlineStr">
        <is>
          <t>Without passions / impassible</t>
        </is>
      </c>
      <c r="C45" s="7" t="inlineStr">
        <is>
          <t>D</t>
        </is>
      </c>
      <c r="D45" s="7" t="inlineStr">
        <is>
          <t>Direct divergence from strong classical impassibility.</t>
        </is>
      </c>
      <c r="E45" s="7" t="inlineStr">
        <is>
          <t>QUEUE-DERIVED — BEST LOCATOR</t>
        </is>
      </c>
      <c r="F45" s="7" t="inlineStr">
        <is>
          <t>Anglican</t>
        </is>
      </c>
      <c r="G45" s="7" t="inlineStr">
        <is>
          <t>Church of England</t>
        </is>
      </c>
      <c r="H45" s="7" t="inlineStr">
        <is>
          <t>Thirty-Nine Articles</t>
        </is>
      </c>
      <c r="I45" s="7" t="inlineStr">
        <is>
          <t>Article I — Of Faith in the Holy Trinity</t>
        </is>
      </c>
      <c r="J45" s="7" t="inlineStr">
        <is>
          <t>https://www.churchofengland.org/prayer-and-worship/worship-texts-and-resources/book-common-prayer/articles-religion</t>
        </is>
      </c>
      <c r="K45" s="7" t="inlineStr">
        <is>
          <t>https://www.churchofengland.org/prayer-and-worship/worship-texts-and-resources/book-common-prayer/articles-religion</t>
        </is>
      </c>
      <c r="L45" s="7" t="inlineStr">
        <is>
          <t>Moses 7:28–29; 3 Nephi 17:6–7</t>
        </is>
      </c>
      <c r="M45" s="7" t="inlineStr">
        <is>
          <t>Pearl of Great Price; Book of Mormon</t>
        </is>
      </c>
      <c r="N45" s="7" t="inlineStr">
        <is>
          <t>Moses 7:28–29; 3 Nephi 17:6–7</t>
        </is>
      </c>
      <c r="O45" s="7" t="inlineStr">
        <is>
          <t>https://www.churchofjesuschrist.org/study/scriptures/pgp/moses/7?lang=eng&amp;id=p28-p29#p28</t>
        </is>
      </c>
      <c r="P45" s="7" t="n"/>
      <c r="Q45" s="7" t="inlineStr">
        <is>
          <t>READY</t>
        </is>
      </c>
      <c r="R45" s="9" t="inlineStr">
        <is>
          <t>without body, parts, or passions</t>
        </is>
      </c>
      <c r="S45" s="9" t="inlineStr">
        <is>
          <t>Released English D cell; exact impassibility-bearing phrase.</t>
        </is>
      </c>
      <c r="T45" s="9" t="inlineStr">
        <is>
          <t>PHRASE-READY</t>
        </is>
      </c>
      <c r="V45" s="9" t="inlineStr">
        <is>
          <t>FALSE</t>
        </is>
      </c>
      <c r="W45" s="7" t="inlineStr">
        <is>
          <t>the God of heaven looked upon the residue of the people, and he wept</t>
        </is>
      </c>
      <c r="X45" s="7" t="n">
        <v>14</v>
      </c>
      <c r="Y45" s="7" t="inlineStr">
        <is>
          <t>PLAYWRIGHT RENDERED OR CHURCH CONTENT API</t>
        </is>
      </c>
      <c r="Z45" s="7" t="inlineStr">
        <is>
          <t>Extract cited verse/range or named document section before assertion; fail if scoped extraction is expected but unavailable.</t>
        </is>
      </c>
      <c r="AA45" s="7" t="inlineStr">
        <is>
          <t>PRIMARY PHRASE TARGET READY</t>
        </is>
      </c>
      <c r="AB45" s="7" t="n"/>
      <c r="AC45" s="7" t="inlineStr">
        <is>
          <t>NO SUPPLEMENTAL URL/TARGET</t>
        </is>
      </c>
    </row>
    <row r="46" ht="15.75" customHeight="1" s="29">
      <c r="A46" s="7" t="inlineStr">
        <is>
          <t>RNR-H45</t>
        </is>
      </c>
      <c r="B46" s="7" t="inlineStr">
        <is>
          <t>Immutable / unchangeable</t>
        </is>
      </c>
      <c r="C46" s="7" t="inlineStr">
        <is>
          <t>Q</t>
        </is>
      </c>
      <c r="D46" s="7" t="inlineStr">
        <is>
          <t>Constancy of character, purpose, covenant faithfulness, and moral perfection is shared; strong metaphysical immutability is not imported.</t>
        </is>
      </c>
      <c r="E46" s="7" t="inlineStr">
        <is>
          <t>QUEUE-DERIVED — BEST LOCATOR</t>
        </is>
      </c>
      <c r="F46" s="7" t="inlineStr">
        <is>
          <t>Roman Catholic</t>
        </is>
      </c>
      <c r="G46" s="7" t="inlineStr">
        <is>
          <t>Roman Catholic Church</t>
        </is>
      </c>
      <c r="H46" s="7" t="inlineStr">
        <is>
          <t>Fourth Lateran Council</t>
        </is>
      </c>
      <c r="I46" s="7" t="inlineStr">
        <is>
          <t>Canon 1</t>
        </is>
      </c>
      <c r="J46" s="7" t="inlineStr">
        <is>
          <t>https://sourcebooks.web.fordham.edu/basis/lateran4.asp</t>
        </is>
      </c>
      <c r="K46" s="7" t="inlineStr">
        <is>
          <t>https://sourcebooks.web.fordham.edu/basis/lateran4.asp</t>
        </is>
      </c>
      <c r="L46" s="7" t="inlineStr">
        <is>
          <t>Mormon 9:19; D&amp;C 20:17</t>
        </is>
      </c>
      <c r="M46" s="7" t="inlineStr">
        <is>
          <t>Book of Mormon; Doctrine and Covenants</t>
        </is>
      </c>
      <c r="N46" s="7" t="inlineStr">
        <is>
          <t>Mormon 9:19; D&amp;C 20:17</t>
        </is>
      </c>
      <c r="O46" s="7" t="inlineStr">
        <is>
          <t>https://www.churchofjesuschrist.org/study/scriptures/bofm/morm/9?lang=eng&amp;id=p19#p19</t>
        </is>
      </c>
      <c r="P46" s="7" t="n"/>
      <c r="Q46" s="7" t="inlineStr">
        <is>
          <t>READY</t>
        </is>
      </c>
      <c r="R46" s="9" t="inlineStr">
        <is>
          <t>unchangeable</t>
        </is>
      </c>
      <c r="S46" s="9" t="inlineStr">
        <is>
          <t>Released English Q cell; exact attribute.</t>
        </is>
      </c>
      <c r="T46" s="9" t="inlineStr">
        <is>
          <t>PHRASE-READY</t>
        </is>
      </c>
      <c r="V46" s="9" t="inlineStr">
        <is>
          <t>FALSE</t>
        </is>
      </c>
      <c r="W46" s="7" t="inlineStr">
        <is>
          <t>he changeth not</t>
        </is>
      </c>
      <c r="X46" s="7" t="n">
        <v>3</v>
      </c>
      <c r="Y46" s="7" t="inlineStr">
        <is>
          <t>PLAYWRIGHT RENDERED OR CHURCH CONTENT API</t>
        </is>
      </c>
      <c r="Z46" s="7" t="inlineStr">
        <is>
          <t>Extract cited verse/range or named document section before assertion; fail if scoped extraction is expected but unavailable.</t>
        </is>
      </c>
      <c r="AA46" s="7" t="inlineStr">
        <is>
          <t>PRIMARY PHRASE TARGET READY</t>
        </is>
      </c>
      <c r="AB46" s="7" t="n"/>
      <c r="AC46" s="7" t="inlineStr">
        <is>
          <t>NO SUPPLEMENTAL URL/TARGET</t>
        </is>
      </c>
    </row>
    <row r="47" ht="15.75" customHeight="1" s="29">
      <c r="A47" s="7" t="inlineStr">
        <is>
          <t>RNR-H46</t>
        </is>
      </c>
      <c r="B47" s="7" t="inlineStr">
        <is>
          <t>Eternal</t>
        </is>
      </c>
      <c r="C47" s="7" t="inlineStr">
        <is>
          <t>A</t>
        </is>
      </c>
      <c r="D47" s="7" t="inlineStr">
        <is>
          <t>A controls only beginningless/endless divine existence or duration; timelessness/denial of temporal succession is excluded.</t>
        </is>
      </c>
      <c r="E47" s="7" t="inlineStr">
        <is>
          <t>DIRECT-PROPOSITION</t>
        </is>
      </c>
      <c r="F47" s="7" t="inlineStr">
        <is>
          <t>Anglican</t>
        </is>
      </c>
      <c r="G47" s="7" t="inlineStr">
        <is>
          <t>Church of England</t>
        </is>
      </c>
      <c r="H47" s="7" t="inlineStr">
        <is>
          <t>Creed of S. Athanasius</t>
        </is>
      </c>
      <c r="I47" s="7" t="inlineStr">
        <is>
          <t>Athanasian Creed — eternal clause</t>
        </is>
      </c>
      <c r="J47" s="7" t="inlineStr">
        <is>
          <t>https://www.churchofengland.org/prayer-and-worship/worship-texts-and-resources/book-common-prayer/articles-religion</t>
        </is>
      </c>
      <c r="K47" s="7" t="inlineStr">
        <is>
          <t>https://ccel.org/ccel/creeds/athanasian.creed.html</t>
        </is>
      </c>
      <c r="L47" s="7" t="inlineStr">
        <is>
          <t>D&amp;C 20:17</t>
        </is>
      </c>
      <c r="M47" s="7" t="inlineStr">
        <is>
          <t>Doctrine and Covenants</t>
        </is>
      </c>
      <c r="N47" s="7" t="inlineStr">
        <is>
          <t>D&amp;C 20:17</t>
        </is>
      </c>
      <c r="O47" s="7" t="inlineStr">
        <is>
          <t>https://www.churchofjesuschrist.org/study/scriptures/dc-testament/dc/20?lang=eng&amp;id=p17#p17</t>
        </is>
      </c>
      <c r="P47" s="7" t="n"/>
      <c r="Q47" s="7" t="inlineStr">
        <is>
          <t>READY</t>
        </is>
      </c>
      <c r="R47" s="9" t="inlineStr">
        <is>
          <t>The Father eternal</t>
        </is>
      </c>
      <c r="S47" s="9" t="inlineStr">
        <is>
          <t>DIRECT — Church of England authority/adoption; CCEL server-rendered Athanasian text witness</t>
        </is>
      </c>
      <c r="T47" s="9" t="inlineStr">
        <is>
          <t>PHRASE-READY</t>
        </is>
      </c>
      <c r="V47" s="9" t="inlineStr">
        <is>
          <t>FALSE</t>
        </is>
      </c>
      <c r="W47" s="7" t="inlineStr">
        <is>
          <t>infinite and eternal, from everlasting to everlasting</t>
        </is>
      </c>
      <c r="X47" s="7" t="n">
        <v>7</v>
      </c>
      <c r="Y47" s="7" t="inlineStr">
        <is>
          <t>PLAYWRIGHT RENDERED OR CHURCH CONTENT API</t>
        </is>
      </c>
      <c r="Z47" s="7" t="inlineStr">
        <is>
          <t>Extract cited verse/range or named document section before assertion; fail if scoped extraction is expected but unavailable.</t>
        </is>
      </c>
      <c r="AA47" s="7" t="inlineStr">
        <is>
          <t>PRIMARY PHRASE TARGET READY</t>
        </is>
      </c>
      <c r="AB47" s="7" t="n"/>
      <c r="AC47" s="7" t="inlineStr">
        <is>
          <t>NO SUPPLEMENTAL URL/TARGET</t>
        </is>
      </c>
    </row>
    <row r="48" ht="15.75" customHeight="1" s="29">
      <c r="A48" s="7" t="inlineStr">
        <is>
          <t>RNR-H47</t>
        </is>
      </c>
      <c r="B48" s="7" t="inlineStr">
        <is>
          <t>Incomprehensible</t>
        </is>
      </c>
      <c r="C48" s="7" t="inlineStr">
        <is>
          <t>A</t>
        </is>
      </c>
      <c r="D48" s="7" t="inlineStr">
        <is>
          <t>Compatible with Restoration epistemic humility.</t>
        </is>
      </c>
      <c r="E48" s="7" t="inlineStr">
        <is>
          <t>QUEUE-DERIVED — BEST LOCATOR</t>
        </is>
      </c>
      <c r="F48" s="7" t="inlineStr">
        <is>
          <t>Reformed / Presbyterian</t>
        </is>
      </c>
      <c r="G48" s="7" t="inlineStr">
        <is>
          <t>Orthodox Presbyterian Church</t>
        </is>
      </c>
      <c r="H48" s="7" t="inlineStr">
        <is>
          <t>Westminster Confession of Faith</t>
        </is>
      </c>
      <c r="I48" s="7" t="inlineStr">
        <is>
          <t>Chapter II.1</t>
        </is>
      </c>
      <c r="J48" s="7" t="inlineStr">
        <is>
          <t>https://opc.org/wcf.html</t>
        </is>
      </c>
      <c r="K48" s="7" t="inlineStr">
        <is>
          <t>https://opc.org/wcf.html</t>
        </is>
      </c>
      <c r="L48" s="7" t="inlineStr">
        <is>
          <t>Mosiah 4:9</t>
        </is>
      </c>
      <c r="M48" s="7" t="inlineStr">
        <is>
          <t>Book of Mormon</t>
        </is>
      </c>
      <c r="N48" s="7" t="inlineStr">
        <is>
          <t>Mosiah 4:9</t>
        </is>
      </c>
      <c r="O48" s="7" t="inlineStr">
        <is>
          <t>https://www.churchofjesuschrist.org/study/scriptures/bofm/mosiah/4?lang=eng&amp;id=p9#p9</t>
        </is>
      </c>
      <c r="P48" s="7" t="n"/>
      <c r="Q48" s="7" t="inlineStr">
        <is>
          <t>READY</t>
        </is>
      </c>
      <c r="R48" s="9" t="inlineStr">
        <is>
          <t>incomprehensible</t>
        </is>
      </c>
      <c r="S48" s="9" t="inlineStr">
        <is>
          <t>Released English A cell; exact attribute in WCF II.1.</t>
        </is>
      </c>
      <c r="T48" s="9" t="inlineStr">
        <is>
          <t>PHRASE-READY</t>
        </is>
      </c>
      <c r="V48" s="9" t="inlineStr">
        <is>
          <t>FALSE</t>
        </is>
      </c>
      <c r="W48" s="7" t="inlineStr">
        <is>
          <t>man doth not comprehend all the things which the Lord can comprehend</t>
        </is>
      </c>
      <c r="X48" s="7" t="n">
        <v>12</v>
      </c>
      <c r="Y48" s="7" t="inlineStr">
        <is>
          <t>PLAYWRIGHT RENDERED OR CHURCH CONTENT API</t>
        </is>
      </c>
      <c r="Z48" s="7" t="inlineStr">
        <is>
          <t>Extract cited verse/range or named document section before assertion; fail if scoped extraction is expected but unavailable.</t>
        </is>
      </c>
      <c r="AA48" s="7" t="inlineStr">
        <is>
          <t>PRIMARY PHRASE TARGET READY</t>
        </is>
      </c>
      <c r="AB48" s="7" t="n"/>
      <c r="AC48" s="7" t="inlineStr">
        <is>
          <t>NO SUPPLEMENTAL URL/TARGET</t>
        </is>
      </c>
    </row>
    <row r="49" ht="15.75" customHeight="1" s="29">
      <c r="A49" s="7" t="inlineStr">
        <is>
          <t>RNR-H48</t>
        </is>
      </c>
      <c r="B49" s="7" t="inlineStr">
        <is>
          <t>Ineffable</t>
        </is>
      </c>
      <c r="C49" s="7" t="inlineStr">
        <is>
          <t>A</t>
        </is>
      </c>
      <c r="D49" s="7" t="inlineStr">
        <is>
          <t>Compatible with Restoration epistemic humility.</t>
        </is>
      </c>
      <c r="E49" s="7" t="inlineStr">
        <is>
          <t>QUEUE-DERIVED — BEST LOCATOR</t>
        </is>
      </c>
      <c r="F49" s="7" t="inlineStr">
        <is>
          <t>Roman Catholic</t>
        </is>
      </c>
      <c r="G49" s="7" t="inlineStr">
        <is>
          <t>Roman Catholic Church</t>
        </is>
      </c>
      <c r="H49" s="7" t="inlineStr">
        <is>
          <t>Fourth Lateran Council</t>
        </is>
      </c>
      <c r="I49" s="7" t="inlineStr">
        <is>
          <t>Canon 1</t>
        </is>
      </c>
      <c r="J49" s="7" t="inlineStr">
        <is>
          <t>https://sourcebooks.web.fordham.edu/basis/lateran4.asp</t>
        </is>
      </c>
      <c r="K49" s="7" t="inlineStr">
        <is>
          <t>https://sourcebooks.web.fordham.edu/basis/lateran4.asp</t>
        </is>
      </c>
      <c r="L49" s="7" t="inlineStr">
        <is>
          <t>D&amp;C 76:114–116</t>
        </is>
      </c>
      <c r="M49" s="7" t="inlineStr">
        <is>
          <t>Doctrine and Covenants</t>
        </is>
      </c>
      <c r="N49" s="7" t="inlineStr">
        <is>
          <t>D&amp;C 76:114–116</t>
        </is>
      </c>
      <c r="O49" s="7" t="inlineStr">
        <is>
          <t>https://www.churchofjesuschrist.org/study/scriptures/dc-testament/dc/76?lang=eng&amp;id=p114-p116#p114</t>
        </is>
      </c>
      <c r="P49" s="7" t="n"/>
      <c r="Q49" s="7" t="inlineStr">
        <is>
          <t>READY</t>
        </is>
      </c>
      <c r="R49" s="9" t="inlineStr">
        <is>
          <t>incomprehensible, and ineffable</t>
        </is>
      </c>
      <c r="S49" s="9" t="inlineStr">
        <is>
          <t>Released English A cell; exact attribute pair.</t>
        </is>
      </c>
      <c r="T49" s="9" t="inlineStr">
        <is>
          <t>PHRASE-READY</t>
        </is>
      </c>
      <c r="V49" s="9" t="inlineStr">
        <is>
          <t>FALSE</t>
        </is>
      </c>
      <c r="W49" s="7" t="inlineStr">
        <is>
          <t>Neither is man capable to make them known</t>
        </is>
      </c>
      <c r="X49" s="7" t="n">
        <v>8</v>
      </c>
      <c r="Y49" s="7" t="inlineStr">
        <is>
          <t>PLAYWRIGHT RENDERED OR CHURCH CONTENT API</t>
        </is>
      </c>
      <c r="Z49" s="7" t="inlineStr">
        <is>
          <t>Extract cited verse/range or named document section before assertion; fail if scoped extraction is expected but unavailable.</t>
        </is>
      </c>
      <c r="AA49" s="7" t="inlineStr">
        <is>
          <t>PRIMARY PHRASE TARGET READY</t>
        </is>
      </c>
      <c r="AB49" s="7" t="n"/>
      <c r="AC49" s="7" t="inlineStr">
        <is>
          <t>NO SUPPLEMENTAL URL/TARGET</t>
        </is>
      </c>
    </row>
    <row r="50" ht="15.75" customHeight="1" s="29">
      <c r="A50" s="7" t="inlineStr">
        <is>
          <t>RNR-H49</t>
        </is>
      </c>
      <c r="B50" s="7" t="inlineStr">
        <is>
          <t>Inscrutable</t>
        </is>
      </c>
      <c r="C50" s="7" t="inlineStr">
        <is>
          <t>A</t>
        </is>
      </c>
      <c r="D50" s="7" t="inlineStr">
        <is>
          <t>Compatible with Restoration epistemic humility.</t>
        </is>
      </c>
      <c r="E50" s="7" t="inlineStr">
        <is>
          <t>DIRECT-PROPOSITION</t>
        </is>
      </c>
      <c r="F50" s="7" t="inlineStr">
        <is>
          <t>Reformed / Presbyterian</t>
        </is>
      </c>
      <c r="G50" s="7" t="inlineStr">
        <is>
          <t>Presbyterian Church (U.S.A.)</t>
        </is>
      </c>
      <c r="H50" s="7" t="inlineStr">
        <is>
          <t>Scots Confession</t>
        </is>
      </c>
      <c r="I50" s="7" t="inlineStr">
        <is>
          <t>3.01, Chapter I — God</t>
        </is>
      </c>
      <c r="J50" s="7" t="inlineStr">
        <is>
          <t>https://pcusa.org/about-pcusa/agencies-entities/life-witness/ministry-areas/constitutional-interpretation/constitution</t>
        </is>
      </c>
      <c r="K50" s="7" t="inlineStr">
        <is>
          <t>https://pcusa.org/sites/default/files/boc2016.pdf</t>
        </is>
      </c>
      <c r="L50" s="7" t="inlineStr">
        <is>
          <t>Romans 11:33; Mosiah 4:9</t>
        </is>
      </c>
      <c r="M50" s="7" t="inlineStr">
        <is>
          <t>Bible (Latter-day Saint standard works); Book of Mormon</t>
        </is>
      </c>
      <c r="N50" s="7" t="inlineStr">
        <is>
          <t>Romans 11:33; Mosiah 4:9</t>
        </is>
      </c>
      <c r="O50" s="7" t="inlineStr">
        <is>
          <t>https://www.churchofjesuschrist.org/study/scriptures/nt/rom/11?lang=eng&amp;id=p33#p33</t>
        </is>
      </c>
      <c r="P50" s="7" t="n"/>
      <c r="Q50" s="7" t="inlineStr">
        <is>
          <t>READY</t>
        </is>
      </c>
      <c r="R50" s="9" t="inlineStr">
        <is>
          <t>ruled and guided by his inscrutable providence</t>
        </is>
      </c>
      <c r="S50" s="9" t="inlineStr">
        <is>
          <t>DIRECT — proposition phrase in Book of Confessions</t>
        </is>
      </c>
      <c r="T50" s="9" t="inlineStr">
        <is>
          <t>PROPOSITION-LEVEL REVIEWED</t>
        </is>
      </c>
      <c r="V50" s="9" t="inlineStr">
        <is>
          <t>FALSE</t>
        </is>
      </c>
      <c r="W50" s="7" t="inlineStr">
        <is>
          <t>how unsearchable are his judgments, and his ways past finding out</t>
        </is>
      </c>
      <c r="X50" s="7" t="n">
        <v>11</v>
      </c>
      <c r="Y50" s="7" t="inlineStr">
        <is>
          <t>PLAYWRIGHT RENDERED OR CHURCH CONTENT API</t>
        </is>
      </c>
      <c r="Z50" s="7" t="inlineStr">
        <is>
          <t>Extract cited verse/range or named document section before assertion; fail if scoped extraction is expected but unavailable.</t>
        </is>
      </c>
      <c r="AA50" s="7" t="inlineStr">
        <is>
          <t>PRIMARY PHRASE TARGET READY</t>
        </is>
      </c>
      <c r="AB50" s="7" t="n"/>
      <c r="AC50" s="7" t="inlineStr">
        <is>
          <t>NO SUPPLEMENTAL URL/TARGET</t>
        </is>
      </c>
    </row>
    <row r="51" ht="15.75" customHeight="1" s="29">
      <c r="A51" s="7" t="inlineStr">
        <is>
          <t>RNR-H50</t>
        </is>
      </c>
      <c r="B51" s="7" t="inlineStr">
        <is>
          <t>Not circumscribed / not contained</t>
        </is>
      </c>
      <c r="C51" s="7" t="inlineStr">
        <is>
          <t>Q</t>
        </is>
      </c>
      <c r="D51" s="7" t="inlineStr">
        <is>
          <t>Universal divine operation/omnipresence concern is shared while determinate personal presence remains materially differentiated.</t>
        </is>
      </c>
      <c r="E51" s="7" t="inlineStr">
        <is>
          <t>SOURCE-PACKET-REQUIRED</t>
        </is>
      </c>
      <c r="F51" s="7" t="inlineStr">
        <is>
          <t>Historical corpus</t>
        </is>
      </c>
      <c r="G51" s="7" t="inlineStr">
        <is>
          <t>Historical-only admitted witness</t>
        </is>
      </c>
      <c r="H51" s="7" t="inlineStr">
        <is>
          <t>Admitted historical corpus source packet</t>
        </is>
      </c>
      <c r="I51" s="7" t="inlineStr">
        <is>
          <t>Historical witness only</t>
        </is>
      </c>
      <c r="J51" s="7" t="n"/>
      <c r="K51" s="7" t="n"/>
      <c r="L51" s="7" t="inlineStr">
        <is>
          <t>D&amp;C 88:6–13; 130:22</t>
        </is>
      </c>
      <c r="M51" s="7" t="inlineStr">
        <is>
          <t>Doctrine and Covenants</t>
        </is>
      </c>
      <c r="N51" s="7" t="inlineStr">
        <is>
          <t>D&amp;C 88:6–13; 130:22</t>
        </is>
      </c>
      <c r="O51" s="7" t="inlineStr">
        <is>
          <t>https://www.churchofjesuschrist.org/study/scriptures/dc-testament/dc/88?lang=eng&amp;id=p6-p13#p6</t>
        </is>
      </c>
      <c r="P51" s="7" t="inlineStr">
        <is>
          <t>https://www.churchofjesuschrist.org/study/scriptures/dc-testament/dc/130?lang=eng&amp;id=p22#p22</t>
        </is>
      </c>
      <c r="Q51" s="7" t="inlineStr">
        <is>
          <t>NOT READY — HISTORICAL PACKET</t>
        </is>
      </c>
      <c r="S51" s="9" t="inlineStr">
        <is>
          <t>SOURCE-PACKET-REQUIRED — no public phrase target</t>
        </is>
      </c>
      <c r="T51" s="9" t="inlineStr">
        <is>
          <t>NOT READY — HISTORICAL PACKET</t>
        </is>
      </c>
      <c r="V51" s="9" t="inlineStr">
        <is>
          <t>FALSE</t>
        </is>
      </c>
      <c r="W51" s="7" t="inlineStr">
        <is>
          <t>proceedeth forth from the presence of God to fill the immensity of space</t>
        </is>
      </c>
      <c r="X51" s="7" t="n">
        <v>13</v>
      </c>
      <c r="Y51" s="7" t="inlineStr">
        <is>
          <t>PLAYWRIGHT RENDERED OR CHURCH CONTENT API</t>
        </is>
      </c>
      <c r="Z51" s="7" t="inlineStr">
        <is>
          <t>Extract cited verse/range or named document section before assertion; fail if scoped extraction is expected but unavailable.</t>
        </is>
      </c>
      <c r="AA51" s="7" t="inlineStr">
        <is>
          <t>PRIMARY PHRASE TARGET READY</t>
        </is>
      </c>
      <c r="AB51" s="7" t="inlineStr">
        <is>
          <t>The Father has a body of flesh and bones as tangible as man’s</t>
        </is>
      </c>
      <c r="AC51" s="7" t="inlineStr">
        <is>
          <t>SUPPLEMENTAL TARGET READY</t>
        </is>
      </c>
    </row>
    <row r="52" ht="15.75" customHeight="1" s="29">
      <c r="A52" s="7" t="inlineStr">
        <is>
          <t>RNR-H51</t>
        </is>
      </c>
      <c r="B52" s="7" t="inlineStr">
        <is>
          <t>No adequate likeness or comparison</t>
        </is>
      </c>
      <c r="C52" s="7" t="inlineStr">
        <is>
          <t>Q</t>
        </is>
      </c>
      <c r="D52" s="7" t="inlineStr">
        <is>
          <t>Epistemic restraint is shared, but literal divine-human kinship prevents an absolute denial of likeness.</t>
        </is>
      </c>
      <c r="E52" s="7" t="inlineStr">
        <is>
          <t>DIRECT-PROPOSITION</t>
        </is>
      </c>
      <c r="F52" s="7" t="inlineStr">
        <is>
          <t>Roman Catholic</t>
        </is>
      </c>
      <c r="G52" s="7" t="inlineStr">
        <is>
          <t>Roman Catholic Church</t>
        </is>
      </c>
      <c r="H52" s="7" t="inlineStr">
        <is>
          <t>Catechism of the Catholic Church</t>
        </is>
      </c>
      <c r="I52" s="7" t="inlineStr">
        <is>
          <t>CCC 42</t>
        </is>
      </c>
      <c r="J52" s="7" t="inlineStr">
        <is>
          <t>https://www.vatican.va/content/catechism/en/part_one/section_one/chapter_one/iv_how_can_we_speak_about_god.html</t>
        </is>
      </c>
      <c r="K52" s="7" t="inlineStr">
        <is>
          <t>https://www.vatican.va/content/catechism/en/part_one/section_one/chapter_one/iv_how_can_we_speak_about_god.html</t>
        </is>
      </c>
      <c r="L52" s="7" t="inlineStr">
        <is>
          <t>Mosiah 4:9; D&amp;C 76:114–116</t>
        </is>
      </c>
      <c r="M52" s="7" t="inlineStr">
        <is>
          <t>Book of Mormon; Doctrine and Covenants</t>
        </is>
      </c>
      <c r="N52" s="7" t="inlineStr">
        <is>
          <t>Mosiah 4:9; D&amp;C 76:114–116</t>
        </is>
      </c>
      <c r="O52" s="7" t="inlineStr">
        <is>
          <t>https://www.churchofjesuschrist.org/study/scriptures/bofm/mosiah/4?lang=eng&amp;id=p9#p9</t>
        </is>
      </c>
      <c r="P52" s="7" t="n"/>
      <c r="Q52" s="7" t="inlineStr">
        <is>
          <t>READY</t>
        </is>
      </c>
      <c r="R52" s="9" t="inlineStr">
        <is>
          <t>Our human words always fall short</t>
        </is>
      </c>
      <c r="S52" s="9" t="inlineStr">
        <is>
          <t>Direct English magisterial text; epistemic restraint.</t>
        </is>
      </c>
      <c r="T52" s="9" t="inlineStr">
        <is>
          <t>PHRASE-READY</t>
        </is>
      </c>
      <c r="V52" s="9" t="inlineStr">
        <is>
          <t>FALSE</t>
        </is>
      </c>
      <c r="W52" s="7" t="inlineStr">
        <is>
          <t>man doth not comprehend all the things which the Lord can comprehend</t>
        </is>
      </c>
      <c r="X52" s="7" t="n">
        <v>12</v>
      </c>
      <c r="Y52" s="7" t="inlineStr">
        <is>
          <t>PLAYWRIGHT RENDERED OR CHURCH CONTENT API</t>
        </is>
      </c>
      <c r="Z52" s="7" t="inlineStr">
        <is>
          <t>Extract cited verse/range or named document section before assertion; fail if scoped extraction is expected but unavailable.</t>
        </is>
      </c>
      <c r="AA52" s="7" t="inlineStr">
        <is>
          <t>PRIMARY PHRASE TARGET READY</t>
        </is>
      </c>
      <c r="AB52" s="7" t="n"/>
      <c r="AC52" s="7" t="inlineStr">
        <is>
          <t>NO SUPPLEMENTAL URL/TARGET</t>
        </is>
      </c>
    </row>
    <row r="53" ht="15.75" customHeight="1" s="29">
      <c r="A53" s="7" t="inlineStr">
        <is>
          <t>RNR-H52</t>
        </is>
      </c>
      <c r="B53" s="7" t="inlineStr">
        <is>
          <t>Without confusion</t>
        </is>
      </c>
      <c r="C53" s="7" t="inlineStr">
        <is>
          <t>Q</t>
        </is>
      </c>
      <c r="D53" s="7" t="inlineStr">
        <is>
          <t>Underlying Christological concern is shared without adopting Chalcedonian two-natures metaphysics.</t>
        </is>
      </c>
      <c r="E53" s="7" t="inlineStr">
        <is>
          <t>DIRECT-PROPOSITION</t>
        </is>
      </c>
      <c r="F53" s="7" t="inlineStr">
        <is>
          <t>Roman Catholic</t>
        </is>
      </c>
      <c r="G53" s="7" t="inlineStr">
        <is>
          <t>Roman Catholic Church</t>
        </is>
      </c>
      <c r="H53" s="7" t="inlineStr">
        <is>
          <t>Catechism of the Catholic Church / Chalcedonian Definition</t>
        </is>
      </c>
      <c r="I53" s="7" t="inlineStr">
        <is>
          <t>CCC 467</t>
        </is>
      </c>
      <c r="J53" s="7" t="inlineStr">
        <is>
          <t>https://www.vatican.va/content/catechism/en/part_one/section_two/chapter_two/artcile_3.html</t>
        </is>
      </c>
      <c r="K53" s="7" t="inlineStr">
        <is>
          <t>https://www.vatican.va/content/catechism/en/part_one/section_two/chapter_two/artcile_3.html</t>
        </is>
      </c>
      <c r="L53" s="7" t="inlineStr">
        <is>
          <t>The Living Christ</t>
        </is>
      </c>
      <c r="M53" s="7" t="inlineStr">
        <is>
          <t>First Presidency / Quorum of the Twelve collective declaration</t>
        </is>
      </c>
      <c r="N53" s="7" t="inlineStr">
        <is>
          <t>The Living Christ (2000)</t>
        </is>
      </c>
      <c r="O53" s="7" t="inlineStr">
        <is>
          <t>https://www.churchofjesuschrist.org/study/scriptures/the-living-christ-the-testimony-of-the-apostles/the-living-christ-the-testimony-of-the-apostles?lang=eng</t>
        </is>
      </c>
      <c r="P53" s="7" t="n"/>
      <c r="Q53" s="7" t="inlineStr">
        <is>
          <t>READY</t>
        </is>
      </c>
      <c r="R53" s="9" t="inlineStr">
        <is>
          <t>without confusion</t>
        </is>
      </c>
      <c r="S53" s="9" t="inlineStr">
        <is>
          <t>Direct English magisterial restatement of Chalcedon.</t>
        </is>
      </c>
      <c r="T53" s="9" t="inlineStr">
        <is>
          <t>PHRASE-READY</t>
        </is>
      </c>
      <c r="V53" s="9" t="inlineStr">
        <is>
          <t>FALSE</t>
        </is>
      </c>
      <c r="W53" s="7" t="inlineStr">
        <is>
          <t>the Only Begotten Son in the flesh</t>
        </is>
      </c>
      <c r="X53" s="7" t="n">
        <v>7</v>
      </c>
      <c r="Y53" s="7" t="inlineStr">
        <is>
          <t>PLAYWRIGHT RENDERED OR CHURCH CONTENT API</t>
        </is>
      </c>
      <c r="Z53" s="7" t="inlineStr">
        <is>
          <t>Extract cited verse/range or named document section before assertion; fail if scoped extraction is expected but unavailable.</t>
        </is>
      </c>
      <c r="AA53" s="7" t="inlineStr">
        <is>
          <t>AUTHOR-REPLACED — PIPELINE RECHECK REQUIRED</t>
        </is>
      </c>
      <c r="AB53" s="7" t="n"/>
      <c r="AC53" s="7" t="inlineStr">
        <is>
          <t>NO SUPPLEMENTAL URL/TARGET</t>
        </is>
      </c>
    </row>
    <row r="54" ht="15.75" customHeight="1" s="29">
      <c r="A54" s="7" t="inlineStr">
        <is>
          <t>RNR-H53</t>
        </is>
      </c>
      <c r="B54" s="7" t="inlineStr">
        <is>
          <t>Without change</t>
        </is>
      </c>
      <c r="C54" s="7" t="inlineStr">
        <is>
          <t>Q</t>
        </is>
      </c>
      <c r="D54" s="7" t="inlineStr">
        <is>
          <t>Underlying Christological concern is shared without adopting Chalcedonian two-natures metaphysics.</t>
        </is>
      </c>
      <c r="E54" s="7" t="inlineStr">
        <is>
          <t>DIRECT-PROPOSITION</t>
        </is>
      </c>
      <c r="F54" s="7" t="inlineStr">
        <is>
          <t>Roman Catholic</t>
        </is>
      </c>
      <c r="G54" s="7" t="inlineStr">
        <is>
          <t>Roman Catholic Church</t>
        </is>
      </c>
      <c r="H54" s="7" t="inlineStr">
        <is>
          <t>Catechism of the Catholic Church / Chalcedonian Definition</t>
        </is>
      </c>
      <c r="I54" s="7" t="inlineStr">
        <is>
          <t>CCC 467</t>
        </is>
      </c>
      <c r="J54" s="7" t="inlineStr">
        <is>
          <t>https://www.vatican.va/content/catechism/en/part_one/section_two/chapter_two/artcile_3.html</t>
        </is>
      </c>
      <c r="K54" s="7" t="inlineStr">
        <is>
          <t>https://www.vatican.va/content/catechism/en/part_one/section_two/chapter_two/artcile_3.html</t>
        </is>
      </c>
      <c r="L54" s="7" t="inlineStr">
        <is>
          <t>The Living Christ</t>
        </is>
      </c>
      <c r="M54" s="7" t="inlineStr">
        <is>
          <t>First Presidency / Quorum of the Twelve collective declaration</t>
        </is>
      </c>
      <c r="N54" s="7" t="inlineStr">
        <is>
          <t>The Living Christ (2000)</t>
        </is>
      </c>
      <c r="O54" s="7" t="inlineStr">
        <is>
          <t>https://www.churchofjesuschrist.org/study/scriptures/the-living-christ-the-testimony-of-the-apostles/the-living-christ-the-testimony-of-the-apostles?lang=eng</t>
        </is>
      </c>
      <c r="P54" s="7" t="n"/>
      <c r="Q54" s="7" t="inlineStr">
        <is>
          <t>READY</t>
        </is>
      </c>
      <c r="R54" s="9" t="inlineStr">
        <is>
          <t>without confusion, change</t>
        </is>
      </c>
      <c r="S54" s="9" t="inlineStr">
        <is>
          <t>Direct English magisterial restatement of Chalcedon.</t>
        </is>
      </c>
      <c r="T54" s="9" t="inlineStr">
        <is>
          <t>PHRASE-READY</t>
        </is>
      </c>
      <c r="V54" s="9" t="inlineStr">
        <is>
          <t>FALSE</t>
        </is>
      </c>
      <c r="W54" s="7" t="inlineStr">
        <is>
          <t>the Only Begotten Son in the flesh</t>
        </is>
      </c>
      <c r="X54" s="7" t="n">
        <v>7</v>
      </c>
      <c r="Y54" s="7" t="inlineStr">
        <is>
          <t>PLAYWRIGHT RENDERED OR CHURCH CONTENT API</t>
        </is>
      </c>
      <c r="Z54" s="7" t="inlineStr">
        <is>
          <t>Extract cited verse/range or named document section before assertion; fail if scoped extraction is expected but unavailable.</t>
        </is>
      </c>
      <c r="AA54" s="7" t="inlineStr">
        <is>
          <t>AUTHOR-REPLACED — PIPELINE RECHECK REQUIRED</t>
        </is>
      </c>
      <c r="AB54" s="7" t="n"/>
      <c r="AC54" s="7" t="inlineStr">
        <is>
          <t>NO SUPPLEMENTAL URL/TARGET</t>
        </is>
      </c>
    </row>
    <row r="55" ht="15.75" customHeight="1" s="29">
      <c r="A55" s="7" t="inlineStr">
        <is>
          <t>RNR-H54</t>
        </is>
      </c>
      <c r="B55" s="7" t="inlineStr">
        <is>
          <t>Without division</t>
        </is>
      </c>
      <c r="C55" s="7" t="inlineStr">
        <is>
          <t>Q</t>
        </is>
      </c>
      <c r="D55" s="7" t="inlineStr">
        <is>
          <t>Underlying Christological concern is shared without adopting Chalcedonian two-natures metaphysics.</t>
        </is>
      </c>
      <c r="E55" s="7" t="inlineStr">
        <is>
          <t>DIRECT-PROPOSITION</t>
        </is>
      </c>
      <c r="F55" s="7" t="inlineStr">
        <is>
          <t>Roman Catholic</t>
        </is>
      </c>
      <c r="G55" s="7" t="inlineStr">
        <is>
          <t>Roman Catholic Church</t>
        </is>
      </c>
      <c r="H55" s="7" t="inlineStr">
        <is>
          <t>Catechism of the Catholic Church / Chalcedonian Definition</t>
        </is>
      </c>
      <c r="I55" s="7" t="inlineStr">
        <is>
          <t>CCC 467</t>
        </is>
      </c>
      <c r="J55" s="7" t="inlineStr">
        <is>
          <t>https://www.vatican.va/content/catechism/en/part_one/section_two/chapter_two/artcile_3.html</t>
        </is>
      </c>
      <c r="K55" s="7" t="inlineStr">
        <is>
          <t>https://www.vatican.va/content/catechism/en/part_one/section_two/chapter_two/artcile_3.html</t>
        </is>
      </c>
      <c r="L55" s="7" t="inlineStr">
        <is>
          <t>The Living Christ</t>
        </is>
      </c>
      <c r="M55" s="7" t="inlineStr">
        <is>
          <t>First Presidency / Quorum of the Twelve collective declaration</t>
        </is>
      </c>
      <c r="N55" s="7" t="inlineStr">
        <is>
          <t>The Living Christ (2000)</t>
        </is>
      </c>
      <c r="O55" s="7" t="inlineStr">
        <is>
          <t>https://www.churchofjesuschrist.org/study/scriptures/the-living-christ-the-testimony-of-the-apostles/the-living-christ-the-testimony-of-the-apostles?lang=eng</t>
        </is>
      </c>
      <c r="P55" s="7" t="n"/>
      <c r="Q55" s="7" t="inlineStr">
        <is>
          <t>READY</t>
        </is>
      </c>
      <c r="R55" s="9" t="inlineStr">
        <is>
          <t>without confusion, change, division</t>
        </is>
      </c>
      <c r="S55" s="9" t="inlineStr">
        <is>
          <t>Direct English magisterial restatement of Chalcedon.</t>
        </is>
      </c>
      <c r="T55" s="9" t="inlineStr">
        <is>
          <t>PHRASE-READY</t>
        </is>
      </c>
      <c r="V55" s="9" t="inlineStr">
        <is>
          <t>FALSE</t>
        </is>
      </c>
      <c r="W55" s="7" t="inlineStr">
        <is>
          <t>the Only Begotten Son in the flesh</t>
        </is>
      </c>
      <c r="X55" s="7" t="n">
        <v>7</v>
      </c>
      <c r="Y55" s="7" t="inlineStr">
        <is>
          <t>PLAYWRIGHT RENDERED OR CHURCH CONTENT API</t>
        </is>
      </c>
      <c r="Z55" s="7" t="inlineStr">
        <is>
          <t>Extract cited verse/range or named document section before assertion; fail if scoped extraction is expected but unavailable.</t>
        </is>
      </c>
      <c r="AA55" s="7" t="inlineStr">
        <is>
          <t>AUTHOR-REPLACED — PIPELINE RECHECK REQUIRED</t>
        </is>
      </c>
      <c r="AB55" s="7" t="n"/>
      <c r="AC55" s="7" t="inlineStr">
        <is>
          <t>NO SUPPLEMENTAL URL/TARGET</t>
        </is>
      </c>
    </row>
    <row r="56" ht="15.75" customHeight="1" s="29">
      <c r="A56" s="7" t="inlineStr">
        <is>
          <t>RNR-H55</t>
        </is>
      </c>
      <c r="B56" s="7" t="inlineStr">
        <is>
          <t>Without separation</t>
        </is>
      </c>
      <c r="C56" s="7" t="inlineStr">
        <is>
          <t>Q</t>
        </is>
      </c>
      <c r="D56" s="7" t="inlineStr">
        <is>
          <t>Underlying Christological concern is shared without adopting Chalcedonian two-natures metaphysics.</t>
        </is>
      </c>
      <c r="E56" s="7" t="inlineStr">
        <is>
          <t>DIRECT-PROPOSITION</t>
        </is>
      </c>
      <c r="F56" s="7" t="inlineStr">
        <is>
          <t>Roman Catholic</t>
        </is>
      </c>
      <c r="G56" s="7" t="inlineStr">
        <is>
          <t>Roman Catholic Church</t>
        </is>
      </c>
      <c r="H56" s="7" t="inlineStr">
        <is>
          <t>Catechism of the Catholic Church / Chalcedonian Definition</t>
        </is>
      </c>
      <c r="I56" s="7" t="inlineStr">
        <is>
          <t>CCC 467</t>
        </is>
      </c>
      <c r="J56" s="7" t="inlineStr">
        <is>
          <t>https://www.vatican.va/content/catechism/en/part_one/section_two/chapter_two/artcile_3.html</t>
        </is>
      </c>
      <c r="K56" s="7" t="inlineStr">
        <is>
          <t>https://www.vatican.va/content/catechism/en/part_one/section_two/chapter_two/artcile_3.html</t>
        </is>
      </c>
      <c r="L56" s="7" t="inlineStr">
        <is>
          <t>The Living Christ</t>
        </is>
      </c>
      <c r="M56" s="7" t="inlineStr">
        <is>
          <t>First Presidency / Quorum of the Twelve collective declaration</t>
        </is>
      </c>
      <c r="N56" s="7" t="inlineStr">
        <is>
          <t>The Living Christ (2000)</t>
        </is>
      </c>
      <c r="O56" s="7" t="inlineStr">
        <is>
          <t>https://www.churchofjesuschrist.org/study/scriptures/the-living-christ-the-testimony-of-the-apostles/the-living-christ-the-testimony-of-the-apostles?lang=eng</t>
        </is>
      </c>
      <c r="P56" s="7" t="n"/>
      <c r="Q56" s="7" t="inlineStr">
        <is>
          <t>READY</t>
        </is>
      </c>
      <c r="R56" s="9" t="inlineStr">
        <is>
          <t>without confusion, change, division or separation</t>
        </is>
      </c>
      <c r="S56" s="9" t="inlineStr">
        <is>
          <t>Direct English magisterial restatement of Chalcedon.</t>
        </is>
      </c>
      <c r="T56" s="9" t="inlineStr">
        <is>
          <t>PHRASE-READY</t>
        </is>
      </c>
      <c r="V56" s="9" t="inlineStr">
        <is>
          <t>FALSE</t>
        </is>
      </c>
      <c r="W56" s="7" t="inlineStr">
        <is>
          <t>the Only Begotten Son in the flesh</t>
        </is>
      </c>
      <c r="X56" s="7" t="n">
        <v>7</v>
      </c>
      <c r="Y56" s="7" t="inlineStr">
        <is>
          <t>PLAYWRIGHT RENDERED OR CHURCH CONTENT API</t>
        </is>
      </c>
      <c r="Z56" s="7" t="inlineStr">
        <is>
          <t>Extract cited verse/range or named document section before assertion; fail if scoped extraction is expected but unavailable.</t>
        </is>
      </c>
      <c r="AA56" s="7" t="inlineStr">
        <is>
          <t>AUTHOR-REPLACED — PIPELINE RECHECK REQUIRED</t>
        </is>
      </c>
      <c r="AB56" s="7" t="n"/>
      <c r="AC56" s="7" t="inlineStr">
        <is>
          <t>NO SUPPLEMENTAL URL/TARGET</t>
        </is>
      </c>
    </row>
    <row r="57" ht="15.75" customHeight="1" s="29">
      <c r="A57" s="7" t="inlineStr">
        <is>
          <t>RNR-H56</t>
        </is>
      </c>
      <c r="B57" s="7" t="inlineStr">
        <is>
          <t>Neither confounding nor dividing</t>
        </is>
      </c>
      <c r="C57" s="7" t="inlineStr">
        <is>
          <t>Q</t>
        </is>
      </c>
      <c r="D57" s="7" t="inlineStr">
        <is>
          <t>Shared concern for distinction and unity, with materially different Godhead ontology.</t>
        </is>
      </c>
      <c r="E57" s="7" t="inlineStr">
        <is>
          <t>DIRECT — ATOMIC LAYER SUPPORT</t>
        </is>
      </c>
      <c r="F57" s="7" t="inlineStr">
        <is>
          <t>Anglican</t>
        </is>
      </c>
      <c r="G57" s="7" t="inlineStr">
        <is>
          <t>Church of England</t>
        </is>
      </c>
      <c r="H57" s="7" t="inlineStr">
        <is>
          <t>Creed of S. Athanasius</t>
        </is>
      </c>
      <c r="I57" s="7" t="inlineStr">
        <is>
          <t>Athanasian Creed — Trinity unity/distinction clause</t>
        </is>
      </c>
      <c r="J57" s="7" t="inlineStr">
        <is>
          <t>https://www.churchofengland.org/prayer-and-worship/worship-texts-and-resources/book-common-prayer/articles-religion</t>
        </is>
      </c>
      <c r="K57" s="7" t="inlineStr">
        <is>
          <t>https://ccel.org/ccel/creeds/athanasian.creed.html</t>
        </is>
      </c>
      <c r="L57" s="7" t="inlineStr">
        <is>
          <t>Gospel Topics: Godhead</t>
        </is>
      </c>
      <c r="M57" s="7" t="inlineStr">
        <is>
          <t>Official Church doctrinal publication</t>
        </is>
      </c>
      <c r="N57" s="7" t="inlineStr">
        <is>
          <t>Godhead</t>
        </is>
      </c>
      <c r="O57" s="7" t="inlineStr">
        <is>
          <t>https://www.churchofjesuschrist.org/study/manual/gospel-topics/godhead?lang=eng</t>
        </is>
      </c>
      <c r="P57" s="7" t="n"/>
      <c r="Q57" s="7" t="inlineStr">
        <is>
          <t>READY</t>
        </is>
      </c>
      <c r="R57" s="9" t="inlineStr">
        <is>
          <t>Neither confounding the persons nor dividing the substance</t>
        </is>
      </c>
      <c r="S57" s="9" t="inlineStr">
        <is>
          <t>DIRECT — Church of England authority/adoption; CCEL server-rendered Athanasian text witness</t>
        </is>
      </c>
      <c r="T57" s="9" t="inlineStr">
        <is>
          <t>PHRASE-READY</t>
        </is>
      </c>
      <c r="V57" s="9" t="inlineStr">
        <is>
          <t>FALSE</t>
        </is>
      </c>
      <c r="W57" s="7" t="inlineStr">
        <is>
          <t>the members of the Godhead are three separate beings</t>
        </is>
      </c>
      <c r="X57" s="7" t="n">
        <v>9</v>
      </c>
      <c r="Y57" s="7" t="inlineStr">
        <is>
          <t>PLAYWRIGHT RENDERED OR CHURCH CONTENT API</t>
        </is>
      </c>
      <c r="Z57" s="7" t="inlineStr">
        <is>
          <t>Extract cited verse/range or named document section before assertion; fail if scoped extraction is expected but unavailable.</t>
        </is>
      </c>
      <c r="AA57" s="7" t="inlineStr">
        <is>
          <t>PRIMARY PHRASE TARGET READY</t>
        </is>
      </c>
      <c r="AB57" s="7" t="n"/>
      <c r="AC57" s="7" t="inlineStr">
        <is>
          <t>NO SUPPLEMENTAL URL/TARGET</t>
        </is>
      </c>
    </row>
    <row r="58" ht="15.75" customHeight="1" s="29">
      <c r="A58" s="7" t="inlineStr">
        <is>
          <t>RNR-H57</t>
        </is>
      </c>
      <c r="B58" s="7" t="inlineStr">
        <is>
          <t>Greater dissimilarity than similarity</t>
        </is>
      </c>
      <c r="C58" s="7" t="inlineStr">
        <is>
          <t>D</t>
        </is>
      </c>
      <c r="D58" s="7" t="inlineStr">
        <is>
          <t>Direct divergence when the principle denies strong literal divine-human kinship and ontological continuity.</t>
        </is>
      </c>
      <c r="E58" s="7" t="inlineStr">
        <is>
          <t>DIRECT-PROPOSITION</t>
        </is>
      </c>
      <c r="F58" s="7" t="inlineStr">
        <is>
          <t>Roman Catholic</t>
        </is>
      </c>
      <c r="G58" s="7" t="inlineStr">
        <is>
          <t>Roman Catholic Church</t>
        </is>
      </c>
      <c r="H58" s="7" t="inlineStr">
        <is>
          <t>Catechism of the Catholic Church quoting Lateran IV</t>
        </is>
      </c>
      <c r="I58" s="7" t="inlineStr">
        <is>
          <t>CCC 43 / DS 806</t>
        </is>
      </c>
      <c r="J58" s="7" t="inlineStr">
        <is>
          <t>https://www.vatican.va/content/catechism/en/part_one/section_one/chapter_one/iv_how_can_we_speak_about_god.html</t>
        </is>
      </c>
      <c r="K58" s="7" t="inlineStr">
        <is>
          <t>https://www.vatican.va/content/catechism/en/part_one/section_one/chapter_one/iv_how_can_we_speak_about_god.html</t>
        </is>
      </c>
      <c r="L58" s="7" t="inlineStr">
        <is>
          <t>The Family: A Proclamation to the World</t>
        </is>
      </c>
      <c r="M58" s="7" t="inlineStr">
        <is>
          <t>First Presidency / Quorum of the Twelve collective declaration</t>
        </is>
      </c>
      <c r="N58" s="7" t="inlineStr">
        <is>
          <t>Paragraph 2</t>
        </is>
      </c>
      <c r="O58" s="7" t="inlineStr">
        <is>
          <t>https://www.churchofjesuschrist.org/study/scriptures/the-family-a-proclamation-to-the-world/the-family-a-proclamation-to-the-world?lang=eng</t>
        </is>
      </c>
      <c r="P58" s="7" t="n"/>
      <c r="Q58" s="7" t="inlineStr">
        <is>
          <t>READY</t>
        </is>
      </c>
      <c r="R58" s="9" t="inlineStr">
        <is>
          <t>an even greater dissimilitude</t>
        </is>
      </c>
      <c r="S58" s="9" t="inlineStr">
        <is>
          <t>Direct English magisterial quotation of Lateran IV.</t>
        </is>
      </c>
      <c r="T58" s="9" t="inlineStr">
        <is>
          <t>PHRASE-READY</t>
        </is>
      </c>
      <c r="V58" s="9" t="inlineStr">
        <is>
          <t>FALSE</t>
        </is>
      </c>
      <c r="W58" s="7" t="inlineStr">
        <is>
          <t>a beloved spirit son or daughter of heavenly parents</t>
        </is>
      </c>
      <c r="X58" s="7" t="n">
        <v>9</v>
      </c>
      <c r="Y58" s="7" t="inlineStr">
        <is>
          <t>PLAYWRIGHT RENDERED OR CHURCH CONTENT API</t>
        </is>
      </c>
      <c r="Z58" s="7" t="inlineStr">
        <is>
          <t>Extract cited verse/range or named document section before assertion; fail if scoped extraction is expected but unavailable.</t>
        </is>
      </c>
      <c r="AA58" s="7" t="inlineStr">
        <is>
          <t>AUTHOR-REPLACED — PIPELINE RECHECK REQUIRED</t>
        </is>
      </c>
      <c r="AB58" s="7" t="n"/>
      <c r="AC58" s="7" t="inlineStr">
        <is>
          <t>NO SUPPLEMENTAL URL/TARGET</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8" customWidth="1" style="29" min="2" max="2"/>
    <col width="64" customWidth="1" style="29" min="3" max="3"/>
    <col width="18" customWidth="1" style="29" min="4" max="4"/>
    <col width="15" customWidth="1" style="29" min="5" max="5"/>
    <col width="38" customWidth="1" style="29" min="6" max="6"/>
    <col width="60" customWidth="1" style="29" min="7" max="7"/>
    <col width="42" customWidth="1" style="29" min="8" max="8"/>
    <col width="54" customWidth="1" style="29" min="9" max="9"/>
    <col width="16" customWidth="1" style="29" min="10" max="10"/>
    <col width="58" customWidth="1" style="29" min="11" max="11"/>
    <col width="8.630000000000001" customWidth="1" style="29" min="12" max="26"/>
  </cols>
  <sheetData>
    <row r="1">
      <c r="A1" s="5" t="inlineStr">
        <is>
          <t>Addition ID</t>
        </is>
      </c>
      <c r="B1" s="5" t="inlineStr">
        <is>
          <t>Domain / family</t>
        </is>
      </c>
      <c r="C1" s="5" t="inlineStr">
        <is>
          <t>Normalized Restoration-addition family</t>
        </is>
      </c>
      <c r="D1" s="5" t="inlineStr">
        <is>
          <t>Teaching lens</t>
        </is>
      </c>
      <c r="E1" s="5" t="inlineStr">
        <is>
          <t>Current authority tier</t>
        </is>
      </c>
      <c r="F1" s="5" t="inlineStr">
        <is>
          <t>Authority role</t>
        </is>
      </c>
      <c r="G1" s="5" t="inlineStr">
        <is>
          <t>Official / primary source URL</t>
        </is>
      </c>
      <c r="H1" s="5" t="inlineStr">
        <is>
          <t>Locator</t>
        </is>
      </c>
      <c r="I1" s="5" t="inlineStr">
        <is>
          <t>Evidence note</t>
        </is>
      </c>
      <c r="J1" s="5" t="inlineStr">
        <is>
          <t>Confidence</t>
        </is>
      </c>
      <c r="K1" s="5" t="inlineStr">
        <is>
          <t>Historical-novelty caution</t>
        </is>
      </c>
    </row>
    <row r="2">
      <c r="A2" s="7" t="inlineStr">
        <is>
          <t>RNR-A01</t>
        </is>
      </c>
      <c r="B2" s="7" t="inlineStr">
        <is>
          <t>Deity / Godhead</t>
        </is>
      </c>
      <c r="C2" s="7" t="inlineStr">
        <is>
          <t>The Father is an embodied, tangible, glorified person; humanity is made in His image.</t>
        </is>
      </c>
      <c r="D2" s="7" t="inlineStr">
        <is>
          <t>Expansion</t>
        </is>
      </c>
      <c r="E2" s="7" t="inlineStr">
        <is>
          <t>Tier I</t>
        </is>
      </c>
      <c r="F2" s="7" t="inlineStr">
        <is>
          <t>Canonical scripture</t>
        </is>
      </c>
      <c r="G2" s="7" t="inlineStr">
        <is>
          <t>https://www.churchofjesuschrist.org/study/scriptures/dc-testament/dc/130?lang=eng</t>
        </is>
      </c>
      <c r="H2" s="7" t="inlineStr">
        <is>
          <t>D&amp;C 130:22</t>
        </is>
      </c>
      <c r="I2" s="7" t="inlineStr">
        <is>
          <t>Direct canonical statement</t>
        </is>
      </c>
      <c r="J2" s="7" t="inlineStr">
        <is>
          <t>High</t>
        </is>
      </c>
      <c r="K2" s="7" t="inlineStr">
        <is>
          <t>Counted relative to the creeds and confessions studied; whether earlier Christians taught something similar is a separate question.</t>
        </is>
      </c>
    </row>
    <row r="3">
      <c r="A3" s="7" t="inlineStr">
        <is>
          <t>RNR-A02</t>
        </is>
      </c>
      <c r="B3" s="7" t="inlineStr">
        <is>
          <t>Deity / Godhead</t>
        </is>
      </c>
      <c r="C3" s="7" t="inlineStr">
        <is>
          <t>Father presides within the Godhead.</t>
        </is>
      </c>
      <c r="D3" s="7" t="inlineStr">
        <is>
          <t>Expansion</t>
        </is>
      </c>
      <c r="E3" s="7" t="inlineStr">
        <is>
          <t>Tier II</t>
        </is>
      </c>
      <c r="F3" s="7" t="inlineStr">
        <is>
          <t>Collective / strongly authoritative official doctrine</t>
        </is>
      </c>
      <c r="G3" s="7" t="inlineStr">
        <is>
          <t>https://www.churchofjesuschrist.org/study/manual/gospel-topics/godhead?lang=eng</t>
        </is>
      </c>
      <c r="H3" s="7" t="inlineStr">
        <is>
          <t>Gospel Topics: Godhead</t>
        </is>
      </c>
      <c r="I3" s="7" t="inlineStr">
        <is>
          <t>Official summary</t>
        </is>
      </c>
      <c r="J3" s="7" t="inlineStr">
        <is>
          <t>Medium-High</t>
        </is>
      </c>
      <c r="K3" s="7" t="inlineStr">
        <is>
          <t>Counted relative to the creeds and confessions studied; whether earlier Christians taught something similar is a separate question.</t>
        </is>
      </c>
    </row>
    <row r="4">
      <c r="A4" s="7" t="inlineStr">
        <is>
          <t>RNR-A03</t>
        </is>
      </c>
      <c r="B4" s="7" t="inlineStr">
        <is>
          <t>Deity / Godhead</t>
        </is>
      </c>
      <c r="C4" s="7" t="inlineStr">
        <is>
          <t>God is personally present in one place at a time, while His light, knowledge, power, and governance fill all creation.</t>
        </is>
      </c>
      <c r="D4" s="7" t="inlineStr">
        <is>
          <t>Expansion</t>
        </is>
      </c>
      <c r="E4" s="7" t="inlineStr">
        <is>
          <t>Tier I</t>
        </is>
      </c>
      <c r="F4" s="7" t="inlineStr">
        <is>
          <t>Canonical scripture</t>
        </is>
      </c>
      <c r="G4" s="7" t="inlineStr">
        <is>
          <t>https://www.churchofjesuschrist.org/study/scriptures/dc-testament/dc/88?lang=eng</t>
        </is>
      </c>
      <c r="H4" s="7" t="inlineStr">
        <is>
          <t>D&amp;C 88:6–13; 130:22</t>
        </is>
      </c>
      <c r="I4" s="7" t="inlineStr">
        <is>
          <t>Composite canonical inference</t>
        </is>
      </c>
      <c r="J4" s="7" t="inlineStr">
        <is>
          <t>High</t>
        </is>
      </c>
      <c r="K4" s="7" t="inlineStr">
        <is>
          <t>Counted relative to the creeds and confessions studied; whether earlier Christians taught something similar is a separate question.</t>
        </is>
      </c>
    </row>
    <row r="5">
      <c r="A5" s="7" t="inlineStr">
        <is>
          <t>RNR-A04</t>
        </is>
      </c>
      <c r="B5" s="7" t="inlineStr">
        <is>
          <t>Deity / Godhead</t>
        </is>
      </c>
      <c r="C5" s="7" t="inlineStr">
        <is>
          <t>God the Father was once as humanity now is and is an exalted man.</t>
        </is>
      </c>
      <c r="D5" s="7" t="inlineStr">
        <is>
          <t>Expansion</t>
        </is>
      </c>
      <c r="E5" s="7" t="inlineStr">
        <is>
          <t>Tier III</t>
        </is>
      </c>
      <c r="F5" s="7" t="inlineStr">
        <is>
          <t>Attributable prophetic / apostolic exposition</t>
        </is>
      </c>
      <c r="G5" s="7" t="inlineStr">
        <is>
          <t>https://www.churchofjesuschrist.org/study/manual/doctrines-of-the-gospel/chapter-3?lang=eng</t>
        </is>
      </c>
      <c r="H5" s="7" t="inlineStr">
        <is>
          <t>Joseph Smith, King Follett discourse; Doctrines of the Gospel ch. 3</t>
        </is>
      </c>
      <c r="I5" s="7" t="inlineStr">
        <is>
          <t>Prophetic exposition</t>
        </is>
      </c>
      <c r="J5" s="7" t="inlineStr">
        <is>
          <t>Medium-High</t>
        </is>
      </c>
      <c r="K5"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6">
      <c r="A6" s="7" t="inlineStr">
        <is>
          <t>RNR-A05</t>
        </is>
      </c>
      <c r="B6" s="7" t="inlineStr">
        <is>
          <t>Deity / Godhead</t>
        </is>
      </c>
      <c r="C6" s="7" t="inlineStr">
        <is>
          <t>God the Father had a Father, implying antecedent divine lineage while leaving the mechanics unrevealed.</t>
        </is>
      </c>
      <c r="D6" s="7" t="inlineStr">
        <is>
          <t>Expansion</t>
        </is>
      </c>
      <c r="E6" s="7" t="inlineStr">
        <is>
          <t>Tier III</t>
        </is>
      </c>
      <c r="F6" s="7" t="inlineStr">
        <is>
          <t>Attributable prophetic / apostolic exposition</t>
        </is>
      </c>
      <c r="G6" s="7" t="inlineStr">
        <is>
          <t>https://www.josephsmithpapers.org/paper-summary/history-1838-1856-volume-f-1-1-may-1844-8-august-1844/109</t>
        </is>
      </c>
      <c r="H6" s="7" t="inlineStr">
        <is>
          <t>Joseph Smith, Sermon in the Grove, 16 June 1844</t>
        </is>
      </c>
      <c r="I6" s="7" t="inlineStr">
        <is>
          <t>Attributable exposition; mechanics unrevealed</t>
        </is>
      </c>
      <c r="J6" s="7" t="inlineStr">
        <is>
          <t>Medium</t>
        </is>
      </c>
      <c r="K6"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7">
      <c r="A7" s="7" t="inlineStr">
        <is>
          <t>RNR-A06</t>
        </is>
      </c>
      <c r="B7" s="7" t="inlineStr">
        <is>
          <t>Divine-human kinship / premortality</t>
        </is>
      </c>
      <c r="C7" s="7" t="inlineStr">
        <is>
          <t>Humans are literal spirit children of Heavenly Parents.</t>
        </is>
      </c>
      <c r="D7" s="7" t="inlineStr">
        <is>
          <t>Expansion</t>
        </is>
      </c>
      <c r="E7" s="7" t="inlineStr">
        <is>
          <t>Tier II</t>
        </is>
      </c>
      <c r="F7" s="7" t="inlineStr">
        <is>
          <t>Collective / strongly authoritative official doctrine</t>
        </is>
      </c>
      <c r="G7" s="7" t="inlineStr">
        <is>
          <t>https://www.churchofjesuschrist.org/study/manual/eternal-marriage-student-manual/the-family-a-proclamation?lang=eng</t>
        </is>
      </c>
      <c r="H7" s="7" t="inlineStr">
        <is>
          <t>The Family: A Proclamation to the World, para. 2</t>
        </is>
      </c>
      <c r="I7" s="7" t="inlineStr">
        <is>
          <t>Collective official declaration</t>
        </is>
      </c>
      <c r="J7" s="7" t="inlineStr">
        <is>
          <t>High</t>
        </is>
      </c>
      <c r="K7" s="7" t="inlineStr">
        <is>
          <t>Counted relative to the creeds and confessions studied; whether earlier Christians taught something similar is a separate question.</t>
        </is>
      </c>
    </row>
    <row r="8">
      <c r="A8" s="7" t="inlineStr">
        <is>
          <t>RNR-A07</t>
        </is>
      </c>
      <c r="B8" s="7" t="inlineStr">
        <is>
          <t>Divine-human kinship / premortality</t>
        </is>
      </c>
      <c r="C8" s="7" t="inlineStr">
        <is>
          <t>Heavenly Mother exists as a divine parent.</t>
        </is>
      </c>
      <c r="D8" s="7" t="inlineStr">
        <is>
          <t>Expansion</t>
        </is>
      </c>
      <c r="E8" s="7" t="inlineStr">
        <is>
          <t>Tier II</t>
        </is>
      </c>
      <c r="F8" s="7" t="inlineStr">
        <is>
          <t>Collective / strongly authoritative official doctrine</t>
        </is>
      </c>
      <c r="G8" s="7" t="inlineStr">
        <is>
          <t>https://www.churchofjesuschrist.org/study/manual/gospel-topics-essays/mother-in-heaven?lang=eng</t>
        </is>
      </c>
      <c r="H8" s="7" t="inlineStr">
        <is>
          <t>Gospel Topics Essay: Mother in Heaven</t>
        </is>
      </c>
      <c r="I8" s="7" t="inlineStr">
        <is>
          <t>Official essay and collective declarations</t>
        </is>
      </c>
      <c r="J8" s="7" t="inlineStr">
        <is>
          <t>High</t>
        </is>
      </c>
      <c r="K8" s="7" t="inlineStr">
        <is>
          <t>Early feminine/maternal Spirit language is only remote divine-maternal imagery, not a close Heavenly Mother/divine co-parent analogue.</t>
        </is>
      </c>
    </row>
    <row r="9">
      <c r="A9" s="7" t="inlineStr">
        <is>
          <t>RNR-A08</t>
        </is>
      </c>
      <c r="B9" s="7" t="inlineStr">
        <is>
          <t>Divine-human kinship / premortality</t>
        </is>
      </c>
      <c r="C9" s="7" t="inlineStr">
        <is>
          <t>Human beings possessed personal premortal existence.</t>
        </is>
      </c>
      <c r="D9" s="7" t="inlineStr">
        <is>
          <t>Expansion</t>
        </is>
      </c>
      <c r="E9" s="7" t="inlineStr">
        <is>
          <t>Tier I</t>
        </is>
      </c>
      <c r="F9" s="7" t="inlineStr">
        <is>
          <t>Canonical scripture</t>
        </is>
      </c>
      <c r="G9" s="7" t="inlineStr">
        <is>
          <t>https://www.churchofjesuschrist.org/study/scriptures/pgp/abr/3?lang=eng</t>
        </is>
      </c>
      <c r="H9" s="7" t="inlineStr">
        <is>
          <t>Abraham 3:22–28; D&amp;C 138:56</t>
        </is>
      </c>
      <c r="I9" s="7" t="inlineStr">
        <is>
          <t>Direct canonical support</t>
        </is>
      </c>
      <c r="J9" s="7" t="inlineStr">
        <is>
          <t>High</t>
        </is>
      </c>
      <c r="K9" s="7" t="inlineStr">
        <is>
          <t>Counted relative to the creeds and confessions studied; whether earlier Christians taught something similar is a separate question.</t>
        </is>
      </c>
    </row>
    <row r="10">
      <c r="A10" s="7" t="inlineStr">
        <is>
          <t>RNR-A09</t>
        </is>
      </c>
      <c r="B10" s="7" t="inlineStr">
        <is>
          <t>Divine-human kinship / premortality</t>
        </is>
      </c>
      <c r="C10" s="7" t="inlineStr">
        <is>
          <t>Gender is an essential characteristic of premortal, mortal, and eternal identity.</t>
        </is>
      </c>
      <c r="D10" s="7" t="inlineStr">
        <is>
          <t>Expansion</t>
        </is>
      </c>
      <c r="E10" s="7" t="inlineStr">
        <is>
          <t>Tier II</t>
        </is>
      </c>
      <c r="F10" s="7" t="inlineStr">
        <is>
          <t>Collective / strongly authoritative official doctrine</t>
        </is>
      </c>
      <c r="G10" s="7" t="inlineStr">
        <is>
          <t>https://www.churchofjesuschrist.org/study/manual/eternal-marriage-student-manual/the-family-a-proclamation?lang=eng</t>
        </is>
      </c>
      <c r="H10" s="7" t="inlineStr">
        <is>
          <t>The Family: A Proclamation to the World, para. 2</t>
        </is>
      </c>
      <c r="I10" s="7" t="inlineStr">
        <is>
          <t>Collective official declaration</t>
        </is>
      </c>
      <c r="J10" s="7" t="inlineStr">
        <is>
          <t>High</t>
        </is>
      </c>
      <c r="K10" s="7" t="inlineStr">
        <is>
          <t>Counted relative to the creeds and confessions studied; whether earlier Christians taught something similar is a separate question.</t>
        </is>
      </c>
    </row>
    <row r="11">
      <c r="A11" s="7" t="inlineStr">
        <is>
          <t>RNR-A10</t>
        </is>
      </c>
      <c r="B11" s="7" t="inlineStr">
        <is>
          <t>Divine-human kinship / premortality</t>
        </is>
      </c>
      <c r="C11" s="7" t="inlineStr">
        <is>
          <t>Human intelligence is uncreated/unmade and beginningless in a fundamental sense.</t>
        </is>
      </c>
      <c r="D11" s="7" t="inlineStr">
        <is>
          <t>Expansion</t>
        </is>
      </c>
      <c r="E11" s="7" t="inlineStr">
        <is>
          <t>Tier I</t>
        </is>
      </c>
      <c r="F11" s="7" t="inlineStr">
        <is>
          <t>Canonical scripture</t>
        </is>
      </c>
      <c r="G11" s="7" t="inlineStr">
        <is>
          <t>https://www.churchofjesuschrist.org/study/scriptures/dc-testament/dc/93?lang=eng</t>
        </is>
      </c>
      <c r="H11" s="7" t="inlineStr">
        <is>
          <t>D&amp;C 93:29–30</t>
        </is>
      </c>
      <c r="I11" s="7" t="inlineStr">
        <is>
          <t>Direct canonical statement with ontology caution</t>
        </is>
      </c>
      <c r="J11" s="7" t="inlineStr">
        <is>
          <t>High</t>
        </is>
      </c>
      <c r="K11" s="7" t="inlineStr">
        <is>
          <t>Counted relative to the creeds and confessions studied; whether earlier Christians taught something similar is a separate question.</t>
        </is>
      </c>
    </row>
    <row r="12">
      <c r="A12" s="7" t="inlineStr">
        <is>
          <t>RNR-A11</t>
        </is>
      </c>
      <c r="B12" s="7" t="inlineStr">
        <is>
          <t>Divine-human kinship / premortality</t>
        </is>
      </c>
      <c r="C12" s="7" t="inlineStr">
        <is>
          <t>Human divine nature and potential arise from literal heavenly parentage.</t>
        </is>
      </c>
      <c r="D12" s="7" t="inlineStr">
        <is>
          <t>Expansion</t>
        </is>
      </c>
      <c r="E12" s="7" t="inlineStr">
        <is>
          <t>Tier II</t>
        </is>
      </c>
      <c r="F12" s="7" t="inlineStr">
        <is>
          <t>Collective / strongly authoritative official doctrine</t>
        </is>
      </c>
      <c r="G12" s="7" t="inlineStr">
        <is>
          <t>https://www.churchofjesuschrist.org/study/manual/eternal-marriage-student-manual/the-family-a-proclamation?lang=eng</t>
        </is>
      </c>
      <c r="H12" s="7" t="inlineStr">
        <is>
          <t>The Family: A Proclamation to the World, para. 2</t>
        </is>
      </c>
      <c r="I12" s="7" t="inlineStr">
        <is>
          <t>Collective official declaration</t>
        </is>
      </c>
      <c r="J12" s="7" t="inlineStr">
        <is>
          <t>High</t>
        </is>
      </c>
      <c r="K12" s="7" t="inlineStr">
        <is>
          <t>Counted relative to the creeds and confessions studied; whether earlier Christians taught something similar is a separate question.</t>
        </is>
      </c>
    </row>
    <row r="13">
      <c r="A13" s="7" t="inlineStr">
        <is>
          <t>RNR-A12</t>
        </is>
      </c>
      <c r="B13" s="7" t="inlineStr">
        <is>
          <t>Divine-human kinship / premortality</t>
        </is>
      </c>
      <c r="C13" s="7" t="inlineStr">
        <is>
          <t>Christ is the Firstborn spirit Son and stands in genuine familial relation to the Father's other spirit children while remaining uniquely Savior and Redeemer.</t>
        </is>
      </c>
      <c r="D13" s="7" t="inlineStr">
        <is>
          <t>Expansion</t>
        </is>
      </c>
      <c r="E13" s="7" t="inlineStr">
        <is>
          <t>Tier II</t>
        </is>
      </c>
      <c r="F13" s="7" t="inlineStr">
        <is>
          <t>Collective / strongly authoritative official doctrine</t>
        </is>
      </c>
      <c r="G13" s="7" t="inlineStr">
        <is>
          <t>https://www.churchofjesuschrist.org/study/manual/eternal-marriage-student-manual/jesus-christ?lang=eng</t>
        </is>
      </c>
      <c r="H13" s="7" t="inlineStr">
        <is>
          <t>The Living Christ; D&amp;C 93:21; official doctrinal manuals</t>
        </is>
      </c>
      <c r="I13" s="7" t="inlineStr">
        <is>
          <t>Collective testimony plus canon</t>
        </is>
      </c>
      <c r="J13" s="7" t="inlineStr">
        <is>
          <t>High</t>
        </is>
      </c>
      <c r="K13" s="7" t="inlineStr">
        <is>
          <t>Counted relative to the creeds and confessions studied; whether earlier Christians taught something similar is a separate question.</t>
        </is>
      </c>
    </row>
    <row r="14">
      <c r="A14" s="7" t="inlineStr">
        <is>
          <t>RNR-A13</t>
        </is>
      </c>
      <c r="B14" s="7" t="inlineStr">
        <is>
          <t>Cosmology / ontology / embodiment</t>
        </is>
      </c>
      <c r="C14" s="7" t="inlineStr">
        <is>
          <t>Elements are eternal.</t>
        </is>
      </c>
      <c r="D14" s="7" t="inlineStr">
        <is>
          <t>Expansion</t>
        </is>
      </c>
      <c r="E14" s="7" t="inlineStr">
        <is>
          <t>Tier I</t>
        </is>
      </c>
      <c r="F14" s="7" t="inlineStr">
        <is>
          <t>Canonical scripture</t>
        </is>
      </c>
      <c r="G14" s="7" t="inlineStr">
        <is>
          <t>https://www.churchofjesuschrist.org/study/scriptures/dc-testament/dc/93?lang=eng</t>
        </is>
      </c>
      <c r="H14" s="7" t="inlineStr">
        <is>
          <t>D&amp;C 93:33</t>
        </is>
      </c>
      <c r="I14" s="7" t="inlineStr">
        <is>
          <t>Direct canonical statement</t>
        </is>
      </c>
      <c r="J14" s="7" t="inlineStr">
        <is>
          <t>High</t>
        </is>
      </c>
      <c r="K14" s="7" t="inlineStr">
        <is>
          <t>Counted relative to the creeds and confessions studied; whether earlier Christians taught something similar is a separate question.</t>
        </is>
      </c>
    </row>
    <row r="15">
      <c r="A15" s="7" t="inlineStr">
        <is>
          <t>RNR-A14</t>
        </is>
      </c>
      <c r="B15" s="7" t="inlineStr">
        <is>
          <t>Cosmology / ontology / embodiment</t>
        </is>
      </c>
      <c r="C15" s="7" t="inlineStr">
        <is>
          <t>Spirit is refined matter rather than immaterial substance.</t>
        </is>
      </c>
      <c r="D15" s="7" t="inlineStr">
        <is>
          <t>Expansion</t>
        </is>
      </c>
      <c r="E15" s="7" t="inlineStr">
        <is>
          <t>Tier I</t>
        </is>
      </c>
      <c r="F15" s="7" t="inlineStr">
        <is>
          <t>Canonical scripture</t>
        </is>
      </c>
      <c r="G15" s="7" t="inlineStr">
        <is>
          <t>https://www.churchofjesuschrist.org/study/scriptures/dc-testament/dc/131?lang=eng</t>
        </is>
      </c>
      <c r="H15" s="7" t="inlineStr">
        <is>
          <t>D&amp;C 131:7–8</t>
        </is>
      </c>
      <c r="I15" s="7" t="inlineStr">
        <is>
          <t>Direct canonical statement</t>
        </is>
      </c>
      <c r="J15" s="7" t="inlineStr">
        <is>
          <t>High</t>
        </is>
      </c>
      <c r="K15" s="7" t="inlineStr">
        <is>
          <t>Counted relative to the creeds and confessions studied; whether earlier Christians taught something similar is a separate question.</t>
        </is>
      </c>
    </row>
    <row r="16">
      <c r="A16" s="7" t="inlineStr">
        <is>
          <t>RNR-A15</t>
        </is>
      </c>
      <c r="B16" s="7" t="inlineStr">
        <is>
          <t>Cosmology / ontology / embodiment</t>
        </is>
      </c>
      <c r="C16" s="7" t="inlineStr">
        <is>
          <t>Divine creation organizes preexistent reality rather than creating all constituent reality from absolute nothing.</t>
        </is>
      </c>
      <c r="D16" s="7" t="inlineStr">
        <is>
          <t>Expansion</t>
        </is>
      </c>
      <c r="E16" s="7" t="inlineStr">
        <is>
          <t>Tier I</t>
        </is>
      </c>
      <c r="F16" s="7" t="inlineStr">
        <is>
          <t>Canonical scripture</t>
        </is>
      </c>
      <c r="G16" s="7" t="inlineStr">
        <is>
          <t>https://www.churchofjesuschrist.org/study/scriptures/pgp/abr/3?lang=eng</t>
        </is>
      </c>
      <c r="H16" s="7" t="inlineStr">
        <is>
          <t>Abraham 3:24; D&amp;C 93:29, 33</t>
        </is>
      </c>
      <c r="I16" s="7" t="inlineStr">
        <is>
          <t>Composite canonical inference</t>
        </is>
      </c>
      <c r="J16" s="7" t="inlineStr">
        <is>
          <t>High</t>
        </is>
      </c>
      <c r="K16" s="7" t="inlineStr">
        <is>
          <t>Counted relative to the creeds and confessions studied; whether earlier Christians taught something similar is a separate question.</t>
        </is>
      </c>
    </row>
    <row r="17">
      <c r="A17" s="7" t="inlineStr">
        <is>
          <t>RNR-A16</t>
        </is>
      </c>
      <c r="B17" s="7" t="inlineStr">
        <is>
          <t>Cosmology / ontology / embodiment</t>
        </is>
      </c>
      <c r="C17" s="7" t="inlineStr">
        <is>
          <t>The Light of Christ fills the immensity of space and functions as life, law, illumination, divine power, and governance.</t>
        </is>
      </c>
      <c r="D17" s="7" t="inlineStr">
        <is>
          <t>Expansion</t>
        </is>
      </c>
      <c r="E17" s="7" t="inlineStr">
        <is>
          <t>Tier I</t>
        </is>
      </c>
      <c r="F17" s="7" t="inlineStr">
        <is>
          <t>Canonical scripture</t>
        </is>
      </c>
      <c r="G17" s="7" t="inlineStr">
        <is>
          <t>https://www.churchofjesuschrist.org/study/scriptures/dc-testament/dc/88?lang=eng</t>
        </is>
      </c>
      <c r="H17" s="7" t="inlineStr">
        <is>
          <t>D&amp;C 88:6–13</t>
        </is>
      </c>
      <c r="I17" s="7" t="inlineStr">
        <is>
          <t>Direct canonical cluster</t>
        </is>
      </c>
      <c r="J17" s="7" t="inlineStr">
        <is>
          <t>High</t>
        </is>
      </c>
      <c r="K17" s="7" t="inlineStr">
        <is>
          <t>Counted relative to the creeds and confessions studied; whether earlier Christians taught something similar is a separate question.</t>
        </is>
      </c>
    </row>
    <row r="18">
      <c r="A18" s="7" t="inlineStr">
        <is>
          <t>RNR-A17</t>
        </is>
      </c>
      <c r="B18" s="7" t="inlineStr">
        <is>
          <t>Cosmology / ontology / embodiment</t>
        </is>
      </c>
      <c r="C18" s="7" t="inlineStr">
        <is>
          <t>Spirit and element permanently and inseparably united constitute the condition for fulness of joy.</t>
        </is>
      </c>
      <c r="D18" s="7" t="inlineStr">
        <is>
          <t>Expansion</t>
        </is>
      </c>
      <c r="E18" s="7" t="inlineStr">
        <is>
          <t>Tier I</t>
        </is>
      </c>
      <c r="F18" s="7" t="inlineStr">
        <is>
          <t>Canonical scripture</t>
        </is>
      </c>
      <c r="G18" s="7" t="inlineStr">
        <is>
          <t>https://www.churchofjesuschrist.org/study/scriptures/dc-testament/dc/93?lang=eng</t>
        </is>
      </c>
      <c r="H18" s="7" t="inlineStr">
        <is>
          <t>D&amp;C 93:33–35</t>
        </is>
      </c>
      <c r="I18" s="7" t="inlineStr">
        <is>
          <t>Direct canonical statement</t>
        </is>
      </c>
      <c r="J18" s="7" t="inlineStr">
        <is>
          <t>High</t>
        </is>
      </c>
      <c r="K18" s="7" t="inlineStr">
        <is>
          <t>Counted relative to the creeds and confessions studied; whether earlier Christians taught something similar is a separate question.</t>
        </is>
      </c>
    </row>
    <row r="19">
      <c r="A19" s="7" t="inlineStr">
        <is>
          <t>RNR-A18</t>
        </is>
      </c>
      <c r="B19" s="7" t="inlineStr">
        <is>
          <t>Cosmology / ontology / embodiment</t>
        </is>
      </c>
      <c r="C19" s="7" t="inlineStr">
        <is>
          <t>Mortal social relationships can continue eternally when sealed and transformed by eternal glory.</t>
        </is>
      </c>
      <c r="D19" s="7" t="inlineStr">
        <is>
          <t>Expansion</t>
        </is>
      </c>
      <c r="E19" s="7" t="inlineStr">
        <is>
          <t>Tier I</t>
        </is>
      </c>
      <c r="F19" s="7" t="inlineStr">
        <is>
          <t>Canonical scripture</t>
        </is>
      </c>
      <c r="G19" s="7" t="inlineStr">
        <is>
          <t>https://www.churchofjesuschrist.org/study/scriptures/dc-testament/dc/130?lang=eng</t>
        </is>
      </c>
      <c r="H19" s="7" t="inlineStr">
        <is>
          <t>D&amp;C 130:2; 132:7, 19</t>
        </is>
      </c>
      <c r="I19" s="7" t="inlineStr">
        <is>
          <t>Direct canonical support; Family Proclamation supportive but not necessary</t>
        </is>
      </c>
      <c r="J19" s="7" t="inlineStr">
        <is>
          <t>High</t>
        </is>
      </c>
      <c r="K19" s="7" t="inlineStr">
        <is>
          <t>Counted relative to the creeds and confessions studied; whether earlier Christians taught something similar is a separate question.</t>
        </is>
      </c>
    </row>
    <row r="20">
      <c r="A20" s="7" t="inlineStr">
        <is>
          <t>RNR-A19</t>
        </is>
      </c>
      <c r="B20" s="7" t="inlineStr">
        <is>
          <t>Exaltation / eternal family / progression</t>
        </is>
      </c>
      <c r="C20" s="7" t="inlineStr">
        <is>
          <t>Human beings may receive divine fulness and become like God, canonically described as becoming gods.</t>
        </is>
      </c>
      <c r="D20" s="7" t="inlineStr">
        <is>
          <t>Expansion</t>
        </is>
      </c>
      <c r="E20" s="7" t="inlineStr">
        <is>
          <t>Tier I</t>
        </is>
      </c>
      <c r="F20" s="7" t="inlineStr">
        <is>
          <t>Canonical scripture</t>
        </is>
      </c>
      <c r="G20" s="7" t="inlineStr">
        <is>
          <t>https://www.churchofjesuschrist.org/study/scriptures/dc-testament/dc/132?lang=eng</t>
        </is>
      </c>
      <c r="H20" s="7" t="inlineStr">
        <is>
          <t>D&amp;C 132:19–20; 76:58; John 10:34–36</t>
        </is>
      </c>
      <c r="I20" s="7" t="inlineStr">
        <is>
          <t>Direct canonical statements</t>
        </is>
      </c>
      <c r="J20" s="7" t="inlineStr">
        <is>
          <t>High</t>
        </is>
      </c>
      <c r="K20" s="7" t="inlineStr">
        <is>
          <t>Counted relative to the creeds and confessions studied; whether earlier Christians taught something similar is a separate question.</t>
        </is>
      </c>
    </row>
    <row r="21" ht="15.75" customHeight="1" s="29">
      <c r="A21" s="7" t="inlineStr">
        <is>
          <t>RNR-A20</t>
        </is>
      </c>
      <c r="B21" s="7" t="inlineStr">
        <is>
          <t>Exaltation / eternal family / progression</t>
        </is>
      </c>
      <c r="C21" s="7" t="inlineStr">
        <is>
          <t>Celestial marriage continues eternally.</t>
        </is>
      </c>
      <c r="D21" s="7" t="inlineStr">
        <is>
          <t>Expansion</t>
        </is>
      </c>
      <c r="E21" s="7" t="inlineStr">
        <is>
          <t>Tier I</t>
        </is>
      </c>
      <c r="F21" s="7" t="inlineStr">
        <is>
          <t>Canonical scripture</t>
        </is>
      </c>
      <c r="G21" s="7" t="inlineStr">
        <is>
          <t>https://www.churchofjesuschrist.org/study/scriptures/dc-testament/dc/132?lang=eng</t>
        </is>
      </c>
      <c r="H21" s="7" t="inlineStr">
        <is>
          <t>D&amp;C 132:19</t>
        </is>
      </c>
      <c r="I21" s="7" t="inlineStr">
        <is>
          <t>Direct canonical statement</t>
        </is>
      </c>
      <c r="J21" s="7" t="inlineStr">
        <is>
          <t>High</t>
        </is>
      </c>
      <c r="K21" s="7" t="inlineStr">
        <is>
          <t>Counted relative to the creeds and confessions studied; whether earlier Christians taught something similar is a separate question.</t>
        </is>
      </c>
    </row>
    <row r="22" ht="15.75" customHeight="1" s="29">
      <c r="A22" s="7" t="inlineStr">
        <is>
          <t>RNR-A21</t>
        </is>
      </c>
      <c r="B22" s="7" t="inlineStr">
        <is>
          <t>Exaltation / eternal family / progression</t>
        </is>
      </c>
      <c r="C22" s="7" t="inlineStr">
        <is>
          <t>Celestial marriage is required for the highest degree of exaltation.</t>
        </is>
      </c>
      <c r="D22" s="7" t="inlineStr">
        <is>
          <t>Expansion</t>
        </is>
      </c>
      <c r="E22" s="7" t="inlineStr">
        <is>
          <t>Tier I</t>
        </is>
      </c>
      <c r="F22" s="7" t="inlineStr">
        <is>
          <t>Canonical scripture</t>
        </is>
      </c>
      <c r="G22" s="7" t="inlineStr">
        <is>
          <t>https://www.churchofjesuschrist.org/study/scriptures/dc-testament/dc/131?lang=eng</t>
        </is>
      </c>
      <c r="H22" s="7" t="inlineStr">
        <is>
          <t>D&amp;C 131:1–4</t>
        </is>
      </c>
      <c r="I22" s="7" t="inlineStr">
        <is>
          <t>Direct canonical statement</t>
        </is>
      </c>
      <c r="J22" s="7" t="inlineStr">
        <is>
          <t>High</t>
        </is>
      </c>
      <c r="K22" s="7" t="inlineStr">
        <is>
          <t>Counted relative to the creeds and confessions studied; whether earlier Christians taught something similar is a separate question.</t>
        </is>
      </c>
    </row>
    <row r="23" ht="15.75" customHeight="1" s="29">
      <c r="A23" s="7" t="inlineStr">
        <is>
          <t>RNR-A22</t>
        </is>
      </c>
      <c r="B23" s="7" t="inlineStr">
        <is>
          <t>Exaltation / eternal family / progression</t>
        </is>
      </c>
      <c r="C23" s="7" t="inlineStr">
        <is>
          <t>Family relationships can be perpetuated eternally.</t>
        </is>
      </c>
      <c r="D23" s="7" t="inlineStr">
        <is>
          <t>Expansion</t>
        </is>
      </c>
      <c r="E23" s="7" t="inlineStr">
        <is>
          <t>Tier I</t>
        </is>
      </c>
      <c r="F23" s="7" t="inlineStr">
        <is>
          <t>Canonical scripture</t>
        </is>
      </c>
      <c r="G23" s="7" t="inlineStr">
        <is>
          <t>https://www.churchofjesuschrist.org/study/scriptures/dc-testament/dc/132?lang=eng</t>
        </is>
      </c>
      <c r="H23" s="7" t="inlineStr">
        <is>
          <t>D&amp;C 132:7, 19</t>
        </is>
      </c>
      <c r="I23" s="7" t="inlineStr">
        <is>
          <t>Direct canonical support</t>
        </is>
      </c>
      <c r="J23" s="7" t="inlineStr">
        <is>
          <t>High</t>
        </is>
      </c>
      <c r="K23" s="7" t="inlineStr">
        <is>
          <t>Counted relative to the creeds and confessions studied; whether earlier Christians taught something similar is a separate question.</t>
        </is>
      </c>
    </row>
    <row r="24" ht="15.75" customHeight="1" s="29">
      <c r="A24" s="7" t="inlineStr">
        <is>
          <t>RNR-A23</t>
        </is>
      </c>
      <c r="B24" s="7" t="inlineStr">
        <is>
          <t>Exaltation / eternal family / progression</t>
        </is>
      </c>
      <c r="C24" s="7" t="inlineStr">
        <is>
          <t>Exalted spouses receive continuation of the seeds / eternal increase.</t>
        </is>
      </c>
      <c r="D24" s="7" t="inlineStr">
        <is>
          <t>Expansion</t>
        </is>
      </c>
      <c r="E24" s="7" t="inlineStr">
        <is>
          <t>Tier I</t>
        </is>
      </c>
      <c r="F24" s="7" t="inlineStr">
        <is>
          <t>Canonical scripture</t>
        </is>
      </c>
      <c r="G24" s="7" t="inlineStr">
        <is>
          <t>https://www.churchofjesuschrist.org/study/scriptures/dc-testament/dc/132?lang=eng</t>
        </is>
      </c>
      <c r="H24" s="7" t="inlineStr">
        <is>
          <t>D&amp;C 132:19, 30–31</t>
        </is>
      </c>
      <c r="I24" s="7" t="inlineStr">
        <is>
          <t>Direct canonical language</t>
        </is>
      </c>
      <c r="J24" s="7" t="inlineStr">
        <is>
          <t>High</t>
        </is>
      </c>
      <c r="K24" s="7" t="inlineStr">
        <is>
          <t>Counted relative to the creeds and confessions studied; whether earlier Christians taught something similar is a separate question.</t>
        </is>
      </c>
    </row>
    <row r="25" ht="15.75" customHeight="1" s="29">
      <c r="A25" s="7" t="inlineStr">
        <is>
          <t>RNR-A24</t>
        </is>
      </c>
      <c r="B25" s="7" t="inlineStr">
        <is>
          <t>Exaltation / eternal family / progression</t>
        </is>
      </c>
      <c r="C25" s="7" t="inlineStr">
        <is>
          <t>Resurrected and glorified exalted beings become parents of spirit offspring.</t>
        </is>
      </c>
      <c r="D25" s="7" t="inlineStr">
        <is>
          <t>Expansion</t>
        </is>
      </c>
      <c r="E25" s="7" t="inlineStr">
        <is>
          <t>Tier II</t>
        </is>
      </c>
      <c r="F25" s="7" t="inlineStr">
        <is>
          <t>Collective / strongly authoritative official doctrine</t>
        </is>
      </c>
      <c r="G25" s="7" t="inlineStr">
        <is>
          <t>https://www.churchofjesuschrist.org/study/manual/gospel-principles/chapter-47-exaltation?lang=eng</t>
        </is>
      </c>
      <c r="H25" s="7" t="inlineStr">
        <is>
          <t>Gospel Principles ch. 47; related official curriculum</t>
        </is>
      </c>
      <c r="I25" s="7" t="inlineStr">
        <is>
          <t>Official doctrinal curriculum; mechanism unrevealed</t>
        </is>
      </c>
      <c r="J25" s="7" t="inlineStr">
        <is>
          <t>Medium-High</t>
        </is>
      </c>
      <c r="K25" s="7" t="inlineStr">
        <is>
          <t>Eternal procreative parenthood is taught in the project source set; detailed mechanism is unrevealed.</t>
        </is>
      </c>
    </row>
    <row r="26" ht="15.75" customHeight="1" s="29">
      <c r="A26" s="7" t="inlineStr">
        <is>
          <t>RNR-A25</t>
        </is>
      </c>
      <c r="B26" s="7" t="inlineStr">
        <is>
          <t>Exaltation / eternal family / progression</t>
        </is>
      </c>
      <c r="C26" s="7" t="inlineStr">
        <is>
          <t>Their spirit offspring subsequently pass through estates corresponding to those through which their glorified parents attained exaltation.</t>
        </is>
      </c>
      <c r="D26" s="7" t="inlineStr">
        <is>
          <t>Expansion</t>
        </is>
      </c>
      <c r="E26" s="7" t="inlineStr">
        <is>
          <t>Tier III</t>
        </is>
      </c>
      <c r="F26" s="7" t="inlineStr">
        <is>
          <t>Attributable prophetic / apostolic exposition</t>
        </is>
      </c>
      <c r="G26" s="7" t="inlineStr">
        <is>
          <t>https://www.churchofjesuschrist.org/study/manual/teachings-of-presidents-of-the-church-lorenzo-snow/chapter-5-the-grand-destiny-of-the-faithful?lang=eng</t>
        </is>
      </c>
      <c r="H26" s="7" t="inlineStr">
        <is>
          <t>Lorenzo Snow and later prophetic exposition</t>
        </is>
      </c>
      <c r="I26" s="7" t="inlineStr">
        <is>
          <t>Attributable exposition; detailed mechanics not revealed; teach cautiously</t>
        </is>
      </c>
      <c r="J26" s="7" t="inlineStr">
        <is>
          <t>Medium</t>
        </is>
      </c>
      <c r="K26" s="7" t="inlineStr">
        <is>
          <t>Tier III; detailed estate-sequence mechanics are not revealed and should be taught cautiously. Attributed to a prophet's teaching rather than canonized scripture; the details are not revealed, and Latter-day Saints hold them with reverence and restraint.</t>
        </is>
      </c>
    </row>
    <row r="27" ht="15.75" customHeight="1" s="29">
      <c r="A27" s="7" t="inlineStr">
        <is>
          <t>RNR-A26</t>
        </is>
      </c>
      <c r="B27" s="7" t="inlineStr">
        <is>
          <t>Exaltation / eternal family / progression</t>
        </is>
      </c>
      <c r="C27" s="7" t="inlineStr">
        <is>
          <t>Exalted existence entails continuing increase in knowledge, wisdom, power, glory, relationship, posterity, and divine capacity.</t>
        </is>
      </c>
      <c r="D27" s="7" t="inlineStr">
        <is>
          <t>Expansion</t>
        </is>
      </c>
      <c r="E27" s="7" t="inlineStr">
        <is>
          <t>Tier III</t>
        </is>
      </c>
      <c r="F27" s="7" t="inlineStr">
        <is>
          <t>Attributable prophetic / apostolic exposition</t>
        </is>
      </c>
      <c r="G27" s="7" t="inlineStr">
        <is>
          <t>https://www.churchofjesuschrist.org/study/manual/teachings-of-presidents-of-the-church-lorenzo-snow/chapter-5-the-grand-destiny-of-the-faithful?lang=eng</t>
        </is>
      </c>
      <c r="H27" s="7" t="inlineStr">
        <is>
          <t>Lorenzo Snow and related prophetic exposition; D&amp;C 130:18–19; 132:19–20</t>
        </is>
      </c>
      <c r="I27" s="7" t="inlineStr">
        <is>
          <t>Composite doctrine; breadth exceeds any single canonical verse</t>
        </is>
      </c>
      <c r="J27" s="7" t="inlineStr">
        <is>
          <t>Medium</t>
        </is>
      </c>
      <c r="K27"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ColWidth="12.63" defaultRowHeight="15" customHeight="1"/>
  <cols>
    <col width="42" customWidth="1" style="29" min="1" max="1"/>
    <col width="18" customWidth="1" style="29" min="2" max="6"/>
    <col width="8.630000000000001" customWidth="1" style="29" min="7" max="26"/>
  </cols>
  <sheetData>
    <row r="1">
      <c r="A1" s="5" t="inlineStr">
        <is>
          <t>Family Summary and Teaching Visuals</t>
        </is>
      </c>
      <c r="B1" s="5" t="n"/>
      <c r="C1" s="5" t="n"/>
      <c r="D1" s="5" t="n"/>
      <c r="E1" s="5" t="n"/>
      <c r="F1" s="5" t="n"/>
    </row>
    <row r="2">
      <c r="A2" s="4" t="n"/>
      <c r="B2" s="4" t="n"/>
      <c r="C2" s="4" t="n"/>
      <c r="D2" s="4" t="n"/>
      <c r="E2" s="4" t="n"/>
      <c r="F2" s="4" t="n"/>
    </row>
    <row r="3">
      <c r="A3" s="4" t="inlineStr">
        <is>
          <t>Core teaching lens</t>
        </is>
      </c>
      <c r="B3" s="4" t="inlineStr">
        <is>
          <t>Count</t>
        </is>
      </c>
      <c r="C3" s="4" t="inlineStr">
        <is>
          <t>Share of 83</t>
        </is>
      </c>
      <c r="D3" s="4" t="n"/>
      <c r="E3" s="4" t="n"/>
      <c r="F3" s="4" t="n"/>
    </row>
    <row r="4">
      <c r="A4" s="4" t="inlineStr">
        <is>
          <t>Continuity (A)</t>
        </is>
      </c>
      <c r="B4" s="4" t="n">
        <v>36</v>
      </c>
      <c r="C4" s="4" t="n">
        <v>0.4337349397590362</v>
      </c>
      <c r="D4" s="4" t="n"/>
      <c r="E4" s="4" t="n"/>
      <c r="F4" s="4" t="n"/>
    </row>
    <row r="5">
      <c r="A5" s="4" t="inlineStr">
        <is>
          <t>Reconstruction / qualified continuity (Q)</t>
        </is>
      </c>
      <c r="B5" s="4" t="n">
        <v>16</v>
      </c>
      <c r="C5" s="4" t="n">
        <v>0.1927710843373494</v>
      </c>
      <c r="D5" s="4" t="n"/>
      <c r="E5" s="4" t="n"/>
      <c r="F5" s="4" t="n"/>
    </row>
    <row r="6">
      <c r="A6" s="4" t="inlineStr">
        <is>
          <t>Rejection / direct divergence (D)</t>
        </is>
      </c>
      <c r="B6" s="4" t="n">
        <v>5</v>
      </c>
      <c r="C6" s="4" t="n">
        <v>0.06024096385542169</v>
      </c>
      <c r="D6" s="4" t="n"/>
      <c r="E6" s="4" t="n"/>
      <c r="F6" s="4" t="n"/>
    </row>
    <row r="7">
      <c r="A7" s="4" t="inlineStr">
        <is>
          <t>Expansion (A01–A26)</t>
        </is>
      </c>
      <c r="B7" s="4" t="n">
        <v>26</v>
      </c>
      <c r="C7" s="4" t="n">
        <v>0.3132530120481928</v>
      </c>
      <c r="D7" s="4" t="n"/>
      <c r="E7" s="4" t="n"/>
      <c r="F7" s="4" t="n"/>
    </row>
    <row r="8">
      <c r="A8" s="4" t="inlineStr">
        <is>
          <t>Total comparative universe</t>
        </is>
      </c>
      <c r="B8" s="4" t="n">
        <v>83</v>
      </c>
      <c r="C8" s="4" t="n">
        <v>1</v>
      </c>
      <c r="D8" s="4" t="n"/>
      <c r="E8" s="4" t="n"/>
      <c r="F8" s="4" t="n"/>
    </row>
    <row r="9">
      <c r="A9" s="4" t="n"/>
      <c r="B9" s="4" t="n"/>
      <c r="C9" s="4" t="n"/>
      <c r="D9" s="4" t="n"/>
      <c r="E9" s="4" t="n"/>
      <c r="F9" s="4" t="n"/>
    </row>
    <row r="10">
      <c r="A10" s="4" t="n"/>
      <c r="B10" s="4" t="n"/>
      <c r="C10" s="4" t="n"/>
      <c r="D10" s="4" t="n"/>
      <c r="E10" s="4" t="n"/>
      <c r="F10" s="4" t="n"/>
    </row>
    <row r="11">
      <c r="A11" s="4" t="inlineStr">
        <is>
          <t>Inherited mode</t>
        </is>
      </c>
      <c r="B11" s="4" t="inlineStr">
        <is>
          <t>A</t>
        </is>
      </c>
      <c r="C11" s="4" t="inlineStr">
        <is>
          <t>Q</t>
        </is>
      </c>
      <c r="D11" s="4" t="inlineStr">
        <is>
          <t>D</t>
        </is>
      </c>
      <c r="E11" s="4" t="n"/>
      <c r="F11" s="4" t="n"/>
    </row>
    <row r="12">
      <c r="A12" s="4" t="inlineStr">
        <is>
          <t>Positive / kataphatic</t>
        </is>
      </c>
      <c r="B12" s="4" t="n">
        <v>32</v>
      </c>
      <c r="C12" s="4" t="n">
        <v>3</v>
      </c>
      <c r="D12" s="4" t="n">
        <v>0</v>
      </c>
      <c r="E12" s="4" t="n"/>
      <c r="F12" s="4" t="n"/>
    </row>
    <row r="13">
      <c r="A13" s="4" t="inlineStr">
        <is>
          <t>Negative / apophatic + delimiters</t>
        </is>
      </c>
      <c r="B13" s="4" t="n">
        <v>4</v>
      </c>
      <c r="C13" s="4" t="n">
        <v>13</v>
      </c>
      <c r="D13" s="4" t="n">
        <v>5</v>
      </c>
      <c r="E13" s="4" t="n"/>
      <c r="F13" s="4" t="n"/>
    </row>
    <row r="14">
      <c r="A14" s="4" t="inlineStr">
        <is>
          <t>Total inherited</t>
        </is>
      </c>
      <c r="B14" s="4" t="n">
        <v>36</v>
      </c>
      <c r="C14" s="4" t="n">
        <v>16</v>
      </c>
      <c r="D14" s="4" t="n">
        <v>5</v>
      </c>
      <c r="E14" s="4" t="n"/>
      <c r="F14" s="4" t="n"/>
    </row>
    <row r="15">
      <c r="A15" s="4" t="n"/>
      <c r="B15" s="4" t="n"/>
      <c r="C15" s="4" t="n"/>
      <c r="D15" s="4" t="n"/>
      <c r="E15" s="4" t="n"/>
      <c r="F15" s="4" t="n"/>
    </row>
    <row r="16">
      <c r="A16" s="4" t="n"/>
      <c r="B16" s="4" t="n"/>
      <c r="C16" s="4" t="n"/>
      <c r="D16" s="4" t="n"/>
      <c r="E16" s="4" t="n"/>
      <c r="F16" s="4" t="n"/>
    </row>
    <row r="17">
      <c r="A17" s="4" t="inlineStr">
        <is>
          <t>Restoration addition domain</t>
        </is>
      </c>
      <c r="B17" s="4" t="inlineStr">
        <is>
          <t>Count</t>
        </is>
      </c>
      <c r="C17" s="4" t="n"/>
      <c r="D17" s="4" t="inlineStr">
        <is>
          <t>Selected derived measure</t>
        </is>
      </c>
      <c r="E17" s="4" t="inlineStr">
        <is>
          <t>Numerator</t>
        </is>
      </c>
      <c r="F17" s="4" t="inlineStr">
        <is>
          <t>Share</t>
        </is>
      </c>
    </row>
    <row r="18">
      <c r="A18" s="4" t="inlineStr">
        <is>
          <t>Deity / Godhead</t>
        </is>
      </c>
      <c r="B18" s="4" t="n">
        <v>5</v>
      </c>
      <c r="C18" s="4" t="n"/>
      <c r="D18" s="4" t="inlineStr">
        <is>
          <t>Inherited shared-concept floor (A+Q)</t>
        </is>
      </c>
      <c r="E18" s="4" t="n">
        <v>52</v>
      </c>
      <c r="F18" s="4" t="n">
        <v>0.9122807017543859</v>
      </c>
    </row>
    <row r="19">
      <c r="A19" s="4" t="inlineStr">
        <is>
          <t>Divine-human kinship / premortality</t>
        </is>
      </c>
      <c r="B19" s="4" t="n">
        <v>7</v>
      </c>
      <c r="C19" s="4" t="n"/>
      <c r="D19" s="4" t="inlineStr">
        <is>
          <t>Positive/kataphatic shared floor</t>
        </is>
      </c>
      <c r="E19" s="4" t="n">
        <v>35</v>
      </c>
      <c r="F19" s="4" t="n">
        <v>1</v>
      </c>
    </row>
    <row r="20">
      <c r="A20" s="4" t="inlineStr">
        <is>
          <t>Cosmology / ontology / embodiment</t>
        </is>
      </c>
      <c r="B20" s="4" t="n">
        <v>6</v>
      </c>
      <c r="C20" s="4" t="n"/>
      <c r="D20" s="4" t="inlineStr">
        <is>
          <t>Negative/apophatic shared floor</t>
        </is>
      </c>
      <c r="E20" s="4" t="n">
        <v>17</v>
      </c>
      <c r="F20" s="4" t="n">
        <v>0.7727272727272727</v>
      </c>
    </row>
    <row r="21" ht="15.75" customHeight="1" s="29">
      <c r="A21" s="4" t="inlineStr">
        <is>
          <t>Exaltation / eternal family / progression</t>
        </is>
      </c>
      <c r="B21" s="4" t="n">
        <v>8</v>
      </c>
      <c r="C21" s="4" t="n"/>
      <c r="D21" s="4" t="inlineStr">
        <is>
          <t>Human-destiny additions: kinship + exaltation</t>
        </is>
      </c>
      <c r="E21" s="4" t="n">
        <v>15</v>
      </c>
      <c r="F21" s="4" t="n">
        <v>0.5769230769230769</v>
      </c>
    </row>
    <row r="22" ht="15.75" customHeight="1" s="29">
      <c r="A22" s="4" t="inlineStr">
        <is>
          <t>Total</t>
        </is>
      </c>
      <c r="B22" s="4" t="n">
        <v>26</v>
      </c>
      <c r="C22" s="4" t="n"/>
      <c r="D22" s="4" t="inlineStr">
        <is>
          <t>High-level addition authority: Tier I + II</t>
        </is>
      </c>
      <c r="E22" s="4" t="n">
        <v>22</v>
      </c>
      <c r="F22" s="4" t="n">
        <v>0.8461538461538461</v>
      </c>
    </row>
    <row r="23" ht="15.75" customHeight="1" s="29">
      <c r="A23" s="4" t="n"/>
      <c r="B23" s="4" t="n"/>
      <c r="C23" s="4" t="n"/>
      <c r="D23" s="4" t="n"/>
      <c r="E23" s="4" t="n"/>
      <c r="F23" s="4" t="n"/>
    </row>
    <row r="24" ht="15.75" customHeight="1" s="29">
      <c r="A24" s="4" t="n"/>
      <c r="B24" s="4" t="n"/>
      <c r="C24" s="4" t="n"/>
      <c r="D24" s="4" t="n"/>
      <c r="E24" s="4" t="n"/>
      <c r="F24" s="4" t="n"/>
    </row>
    <row r="25" ht="15.75" customHeight="1" s="29">
      <c r="A25" s="4" t="inlineStr">
        <is>
          <t>Interpretive caution</t>
        </is>
      </c>
      <c r="B25" s="4" t="n"/>
      <c r="C25" s="4" t="n"/>
      <c r="D25" s="4" t="n"/>
      <c r="E25" s="4" t="n"/>
      <c r="F25" s="4" t="n"/>
    </row>
    <row r="26" ht="15.75" customHeight="1" s="29">
      <c r="A26" s="4" t="inlineStr">
        <is>
          <t>These figures describe a bounded comparative corpus, not 'Christianity as a whole.' A+Q is a shared-concept floor, not identical doctrine. A small number of D predicates are structurally important under centrality analysis. The 26 additions are corpus-relative; historical antecedents must be evaluated separately.</t>
        </is>
      </c>
      <c r="B26" s="4" t="n"/>
      <c r="C26" s="4" t="n"/>
      <c r="D26" s="4" t="n"/>
      <c r="E26" s="4" t="n"/>
      <c r="F26" s="4" t="n"/>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ColWidth="12.63" defaultRowHeight="15" customHeight="1"/>
  <cols>
    <col width="11" customWidth="1" style="29" min="1" max="1"/>
    <col width="13" customWidth="1" style="29" min="2" max="2"/>
    <col width="36" customWidth="1" style="29" min="3" max="3"/>
    <col width="15" customWidth="1" style="29" min="4" max="4"/>
    <col width="24" customWidth="1" style="29" min="5" max="5"/>
    <col width="25" customWidth="1" style="29" min="6" max="6"/>
    <col width="44" customWidth="1" style="29" min="7" max="7"/>
    <col width="40" customWidth="1" style="29" min="8" max="8"/>
    <col width="32" customWidth="1" style="29" min="9" max="9"/>
    <col width="24" customWidth="1" style="29" min="10" max="10"/>
    <col width="38" customWidth="1" style="29" min="11" max="11"/>
    <col width="48" customWidth="1" style="29" min="12" max="12"/>
    <col width="42" customWidth="1" style="29" min="13" max="13"/>
    <col width="62" customWidth="1" style="29" min="14" max="15"/>
    <col width="44" customWidth="1" style="29" min="16" max="16"/>
    <col width="20" customWidth="1" style="29" min="17" max="17"/>
    <col width="58" customWidth="1" style="29" min="18" max="18"/>
    <col width="30" customWidth="1" style="29" min="19" max="19"/>
    <col width="20" customWidth="1" style="29" min="20" max="20"/>
    <col width="68" customWidth="1" style="29" min="21" max="21"/>
    <col width="26" customWidth="1" style="29" min="22" max="22"/>
    <col width="56" customWidth="1" style="29" min="23" max="23"/>
    <col width="40" customWidth="1" style="29" min="24" max="24"/>
    <col width="22" customWidth="1" style="29" min="25" max="26"/>
    <col width="28" customWidth="1" style="29" min="27" max="27"/>
  </cols>
  <sheetData>
    <row r="1">
      <c r="A1" s="10" t="inlineStr">
        <is>
          <t>Evidence-First Cell Queue — 57 families × 8 teaching branches (public map recovery workbench)</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row>
    <row r="2">
      <c r="A2" s="4" t="inlineStr">
        <is>
          <t>Every family×branch combination is present so missing evidence is visible. Values are populated only from source rows actually recovered in this session or from the v2.2 citation-first certified set. Unrecovered cells remain TO RECOVER; H50 is OUT OF SCOPE. No branch percentages are calculated from this queue.</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5" t="inlineStr">
        <is>
          <t>Queue ID</t>
        </is>
      </c>
      <c r="B5" s="5" t="inlineStr">
        <is>
          <t>Family ID</t>
        </is>
      </c>
      <c r="C5" s="5" t="inlineStr">
        <is>
          <t>Predicate</t>
        </is>
      </c>
      <c r="D5" s="5" t="inlineStr">
        <is>
          <t>Current family code</t>
        </is>
      </c>
      <c r="E5" s="5" t="inlineStr">
        <is>
          <t>Teaching branch</t>
        </is>
      </c>
      <c r="F5" s="5" t="inlineStr">
        <is>
          <t>Collapse rule</t>
        </is>
      </c>
      <c r="G5" s="5" t="inlineStr">
        <is>
          <t>Recovery state</t>
        </is>
      </c>
      <c r="H5" s="5" t="inlineStr">
        <is>
          <t>Public cell disposition</t>
        </is>
      </c>
      <c r="I5" s="5" t="inlineStr">
        <is>
          <t>Atomic unit(s) recovered</t>
        </is>
      </c>
      <c r="J5" s="5" t="inlineStr">
        <is>
          <t>Session 9 row code(s)</t>
        </is>
      </c>
      <c r="K5" s="5" t="inlineStr">
        <is>
          <t>Institution / jurisdiction</t>
        </is>
      </c>
      <c r="L5" s="5" t="inlineStr">
        <is>
          <t>Document</t>
        </is>
      </c>
      <c r="M5" s="5" t="inlineStr">
        <is>
          <t>Proposition locator</t>
        </is>
      </c>
      <c r="N5" s="5" t="inlineStr">
        <is>
          <t>Authority / adoption URL</t>
        </is>
      </c>
      <c r="O5" s="5" t="inlineStr">
        <is>
          <t>Text URL</t>
        </is>
      </c>
      <c r="P5" s="5" t="inlineStr">
        <is>
          <t>Session 9 row / lineage ID</t>
        </is>
      </c>
      <c r="Q5" s="5" t="inlineStr">
        <is>
          <t>Evidence confidence</t>
        </is>
      </c>
      <c r="R5" s="5" t="inlineStr">
        <is>
          <t>Scope control</t>
        </is>
      </c>
      <c r="S5" s="5" t="inlineStr">
        <is>
          <t>Current-family reconciliation</t>
        </is>
      </c>
      <c r="T5" s="5" t="inlineStr">
        <is>
          <t>Public tile value</t>
        </is>
      </c>
      <c r="U5" s="5" t="inlineStr">
        <is>
          <t>Source note</t>
        </is>
      </c>
      <c r="V5" s="5" t="inlineStr">
        <is>
          <t>Reviewer status</t>
        </is>
      </c>
      <c r="W5" s="5" t="inlineStr">
        <is>
          <t>Reviewer notes</t>
        </is>
      </c>
      <c r="X5" s="5" t="inlineStr">
        <is>
          <t>Rendered State (app-safe)</t>
        </is>
      </c>
      <c r="Y5" s="5" t="inlineStr">
        <is>
          <t>Metric Class (future branch analytics)</t>
        </is>
      </c>
      <c r="Z5" s="5" t="inlineStr">
        <is>
          <t>Historical Witness Retired</t>
        </is>
      </c>
      <c r="AA5" s="5" t="inlineStr">
        <is>
          <t>Evidence Display Role</t>
        </is>
      </c>
    </row>
    <row r="6">
      <c r="A6" s="7" t="inlineStr">
        <is>
          <t>Q-001</t>
        </is>
      </c>
      <c r="B6" s="7" t="inlineStr">
        <is>
          <t>RNR-H01</t>
        </is>
      </c>
      <c r="C6" s="7" t="inlineStr">
        <is>
          <t>Living</t>
        </is>
      </c>
      <c r="D6" s="7" t="inlineStr">
        <is>
          <t>A</t>
        </is>
      </c>
      <c r="E6" s="7" t="inlineStr">
        <is>
          <t>Roman Catholic</t>
        </is>
      </c>
      <c r="F6" s="7" t="inlineStr">
        <is>
          <t>SINGLE</t>
        </is>
      </c>
      <c r="G6" s="7" t="inlineStr">
        <is>
          <t>SESSION 9 SOURCE ROW RECOVERED</t>
        </is>
      </c>
      <c r="H6" s="7" t="inlineStr">
        <is>
          <t>PUBLIC-CERTIFIED</t>
        </is>
      </c>
      <c r="I6" s="7" t="inlineStr">
        <is>
          <t>RNR-H01a</t>
        </is>
      </c>
      <c r="J6" s="7" t="inlineStr">
        <is>
          <t>A</t>
        </is>
      </c>
      <c r="K6" s="7" t="inlineStr">
        <is>
          <t>Roman Catholic Church</t>
        </is>
      </c>
      <c r="L6" s="7" t="inlineStr">
        <is>
          <t>First Vatican Council, Dei Filius</t>
        </is>
      </c>
      <c r="M6" s="7" t="inlineStr">
        <is>
          <t>Chapter I, God the Creator of All Things</t>
        </is>
      </c>
      <c r="N6" s="7" t="inlineStr">
        <is>
          <t>https://www.vatican.va/archive/hist_councils/i-vatican-council/documents/vat-i_const_18700424_dei-filius_la.html</t>
        </is>
      </c>
      <c r="O6" s="7" t="inlineStr">
        <is>
          <t>https://www.ewtn.com/catholicism/teachings/vatican-i-dogmatic-constitution-dei-filius-on-the-catholic-faith-241</t>
        </is>
      </c>
      <c r="P6" s="7" t="inlineStr">
        <is>
          <t>S9-IA-0006 / S8-IA-0006</t>
        </is>
      </c>
      <c r="Q6" s="7" t="inlineStr">
        <is>
          <t>MEDIUM-HIGH</t>
        </is>
      </c>
      <c r="R6" s="7" t="inlineStr">
        <is>
          <t>Universal Catholic Church; official Latin controls.</t>
        </is>
      </c>
      <c r="S6" s="7" t="inlineStr">
        <is>
          <t>NO</t>
        </is>
      </c>
      <c r="T6" s="7" t="inlineStr">
        <is>
          <t>A</t>
        </is>
      </c>
      <c r="U6" s="7" t="inlineStr">
        <is>
          <t>Living / only living and true God.</t>
        </is>
      </c>
      <c r="V6" s="7" t="inlineStr">
        <is>
          <t>CERTIFIED</t>
        </is>
      </c>
      <c r="W6" s="7" t="n"/>
      <c r="X6" s="7" t="inlineStr">
        <is>
          <t>A</t>
        </is>
      </c>
      <c r="Y6" s="7" t="inlineStr">
        <is>
          <t>A</t>
        </is>
      </c>
      <c r="Z6" s="11" t="b">
        <v>0</v>
      </c>
      <c r="AA6" s="8" t="inlineStr">
        <is>
          <t>CURRENT EVIDENCE / STATUS</t>
        </is>
      </c>
    </row>
    <row r="7">
      <c r="A7" s="7" t="inlineStr">
        <is>
          <t>Q-002</t>
        </is>
      </c>
      <c r="B7" s="7" t="inlineStr">
        <is>
          <t>RNR-H01</t>
        </is>
      </c>
      <c r="C7" s="7" t="inlineStr">
        <is>
          <t>Living</t>
        </is>
      </c>
      <c r="D7" s="7" t="inlineStr">
        <is>
          <t>A</t>
        </is>
      </c>
      <c r="E7" s="7" t="inlineStr">
        <is>
          <t>Eastern Orthodox</t>
        </is>
      </c>
      <c r="F7" s="7" t="inlineStr">
        <is>
          <t>SINGLE</t>
        </is>
      </c>
      <c r="G7" s="7" t="inlineStr">
        <is>
          <t>TO RECOVER FROM SESSION 9 LEDGER</t>
        </is>
      </c>
      <c r="H7" s="7" t="inlineStr">
        <is>
          <t>NO PUBLIC TILE</t>
        </is>
      </c>
      <c r="I7" s="7" t="n"/>
      <c r="J7" s="7" t="n"/>
      <c r="K7" s="7" t="n"/>
      <c r="L7" s="7" t="n"/>
      <c r="M7" s="7" t="n"/>
      <c r="N7" s="7" t="n"/>
      <c r="O7" s="7" t="n"/>
      <c r="P7" s="7" t="n"/>
      <c r="Q7" s="7" t="inlineStr">
        <is>
          <t>NOT-ASSESSED</t>
        </is>
      </c>
      <c r="R7" s="7" t="n"/>
      <c r="S7" s="7" t="n"/>
      <c r="T7" s="7" t="n"/>
      <c r="U7" s="7" t="n"/>
      <c r="V7" s="7" t="n"/>
      <c r="W7" s="7" t="n"/>
      <c r="X7" s="7" t="inlineStr">
        <is>
          <t>NOT LOCATED — NOT YET RECOVERED</t>
        </is>
      </c>
      <c r="Y7" s="7" t="inlineStr">
        <is>
          <t>EXCLUDED</t>
        </is>
      </c>
      <c r="Z7" s="11" t="b">
        <v>0</v>
      </c>
      <c r="AA7" s="8" t="inlineStr">
        <is>
          <t>CURRENT EVIDENCE / STATUS</t>
        </is>
      </c>
    </row>
    <row r="8">
      <c r="A8" s="7" t="inlineStr">
        <is>
          <t>Q-003</t>
        </is>
      </c>
      <c r="B8" s="7" t="inlineStr">
        <is>
          <t>RNR-H01</t>
        </is>
      </c>
      <c r="C8" s="7" t="inlineStr">
        <is>
          <t>Living</t>
        </is>
      </c>
      <c r="D8" s="7" t="inlineStr">
        <is>
          <t>A</t>
        </is>
      </c>
      <c r="E8" s="7" t="inlineStr">
        <is>
          <t>Lutheran</t>
        </is>
      </c>
      <c r="F8" s="7" t="inlineStr">
        <is>
          <t>SINGLE</t>
        </is>
      </c>
      <c r="G8" s="7" t="inlineStr">
        <is>
          <t>TO RECOVER FROM SESSION 9 LEDGER</t>
        </is>
      </c>
      <c r="H8" s="7" t="inlineStr">
        <is>
          <t>NO PUBLIC TILE</t>
        </is>
      </c>
      <c r="I8" s="7" t="n"/>
      <c r="J8" s="7" t="n"/>
      <c r="K8" s="7" t="n"/>
      <c r="L8" s="7" t="n"/>
      <c r="M8" s="7" t="n"/>
      <c r="N8" s="7" t="n"/>
      <c r="O8" s="7" t="n"/>
      <c r="P8" s="7" t="n"/>
      <c r="Q8" s="7" t="inlineStr">
        <is>
          <t>NOT-ASSESSED</t>
        </is>
      </c>
      <c r="R8" s="7" t="n"/>
      <c r="S8" s="7" t="n"/>
      <c r="T8" s="7" t="n"/>
      <c r="U8" s="7" t="n"/>
      <c r="V8" s="7" t="n"/>
      <c r="W8" s="7" t="n"/>
      <c r="X8" s="7" t="inlineStr">
        <is>
          <t>NOT LOCATED — NOT YET RECOVERED</t>
        </is>
      </c>
      <c r="Y8" s="7" t="inlineStr">
        <is>
          <t>EXCLUDED</t>
        </is>
      </c>
      <c r="Z8" s="11" t="b">
        <v>0</v>
      </c>
      <c r="AA8" s="8" t="inlineStr">
        <is>
          <t>CURRENT EVIDENCE / STATUS</t>
        </is>
      </c>
    </row>
    <row r="9">
      <c r="A9" s="7" t="inlineStr">
        <is>
          <t>Q-004</t>
        </is>
      </c>
      <c r="B9" s="7" t="inlineStr">
        <is>
          <t>RNR-H01</t>
        </is>
      </c>
      <c r="C9" s="7" t="inlineStr">
        <is>
          <t>Living</t>
        </is>
      </c>
      <c r="D9" s="7" t="inlineStr">
        <is>
          <t>A</t>
        </is>
      </c>
      <c r="E9" s="7" t="inlineStr">
        <is>
          <t>Reformed / Presbyterian</t>
        </is>
      </c>
      <c r="F9" s="7" t="inlineStr">
        <is>
          <t>SINGLE</t>
        </is>
      </c>
      <c r="G9" s="7" t="inlineStr">
        <is>
          <t>TO RECOVER FROM SESSION 9 LEDGER</t>
        </is>
      </c>
      <c r="H9" s="7" t="inlineStr">
        <is>
          <t>NO PUBLIC TILE</t>
        </is>
      </c>
      <c r="I9" s="7" t="n"/>
      <c r="J9" s="7" t="n"/>
      <c r="K9" s="7" t="n"/>
      <c r="L9" s="7" t="n"/>
      <c r="M9" s="7" t="n"/>
      <c r="N9" s="7" t="n"/>
      <c r="O9" s="7" t="n"/>
      <c r="P9" s="7" t="n"/>
      <c r="Q9" s="7" t="inlineStr">
        <is>
          <t>NOT-ASSESSED</t>
        </is>
      </c>
      <c r="R9" s="7" t="n"/>
      <c r="S9" s="7" t="n"/>
      <c r="T9" s="7" t="n"/>
      <c r="U9" s="7" t="n"/>
      <c r="V9" s="7" t="n"/>
      <c r="W9" s="7" t="n"/>
      <c r="X9" s="7" t="inlineStr">
        <is>
          <t>NOT LOCATED — NOT YET RECOVERED</t>
        </is>
      </c>
      <c r="Y9" s="7" t="inlineStr">
        <is>
          <t>EXCLUDED</t>
        </is>
      </c>
      <c r="Z9" s="11" t="b">
        <v>0</v>
      </c>
      <c r="AA9" s="8" t="inlineStr">
        <is>
          <t>CURRENT EVIDENCE / STATUS</t>
        </is>
      </c>
    </row>
    <row r="10">
      <c r="A10" s="7" t="inlineStr">
        <is>
          <t>Q-005</t>
        </is>
      </c>
      <c r="B10" s="7" t="inlineStr">
        <is>
          <t>RNR-H01</t>
        </is>
      </c>
      <c r="C10" s="7" t="inlineStr">
        <is>
          <t>Living</t>
        </is>
      </c>
      <c r="D10" s="7" t="inlineStr">
        <is>
          <t>A</t>
        </is>
      </c>
      <c r="E10" s="7" t="inlineStr">
        <is>
          <t>Anglican</t>
        </is>
      </c>
      <c r="F10" s="7" t="inlineStr">
        <is>
          <t>SINGLE</t>
        </is>
      </c>
      <c r="G10" s="7" t="inlineStr">
        <is>
          <t>SESSION 9 SOURCE ROW RECOVERED</t>
        </is>
      </c>
      <c r="H10" s="7" t="inlineStr">
        <is>
          <t>PUBLIC-CERTIFIED</t>
        </is>
      </c>
      <c r="I10" s="7" t="inlineStr">
        <is>
          <t>RNR-H01a</t>
        </is>
      </c>
      <c r="J10" s="7" t="inlineStr">
        <is>
          <t>A</t>
        </is>
      </c>
      <c r="K10" s="7" t="inlineStr">
        <is>
          <t>Church of England</t>
        </is>
      </c>
      <c r="L10" s="7" t="inlineStr">
        <is>
          <t>Thirty-Nine Articles</t>
        </is>
      </c>
      <c r="M10" s="7" t="inlineStr">
        <is>
          <t>Articles I-II</t>
        </is>
      </c>
      <c r="N10" s="7" t="inlineStr">
        <is>
          <t>https://www.churchofengland.org/prayer-and-worship/worship-texts-and-resources/book-common-prayer/articles-religion</t>
        </is>
      </c>
      <c r="O10" s="7" t="inlineStr">
        <is>
          <t>https://www.churchofengland.org/prayer-and-worship/worship-texts-and-resources/book-common-prayer/articles-religion</t>
        </is>
      </c>
      <c r="P10" s="7" t="inlineStr">
        <is>
          <t>S9-IA-0001 / S8-IA-0001</t>
        </is>
      </c>
      <c r="Q10" s="7" t="inlineStr">
        <is>
          <t>MEDIUM-HIGH</t>
        </is>
      </c>
      <c r="R10" s="7" t="inlineStr">
        <is>
          <t>Church of England only; not Anglican Communion-wide.</t>
        </is>
      </c>
      <c r="S10" s="7" t="inlineStr">
        <is>
          <t>NO</t>
        </is>
      </c>
      <c r="T10" s="7" t="inlineStr">
        <is>
          <t>A</t>
        </is>
      </c>
      <c r="U10" s="7" t="inlineStr">
        <is>
          <t>Exact Session 9 row exposed by recovered adjudication ledger.</t>
        </is>
      </c>
      <c r="V10" s="7" t="inlineStr">
        <is>
          <t>CERTIFIED</t>
        </is>
      </c>
      <c r="W10" s="7" t="n"/>
      <c r="X10" s="7" t="inlineStr">
        <is>
          <t>A</t>
        </is>
      </c>
      <c r="Y10" s="7" t="inlineStr">
        <is>
          <t>A</t>
        </is>
      </c>
      <c r="Z10" s="11" t="b">
        <v>0</v>
      </c>
      <c r="AA10" s="8" t="inlineStr">
        <is>
          <t>CURRENT EVIDENCE / STATUS</t>
        </is>
      </c>
    </row>
    <row r="11">
      <c r="A11" s="7" t="inlineStr">
        <is>
          <t>Q-006</t>
        </is>
      </c>
      <c r="B11" s="7" t="inlineStr">
        <is>
          <t>RNR-H01</t>
        </is>
      </c>
      <c r="C11" s="7" t="inlineStr">
        <is>
          <t>Living</t>
        </is>
      </c>
      <c r="D11" s="7" t="inlineStr">
        <is>
          <t>A</t>
        </is>
      </c>
      <c r="E11" s="7" t="inlineStr">
        <is>
          <t>Baptist</t>
        </is>
      </c>
      <c r="F11" s="7" t="inlineStr">
        <is>
          <t>SINGLE</t>
        </is>
      </c>
      <c r="G11" s="7" t="inlineStr">
        <is>
          <t>CURRENT OFFICIAL SOURCE RECOVERED — WEB VERIFIED</t>
        </is>
      </c>
      <c r="H11" s="7" t="inlineStr">
        <is>
          <t>PUBLIC-CERTIFIED</t>
        </is>
      </c>
      <c r="I11" s="7" t="inlineStr">
        <is>
          <t>RNR-H01a</t>
        </is>
      </c>
      <c r="J11" s="7" t="inlineStr">
        <is>
          <t>A</t>
        </is>
      </c>
      <c r="K11" s="7" t="inlineStr">
        <is>
          <t>Southern Baptist Convention</t>
        </is>
      </c>
      <c r="L11" s="7" t="inlineStr">
        <is>
          <t>Baptist Faith and Message 2000</t>
        </is>
      </c>
      <c r="M11" s="7" t="inlineStr">
        <is>
          <t>II. God — one living and true God</t>
        </is>
      </c>
      <c r="N11" s="7" t="inlineStr">
        <is>
          <t>https://bfm.sbc.net/bfm2000/</t>
        </is>
      </c>
      <c r="O11" s="7" t="inlineStr">
        <is>
          <t>https://bfm.sbc.net/bfm2000/</t>
        </is>
      </c>
      <c r="P11" s="7" t="inlineStr">
        <is>
          <t>Current official-source recovery, web-verified against Baptist Faith &amp; Message 2000; source role N2 per project institutional authority roster.</t>
        </is>
      </c>
      <c r="Q11" s="7" t="inlineStr">
        <is>
          <t>HIGH</t>
        </is>
      </c>
      <c r="R11" s="7" t="inlineStr">
        <is>
          <t>Southern Baptist Convention cooperative identity under BF&amp;M 2000; not all Baptist churches or Baptist traditions.</t>
        </is>
      </c>
      <c r="S11" s="7" t="inlineStr">
        <is>
          <t>NO</t>
        </is>
      </c>
      <c r="T11" s="7" t="inlineStr">
        <is>
          <t>A</t>
        </is>
      </c>
      <c r="U11" s="7" t="inlineStr">
        <is>
          <t>Current SBC source explicitly attests Living.</t>
        </is>
      </c>
      <c r="V11" s="7" t="inlineStr">
        <is>
          <t>CERTIFIED</t>
        </is>
      </c>
      <c r="W11" s="7" t="n"/>
      <c r="X11" s="7" t="inlineStr">
        <is>
          <t>A</t>
        </is>
      </c>
      <c r="Y11" s="7" t="inlineStr">
        <is>
          <t>A</t>
        </is>
      </c>
      <c r="Z11" s="11" t="b">
        <v>0</v>
      </c>
      <c r="AA11" s="8" t="inlineStr">
        <is>
          <t>CURRENT EVIDENCE / STATUS</t>
        </is>
      </c>
    </row>
    <row r="12">
      <c r="A12" s="7" t="inlineStr">
        <is>
          <t>Q-007</t>
        </is>
      </c>
      <c r="B12" s="7" t="inlineStr">
        <is>
          <t>RNR-H01</t>
        </is>
      </c>
      <c r="C12" s="7" t="inlineStr">
        <is>
          <t>Living</t>
        </is>
      </c>
      <c r="D12" s="7" t="inlineStr">
        <is>
          <t>A</t>
        </is>
      </c>
      <c r="E12" s="7" t="inlineStr">
        <is>
          <t>Methodist / Wesleyan</t>
        </is>
      </c>
      <c r="F12" s="7" t="inlineStr">
        <is>
          <t>SINGLE</t>
        </is>
      </c>
      <c r="G12" s="7" t="inlineStr">
        <is>
          <t>SESSION 9 SOURCE ROW RECOVERED</t>
        </is>
      </c>
      <c r="H12" s="7" t="inlineStr">
        <is>
          <t>PUBLIC-CERTIFIED</t>
        </is>
      </c>
      <c r="I12" s="7" t="inlineStr">
        <is>
          <t>RNR-H01a</t>
        </is>
      </c>
      <c r="J12" s="7" t="inlineStr">
        <is>
          <t>A</t>
        </is>
      </c>
      <c r="K12" s="7" t="inlineStr">
        <is>
          <t>The United Methodist Church</t>
        </is>
      </c>
      <c r="L12" s="7" t="inlineStr">
        <is>
          <t>Articles of Religion of the Methodist Church</t>
        </is>
      </c>
      <c r="M12" s="7" t="inlineStr">
        <is>
          <t>Article I</t>
        </is>
      </c>
      <c r="N12" s="7" t="inlineStr">
        <is>
          <t>https://www.umc.org/en/content/articles-of-religion</t>
        </is>
      </c>
      <c r="O12" s="7" t="inlineStr">
        <is>
          <t>https://www.umc.org/en/content/articles-of-religion</t>
        </is>
      </c>
      <c r="P12" s="7" t="inlineStr">
        <is>
          <t>S9-IA-0005 / S8-IA-0005</t>
        </is>
      </c>
      <c r="Q12" s="7" t="inlineStr">
        <is>
          <t>MEDIUM-HIGH</t>
        </is>
      </c>
      <c r="R12" s="7" t="inlineStr">
        <is>
          <t>UMC institutional scope.</t>
        </is>
      </c>
      <c r="S12" s="7" t="inlineStr">
        <is>
          <t>NO</t>
        </is>
      </c>
      <c r="T12" s="7" t="inlineStr">
        <is>
          <t>A</t>
        </is>
      </c>
      <c r="U12" s="7" t="inlineStr">
        <is>
          <t>Living.</t>
        </is>
      </c>
      <c r="V12" s="7" t="inlineStr">
        <is>
          <t>CERTIFIED</t>
        </is>
      </c>
      <c r="W12" s="7" t="n"/>
      <c r="X12" s="7" t="inlineStr">
        <is>
          <t>A</t>
        </is>
      </c>
      <c r="Y12" s="7" t="inlineStr">
        <is>
          <t>A</t>
        </is>
      </c>
      <c r="Z12" s="11" t="b">
        <v>0</v>
      </c>
      <c r="AA12" s="8" t="inlineStr">
        <is>
          <t>CURRENT EVIDENCE / STATUS</t>
        </is>
      </c>
    </row>
    <row r="13">
      <c r="A13" s="7" t="inlineStr">
        <is>
          <t>Q-008</t>
        </is>
      </c>
      <c r="B13" s="7" t="inlineStr">
        <is>
          <t>RNR-H01</t>
        </is>
      </c>
      <c r="C13" s="7" t="inlineStr">
        <is>
          <t>Living</t>
        </is>
      </c>
      <c r="D13" s="7" t="inlineStr">
        <is>
          <t>A</t>
        </is>
      </c>
      <c r="E13" s="7" t="inlineStr">
        <is>
          <t>Mennonite / Anabaptist</t>
        </is>
      </c>
      <c r="F13" s="7" t="inlineStr">
        <is>
          <t>SINGLE</t>
        </is>
      </c>
      <c r="G13" s="7" t="inlineStr">
        <is>
          <t>TO RECOVER FROM SESSION 9 LEDGER</t>
        </is>
      </c>
      <c r="H13" s="7" t="inlineStr">
        <is>
          <t>NO PUBLIC TILE</t>
        </is>
      </c>
      <c r="I13" s="7" t="n"/>
      <c r="J13" s="7" t="n"/>
      <c r="K13" s="7" t="n"/>
      <c r="L13" s="7" t="n"/>
      <c r="M13" s="7" t="n"/>
      <c r="N13" s="7" t="n"/>
      <c r="O13" s="7" t="n"/>
      <c r="P13" s="7" t="n"/>
      <c r="Q13" s="7" t="inlineStr">
        <is>
          <t>NOT-ASSESSED</t>
        </is>
      </c>
      <c r="R13" s="7" t="n"/>
      <c r="S13" s="7" t="n"/>
      <c r="T13" s="7" t="n"/>
      <c r="U13" s="7" t="n"/>
      <c r="V13" s="7" t="n"/>
      <c r="W13" s="7" t="n"/>
      <c r="X13" s="7" t="inlineStr">
        <is>
          <t>NOT LOCATED — NOT YET RECOVERED</t>
        </is>
      </c>
      <c r="Y13" s="7" t="inlineStr">
        <is>
          <t>EXCLUDED</t>
        </is>
      </c>
      <c r="Z13" s="11" t="b">
        <v>0</v>
      </c>
      <c r="AA13" s="8" t="inlineStr">
        <is>
          <t>CURRENT EVIDENCE / STATUS</t>
        </is>
      </c>
    </row>
    <row r="14">
      <c r="A14" s="7" t="inlineStr">
        <is>
          <t>Q-009</t>
        </is>
      </c>
      <c r="B14" s="7" t="inlineStr">
        <is>
          <t>RNR-H02</t>
        </is>
      </c>
      <c r="C14" s="7" t="inlineStr">
        <is>
          <t>True</t>
        </is>
      </c>
      <c r="D14" s="7" t="inlineStr">
        <is>
          <t>A</t>
        </is>
      </c>
      <c r="E14" s="7" t="inlineStr">
        <is>
          <t>Roman Catholic</t>
        </is>
      </c>
      <c r="F14" s="7" t="inlineStr">
        <is>
          <t>SINGLE</t>
        </is>
      </c>
      <c r="G14" s="7" t="inlineStr">
        <is>
          <t>SESSION 8 ATTESTATION + SESSION 9 ATOMIC CODE RECOVERED</t>
        </is>
      </c>
      <c r="H14" s="7" t="inlineStr">
        <is>
          <t>PUBLIC-CERTIFIED</t>
        </is>
      </c>
      <c r="I14" s="7" t="inlineStr">
        <is>
          <t>RNR-H02a</t>
        </is>
      </c>
      <c r="J14" s="7" t="inlineStr">
        <is>
          <t>A</t>
        </is>
      </c>
      <c r="K14" s="7" t="inlineStr">
        <is>
          <t>Roman Catholic Church</t>
        </is>
      </c>
      <c r="L14" s="7" t="inlineStr">
        <is>
          <t>Nicene / Niceno-Constantinopolitan Creed</t>
        </is>
      </c>
      <c r="M14" s="7" t="inlineStr">
        <is>
          <t>Creed, Godhead and Christological clauses</t>
        </is>
      </c>
      <c r="N14" s="7" t="inlineStr">
        <is>
          <t>https://www.vatican.va/content/catechism/en/part_one/section_one/chapter_three/article_2/the_credo.html</t>
        </is>
      </c>
      <c r="O14" s="7" t="inlineStr">
        <is>
          <t>https://www.vatican.va/content/catechism/en/part_one/section_one/chapter_three/article_2/the_credo.html</t>
        </is>
      </c>
      <c r="P14" s="7" t="inlineStr">
        <is>
          <t>S8-IA-0008 + Session 9 H02a atomic A decision</t>
        </is>
      </c>
      <c r="Q14" s="7" t="inlineStr">
        <is>
          <t>MEDIUM-HIGH</t>
        </is>
      </c>
      <c r="R14" s="7" t="inlineStr">
        <is>
          <t>Universal Catholic Church.</t>
        </is>
      </c>
      <c r="S14" s="7" t="inlineStr">
        <is>
          <t>NO</t>
        </is>
      </c>
      <c r="T14" s="7" t="inlineStr">
        <is>
          <t>A</t>
        </is>
      </c>
      <c r="U14" s="7" t="inlineStr">
        <is>
          <t>True.</t>
        </is>
      </c>
      <c r="V14" s="7" t="inlineStr">
        <is>
          <t>CERTIFIED</t>
        </is>
      </c>
      <c r="W14" s="7" t="n"/>
      <c r="X14" s="7" t="inlineStr">
        <is>
          <t>A</t>
        </is>
      </c>
      <c r="Y14" s="7" t="inlineStr">
        <is>
          <t>A</t>
        </is>
      </c>
      <c r="Z14" s="11" t="b">
        <v>0</v>
      </c>
      <c r="AA14" s="8" t="inlineStr">
        <is>
          <t>CURRENT EVIDENCE / STATUS</t>
        </is>
      </c>
    </row>
    <row r="15">
      <c r="A15" s="7" t="inlineStr">
        <is>
          <t>Q-010</t>
        </is>
      </c>
      <c r="B15" s="7" t="inlineStr">
        <is>
          <t>RNR-H02</t>
        </is>
      </c>
      <c r="C15" s="7" t="inlineStr">
        <is>
          <t>True</t>
        </is>
      </c>
      <c r="D15" s="7" t="inlineStr">
        <is>
          <t>A</t>
        </is>
      </c>
      <c r="E15" s="7" t="inlineStr">
        <is>
          <t>Eastern Orthodox</t>
        </is>
      </c>
      <c r="F15" s="7" t="inlineStr">
        <is>
          <t>SINGLE</t>
        </is>
      </c>
      <c r="G15" s="7" t="inlineStr">
        <is>
          <t>SESSION 8 ATTESTATION + SESSION 9 ATOMIC CODE RECOVERED</t>
        </is>
      </c>
      <c r="H15" s="7" t="inlineStr">
        <is>
          <t>PUBLIC-CERTIFIED</t>
        </is>
      </c>
      <c r="I15" s="7" t="inlineStr">
        <is>
          <t>RNR-H02a</t>
        </is>
      </c>
      <c r="J15" s="7" t="inlineStr">
        <is>
          <t>A</t>
        </is>
      </c>
      <c r="K15" s="7" t="inlineStr">
        <is>
          <t>Orthodox Church in America</t>
        </is>
      </c>
      <c r="L15" s="7" t="inlineStr">
        <is>
          <t>Nicene / Niceno-Constantinopolitan Creed</t>
        </is>
      </c>
      <c r="M15" s="7" t="inlineStr">
        <is>
          <t>Nicene Creed, Godhead and Christological clauses</t>
        </is>
      </c>
      <c r="N15" s="7" t="inlineStr">
        <is>
          <t>https://www.oca.org/orthodoxy/the-orthodox-faith/doctrine-scripture/symbol-of-faith/nicene-creed</t>
        </is>
      </c>
      <c r="O15" s="7" t="inlineStr">
        <is>
          <t>https://www.oca.org/orthodoxy/the-orthodox-faith/doctrine-scripture/symbol-of-faith/nicene-creed</t>
        </is>
      </c>
      <c r="P15" s="7" t="inlineStr">
        <is>
          <t>S8-IA-0009 + Session 9 H02a atomic A decision</t>
        </is>
      </c>
      <c r="Q15" s="7" t="inlineStr">
        <is>
          <t>HIGH</t>
        </is>
      </c>
      <c r="R15" s="7" t="inlineStr">
        <is>
          <t>OCA witness to Orthodox conciliar reception; not a proxy for every autocephalous church.</t>
        </is>
      </c>
      <c r="S15" s="7" t="inlineStr">
        <is>
          <t>NO</t>
        </is>
      </c>
      <c r="T15" s="7" t="inlineStr">
        <is>
          <t>A</t>
        </is>
      </c>
      <c r="U15" s="7" t="inlineStr">
        <is>
          <t>True.</t>
        </is>
      </c>
      <c r="V15" s="7" t="inlineStr">
        <is>
          <t>CERTIFIED</t>
        </is>
      </c>
      <c r="W15" s="7" t="n"/>
      <c r="X15" s="7" t="inlineStr">
        <is>
          <t>A</t>
        </is>
      </c>
      <c r="Y15" s="7" t="inlineStr">
        <is>
          <t>A</t>
        </is>
      </c>
      <c r="Z15" s="11" t="b">
        <v>0</v>
      </c>
      <c r="AA15" s="8" t="inlineStr">
        <is>
          <t>CURRENT EVIDENCE / STATUS</t>
        </is>
      </c>
    </row>
    <row r="16">
      <c r="A16" s="7" t="inlineStr">
        <is>
          <t>Q-011</t>
        </is>
      </c>
      <c r="B16" s="7" t="inlineStr">
        <is>
          <t>RNR-H02</t>
        </is>
      </c>
      <c r="C16" s="7" t="inlineStr">
        <is>
          <t>True</t>
        </is>
      </c>
      <c r="D16" s="7" t="inlineStr">
        <is>
          <t>A</t>
        </is>
      </c>
      <c r="E16" s="7" t="inlineStr">
        <is>
          <t>Lutheran</t>
        </is>
      </c>
      <c r="F16" s="7" t="inlineStr">
        <is>
          <t>SINGLE</t>
        </is>
      </c>
      <c r="G16" s="7" t="inlineStr">
        <is>
          <t>SESSION 8 ATTESTATION + SESSION 9 ATOMIC CODE RECOVERED</t>
        </is>
      </c>
      <c r="H16" s="7" t="inlineStr">
        <is>
          <t>PUBLIC-CERTIFIED</t>
        </is>
      </c>
      <c r="I16" s="7" t="inlineStr">
        <is>
          <t>RNR-H02a</t>
        </is>
      </c>
      <c r="J16" s="7" t="inlineStr">
        <is>
          <t>A</t>
        </is>
      </c>
      <c r="K16" s="7" t="inlineStr">
        <is>
          <t>Lutheran Church—Missouri Synod</t>
        </is>
      </c>
      <c r="L16" s="7" t="inlineStr">
        <is>
          <t>Nicene / Niceno-Constantinopolitan Creed</t>
        </is>
      </c>
      <c r="M16" s="7" t="inlineStr">
        <is>
          <t>Nicene Creed</t>
        </is>
      </c>
      <c r="N16" s="7" t="inlineStr">
        <is>
          <t>https://www.lcms.org/about/beliefs/lutheran-confessions</t>
        </is>
      </c>
      <c r="O16" s="7" t="inlineStr">
        <is>
          <t>https://bookofconcord.org/ecumenical-creeds/nicene-creed/</t>
        </is>
      </c>
      <c r="P16" s="7" t="inlineStr">
        <is>
          <t>S8-IA-0010 + Session 9 H02a atomic A decision</t>
        </is>
      </c>
      <c r="Q16" s="7" t="inlineStr">
        <is>
          <t>HIGH</t>
        </is>
      </c>
      <c r="R16" s="7" t="inlineStr">
        <is>
          <t>LCMS confessional subscription; not all Lutherans.</t>
        </is>
      </c>
      <c r="S16" s="7" t="inlineStr">
        <is>
          <t>NO</t>
        </is>
      </c>
      <c r="T16" s="7" t="inlineStr">
        <is>
          <t>A</t>
        </is>
      </c>
      <c r="U16" s="7" t="inlineStr">
        <is>
          <t>True.</t>
        </is>
      </c>
      <c r="V16" s="7" t="inlineStr">
        <is>
          <t>CERTIFIED</t>
        </is>
      </c>
      <c r="W16" s="7" t="n"/>
      <c r="X16" s="7" t="inlineStr">
        <is>
          <t>A</t>
        </is>
      </c>
      <c r="Y16" s="7" t="inlineStr">
        <is>
          <t>A</t>
        </is>
      </c>
      <c r="Z16" s="11" t="b">
        <v>0</v>
      </c>
      <c r="AA16" s="8" t="inlineStr">
        <is>
          <t>CURRENT EVIDENCE / STATUS</t>
        </is>
      </c>
    </row>
    <row r="17">
      <c r="A17" s="7" t="inlineStr">
        <is>
          <t>Q-012</t>
        </is>
      </c>
      <c r="B17" s="7" t="inlineStr">
        <is>
          <t>RNR-H02</t>
        </is>
      </c>
      <c r="C17" s="7" t="inlineStr">
        <is>
          <t>True</t>
        </is>
      </c>
      <c r="D17" s="7" t="inlineStr">
        <is>
          <t>A</t>
        </is>
      </c>
      <c r="E17" s="7" t="inlineStr">
        <is>
          <t>Reformed / Presbyterian</t>
        </is>
      </c>
      <c r="F17" s="7" t="inlineStr">
        <is>
          <t>SINGLE</t>
        </is>
      </c>
      <c r="G17" s="7" t="inlineStr">
        <is>
          <t>TO RECOVER FROM SESSION 9 LEDGER</t>
        </is>
      </c>
      <c r="H17" s="7" t="inlineStr">
        <is>
          <t>NO PUBLIC TILE</t>
        </is>
      </c>
      <c r="I17" s="7" t="n"/>
      <c r="J17" s="7" t="n"/>
      <c r="K17" s="7" t="n"/>
      <c r="L17" s="7" t="n"/>
      <c r="M17" s="7" t="n"/>
      <c r="N17" s="7" t="n"/>
      <c r="O17" s="7" t="n"/>
      <c r="P17" s="7" t="n"/>
      <c r="Q17" s="7" t="inlineStr">
        <is>
          <t>NOT-ASSESSED</t>
        </is>
      </c>
      <c r="R17" s="7" t="n"/>
      <c r="S17" s="7" t="n"/>
      <c r="T17" s="7" t="n"/>
      <c r="U17" s="7" t="n"/>
      <c r="V17" s="7" t="n"/>
      <c r="W17" s="7" t="n"/>
      <c r="X17" s="7" t="inlineStr">
        <is>
          <t>NOT LOCATED — NOT YET RECOVERED</t>
        </is>
      </c>
      <c r="Y17" s="7" t="inlineStr">
        <is>
          <t>EXCLUDED</t>
        </is>
      </c>
      <c r="Z17" s="11" t="b">
        <v>0</v>
      </c>
      <c r="AA17" s="8" t="inlineStr">
        <is>
          <t>CURRENT EVIDENCE / STATUS</t>
        </is>
      </c>
    </row>
    <row r="18">
      <c r="A18" s="7" t="inlineStr">
        <is>
          <t>Q-013</t>
        </is>
      </c>
      <c r="B18" s="7" t="inlineStr">
        <is>
          <t>RNR-H02</t>
        </is>
      </c>
      <c r="C18" s="7" t="inlineStr">
        <is>
          <t>True</t>
        </is>
      </c>
      <c r="D18" s="7" t="inlineStr">
        <is>
          <t>A</t>
        </is>
      </c>
      <c r="E18" s="7" t="inlineStr">
        <is>
          <t>Anglican</t>
        </is>
      </c>
      <c r="F18" s="7" t="inlineStr">
        <is>
          <t>SINGLE</t>
        </is>
      </c>
      <c r="G18" s="7" t="inlineStr">
        <is>
          <t>SESSION 8 ATTESTATION + SESSION 9 ATOMIC CODE RECOVERED</t>
        </is>
      </c>
      <c r="H18" s="7" t="inlineStr">
        <is>
          <t>PUBLIC-CERTIFIED</t>
        </is>
      </c>
      <c r="I18" s="7" t="inlineStr">
        <is>
          <t>RNR-H02a</t>
        </is>
      </c>
      <c r="J18" s="7" t="inlineStr">
        <is>
          <t>A</t>
        </is>
      </c>
      <c r="K18" s="7" t="inlineStr">
        <is>
          <t>Church of England</t>
        </is>
      </c>
      <c r="L18" s="7" t="inlineStr">
        <is>
          <t>Thirty-Nine Articles</t>
        </is>
      </c>
      <c r="M18" s="7" t="inlineStr">
        <is>
          <t>Articles I–II</t>
        </is>
      </c>
      <c r="N18" s="7" t="inlineStr">
        <is>
          <t>https://www.churchofengland.org/prayer-and-worship/worship-texts-and-resources/book-common-prayer/articles-religion</t>
        </is>
      </c>
      <c r="O18" s="7" t="inlineStr">
        <is>
          <t>https://www.churchofengland.org/prayer-and-worship/worship-texts-and-resources/book-common-prayer/articles-religion</t>
        </is>
      </c>
      <c r="P18" s="7" t="inlineStr">
        <is>
          <t>S8-IA-0013 + Session 9 H02a atomic A decision</t>
        </is>
      </c>
      <c r="Q18" s="7" t="inlineStr">
        <is>
          <t>HIGH</t>
        </is>
      </c>
      <c r="R18" s="7" t="inlineStr">
        <is>
          <t>Church of England only; not Anglican Communion-wide.</t>
        </is>
      </c>
      <c r="S18" s="7" t="inlineStr">
        <is>
          <t>NO</t>
        </is>
      </c>
      <c r="T18" s="7" t="inlineStr">
        <is>
          <t>A</t>
        </is>
      </c>
      <c r="U18" s="7" t="inlineStr">
        <is>
          <t>True.</t>
        </is>
      </c>
      <c r="V18" s="7" t="inlineStr">
        <is>
          <t>CERTIFIED</t>
        </is>
      </c>
      <c r="W18" s="7" t="n"/>
      <c r="X18" s="7" t="inlineStr">
        <is>
          <t>A</t>
        </is>
      </c>
      <c r="Y18" s="7" t="inlineStr">
        <is>
          <t>A</t>
        </is>
      </c>
      <c r="Z18" s="11" t="b">
        <v>0</v>
      </c>
      <c r="AA18" s="8" t="inlineStr">
        <is>
          <t>CURRENT EVIDENCE / STATUS</t>
        </is>
      </c>
    </row>
    <row r="19">
      <c r="A19" s="7" t="inlineStr">
        <is>
          <t>Q-014</t>
        </is>
      </c>
      <c r="B19" s="7" t="inlineStr">
        <is>
          <t>RNR-H02</t>
        </is>
      </c>
      <c r="C19" s="7" t="inlineStr">
        <is>
          <t>True</t>
        </is>
      </c>
      <c r="D19" s="7" t="inlineStr">
        <is>
          <t>A</t>
        </is>
      </c>
      <c r="E19" s="7" t="inlineStr">
        <is>
          <t>Baptist</t>
        </is>
      </c>
      <c r="F19" s="7" t="inlineStr">
        <is>
          <t>SINGLE</t>
        </is>
      </c>
      <c r="G19" s="7" t="inlineStr">
        <is>
          <t>CURRENT OFFICIAL SOURCE RECOVERED — WEB VERIFIED</t>
        </is>
      </c>
      <c r="H19" s="7" t="inlineStr">
        <is>
          <t>PUBLIC-CERTIFIED</t>
        </is>
      </c>
      <c r="I19" s="7" t="inlineStr">
        <is>
          <t>RNR-H02a</t>
        </is>
      </c>
      <c r="J19" s="7" t="inlineStr">
        <is>
          <t>A</t>
        </is>
      </c>
      <c r="K19" s="7" t="inlineStr">
        <is>
          <t>Southern Baptist Convention</t>
        </is>
      </c>
      <c r="L19" s="7" t="inlineStr">
        <is>
          <t>Baptist Faith and Message 2000</t>
        </is>
      </c>
      <c r="M19" s="7" t="inlineStr">
        <is>
          <t>II. God — one living and true God</t>
        </is>
      </c>
      <c r="N19" s="7" t="inlineStr">
        <is>
          <t>https://bfm.sbc.net/bfm2000/</t>
        </is>
      </c>
      <c r="O19" s="7" t="inlineStr">
        <is>
          <t>https://bfm.sbc.net/bfm2000/</t>
        </is>
      </c>
      <c r="P19" s="7" t="inlineStr">
        <is>
          <t>Current official-source recovery, web-verified against Baptist Faith &amp; Message 2000; source role N2 per project institutional authority roster.</t>
        </is>
      </c>
      <c r="Q19" s="7" t="inlineStr">
        <is>
          <t>HIGH</t>
        </is>
      </c>
      <c r="R19" s="7" t="inlineStr">
        <is>
          <t>Southern Baptist Convention cooperative identity under BF&amp;M 2000; not all Baptist churches or Baptist traditions.</t>
        </is>
      </c>
      <c r="S19" s="7" t="inlineStr">
        <is>
          <t>NO</t>
        </is>
      </c>
      <c r="T19" s="7" t="inlineStr">
        <is>
          <t>A</t>
        </is>
      </c>
      <c r="U19" s="7" t="inlineStr">
        <is>
          <t>Current SBC source explicitly attests True.</t>
        </is>
      </c>
      <c r="V19" s="7" t="inlineStr">
        <is>
          <t>CERTIFIED</t>
        </is>
      </c>
      <c r="W19" s="7" t="n"/>
      <c r="X19" s="7" t="inlineStr">
        <is>
          <t>A</t>
        </is>
      </c>
      <c r="Y19" s="7" t="inlineStr">
        <is>
          <t>A</t>
        </is>
      </c>
      <c r="Z19" s="11" t="b">
        <v>0</v>
      </c>
      <c r="AA19" s="8" t="inlineStr">
        <is>
          <t>CURRENT EVIDENCE / STATUS</t>
        </is>
      </c>
    </row>
    <row r="20">
      <c r="A20" s="7" t="inlineStr">
        <is>
          <t>Q-015</t>
        </is>
      </c>
      <c r="B20" s="7" t="inlineStr">
        <is>
          <t>RNR-H02</t>
        </is>
      </c>
      <c r="C20" s="7" t="inlineStr">
        <is>
          <t>True</t>
        </is>
      </c>
      <c r="D20" s="7" t="inlineStr">
        <is>
          <t>A</t>
        </is>
      </c>
      <c r="E20" s="7" t="inlineStr">
        <is>
          <t>Methodist / Wesleyan</t>
        </is>
      </c>
      <c r="F20" s="7" t="inlineStr">
        <is>
          <t>SINGLE</t>
        </is>
      </c>
      <c r="G20" s="7" t="inlineStr">
        <is>
          <t>SESSION 9 SOURCE ROW RECOVERED</t>
        </is>
      </c>
      <c r="H20" s="7" t="inlineStr">
        <is>
          <t>PUBLIC-CERTIFIED</t>
        </is>
      </c>
      <c r="I20" s="7" t="inlineStr">
        <is>
          <t>RNR-H02a</t>
        </is>
      </c>
      <c r="J20" s="7" t="inlineStr">
        <is>
          <t>A</t>
        </is>
      </c>
      <c r="K20" s="7" t="inlineStr">
        <is>
          <t>The United Methodist Church</t>
        </is>
      </c>
      <c r="L20" s="7" t="inlineStr">
        <is>
          <t>Articles of Religion of the Methodist Church</t>
        </is>
      </c>
      <c r="M20" s="7" t="inlineStr">
        <is>
          <t>Article I</t>
        </is>
      </c>
      <c r="N20" s="7" t="inlineStr">
        <is>
          <t>https://www.umc.org/en/content/articles-of-religion</t>
        </is>
      </c>
      <c r="O20" s="7" t="inlineStr">
        <is>
          <t>https://www.umc.org/en/content/articles-of-religion</t>
        </is>
      </c>
      <c r="P20" s="7" t="inlineStr">
        <is>
          <t>S9-IA-0017 / S8-IA-0017</t>
        </is>
      </c>
      <c r="Q20" s="7" t="inlineStr">
        <is>
          <t>MEDIUM-HIGH</t>
        </is>
      </c>
      <c r="R20" s="7" t="inlineStr">
        <is>
          <t>UMC institutional scope.</t>
        </is>
      </c>
      <c r="S20" s="7" t="inlineStr">
        <is>
          <t>NO</t>
        </is>
      </c>
      <c r="T20" s="7" t="inlineStr">
        <is>
          <t>A</t>
        </is>
      </c>
      <c r="U20" s="7" t="inlineStr">
        <is>
          <t>True.</t>
        </is>
      </c>
      <c r="V20" s="7" t="inlineStr">
        <is>
          <t>CERTIFIED</t>
        </is>
      </c>
      <c r="W20" s="7" t="n"/>
      <c r="X20" s="7" t="inlineStr">
        <is>
          <t>A</t>
        </is>
      </c>
      <c r="Y20" s="7" t="inlineStr">
        <is>
          <t>A</t>
        </is>
      </c>
      <c r="Z20" s="11" t="b">
        <v>0</v>
      </c>
      <c r="AA20" s="8" t="inlineStr">
        <is>
          <t>CURRENT EVIDENCE / STATUS</t>
        </is>
      </c>
    </row>
    <row r="21" ht="15.75" customHeight="1" s="29">
      <c r="A21" s="7" t="inlineStr">
        <is>
          <t>Q-016</t>
        </is>
      </c>
      <c r="B21" s="7" t="inlineStr">
        <is>
          <t>RNR-H02</t>
        </is>
      </c>
      <c r="C21" s="7" t="inlineStr">
        <is>
          <t>True</t>
        </is>
      </c>
      <c r="D21" s="7" t="inlineStr">
        <is>
          <t>A</t>
        </is>
      </c>
      <c r="E21" s="7" t="inlineStr">
        <is>
          <t>Mennonite / Anabaptist</t>
        </is>
      </c>
      <c r="F21" s="7" t="inlineStr">
        <is>
          <t>SINGLE</t>
        </is>
      </c>
      <c r="G21" s="7" t="inlineStr">
        <is>
          <t>TO RECOVER FROM SESSION 9 LEDGER</t>
        </is>
      </c>
      <c r="H21" s="7" t="inlineStr">
        <is>
          <t>NO PUBLIC TILE</t>
        </is>
      </c>
      <c r="I21" s="7" t="n"/>
      <c r="J21" s="7" t="n"/>
      <c r="K21" s="7" t="n"/>
      <c r="L21" s="7" t="n"/>
      <c r="M21" s="7" t="n"/>
      <c r="N21" s="7" t="n"/>
      <c r="O21" s="7" t="n"/>
      <c r="P21" s="7" t="n"/>
      <c r="Q21" s="7" t="inlineStr">
        <is>
          <t>NOT-ASSESSED</t>
        </is>
      </c>
      <c r="R21" s="7" t="n"/>
      <c r="S21" s="7" t="n"/>
      <c r="T21" s="7" t="n"/>
      <c r="U21" s="7" t="n"/>
      <c r="V21" s="7" t="n"/>
      <c r="W21" s="7" t="n"/>
      <c r="X21" s="7" t="inlineStr">
        <is>
          <t>NOT LOCATED — NOT YET RECOVERED</t>
        </is>
      </c>
      <c r="Y21" s="7" t="inlineStr">
        <is>
          <t>EXCLUDED</t>
        </is>
      </c>
      <c r="Z21" s="11" t="b">
        <v>0</v>
      </c>
      <c r="AA21" s="8" t="inlineStr">
        <is>
          <t>CURRENT EVIDENCE / STATUS</t>
        </is>
      </c>
    </row>
    <row r="22" ht="15.75" customHeight="1" s="29">
      <c r="A22" s="7" t="inlineStr">
        <is>
          <t>Q-017</t>
        </is>
      </c>
      <c r="B22" s="7" t="inlineStr">
        <is>
          <t>RNR-H03</t>
        </is>
      </c>
      <c r="C22" s="7" t="inlineStr">
        <is>
          <t>Spirit</t>
        </is>
      </c>
      <c r="D22" s="7" t="inlineStr">
        <is>
          <t>Q</t>
        </is>
      </c>
      <c r="E22" s="7" t="inlineStr">
        <is>
          <t>Roman Catholic</t>
        </is>
      </c>
      <c r="F22" s="7" t="inlineStr">
        <is>
          <t>VECTOR REQUIRED</t>
        </is>
      </c>
      <c r="G22" s="7" t="inlineStr">
        <is>
          <t>TO RECOVER FROM SESSION 9 LEDGER</t>
        </is>
      </c>
      <c r="H22" s="7" t="inlineStr">
        <is>
          <t>NO PUBLIC TILE</t>
        </is>
      </c>
      <c r="I22" s="7" t="n"/>
      <c r="J22" s="7" t="n"/>
      <c r="K22" s="7" t="n"/>
      <c r="L22" s="7" t="n"/>
      <c r="M22" s="7" t="n"/>
      <c r="N22" s="7" t="n"/>
      <c r="O22" s="7" t="n"/>
      <c r="P22" s="7" t="n"/>
      <c r="Q22" s="7" t="inlineStr">
        <is>
          <t>NOT-ASSESSED</t>
        </is>
      </c>
      <c r="R22" s="7" t="n"/>
      <c r="S22" s="7" t="n"/>
      <c r="T22" s="7" t="n"/>
      <c r="U22" s="7" t="n"/>
      <c r="V22" s="7" t="n"/>
      <c r="W22" s="7" t="n"/>
      <c r="X22" s="7" t="inlineStr">
        <is>
          <t>NOT LOCATED — NOT YET RECOVERED</t>
        </is>
      </c>
      <c r="Y22" s="7" t="inlineStr">
        <is>
          <t>EXCLUDED</t>
        </is>
      </c>
      <c r="Z22" s="11" t="b">
        <v>0</v>
      </c>
      <c r="AA22" s="8" t="inlineStr">
        <is>
          <t>CURRENT EVIDENCE / STATUS</t>
        </is>
      </c>
    </row>
    <row r="23" ht="15.75" customHeight="1" s="29">
      <c r="A23" s="7" t="inlineStr">
        <is>
          <t>Q-018</t>
        </is>
      </c>
      <c r="B23" s="7" t="inlineStr">
        <is>
          <t>RNR-H03</t>
        </is>
      </c>
      <c r="C23" s="7" t="inlineStr">
        <is>
          <t>Spirit</t>
        </is>
      </c>
      <c r="D23" s="7" t="inlineStr">
        <is>
          <t>Q</t>
        </is>
      </c>
      <c r="E23" s="7" t="inlineStr">
        <is>
          <t>Eastern Orthodox</t>
        </is>
      </c>
      <c r="F23" s="7" t="inlineStr">
        <is>
          <t>VECTOR REQUIRED</t>
        </is>
      </c>
      <c r="G23" s="7" t="inlineStr">
        <is>
          <t>TO RECOVER FROM SESSION 9 LEDGER</t>
        </is>
      </c>
      <c r="H23" s="7" t="inlineStr">
        <is>
          <t>NO PUBLIC TILE</t>
        </is>
      </c>
      <c r="I23" s="7" t="n"/>
      <c r="J23" s="7" t="n"/>
      <c r="K23" s="7" t="n"/>
      <c r="L23" s="7" t="n"/>
      <c r="M23" s="7" t="n"/>
      <c r="N23" s="7" t="n"/>
      <c r="O23" s="7" t="n"/>
      <c r="P23" s="7" t="n"/>
      <c r="Q23" s="7" t="inlineStr">
        <is>
          <t>NOT-ASSESSED</t>
        </is>
      </c>
      <c r="R23" s="7" t="n"/>
      <c r="S23" s="7" t="n"/>
      <c r="T23" s="7" t="n"/>
      <c r="U23" s="7" t="n"/>
      <c r="V23" s="7" t="n"/>
      <c r="W23" s="7" t="n"/>
      <c r="X23" s="7" t="inlineStr">
        <is>
          <t>NOT LOCATED — NOT YET RECOVERED</t>
        </is>
      </c>
      <c r="Y23" s="7" t="inlineStr">
        <is>
          <t>EXCLUDED</t>
        </is>
      </c>
      <c r="Z23" s="11" t="b">
        <v>0</v>
      </c>
      <c r="AA23" s="8" t="inlineStr">
        <is>
          <t>CURRENT EVIDENCE / STATUS</t>
        </is>
      </c>
    </row>
    <row r="24" ht="15.75" customHeight="1" s="29">
      <c r="A24" s="7" t="inlineStr">
        <is>
          <t>Q-019</t>
        </is>
      </c>
      <c r="B24" s="7" t="inlineStr">
        <is>
          <t>RNR-H03</t>
        </is>
      </c>
      <c r="C24" s="7" t="inlineStr">
        <is>
          <t>Spirit</t>
        </is>
      </c>
      <c r="D24" s="7" t="inlineStr">
        <is>
          <t>Q</t>
        </is>
      </c>
      <c r="E24" s="7" t="inlineStr">
        <is>
          <t>Lutheran</t>
        </is>
      </c>
      <c r="F24" s="7" t="inlineStr">
        <is>
          <t>VECTOR REQUIRED</t>
        </is>
      </c>
      <c r="G24" s="7" t="inlineStr">
        <is>
          <t>TO RECOVER FROM SESSION 9 LEDGER</t>
        </is>
      </c>
      <c r="H24" s="7" t="inlineStr">
        <is>
          <t>NO PUBLIC TILE</t>
        </is>
      </c>
      <c r="I24" s="7" t="n"/>
      <c r="J24" s="7" t="n"/>
      <c r="K24" s="7" t="n"/>
      <c r="L24" s="7" t="n"/>
      <c r="M24" s="7" t="n"/>
      <c r="N24" s="7" t="n"/>
      <c r="O24" s="7" t="n"/>
      <c r="P24" s="7" t="n"/>
      <c r="Q24" s="7" t="inlineStr">
        <is>
          <t>NOT-ASSESSED</t>
        </is>
      </c>
      <c r="R24" s="7" t="n"/>
      <c r="S24" s="7" t="n"/>
      <c r="T24" s="7" t="n"/>
      <c r="U24" s="7" t="n"/>
      <c r="V24" s="7" t="n"/>
      <c r="W24" s="7" t="n"/>
      <c r="X24" s="7" t="inlineStr">
        <is>
          <t>NOT LOCATED — NOT YET RECOVERED</t>
        </is>
      </c>
      <c r="Y24" s="7" t="inlineStr">
        <is>
          <t>EXCLUDED</t>
        </is>
      </c>
      <c r="Z24" s="11" t="b">
        <v>0</v>
      </c>
      <c r="AA24" s="8" t="inlineStr">
        <is>
          <t>CURRENT EVIDENCE / STATUS</t>
        </is>
      </c>
    </row>
    <row r="25" ht="15.75" customHeight="1" s="29">
      <c r="A25" s="7" t="inlineStr">
        <is>
          <t>Q-020</t>
        </is>
      </c>
      <c r="B25" s="7" t="inlineStr">
        <is>
          <t>RNR-H03</t>
        </is>
      </c>
      <c r="C25" s="7" t="inlineStr">
        <is>
          <t>Spirit</t>
        </is>
      </c>
      <c r="D25" s="7" t="inlineStr">
        <is>
          <t>Q</t>
        </is>
      </c>
      <c r="E25" s="7" t="inlineStr">
        <is>
          <t>Reformed / Presbyterian</t>
        </is>
      </c>
      <c r="F25" s="7" t="inlineStr">
        <is>
          <t>VECTOR REQUIRED</t>
        </is>
      </c>
      <c r="G25" s="7" t="inlineStr">
        <is>
          <t>TO RECOVER FROM SESSION 9 LEDGER</t>
        </is>
      </c>
      <c r="H25" s="7" t="inlineStr">
        <is>
          <t>NO PUBLIC TILE</t>
        </is>
      </c>
      <c r="I25" s="7" t="n"/>
      <c r="J25" s="7" t="n"/>
      <c r="K25" s="7" t="n"/>
      <c r="L25" s="7" t="n"/>
      <c r="M25" s="7" t="n"/>
      <c r="N25" s="7" t="n"/>
      <c r="O25" s="7" t="n"/>
      <c r="P25" s="7" t="n"/>
      <c r="Q25" s="7" t="inlineStr">
        <is>
          <t>NOT-ASSESSED</t>
        </is>
      </c>
      <c r="R25" s="7" t="n"/>
      <c r="S25" s="7" t="n"/>
      <c r="T25" s="7" t="n"/>
      <c r="U25" s="7" t="n"/>
      <c r="V25" s="7" t="n"/>
      <c r="W25" s="7" t="n"/>
      <c r="X25" s="7" t="inlineStr">
        <is>
          <t>NOT LOCATED — NOT YET RECOVERED</t>
        </is>
      </c>
      <c r="Y25" s="7" t="inlineStr">
        <is>
          <t>EXCLUDED</t>
        </is>
      </c>
      <c r="Z25" s="11" t="b">
        <v>0</v>
      </c>
      <c r="AA25" s="8" t="inlineStr">
        <is>
          <t>CURRENT EVIDENCE / STATUS</t>
        </is>
      </c>
    </row>
    <row r="26" ht="15.75" customHeight="1" s="29">
      <c r="A26" s="7" t="inlineStr">
        <is>
          <t>Q-021</t>
        </is>
      </c>
      <c r="B26" s="7" t="inlineStr">
        <is>
          <t>RNR-H03</t>
        </is>
      </c>
      <c r="C26" s="7" t="inlineStr">
        <is>
          <t>Spirit</t>
        </is>
      </c>
      <c r="D26" s="7" t="inlineStr">
        <is>
          <t>Q</t>
        </is>
      </c>
      <c r="E26" s="7" t="inlineStr">
        <is>
          <t>Anglican</t>
        </is>
      </c>
      <c r="F26" s="7" t="inlineStr">
        <is>
          <t>VECTOR REQUIRED</t>
        </is>
      </c>
      <c r="G26" s="7" t="inlineStr">
        <is>
          <t>TO RECOVER FROM SESSION 9 LEDGER</t>
        </is>
      </c>
      <c r="H26" s="7" t="inlineStr">
        <is>
          <t>NO PUBLIC TILE</t>
        </is>
      </c>
      <c r="I26" s="7" t="n"/>
      <c r="J26" s="7" t="n"/>
      <c r="K26" s="7" t="n"/>
      <c r="L26" s="7" t="n"/>
      <c r="M26" s="7" t="n"/>
      <c r="N26" s="7" t="n"/>
      <c r="O26" s="7" t="n"/>
      <c r="P26" s="7" t="n"/>
      <c r="Q26" s="7" t="inlineStr">
        <is>
          <t>NOT-ASSESSED</t>
        </is>
      </c>
      <c r="R26" s="7" t="n"/>
      <c r="S26" s="7" t="n"/>
      <c r="T26" s="7" t="n"/>
      <c r="U26" s="7" t="n"/>
      <c r="V26" s="7" t="n"/>
      <c r="W26" s="7" t="n"/>
      <c r="X26" s="7" t="inlineStr">
        <is>
          <t>NOT LOCATED — NOT YET RECOVERED</t>
        </is>
      </c>
      <c r="Y26" s="7" t="inlineStr">
        <is>
          <t>EXCLUDED</t>
        </is>
      </c>
      <c r="Z26" s="11" t="b">
        <v>0</v>
      </c>
      <c r="AA26" s="8" t="inlineStr">
        <is>
          <t>CURRENT EVIDENCE / STATUS</t>
        </is>
      </c>
    </row>
    <row r="27" ht="15.75" customHeight="1" s="29">
      <c r="A27" s="7" t="inlineStr">
        <is>
          <t>Q-022</t>
        </is>
      </c>
      <c r="B27" s="7" t="inlineStr">
        <is>
          <t>RNR-H03</t>
        </is>
      </c>
      <c r="C27" s="7" t="inlineStr">
        <is>
          <t>Spirit</t>
        </is>
      </c>
      <c r="D27" s="7" t="inlineStr">
        <is>
          <t>Q</t>
        </is>
      </c>
      <c r="E27" s="7" t="inlineStr">
        <is>
          <t>Baptist</t>
        </is>
      </c>
      <c r="F27" s="7" t="inlineStr">
        <is>
          <t>VECTOR REQUIRED</t>
        </is>
      </c>
      <c r="G27" s="7" t="inlineStr">
        <is>
          <t>TO RECOVER FROM SESSION 9 LEDGER</t>
        </is>
      </c>
      <c r="H27" s="7" t="inlineStr">
        <is>
          <t>NO PUBLIC TILE</t>
        </is>
      </c>
      <c r="I27" s="7" t="n"/>
      <c r="J27" s="7" t="n"/>
      <c r="K27" s="7" t="n"/>
      <c r="L27" s="7" t="n"/>
      <c r="M27" s="7" t="n"/>
      <c r="N27" s="7" t="n"/>
      <c r="O27" s="7" t="n"/>
      <c r="P27" s="7" t="n"/>
      <c r="Q27" s="7" t="inlineStr">
        <is>
          <t>NOT-ASSESSED</t>
        </is>
      </c>
      <c r="R27" s="7" t="n"/>
      <c r="S27" s="7" t="n"/>
      <c r="T27" s="7" t="n"/>
      <c r="U27" s="7" t="n"/>
      <c r="V27" s="7" t="n"/>
      <c r="W27" s="7" t="n"/>
      <c r="X27" s="7" t="inlineStr">
        <is>
          <t>NOT LOCATED — NOT YET RECOVERED</t>
        </is>
      </c>
      <c r="Y27" s="7" t="inlineStr">
        <is>
          <t>EXCLUDED</t>
        </is>
      </c>
      <c r="Z27" s="11" t="b">
        <v>0</v>
      </c>
      <c r="AA27" s="8" t="inlineStr">
        <is>
          <t>CURRENT EVIDENCE / STATUS</t>
        </is>
      </c>
    </row>
    <row r="28" ht="15.75" customHeight="1" s="29">
      <c r="A28" s="7" t="inlineStr">
        <is>
          <t>Q-023</t>
        </is>
      </c>
      <c r="B28" s="7" t="inlineStr">
        <is>
          <t>RNR-H03</t>
        </is>
      </c>
      <c r="C28" s="7" t="inlineStr">
        <is>
          <t>Spirit</t>
        </is>
      </c>
      <c r="D28" s="7" t="inlineStr">
        <is>
          <t>Q</t>
        </is>
      </c>
      <c r="E28" s="7" t="inlineStr">
        <is>
          <t>Methodist / Wesleyan</t>
        </is>
      </c>
      <c r="F28" s="7" t="inlineStr">
        <is>
          <t>VECTOR REQUIRED</t>
        </is>
      </c>
      <c r="G28" s="7" t="inlineStr">
        <is>
          <t>TO RECOVER FROM SESSION 9 LEDGER</t>
        </is>
      </c>
      <c r="H28" s="7" t="inlineStr">
        <is>
          <t>NO PUBLIC TILE</t>
        </is>
      </c>
      <c r="I28" s="7" t="n"/>
      <c r="J28" s="7" t="n"/>
      <c r="K28" s="7" t="n"/>
      <c r="L28" s="7" t="n"/>
      <c r="M28" s="7" t="n"/>
      <c r="N28" s="7" t="n"/>
      <c r="O28" s="7" t="n"/>
      <c r="P28" s="7" t="n"/>
      <c r="Q28" s="7" t="inlineStr">
        <is>
          <t>NOT-ASSESSED</t>
        </is>
      </c>
      <c r="R28" s="7" t="n"/>
      <c r="S28" s="7" t="n"/>
      <c r="T28" s="7" t="n"/>
      <c r="U28" s="7" t="n"/>
      <c r="V28" s="7" t="n"/>
      <c r="W28" s="7" t="n"/>
      <c r="X28" s="7" t="inlineStr">
        <is>
          <t>NOT LOCATED — NOT YET RECOVERED</t>
        </is>
      </c>
      <c r="Y28" s="7" t="inlineStr">
        <is>
          <t>EXCLUDED</t>
        </is>
      </c>
      <c r="Z28" s="11" t="b">
        <v>0</v>
      </c>
      <c r="AA28" s="8" t="inlineStr">
        <is>
          <t>CURRENT EVIDENCE / STATUS</t>
        </is>
      </c>
    </row>
    <row r="29" ht="15.75" customHeight="1" s="29">
      <c r="A29" s="7" t="inlineStr">
        <is>
          <t>Q-024</t>
        </is>
      </c>
      <c r="B29" s="7" t="inlineStr">
        <is>
          <t>RNR-H03</t>
        </is>
      </c>
      <c r="C29" s="7" t="inlineStr">
        <is>
          <t>Spirit</t>
        </is>
      </c>
      <c r="D29" s="7" t="inlineStr">
        <is>
          <t>Q</t>
        </is>
      </c>
      <c r="E29" s="7" t="inlineStr">
        <is>
          <t>Mennonite / Anabaptist</t>
        </is>
      </c>
      <c r="F29" s="7" t="inlineStr">
        <is>
          <t>VECTOR REQUIRED</t>
        </is>
      </c>
      <c r="G29" s="7" t="inlineStr">
        <is>
          <t>TO RECOVER FROM SESSION 9 LEDGER</t>
        </is>
      </c>
      <c r="H29" s="7" t="inlineStr">
        <is>
          <t>NO PUBLIC TILE</t>
        </is>
      </c>
      <c r="I29" s="7" t="n"/>
      <c r="J29" s="7" t="n"/>
      <c r="K29" s="7" t="n"/>
      <c r="L29" s="7" t="n"/>
      <c r="M29" s="7" t="n"/>
      <c r="N29" s="7" t="n"/>
      <c r="O29" s="7" t="n"/>
      <c r="P29" s="7" t="n"/>
      <c r="Q29" s="7" t="inlineStr">
        <is>
          <t>NOT-ASSESSED</t>
        </is>
      </c>
      <c r="R29" s="7" t="n"/>
      <c r="S29" s="7" t="n"/>
      <c r="T29" s="7" t="n"/>
      <c r="U29" s="7" t="n"/>
      <c r="V29" s="7" t="n"/>
      <c r="W29" s="7" t="n"/>
      <c r="X29" s="7" t="inlineStr">
        <is>
          <t>NOT LOCATED — NOT YET RECOVERED</t>
        </is>
      </c>
      <c r="Y29" s="7" t="inlineStr">
        <is>
          <t>EXCLUDED</t>
        </is>
      </c>
      <c r="Z29" s="11" t="b">
        <v>0</v>
      </c>
      <c r="AA29" s="8" t="inlineStr">
        <is>
          <t>CURRENT EVIDENCE / STATUS</t>
        </is>
      </c>
    </row>
    <row r="30" ht="15.75" customHeight="1" s="29">
      <c r="A30" s="7" t="inlineStr">
        <is>
          <t>Q-025</t>
        </is>
      </c>
      <c r="B30" s="7" t="inlineStr">
        <is>
          <t>RNR-H04</t>
        </is>
      </c>
      <c r="C30" s="7" t="inlineStr">
        <is>
          <t>Father</t>
        </is>
      </c>
      <c r="D30" s="7" t="inlineStr">
        <is>
          <t>A</t>
        </is>
      </c>
      <c r="E30" s="7" t="inlineStr">
        <is>
          <t>Roman Catholic</t>
        </is>
      </c>
      <c r="F30" s="7" t="inlineStr">
        <is>
          <t>SINGLE</t>
        </is>
      </c>
      <c r="G30" s="7" t="inlineStr">
        <is>
          <t>SESSION 9 SOURCE ROW RECOVERED</t>
        </is>
      </c>
      <c r="H30" s="7" t="inlineStr">
        <is>
          <t>PUBLIC-CERTIFIED</t>
        </is>
      </c>
      <c r="I30" s="7" t="inlineStr">
        <is>
          <t>RNR-H04a</t>
        </is>
      </c>
      <c r="J30" s="7" t="inlineStr">
        <is>
          <t>A</t>
        </is>
      </c>
      <c r="K30" s="7" t="inlineStr">
        <is>
          <t>Roman Catholic Church</t>
        </is>
      </c>
      <c r="L30" s="7" t="inlineStr">
        <is>
          <t>Apostles' Creed</t>
        </is>
      </c>
      <c r="M30" s="7" t="inlineStr">
        <is>
          <t>Apostles' Creed, articles 1–12</t>
        </is>
      </c>
      <c r="N30" s="7" t="inlineStr">
        <is>
          <t>https://www.vatican.va/content/catechism/en/part_one/section_one/chapter_three/article_2/the_credo.html</t>
        </is>
      </c>
      <c r="O30" s="7" t="inlineStr">
        <is>
          <t>https://www.vatican.va/content/catechism/en/part_one/section_one/chapter_three/article_2/the_credo.html</t>
        </is>
      </c>
      <c r="P30" s="7" t="inlineStr">
        <is>
          <t>Accepted S9-IA-0036 (later topical evidence ledger confirms this row)</t>
        </is>
      </c>
      <c r="Q30" s="7" t="inlineStr">
        <is>
          <t>HIGH</t>
        </is>
      </c>
      <c r="R30" s="7" t="inlineStr">
        <is>
          <t>Universal Catholic Church.</t>
        </is>
      </c>
      <c r="S30" s="7" t="inlineStr">
        <is>
          <t>NO</t>
        </is>
      </c>
      <c r="T30" s="7" t="inlineStr">
        <is>
          <t>A</t>
        </is>
      </c>
      <c r="U30" s="7" t="inlineStr">
        <is>
          <t>Father.</t>
        </is>
      </c>
      <c r="V30" s="7" t="inlineStr">
        <is>
          <t>CERTIFIED</t>
        </is>
      </c>
      <c r="W30" s="7" t="n"/>
      <c r="X30" s="7" t="inlineStr">
        <is>
          <t>A</t>
        </is>
      </c>
      <c r="Y30" s="7" t="inlineStr">
        <is>
          <t>A</t>
        </is>
      </c>
      <c r="Z30" s="11" t="b">
        <v>0</v>
      </c>
      <c r="AA30" s="8" t="inlineStr">
        <is>
          <t>CURRENT EVIDENCE / STATUS</t>
        </is>
      </c>
    </row>
    <row r="31" ht="15.75" customHeight="1" s="29">
      <c r="A31" s="7" t="inlineStr">
        <is>
          <t>Q-026</t>
        </is>
      </c>
      <c r="B31" s="7" t="inlineStr">
        <is>
          <t>RNR-H04</t>
        </is>
      </c>
      <c r="C31" s="7" t="inlineStr">
        <is>
          <t>Father</t>
        </is>
      </c>
      <c r="D31" s="7" t="inlineStr">
        <is>
          <t>A</t>
        </is>
      </c>
      <c r="E31" s="7" t="inlineStr">
        <is>
          <t>Eastern Orthodox</t>
        </is>
      </c>
      <c r="F31" s="7" t="inlineStr">
        <is>
          <t>SINGLE</t>
        </is>
      </c>
      <c r="G31" s="7" t="inlineStr">
        <is>
          <t>SESSION 9 SOURCE ROW RECOVERED</t>
        </is>
      </c>
      <c r="H31" s="7" t="inlineStr">
        <is>
          <t>PUBLIC-CERTIFIED</t>
        </is>
      </c>
      <c r="I31" s="7" t="inlineStr">
        <is>
          <t>RNR-H04a</t>
        </is>
      </c>
      <c r="J31" s="7" t="inlineStr">
        <is>
          <t>A</t>
        </is>
      </c>
      <c r="K31" s="7" t="inlineStr">
        <is>
          <t>Orthodox Church in America</t>
        </is>
      </c>
      <c r="L31" s="7" t="inlineStr">
        <is>
          <t>Nicene / Niceno-Constantinopolitan Creed</t>
        </is>
      </c>
      <c r="M31" s="7" t="inlineStr">
        <is>
          <t>Nicene Creed, Godhead and Christological clauses</t>
        </is>
      </c>
      <c r="N31" s="7" t="inlineStr">
        <is>
          <t>https://www.oca.org/orthodoxy/the-orthodox-faith/doctrine-scripture/symbol-of-faith/nicene-creed</t>
        </is>
      </c>
      <c r="O31" s="7" t="inlineStr">
        <is>
          <t>https://www.oca.org/orthodoxy/the-orthodox-faith/doctrine-scripture/symbol-of-faith/nicene-creed</t>
        </is>
      </c>
      <c r="P31" s="7" t="inlineStr">
        <is>
          <t>S9-IA-0038 / S8-IA-0038</t>
        </is>
      </c>
      <c r="Q31" s="7" t="inlineStr">
        <is>
          <t>HIGH</t>
        </is>
      </c>
      <c r="R31" s="7" t="inlineStr">
        <is>
          <t>OCA witness to Orthodox conciliar reception; not proxy for every autocephalous church.</t>
        </is>
      </c>
      <c r="S31" s="7" t="inlineStr">
        <is>
          <t>NO</t>
        </is>
      </c>
      <c r="T31" s="7" t="inlineStr">
        <is>
          <t>A</t>
        </is>
      </c>
      <c r="U31" s="7" t="n"/>
      <c r="V31" s="7" t="inlineStr">
        <is>
          <t>CERTIFIED</t>
        </is>
      </c>
      <c r="W31" s="7" t="n"/>
      <c r="X31" s="7" t="inlineStr">
        <is>
          <t>A</t>
        </is>
      </c>
      <c r="Y31" s="7" t="inlineStr">
        <is>
          <t>A</t>
        </is>
      </c>
      <c r="Z31" s="11" t="b">
        <v>0</v>
      </c>
      <c r="AA31" s="8" t="inlineStr">
        <is>
          <t>CURRENT EVIDENCE / STATUS</t>
        </is>
      </c>
    </row>
    <row r="32" ht="15.75" customHeight="1" s="29">
      <c r="A32" s="7" t="inlineStr">
        <is>
          <t>Q-027</t>
        </is>
      </c>
      <c r="B32" s="7" t="inlineStr">
        <is>
          <t>RNR-H04</t>
        </is>
      </c>
      <c r="C32" s="7" t="inlineStr">
        <is>
          <t>Father</t>
        </is>
      </c>
      <c r="D32" s="7" t="inlineStr">
        <is>
          <t>A</t>
        </is>
      </c>
      <c r="E32" s="7" t="inlineStr">
        <is>
          <t>Lutheran</t>
        </is>
      </c>
      <c r="F32" s="7" t="inlineStr">
        <is>
          <t>SINGLE</t>
        </is>
      </c>
      <c r="G32" s="7" t="inlineStr">
        <is>
          <t>SESSION 9 SOURCE ROW RECOVERED</t>
        </is>
      </c>
      <c r="H32" s="7" t="inlineStr">
        <is>
          <t>PUBLIC-CERTIFIED</t>
        </is>
      </c>
      <c r="I32" s="7" t="inlineStr">
        <is>
          <t>RNR-H04a</t>
        </is>
      </c>
      <c r="J32" s="7" t="inlineStr">
        <is>
          <t>A</t>
        </is>
      </c>
      <c r="K32" s="7" t="inlineStr">
        <is>
          <t>Lutheran Church—Missouri Synod</t>
        </is>
      </c>
      <c r="L32" s="7" t="inlineStr">
        <is>
          <t>Nicene Creed</t>
        </is>
      </c>
      <c r="M32" s="7" t="inlineStr">
        <is>
          <t>Nicene Creed</t>
        </is>
      </c>
      <c r="N32" s="7" t="inlineStr">
        <is>
          <t>https://www.lcms.org/about/beliefs/lutheran-confessions</t>
        </is>
      </c>
      <c r="O32" s="7" t="inlineStr">
        <is>
          <t>https://bookofconcord.org/ecumenical-creeds/nicene-creed/</t>
        </is>
      </c>
      <c r="P32" s="7" t="inlineStr">
        <is>
          <t>S9-IA-0039 / S8-IA-0039</t>
        </is>
      </c>
      <c r="Q32" s="7" t="inlineStr">
        <is>
          <t>HIGH</t>
        </is>
      </c>
      <c r="R32" s="7" t="inlineStr">
        <is>
          <t>LCMS scope via confessional subscription.</t>
        </is>
      </c>
      <c r="S32" s="7" t="inlineStr">
        <is>
          <t>NO</t>
        </is>
      </c>
      <c r="T32" s="7" t="inlineStr">
        <is>
          <t>A</t>
        </is>
      </c>
      <c r="U32" s="7" t="n"/>
      <c r="V32" s="7" t="inlineStr">
        <is>
          <t>CERTIFIED</t>
        </is>
      </c>
      <c r="W32" s="7" t="n"/>
      <c r="X32" s="7" t="inlineStr">
        <is>
          <t>A</t>
        </is>
      </c>
      <c r="Y32" s="7" t="inlineStr">
        <is>
          <t>A</t>
        </is>
      </c>
      <c r="Z32" s="11" t="b">
        <v>0</v>
      </c>
      <c r="AA32" s="8" t="inlineStr">
        <is>
          <t>CURRENT EVIDENCE / STATUS</t>
        </is>
      </c>
    </row>
    <row r="33" ht="15.75" customHeight="1" s="29">
      <c r="A33" s="7" t="inlineStr">
        <is>
          <t>Q-028</t>
        </is>
      </c>
      <c r="B33" s="7" t="inlineStr">
        <is>
          <t>RNR-H04</t>
        </is>
      </c>
      <c r="C33" s="7" t="inlineStr">
        <is>
          <t>Father</t>
        </is>
      </c>
      <c r="D33" s="7" t="inlineStr">
        <is>
          <t>A</t>
        </is>
      </c>
      <c r="E33" s="7" t="inlineStr">
        <is>
          <t>Reformed / Presbyterian</t>
        </is>
      </c>
      <c r="F33" s="7" t="inlineStr">
        <is>
          <t>SINGLE</t>
        </is>
      </c>
      <c r="G33" s="7" t="inlineStr">
        <is>
          <t>SESSION 9 SOURCE ROW RECOVERED</t>
        </is>
      </c>
      <c r="H33" s="7" t="inlineStr">
        <is>
          <t>PUBLIC-CERTIFIED</t>
        </is>
      </c>
      <c r="I33" s="7" t="inlineStr">
        <is>
          <t>RNR-H04a</t>
        </is>
      </c>
      <c r="J33" s="7" t="inlineStr">
        <is>
          <t>A</t>
        </is>
      </c>
      <c r="K33" s="7" t="inlineStr">
        <is>
          <t>Presbyterian Church (U.S.A.)</t>
        </is>
      </c>
      <c r="L33" s="7" t="inlineStr">
        <is>
          <t>Nicene Creed</t>
        </is>
      </c>
      <c r="M33" s="7" t="inlineStr">
        <is>
          <t>1.1–3, Nicene Creed</t>
        </is>
      </c>
      <c r="N33" s="7" t="inlineStr">
        <is>
          <t>https://pcusa.org/about-pcusa/agencies-entities/life-witness/ministry-areas/constitutional-interpretation/constitution</t>
        </is>
      </c>
      <c r="O33" s="7" t="inlineStr">
        <is>
          <t>https://pcusa.org/sites/default/files/boc2016.pdf</t>
        </is>
      </c>
      <c r="P33" s="7" t="inlineStr">
        <is>
          <t>S9-IA-0040 / S8-IA-0040</t>
        </is>
      </c>
      <c r="Q33" s="7" t="inlineStr">
        <is>
          <t>HIGH</t>
        </is>
      </c>
      <c r="R33" s="7" t="inlineStr">
        <is>
          <t>PC(USA) constitutional edition; teaching branch is broader than this institution.</t>
        </is>
      </c>
      <c r="S33" s="7" t="inlineStr">
        <is>
          <t>NO</t>
        </is>
      </c>
      <c r="T33" s="7" t="inlineStr">
        <is>
          <t>A</t>
        </is>
      </c>
      <c r="U33" s="7" t="inlineStr">
        <is>
          <t>PC(USA) authority page and direct Book of Confessions PDF repaired in v2.9. | PC(USA) Text URL repaired to live Book of Confessions PDF in v2.10.</t>
        </is>
      </c>
      <c r="V33" s="7" t="inlineStr">
        <is>
          <t>CERTIFIED</t>
        </is>
      </c>
      <c r="W33" s="7" t="n"/>
      <c r="X33" s="7" t="inlineStr">
        <is>
          <t>A</t>
        </is>
      </c>
      <c r="Y33" s="7" t="inlineStr">
        <is>
          <t>A</t>
        </is>
      </c>
      <c r="Z33" s="11" t="b">
        <v>0</v>
      </c>
      <c r="AA33" s="8" t="inlineStr">
        <is>
          <t>CURRENT EVIDENCE / STATUS</t>
        </is>
      </c>
    </row>
    <row r="34" ht="15.75" customHeight="1" s="29">
      <c r="A34" s="7" t="inlineStr">
        <is>
          <t>Q-029</t>
        </is>
      </c>
      <c r="B34" s="7" t="inlineStr">
        <is>
          <t>RNR-H04</t>
        </is>
      </c>
      <c r="C34" s="7" t="inlineStr">
        <is>
          <t>Father</t>
        </is>
      </c>
      <c r="D34" s="7" t="inlineStr">
        <is>
          <t>A</t>
        </is>
      </c>
      <c r="E34" s="7" t="inlineStr">
        <is>
          <t>Anglican</t>
        </is>
      </c>
      <c r="F34" s="7" t="inlineStr">
        <is>
          <t>SINGLE</t>
        </is>
      </c>
      <c r="G34" s="7" t="inlineStr">
        <is>
          <t>TO RECOVER FROM SESSION 9 LEDGER</t>
        </is>
      </c>
      <c r="H34" s="7" t="inlineStr">
        <is>
          <t>NO PUBLIC TILE</t>
        </is>
      </c>
      <c r="I34" s="7" t="n"/>
      <c r="J34" s="7" t="n"/>
      <c r="K34" s="7" t="n"/>
      <c r="L34" s="7" t="n"/>
      <c r="M34" s="7" t="n"/>
      <c r="N34" s="7" t="n"/>
      <c r="O34" s="7" t="n"/>
      <c r="P34" s="7" t="n"/>
      <c r="Q34" s="7" t="inlineStr">
        <is>
          <t>NOT-ASSESSED</t>
        </is>
      </c>
      <c r="R34" s="7" t="n"/>
      <c r="S34" s="7" t="n"/>
      <c r="T34" s="7" t="n"/>
      <c r="U34" s="7" t="n"/>
      <c r="V34" s="7" t="n"/>
      <c r="W34" s="7" t="n"/>
      <c r="X34" s="7" t="inlineStr">
        <is>
          <t>NOT LOCATED — NOT YET RECOVERED</t>
        </is>
      </c>
      <c r="Y34" s="7" t="inlineStr">
        <is>
          <t>EXCLUDED</t>
        </is>
      </c>
      <c r="Z34" s="11" t="b">
        <v>0</v>
      </c>
      <c r="AA34" s="8" t="inlineStr">
        <is>
          <t>CURRENT EVIDENCE / STATUS</t>
        </is>
      </c>
    </row>
    <row r="35" ht="15.75" customHeight="1" s="29">
      <c r="A35" s="7" t="inlineStr">
        <is>
          <t>Q-030</t>
        </is>
      </c>
      <c r="B35" s="7" t="inlineStr">
        <is>
          <t>RNR-H04</t>
        </is>
      </c>
      <c r="C35" s="7" t="inlineStr">
        <is>
          <t>Father</t>
        </is>
      </c>
      <c r="D35" s="7" t="inlineStr">
        <is>
          <t>A</t>
        </is>
      </c>
      <c r="E35" s="7" t="inlineStr">
        <is>
          <t>Baptist</t>
        </is>
      </c>
      <c r="F35" s="7" t="inlineStr">
        <is>
          <t>SINGLE</t>
        </is>
      </c>
      <c r="G35" s="7" t="inlineStr">
        <is>
          <t>CURRENT OFFICIAL SOURCE RECOVERED — WEB VERIFIED</t>
        </is>
      </c>
      <c r="H35" s="7" t="inlineStr">
        <is>
          <t>PUBLIC-CERTIFIED</t>
        </is>
      </c>
      <c r="I35" s="7" t="inlineStr">
        <is>
          <t>RNR-H04a</t>
        </is>
      </c>
      <c r="J35" s="7" t="inlineStr">
        <is>
          <t>A</t>
        </is>
      </c>
      <c r="K35" s="7" t="inlineStr">
        <is>
          <t>Southern Baptist Convention</t>
        </is>
      </c>
      <c r="L35" s="7" t="inlineStr">
        <is>
          <t>Baptist Faith and Message 2000</t>
        </is>
      </c>
      <c r="M35" s="7" t="inlineStr">
        <is>
          <t>II.A. God the Father</t>
        </is>
      </c>
      <c r="N35" s="7" t="inlineStr">
        <is>
          <t>https://bfm.sbc.net/bfm2000/</t>
        </is>
      </c>
      <c r="O35" s="7" t="inlineStr">
        <is>
          <t>https://bfm.sbc.net/bfm2000/</t>
        </is>
      </c>
      <c r="P35" s="7" t="inlineStr">
        <is>
          <t>Current official-source recovery, web-verified against Baptist Faith &amp; Message 2000; source role N2 per project institutional authority roster.</t>
        </is>
      </c>
      <c r="Q35" s="7" t="inlineStr">
        <is>
          <t>HIGH</t>
        </is>
      </c>
      <c r="R35" s="7" t="inlineStr">
        <is>
          <t>Southern Baptist Convention cooperative identity under BF&amp;M 2000; not all Baptist churches or Baptist traditions.</t>
        </is>
      </c>
      <c r="S35" s="7" t="inlineStr">
        <is>
          <t>NO</t>
        </is>
      </c>
      <c r="T35" s="7" t="inlineStr">
        <is>
          <t>A</t>
        </is>
      </c>
      <c r="U35" s="7" t="inlineStr">
        <is>
          <t>Current SBC source explicitly names God the Father.</t>
        </is>
      </c>
      <c r="V35" s="7" t="inlineStr">
        <is>
          <t>CERTIFIED</t>
        </is>
      </c>
      <c r="W35" s="7" t="n"/>
      <c r="X35" s="7" t="inlineStr">
        <is>
          <t>A</t>
        </is>
      </c>
      <c r="Y35" s="7" t="inlineStr">
        <is>
          <t>A</t>
        </is>
      </c>
      <c r="Z35" s="11" t="b">
        <v>0</v>
      </c>
      <c r="AA35" s="8" t="inlineStr">
        <is>
          <t>CURRENT EVIDENCE / STATUS</t>
        </is>
      </c>
    </row>
    <row r="36" ht="15.75" customHeight="1" s="29">
      <c r="A36" s="7" t="inlineStr">
        <is>
          <t>Q-031</t>
        </is>
      </c>
      <c r="B36" s="7" t="inlineStr">
        <is>
          <t>RNR-H04</t>
        </is>
      </c>
      <c r="C36" s="7" t="inlineStr">
        <is>
          <t>Father</t>
        </is>
      </c>
      <c r="D36" s="7" t="inlineStr">
        <is>
          <t>A</t>
        </is>
      </c>
      <c r="E36" s="7" t="inlineStr">
        <is>
          <t>Methodist / Wesleyan</t>
        </is>
      </c>
      <c r="F36" s="7" t="inlineStr">
        <is>
          <t>SINGLE</t>
        </is>
      </c>
      <c r="G36" s="7" t="inlineStr">
        <is>
          <t>TO RECOVER FROM SESSION 9 LEDGER</t>
        </is>
      </c>
      <c r="H36" s="7" t="inlineStr">
        <is>
          <t>NO PUBLIC TILE</t>
        </is>
      </c>
      <c r="I36" s="7" t="n"/>
      <c r="J36" s="7" t="n"/>
      <c r="K36" s="7" t="n"/>
      <c r="L36" s="7" t="n"/>
      <c r="M36" s="7" t="n"/>
      <c r="N36" s="7" t="n"/>
      <c r="O36" s="7" t="n"/>
      <c r="P36" s="7" t="n"/>
      <c r="Q36" s="7" t="inlineStr">
        <is>
          <t>NOT-ASSESSED</t>
        </is>
      </c>
      <c r="R36" s="7" t="n"/>
      <c r="S36" s="7" t="n"/>
      <c r="T36" s="7" t="n"/>
      <c r="U36" s="7" t="n"/>
      <c r="V36" s="7" t="n"/>
      <c r="W36" s="7" t="n"/>
      <c r="X36" s="7" t="inlineStr">
        <is>
          <t>NOT LOCATED — NOT YET RECOVERED</t>
        </is>
      </c>
      <c r="Y36" s="7" t="inlineStr">
        <is>
          <t>EXCLUDED</t>
        </is>
      </c>
      <c r="Z36" s="11" t="b">
        <v>0</v>
      </c>
      <c r="AA36" s="8" t="inlineStr">
        <is>
          <t>CURRENT EVIDENCE / STATUS</t>
        </is>
      </c>
    </row>
    <row r="37" ht="15.75" customHeight="1" s="29">
      <c r="A37" s="7" t="inlineStr">
        <is>
          <t>Q-032</t>
        </is>
      </c>
      <c r="B37" s="7" t="inlineStr">
        <is>
          <t>RNR-H04</t>
        </is>
      </c>
      <c r="C37" s="7" t="inlineStr">
        <is>
          <t>Father</t>
        </is>
      </c>
      <c r="D37" s="7" t="inlineStr">
        <is>
          <t>A</t>
        </is>
      </c>
      <c r="E37" s="7" t="inlineStr">
        <is>
          <t>Mennonite / Anabaptist</t>
        </is>
      </c>
      <c r="F37" s="7" t="inlineStr">
        <is>
          <t>SINGLE</t>
        </is>
      </c>
      <c r="G37" s="7" t="inlineStr">
        <is>
          <t>CURRENT OFFICIAL SOURCE RECOVERED — WEB VERIFIED</t>
        </is>
      </c>
      <c r="H37" s="7" t="inlineStr">
        <is>
          <t>PUBLIC-CERTIFIED</t>
        </is>
      </c>
      <c r="I37" s="7" t="inlineStr">
        <is>
          <t>RNR-H04a</t>
        </is>
      </c>
      <c r="J37" s="7" t="inlineStr">
        <is>
          <t>A</t>
        </is>
      </c>
      <c r="K37" s="7" t="inlineStr">
        <is>
          <t>Mennonite Church USA</t>
        </is>
      </c>
      <c r="L37" s="7" t="inlineStr">
        <is>
          <t>Confession of Faith in a Mennonite Perspective (1995), Article 1: God</t>
        </is>
      </c>
      <c r="M37" s="7" t="inlineStr">
        <is>
          <t>Article 1 — one holy and loving God who is Father, Son, and Holy Spirit</t>
        </is>
      </c>
      <c r="N37" s="7" t="inlineStr">
        <is>
          <t>https://www.mennoniteusa.org/who-are-mennonites/what-we-believe/confession-of-faith/god/</t>
        </is>
      </c>
      <c r="O37" s="7" t="inlineStr">
        <is>
          <t>https://www.mennoniteusa.org/who-are-mennonites/what-we-believe/confession-of-faith/god/</t>
        </is>
      </c>
      <c r="P37" s="7" t="inlineStr">
        <is>
          <t>Current official-source recovery, web-verified against Mennonite Church USA Confession of Faith in a Mennonite Perspective (1995); N2 role per project roster.</t>
        </is>
      </c>
      <c r="Q37" s="7" t="inlineStr">
        <is>
          <t>HIGH</t>
        </is>
      </c>
      <c r="R37" s="7" t="inlineStr">
        <is>
          <t>Mennonite Church USA / adopting-body scope for the 1995 Confession; not all Mennonite or Anabaptist bodies.</t>
        </is>
      </c>
      <c r="S37" s="7" t="inlineStr">
        <is>
          <t>NO</t>
        </is>
      </c>
      <c r="T37" s="7" t="inlineStr">
        <is>
          <t>A</t>
        </is>
      </c>
      <c r="U37" s="7" t="inlineStr">
        <is>
          <t>Current Mennonite source explicitly names Father.</t>
        </is>
      </c>
      <c r="V37" s="7" t="inlineStr">
        <is>
          <t>CERTIFIED</t>
        </is>
      </c>
      <c r="W37" s="7" t="n"/>
      <c r="X37" s="7" t="inlineStr">
        <is>
          <t>A</t>
        </is>
      </c>
      <c r="Y37" s="7" t="inlineStr">
        <is>
          <t>A</t>
        </is>
      </c>
      <c r="Z37" s="11" t="b">
        <v>0</v>
      </c>
      <c r="AA37" s="8" t="inlineStr">
        <is>
          <t>CURRENT EVIDENCE / STATUS</t>
        </is>
      </c>
    </row>
    <row r="38" ht="15.75" customHeight="1" s="29">
      <c r="A38" s="7" t="inlineStr">
        <is>
          <t>Q-033</t>
        </is>
      </c>
      <c r="B38" s="7" t="inlineStr">
        <is>
          <t>RNR-H05</t>
        </is>
      </c>
      <c r="C38" s="7" t="inlineStr">
        <is>
          <t>Son</t>
        </is>
      </c>
      <c r="D38" s="7" t="inlineStr">
        <is>
          <t>A</t>
        </is>
      </c>
      <c r="E38" s="7" t="inlineStr">
        <is>
          <t>Roman Catholic</t>
        </is>
      </c>
      <c r="F38" s="7" t="inlineStr">
        <is>
          <t>SINGLE</t>
        </is>
      </c>
      <c r="G38" s="7" t="inlineStr">
        <is>
          <t>SESSION 9 SOURCE ROW RECOVERED</t>
        </is>
      </c>
      <c r="H38" s="7" t="inlineStr">
        <is>
          <t>PUBLIC-CERTIFIED</t>
        </is>
      </c>
      <c r="I38" s="7" t="inlineStr">
        <is>
          <t>RNR-H05a</t>
        </is>
      </c>
      <c r="J38" s="7" t="inlineStr">
        <is>
          <t>A</t>
        </is>
      </c>
      <c r="K38" s="7" t="inlineStr">
        <is>
          <t>Roman Catholic Church</t>
        </is>
      </c>
      <c r="L38" s="7" t="inlineStr">
        <is>
          <t>Fourth Lateran Council</t>
        </is>
      </c>
      <c r="M38" s="7" t="inlineStr">
        <is>
          <t>Constitution 1, Firmiter credimus</t>
        </is>
      </c>
      <c r="N38" s="7" t="inlineStr">
        <is>
          <t>https://www.vatican.va/content/catechism/en/part_one/section_one/chapter_one/iv_how_can_we_speak_about_god.html</t>
        </is>
      </c>
      <c r="O38" s="7" t="inlineStr">
        <is>
          <t>https://sourcebooks.web.fordham.edu/basis/lateran4.asp</t>
        </is>
      </c>
      <c r="P38" s="7" t="inlineStr">
        <is>
          <t>S9-IA-0065 / S8-IA-0065</t>
        </is>
      </c>
      <c r="Q38" s="7" t="inlineStr">
        <is>
          <t>HIGH</t>
        </is>
      </c>
      <c r="R38" s="7" t="inlineStr">
        <is>
          <t>Official Latin controls; repository English is a text witness.</t>
        </is>
      </c>
      <c r="S38" s="7" t="inlineStr">
        <is>
          <t>NO</t>
        </is>
      </c>
      <c r="T38" s="7" t="inlineStr">
        <is>
          <t>A</t>
        </is>
      </c>
      <c r="U38" s="7" t="n"/>
      <c r="V38" s="7" t="inlineStr">
        <is>
          <t>CERTIFIED</t>
        </is>
      </c>
      <c r="W38" s="7" t="n"/>
      <c r="X38" s="7" t="inlineStr">
        <is>
          <t>A</t>
        </is>
      </c>
      <c r="Y38" s="7" t="inlineStr">
        <is>
          <t>A</t>
        </is>
      </c>
      <c r="Z38" s="11" t="b">
        <v>0</v>
      </c>
      <c r="AA38" s="8" t="inlineStr">
        <is>
          <t>CURRENT EVIDENCE / STATUS</t>
        </is>
      </c>
    </row>
    <row r="39" ht="15.75" customHeight="1" s="29">
      <c r="A39" s="7" t="inlineStr">
        <is>
          <t>Q-034</t>
        </is>
      </c>
      <c r="B39" s="7" t="inlineStr">
        <is>
          <t>RNR-H05</t>
        </is>
      </c>
      <c r="C39" s="7" t="inlineStr">
        <is>
          <t>Son</t>
        </is>
      </c>
      <c r="D39" s="7" t="inlineStr">
        <is>
          <t>A</t>
        </is>
      </c>
      <c r="E39" s="7" t="inlineStr">
        <is>
          <t>Eastern Orthodox</t>
        </is>
      </c>
      <c r="F39" s="7" t="inlineStr">
        <is>
          <t>SINGLE</t>
        </is>
      </c>
      <c r="G39" s="7" t="inlineStr">
        <is>
          <t>SESSION 9 SOURCE ROW RECOVERED</t>
        </is>
      </c>
      <c r="H39" s="7" t="inlineStr">
        <is>
          <t>PUBLIC-CERTIFIED</t>
        </is>
      </c>
      <c r="I39" s="7" t="inlineStr">
        <is>
          <t>RNR-H05a</t>
        </is>
      </c>
      <c r="J39" s="7" t="inlineStr">
        <is>
          <t>A</t>
        </is>
      </c>
      <c r="K39" s="7" t="inlineStr">
        <is>
          <t>Orthodox Church in America</t>
        </is>
      </c>
      <c r="L39" s="7" t="inlineStr">
        <is>
          <t>Third Council of Constantinople</t>
        </is>
      </c>
      <c r="M39" s="7" t="inlineStr">
        <is>
          <t>Sixth Ecumenical Council</t>
        </is>
      </c>
      <c r="N39" s="7" t="inlineStr">
        <is>
          <t>https://www.oca.org/orthodoxy/the-orthodox-faith/church-history/seventh-century/the-sixth-ecumenical-council</t>
        </is>
      </c>
      <c r="O39" s="7" t="inlineStr">
        <is>
          <t>https://www.newadvent.org/fathers/3813.htm</t>
        </is>
      </c>
      <c r="P39" s="7" t="inlineStr">
        <is>
          <t>S9-IA-0064 / S8-IA-0064</t>
        </is>
      </c>
      <c r="Q39" s="7" t="inlineStr">
        <is>
          <t>HIGH</t>
        </is>
      </c>
      <c r="R39" s="7" t="inlineStr">
        <is>
          <t>OCA scope.</t>
        </is>
      </c>
      <c r="S39" s="7" t="inlineStr">
        <is>
          <t>NO</t>
        </is>
      </c>
      <c r="T39" s="7" t="inlineStr">
        <is>
          <t>A</t>
        </is>
      </c>
      <c r="U39" s="7" t="inlineStr">
        <is>
          <t>v2.12 assertion witness: full Third Council of Constantinople definition supplied as server-rendered text; OCA authority/reception path retained.</t>
        </is>
      </c>
      <c r="V39" s="7" t="inlineStr">
        <is>
          <t>CERTIFIED</t>
        </is>
      </c>
      <c r="W39" s="7" t="n"/>
      <c r="X39" s="7" t="inlineStr">
        <is>
          <t>A</t>
        </is>
      </c>
      <c r="Y39" s="7" t="inlineStr">
        <is>
          <t>A</t>
        </is>
      </c>
      <c r="Z39" s="11" t="b">
        <v>0</v>
      </c>
      <c r="AA39" s="8" t="inlineStr">
        <is>
          <t>CURRENT EVIDENCE / STATUS</t>
        </is>
      </c>
    </row>
    <row r="40" ht="15.75" customHeight="1" s="29">
      <c r="A40" s="7" t="inlineStr">
        <is>
          <t>Q-035</t>
        </is>
      </c>
      <c r="B40" s="7" t="inlineStr">
        <is>
          <t>RNR-H05</t>
        </is>
      </c>
      <c r="C40" s="7" t="inlineStr">
        <is>
          <t>Son</t>
        </is>
      </c>
      <c r="D40" s="7" t="inlineStr">
        <is>
          <t>A</t>
        </is>
      </c>
      <c r="E40" s="7" t="inlineStr">
        <is>
          <t>Lutheran</t>
        </is>
      </c>
      <c r="F40" s="7" t="inlineStr">
        <is>
          <t>SINGLE</t>
        </is>
      </c>
      <c r="G40" s="7" t="inlineStr">
        <is>
          <t>SESSION 9 SOURCE ROW RECOVERED</t>
        </is>
      </c>
      <c r="H40" s="7" t="inlineStr">
        <is>
          <t>PUBLIC-CERTIFIED</t>
        </is>
      </c>
      <c r="I40" s="7" t="inlineStr">
        <is>
          <t>RNR-H05a</t>
        </is>
      </c>
      <c r="J40" s="7" t="inlineStr">
        <is>
          <t>A</t>
        </is>
      </c>
      <c r="K40" s="7" t="inlineStr">
        <is>
          <t>Lutheran Church—Missouri Synod</t>
        </is>
      </c>
      <c r="L40" s="7" t="inlineStr">
        <is>
          <t>Nicene / Niceno-Constantinopolitan Creed</t>
        </is>
      </c>
      <c r="M40" s="7" t="inlineStr">
        <is>
          <t>Nicene Creed</t>
        </is>
      </c>
      <c r="N40" s="7" t="inlineStr">
        <is>
          <t>https://www.lcms.org/about/beliefs/lutheran-confessions</t>
        </is>
      </c>
      <c r="O40" s="7" t="inlineStr">
        <is>
          <t>https://bookofconcord.org/ecumenical-creeds/nicene-creed/</t>
        </is>
      </c>
      <c r="P40" s="7" t="inlineStr">
        <is>
          <t>S9-IA-0058 / S8-IA-0058</t>
        </is>
      </c>
      <c r="Q40" s="7" t="inlineStr">
        <is>
          <t>HIGH</t>
        </is>
      </c>
      <c r="R40" s="7" t="inlineStr">
        <is>
          <t>LCMS confessional subscription; not all Lutherans.</t>
        </is>
      </c>
      <c r="S40" s="7" t="inlineStr">
        <is>
          <t>NO</t>
        </is>
      </c>
      <c r="T40" s="7" t="inlineStr">
        <is>
          <t>A</t>
        </is>
      </c>
      <c r="U40" s="7" t="inlineStr">
        <is>
          <t>Son.</t>
        </is>
      </c>
      <c r="V40" s="7" t="inlineStr">
        <is>
          <t>CERTIFIED</t>
        </is>
      </c>
      <c r="W40" s="7" t="n"/>
      <c r="X40" s="7" t="inlineStr">
        <is>
          <t>A</t>
        </is>
      </c>
      <c r="Y40" s="7" t="inlineStr">
        <is>
          <t>A</t>
        </is>
      </c>
      <c r="Z40" s="11" t="b">
        <v>0</v>
      </c>
      <c r="AA40" s="8" t="inlineStr">
        <is>
          <t>CURRENT EVIDENCE / STATUS</t>
        </is>
      </c>
    </row>
    <row r="41" ht="15.75" customHeight="1" s="29">
      <c r="A41" s="7" t="inlineStr">
        <is>
          <t>Q-036</t>
        </is>
      </c>
      <c r="B41" s="7" t="inlineStr">
        <is>
          <t>RNR-H05</t>
        </is>
      </c>
      <c r="C41" s="7" t="inlineStr">
        <is>
          <t>Son</t>
        </is>
      </c>
      <c r="D41" s="7" t="inlineStr">
        <is>
          <t>A</t>
        </is>
      </c>
      <c r="E41" s="7" t="inlineStr">
        <is>
          <t>Reformed / Presbyterian</t>
        </is>
      </c>
      <c r="F41" s="7" t="inlineStr">
        <is>
          <t>SINGLE</t>
        </is>
      </c>
      <c r="G41" s="7" t="inlineStr">
        <is>
          <t>SESSION 9 SOURCE ROW RECOVERED</t>
        </is>
      </c>
      <c r="H41" s="7" t="inlineStr">
        <is>
          <t>PUBLIC-CERTIFIED</t>
        </is>
      </c>
      <c r="I41" s="7" t="inlineStr">
        <is>
          <t>RNR-H05a</t>
        </is>
      </c>
      <c r="J41" s="7" t="inlineStr">
        <is>
          <t>A</t>
        </is>
      </c>
      <c r="K41" s="7" t="inlineStr">
        <is>
          <t>Christian Reformed Church in North America</t>
        </is>
      </c>
      <c r="L41" s="7" t="inlineStr">
        <is>
          <t>Belgic Confession</t>
        </is>
      </c>
      <c r="M41" s="7" t="inlineStr">
        <is>
          <t>Articles 1–2 and 8</t>
        </is>
      </c>
      <c r="N41" s="7" t="inlineStr">
        <is>
          <t>https://www.crcna.org/welcome/beliefs/confessions/belgic-confession</t>
        </is>
      </c>
      <c r="O41" s="7" t="inlineStr">
        <is>
          <t>https://www.crcna.org/welcome/beliefs/confessions/belgic-confession</t>
        </is>
      </c>
      <c r="P41" s="7" t="inlineStr">
        <is>
          <t>S9-IA-0066 / S8-IA-0066</t>
        </is>
      </c>
      <c r="Q41" s="7" t="inlineStr">
        <is>
          <t>HIGH</t>
        </is>
      </c>
      <c r="R41" s="7" t="inlineStr">
        <is>
          <t>CRCNA only; branch label aggregates a wider family.</t>
        </is>
      </c>
      <c r="S41" s="7" t="inlineStr">
        <is>
          <t>NO</t>
        </is>
      </c>
      <c r="T41" s="7" t="inlineStr">
        <is>
          <t>A</t>
        </is>
      </c>
      <c r="U41" s="7" t="n"/>
      <c r="V41" s="7" t="inlineStr">
        <is>
          <t>CERTIFIED</t>
        </is>
      </c>
      <c r="W41" s="7" t="n"/>
      <c r="X41" s="7" t="inlineStr">
        <is>
          <t>A</t>
        </is>
      </c>
      <c r="Y41" s="7" t="inlineStr">
        <is>
          <t>A</t>
        </is>
      </c>
      <c r="Z41" s="11" t="b">
        <v>0</v>
      </c>
      <c r="AA41" s="8" t="inlineStr">
        <is>
          <t>CURRENT EVIDENCE / STATUS</t>
        </is>
      </c>
    </row>
    <row r="42" ht="15.75" customHeight="1" s="29">
      <c r="A42" s="7" t="inlineStr">
        <is>
          <t>Q-037</t>
        </is>
      </c>
      <c r="B42" s="7" t="inlineStr">
        <is>
          <t>RNR-H05</t>
        </is>
      </c>
      <c r="C42" s="7" t="inlineStr">
        <is>
          <t>Son</t>
        </is>
      </c>
      <c r="D42" s="7" t="inlineStr">
        <is>
          <t>A</t>
        </is>
      </c>
      <c r="E42" s="7" t="inlineStr">
        <is>
          <t>Anglican</t>
        </is>
      </c>
      <c r="F42" s="7" t="inlineStr">
        <is>
          <t>SINGLE</t>
        </is>
      </c>
      <c r="G42" s="7" t="inlineStr">
        <is>
          <t>SESSION 9 SOURCE ROW RECOVERED</t>
        </is>
      </c>
      <c r="H42" s="7" t="inlineStr">
        <is>
          <t>PUBLIC-CERTIFIED</t>
        </is>
      </c>
      <c r="I42" s="7" t="inlineStr">
        <is>
          <t>RNR-H05a</t>
        </is>
      </c>
      <c r="J42" s="7" t="inlineStr">
        <is>
          <t>A</t>
        </is>
      </c>
      <c r="K42" s="7" t="inlineStr">
        <is>
          <t>Church of England</t>
        </is>
      </c>
      <c r="L42" s="7" t="inlineStr">
        <is>
          <t>Thirty-Nine Articles</t>
        </is>
      </c>
      <c r="M42" s="7" t="inlineStr">
        <is>
          <t>Articles I–II</t>
        </is>
      </c>
      <c r="N42" s="7" t="inlineStr">
        <is>
          <t>https://www.churchofengland.org/prayer-and-worship/worship-texts-and-resources/book-common-prayer/articles-religion</t>
        </is>
      </c>
      <c r="O42" s="7" t="inlineStr">
        <is>
          <t>https://www.churchofengland.org/prayer-and-worship/worship-texts-and-resources/book-common-prayer/articles-religion</t>
        </is>
      </c>
      <c r="P42" s="7" t="inlineStr">
        <is>
          <t>S9-IA-0068 / S8-IA-0068</t>
        </is>
      </c>
      <c r="Q42" s="7" t="inlineStr">
        <is>
          <t>HIGH</t>
        </is>
      </c>
      <c r="R42" s="7" t="inlineStr">
        <is>
          <t>Church of England only; not Anglican Communion-wide.</t>
        </is>
      </c>
      <c r="S42" s="7" t="inlineStr">
        <is>
          <t>NO</t>
        </is>
      </c>
      <c r="T42" s="7" t="inlineStr">
        <is>
          <t>A</t>
        </is>
      </c>
      <c r="U42" s="7" t="inlineStr">
        <is>
          <t>Son.</t>
        </is>
      </c>
      <c r="V42" s="7" t="inlineStr">
        <is>
          <t>CERTIFIED</t>
        </is>
      </c>
      <c r="W42" s="7" t="n"/>
      <c r="X42" s="7" t="inlineStr">
        <is>
          <t>A</t>
        </is>
      </c>
      <c r="Y42" s="7" t="inlineStr">
        <is>
          <t>A</t>
        </is>
      </c>
      <c r="Z42" s="11" t="b">
        <v>0</v>
      </c>
      <c r="AA42" s="8" t="inlineStr">
        <is>
          <t>CURRENT EVIDENCE / STATUS</t>
        </is>
      </c>
    </row>
    <row r="43" ht="15.75" customHeight="1" s="29">
      <c r="A43" s="7" t="inlineStr">
        <is>
          <t>Q-038</t>
        </is>
      </c>
      <c r="B43" s="7" t="inlineStr">
        <is>
          <t>RNR-H05</t>
        </is>
      </c>
      <c r="C43" s="7" t="inlineStr">
        <is>
          <t>Son</t>
        </is>
      </c>
      <c r="D43" s="7" t="inlineStr">
        <is>
          <t>A</t>
        </is>
      </c>
      <c r="E43" s="7" t="inlineStr">
        <is>
          <t>Baptist</t>
        </is>
      </c>
      <c r="F43" s="7" t="inlineStr">
        <is>
          <t>SINGLE</t>
        </is>
      </c>
      <c r="G43" s="7" t="inlineStr">
        <is>
          <t>CURRENT OFFICIAL SOURCE RECOVERED — WEB VERIFIED</t>
        </is>
      </c>
      <c r="H43" s="7" t="inlineStr">
        <is>
          <t>PUBLIC-CERTIFIED</t>
        </is>
      </c>
      <c r="I43" s="7" t="inlineStr">
        <is>
          <t>RNR-H05a</t>
        </is>
      </c>
      <c r="J43" s="7" t="inlineStr">
        <is>
          <t>A</t>
        </is>
      </c>
      <c r="K43" s="7" t="inlineStr">
        <is>
          <t>Southern Baptist Convention</t>
        </is>
      </c>
      <c r="L43" s="7" t="inlineStr">
        <is>
          <t>Baptist Faith and Message 2000</t>
        </is>
      </c>
      <c r="M43" s="7" t="inlineStr">
        <is>
          <t>II.B. God the Son</t>
        </is>
      </c>
      <c r="N43" s="7" t="inlineStr">
        <is>
          <t>https://bfm.sbc.net/bfm2000/</t>
        </is>
      </c>
      <c r="O43" s="7" t="inlineStr">
        <is>
          <t>https://bfm.sbc.net/bfm2000/</t>
        </is>
      </c>
      <c r="P43" s="7" t="inlineStr">
        <is>
          <t>Current official-source recovery, web-verified against Baptist Faith &amp; Message 2000; source role N2 per project institutional authority roster.</t>
        </is>
      </c>
      <c r="Q43" s="7" t="inlineStr">
        <is>
          <t>HIGH</t>
        </is>
      </c>
      <c r="R43" s="7" t="inlineStr">
        <is>
          <t>Southern Baptist Convention cooperative identity under BF&amp;M 2000; not all Baptist churches or Baptist traditions.</t>
        </is>
      </c>
      <c r="S43" s="7" t="inlineStr">
        <is>
          <t>NO</t>
        </is>
      </c>
      <c r="T43" s="7" t="inlineStr">
        <is>
          <t>A</t>
        </is>
      </c>
      <c r="U43" s="7" t="inlineStr">
        <is>
          <t>Current SBC source explicitly identifies the eternal Son of God.</t>
        </is>
      </c>
      <c r="V43" s="7" t="inlineStr">
        <is>
          <t>CERTIFIED</t>
        </is>
      </c>
      <c r="W43" s="7" t="n"/>
      <c r="X43" s="7" t="inlineStr">
        <is>
          <t>A</t>
        </is>
      </c>
      <c r="Y43" s="7" t="inlineStr">
        <is>
          <t>A</t>
        </is>
      </c>
      <c r="Z43" s="11" t="b">
        <v>0</v>
      </c>
      <c r="AA43" s="8" t="inlineStr">
        <is>
          <t>CURRENT EVIDENCE / STATUS</t>
        </is>
      </c>
    </row>
    <row r="44" ht="15.75" customHeight="1" s="29">
      <c r="A44" s="7" t="inlineStr">
        <is>
          <t>Q-039</t>
        </is>
      </c>
      <c r="B44" s="7" t="inlineStr">
        <is>
          <t>RNR-H05</t>
        </is>
      </c>
      <c r="C44" s="7" t="inlineStr">
        <is>
          <t>Son</t>
        </is>
      </c>
      <c r="D44" s="7" t="inlineStr">
        <is>
          <t>A</t>
        </is>
      </c>
      <c r="E44" s="7" t="inlineStr">
        <is>
          <t>Methodist / Wesleyan</t>
        </is>
      </c>
      <c r="F44" s="7" t="inlineStr">
        <is>
          <t>SINGLE</t>
        </is>
      </c>
      <c r="G44" s="7" t="inlineStr">
        <is>
          <t>SESSION 9 SOURCE ROW RECOVERED</t>
        </is>
      </c>
      <c r="H44" s="7" t="inlineStr">
        <is>
          <t>PUBLIC-CERTIFIED</t>
        </is>
      </c>
      <c r="I44" s="7" t="inlineStr">
        <is>
          <t>RNR-H05a</t>
        </is>
      </c>
      <c r="J44" s="7" t="inlineStr">
        <is>
          <t>A</t>
        </is>
      </c>
      <c r="K44" s="7" t="inlineStr">
        <is>
          <t>The United Methodist Church</t>
        </is>
      </c>
      <c r="L44" s="7" t="inlineStr">
        <is>
          <t>Articles of Religion of the Methodist Church</t>
        </is>
      </c>
      <c r="M44" s="7" t="inlineStr">
        <is>
          <t>Article I</t>
        </is>
      </c>
      <c r="N44" s="7" t="inlineStr">
        <is>
          <t>https://www.umc.org/en/content/articles-of-religion</t>
        </is>
      </c>
      <c r="O44" s="7" t="inlineStr">
        <is>
          <t>https://www.umc.org/en/content/articles-of-religion</t>
        </is>
      </c>
      <c r="P44" s="7" t="inlineStr">
        <is>
          <t>S9-IA-0073 / S8-IA-0073; EUB S9-IA-0074 corroborates.</t>
        </is>
      </c>
      <c r="Q44" s="7" t="inlineStr">
        <is>
          <t>HIGH</t>
        </is>
      </c>
      <c r="R44" s="7" t="inlineStr">
        <is>
          <t>UMC institutional scope.</t>
        </is>
      </c>
      <c r="S44" s="7" t="inlineStr">
        <is>
          <t>NO</t>
        </is>
      </c>
      <c r="T44" s="7" t="inlineStr">
        <is>
          <t>A</t>
        </is>
      </c>
      <c r="U44" s="7" t="inlineStr">
        <is>
          <t>Son.</t>
        </is>
      </c>
      <c r="V44" s="7" t="inlineStr">
        <is>
          <t>CERTIFIED</t>
        </is>
      </c>
      <c r="W44" s="7" t="n"/>
      <c r="X44" s="7" t="inlineStr">
        <is>
          <t>A</t>
        </is>
      </c>
      <c r="Y44" s="7" t="inlineStr">
        <is>
          <t>A</t>
        </is>
      </c>
      <c r="Z44" s="11" t="b">
        <v>0</v>
      </c>
      <c r="AA44" s="8" t="inlineStr">
        <is>
          <t>CURRENT EVIDENCE / STATUS</t>
        </is>
      </c>
    </row>
    <row r="45" ht="15.75" customHeight="1" s="29">
      <c r="A45" s="7" t="inlineStr">
        <is>
          <t>Q-040</t>
        </is>
      </c>
      <c r="B45" s="7" t="inlineStr">
        <is>
          <t>RNR-H05</t>
        </is>
      </c>
      <c r="C45" s="7" t="inlineStr">
        <is>
          <t>Son</t>
        </is>
      </c>
      <c r="D45" s="7" t="inlineStr">
        <is>
          <t>A</t>
        </is>
      </c>
      <c r="E45" s="7" t="inlineStr">
        <is>
          <t>Mennonite / Anabaptist</t>
        </is>
      </c>
      <c r="F45" s="7" t="inlineStr">
        <is>
          <t>SINGLE</t>
        </is>
      </c>
      <c r="G45" s="7" t="inlineStr">
        <is>
          <t>CURRENT OFFICIAL SOURCE RECOVERED — WEB VERIFIED</t>
        </is>
      </c>
      <c r="H45" s="7" t="inlineStr">
        <is>
          <t>PUBLIC-CERTIFIED</t>
        </is>
      </c>
      <c r="I45" s="7" t="inlineStr">
        <is>
          <t>RNR-H05a</t>
        </is>
      </c>
      <c r="J45" s="7" t="inlineStr">
        <is>
          <t>A</t>
        </is>
      </c>
      <c r="K45" s="7" t="inlineStr">
        <is>
          <t>Mennonite Church USA</t>
        </is>
      </c>
      <c r="L45" s="7" t="inlineStr">
        <is>
          <t>Confession of Faith in a Mennonite Perspective (1995), Article 1: God</t>
        </is>
      </c>
      <c r="M45" s="7" t="inlineStr">
        <is>
          <t>Article 1 — Father, Son, and Holy Spirit; only Son / Word</t>
        </is>
      </c>
      <c r="N45" s="7" t="inlineStr">
        <is>
          <t>https://www.mennoniteusa.org/who-are-mennonites/what-we-believe/confession-of-faith/god/</t>
        </is>
      </c>
      <c r="O45" s="7" t="inlineStr">
        <is>
          <t>https://www.mennoniteusa.org/who-are-mennonites/what-we-believe/confession-of-faith/god/</t>
        </is>
      </c>
      <c r="P45" s="7" t="inlineStr">
        <is>
          <t>Current official-source recovery, web-verified against Mennonite Church USA Confession of Faith in a Mennonite Perspective (1995); N2 role per project roster.</t>
        </is>
      </c>
      <c r="Q45" s="7" t="inlineStr">
        <is>
          <t>HIGH</t>
        </is>
      </c>
      <c r="R45" s="7" t="inlineStr">
        <is>
          <t>Mennonite Church USA / adopting-body scope for the 1995 Confession; not all Mennonite or Anabaptist bodies.</t>
        </is>
      </c>
      <c r="S45" s="7" t="inlineStr">
        <is>
          <t>NO</t>
        </is>
      </c>
      <c r="T45" s="7" t="inlineStr">
        <is>
          <t>A</t>
        </is>
      </c>
      <c r="U45" s="7" t="inlineStr">
        <is>
          <t>Current Mennonite source explicitly names Son.</t>
        </is>
      </c>
      <c r="V45" s="7" t="inlineStr">
        <is>
          <t>CERTIFIED</t>
        </is>
      </c>
      <c r="W45" s="7" t="n"/>
      <c r="X45" s="7" t="inlineStr">
        <is>
          <t>A</t>
        </is>
      </c>
      <c r="Y45" s="7" t="inlineStr">
        <is>
          <t>A</t>
        </is>
      </c>
      <c r="Z45" s="11" t="b">
        <v>0</v>
      </c>
      <c r="AA45" s="8" t="inlineStr">
        <is>
          <t>CURRENT EVIDENCE / STATUS</t>
        </is>
      </c>
    </row>
    <row r="46" ht="15.75" customHeight="1" s="29">
      <c r="A46" s="7" t="inlineStr">
        <is>
          <t>Q-041</t>
        </is>
      </c>
      <c r="B46" s="7" t="inlineStr">
        <is>
          <t>RNR-H06</t>
        </is>
      </c>
      <c r="C46" s="7" t="inlineStr">
        <is>
          <t>Lord</t>
        </is>
      </c>
      <c r="D46" s="7" t="inlineStr">
        <is>
          <t>A</t>
        </is>
      </c>
      <c r="E46" s="7" t="inlineStr">
        <is>
          <t>Roman Catholic</t>
        </is>
      </c>
      <c r="F46" s="7" t="inlineStr">
        <is>
          <t>SINGLE</t>
        </is>
      </c>
      <c r="G46" s="7" t="inlineStr">
        <is>
          <t>SESSION 9 SOURCE ROW RECOVERED</t>
        </is>
      </c>
      <c r="H46" s="7" t="inlineStr">
        <is>
          <t>PUBLIC-CERTIFIED</t>
        </is>
      </c>
      <c r="I46" s="7" t="inlineStr">
        <is>
          <t>RNR-H06a</t>
        </is>
      </c>
      <c r="J46" s="7" t="inlineStr">
        <is>
          <t>A</t>
        </is>
      </c>
      <c r="K46" s="7" t="inlineStr">
        <is>
          <t>Roman Catholic Church</t>
        </is>
      </c>
      <c r="L46" s="7" t="inlineStr">
        <is>
          <t>Third Council of Constantinople / CCC restatement</t>
        </is>
      </c>
      <c r="M46" s="7" t="inlineStr">
        <is>
          <t>CCC 475; two natural wills and operations</t>
        </is>
      </c>
      <c r="N46" s="7" t="inlineStr">
        <is>
          <t>https://www.vatican.va/content/catechism/en/part_one/section_two/chapter_two/artcile_3.html</t>
        </is>
      </c>
      <c r="O46" s="7" t="inlineStr">
        <is>
          <t>https://www.vatican.va/content/catechism/en/part_one/section_two/chapter_two/artcile_3.html</t>
        </is>
      </c>
      <c r="P46" s="7" t="inlineStr">
        <is>
          <t>S9-IA-0083 / S8-IA-0083</t>
        </is>
      </c>
      <c r="Q46" s="7" t="inlineStr">
        <is>
          <t>HIGH</t>
        </is>
      </c>
      <c r="R46" s="7" t="inlineStr">
        <is>
          <t>Official Catholic restatement controls.</t>
        </is>
      </c>
      <c r="S46" s="7" t="inlineStr">
        <is>
          <t>NO</t>
        </is>
      </c>
      <c r="T46" s="7" t="inlineStr">
        <is>
          <t>A</t>
        </is>
      </c>
      <c r="U46" s="7" t="n"/>
      <c r="V46" s="7" t="inlineStr">
        <is>
          <t>CERTIFIED</t>
        </is>
      </c>
      <c r="W46" s="7" t="n"/>
      <c r="X46" s="7" t="inlineStr">
        <is>
          <t>A</t>
        </is>
      </c>
      <c r="Y46" s="7" t="inlineStr">
        <is>
          <t>A</t>
        </is>
      </c>
      <c r="Z46" s="11" t="b">
        <v>0</v>
      </c>
      <c r="AA46" s="8" t="inlineStr">
        <is>
          <t>CURRENT EVIDENCE / STATUS</t>
        </is>
      </c>
    </row>
    <row r="47" ht="15.75" customHeight="1" s="29">
      <c r="A47" s="7" t="inlineStr">
        <is>
          <t>Q-042</t>
        </is>
      </c>
      <c r="B47" s="7" t="inlineStr">
        <is>
          <t>RNR-H06</t>
        </is>
      </c>
      <c r="C47" s="7" t="inlineStr">
        <is>
          <t>Lord</t>
        </is>
      </c>
      <c r="D47" s="7" t="inlineStr">
        <is>
          <t>A</t>
        </is>
      </c>
      <c r="E47" s="7" t="inlineStr">
        <is>
          <t>Eastern Orthodox</t>
        </is>
      </c>
      <c r="F47" s="7" t="inlineStr">
        <is>
          <t>SINGLE</t>
        </is>
      </c>
      <c r="G47" s="7" t="inlineStr">
        <is>
          <t>SESSION 9 SOURCE ROW RECOVERED</t>
        </is>
      </c>
      <c r="H47" s="7" t="inlineStr">
        <is>
          <t>PUBLIC-CERTIFIED</t>
        </is>
      </c>
      <c r="I47" s="7" t="inlineStr">
        <is>
          <t>RNR-H06a</t>
        </is>
      </c>
      <c r="J47" s="7" t="inlineStr">
        <is>
          <t>A</t>
        </is>
      </c>
      <c r="K47" s="7" t="inlineStr">
        <is>
          <t>Orthodox Church in America</t>
        </is>
      </c>
      <c r="L47" s="7" t="inlineStr">
        <is>
          <t>Definition of Chalcedon</t>
        </is>
      </c>
      <c r="M47" s="7" t="inlineStr">
        <is>
          <t>Fourth Ecumenical Council / Chalcedon</t>
        </is>
      </c>
      <c r="N47" s="7" t="inlineStr">
        <is>
          <t>https://www.oca.org/orthodoxy/the-orthodox-faith/church-history/fifth-century/the-fourth-ecumenical-council</t>
        </is>
      </c>
      <c r="O47" s="7" t="inlineStr">
        <is>
          <t>https://www.oca.org/orthodoxy/the-orthodox-faith/church-history/fifth-century/the-fourth-ecumenical-council</t>
        </is>
      </c>
      <c r="P47" s="7" t="inlineStr">
        <is>
          <t>S9-IA-0082 / S8-IA-0082</t>
        </is>
      </c>
      <c r="Q47" s="7" t="inlineStr">
        <is>
          <t>HIGH</t>
        </is>
      </c>
      <c r="R47" s="7" t="inlineStr">
        <is>
          <t>OCA scope.</t>
        </is>
      </c>
      <c r="S47" s="7" t="inlineStr">
        <is>
          <t>NO</t>
        </is>
      </c>
      <c r="T47" s="7" t="inlineStr">
        <is>
          <t>A</t>
        </is>
      </c>
      <c r="U47" s="7" t="n"/>
      <c r="V47" s="7" t="inlineStr">
        <is>
          <t>CERTIFIED</t>
        </is>
      </c>
      <c r="W47" s="7" t="n"/>
      <c r="X47" s="7" t="inlineStr">
        <is>
          <t>A</t>
        </is>
      </c>
      <c r="Y47" s="7" t="inlineStr">
        <is>
          <t>A</t>
        </is>
      </c>
      <c r="Z47" s="11" t="b">
        <v>0</v>
      </c>
      <c r="AA47" s="8" t="inlineStr">
        <is>
          <t>CURRENT EVIDENCE / STATUS</t>
        </is>
      </c>
    </row>
    <row r="48" ht="15.75" customHeight="1" s="29">
      <c r="A48" s="7" t="inlineStr">
        <is>
          <t>Q-043</t>
        </is>
      </c>
      <c r="B48" s="7" t="inlineStr">
        <is>
          <t>RNR-H06</t>
        </is>
      </c>
      <c r="C48" s="7" t="inlineStr">
        <is>
          <t>Lord</t>
        </is>
      </c>
      <c r="D48" s="7" t="inlineStr">
        <is>
          <t>A</t>
        </is>
      </c>
      <c r="E48" s="7" t="inlineStr">
        <is>
          <t>Lutheran</t>
        </is>
      </c>
      <c r="F48" s="7" t="inlineStr">
        <is>
          <t>SINGLE</t>
        </is>
      </c>
      <c r="G48" s="7" t="inlineStr">
        <is>
          <t>SESSION 9 SOURCE ROW RECOVERED</t>
        </is>
      </c>
      <c r="H48" s="7" t="inlineStr">
        <is>
          <t>PUBLIC-CERTIFIED</t>
        </is>
      </c>
      <c r="I48" s="7" t="inlineStr">
        <is>
          <t>RNR-H06a</t>
        </is>
      </c>
      <c r="J48" s="7" t="inlineStr">
        <is>
          <t>A</t>
        </is>
      </c>
      <c r="K48" s="7" t="inlineStr">
        <is>
          <t>Lutheran Church—Missouri Synod</t>
        </is>
      </c>
      <c r="L48" s="7" t="inlineStr">
        <is>
          <t>Nicene Creed</t>
        </is>
      </c>
      <c r="M48" s="7" t="inlineStr">
        <is>
          <t>Nicene Creed</t>
        </is>
      </c>
      <c r="N48" s="7" t="inlineStr">
        <is>
          <t>https://www.lcms.org/about/beliefs/lutheran-confessions</t>
        </is>
      </c>
      <c r="O48" s="7" t="inlineStr">
        <is>
          <t>https://bookofconcord.org/ecumenical-creeds/nicene-creed/</t>
        </is>
      </c>
      <c r="P48" s="7" t="inlineStr">
        <is>
          <t>S9-IA-0078 / S8-IA-0078</t>
        </is>
      </c>
      <c r="Q48" s="7" t="inlineStr">
        <is>
          <t>HIGH</t>
        </is>
      </c>
      <c r="R48" s="7" t="inlineStr">
        <is>
          <t>LCMS scope.</t>
        </is>
      </c>
      <c r="S48" s="7" t="inlineStr">
        <is>
          <t>NO</t>
        </is>
      </c>
      <c r="T48" s="7" t="inlineStr">
        <is>
          <t>A</t>
        </is>
      </c>
      <c r="U48" s="7" t="n"/>
      <c r="V48" s="7" t="inlineStr">
        <is>
          <t>CERTIFIED</t>
        </is>
      </c>
      <c r="W48" s="7" t="n"/>
      <c r="X48" s="7" t="inlineStr">
        <is>
          <t>A</t>
        </is>
      </c>
      <c r="Y48" s="7" t="inlineStr">
        <is>
          <t>A</t>
        </is>
      </c>
      <c r="Z48" s="11" t="b">
        <v>0</v>
      </c>
      <c r="AA48" s="8" t="inlineStr">
        <is>
          <t>CURRENT EVIDENCE / STATUS</t>
        </is>
      </c>
    </row>
    <row r="49" ht="15.75" customHeight="1" s="29">
      <c r="A49" s="7" t="inlineStr">
        <is>
          <t>Q-044</t>
        </is>
      </c>
      <c r="B49" s="7" t="inlineStr">
        <is>
          <t>RNR-H06</t>
        </is>
      </c>
      <c r="C49" s="7" t="inlineStr">
        <is>
          <t>Lord</t>
        </is>
      </c>
      <c r="D49" s="7" t="inlineStr">
        <is>
          <t>A</t>
        </is>
      </c>
      <c r="E49" s="7" t="inlineStr">
        <is>
          <t>Reformed / Presbyterian</t>
        </is>
      </c>
      <c r="F49" s="7" t="inlineStr">
        <is>
          <t>SINGLE</t>
        </is>
      </c>
      <c r="G49" s="7" t="inlineStr">
        <is>
          <t>SESSION 9 SOURCE ROW RECOVERED</t>
        </is>
      </c>
      <c r="H49" s="7" t="inlineStr">
        <is>
          <t>PUBLIC-CERTIFIED</t>
        </is>
      </c>
      <c r="I49" s="7" t="inlineStr">
        <is>
          <t>RNR-H06a</t>
        </is>
      </c>
      <c r="J49" s="7" t="inlineStr">
        <is>
          <t>A</t>
        </is>
      </c>
      <c r="K49" s="7" t="inlineStr">
        <is>
          <t>Presbyterian Church (U.S.A.)</t>
        </is>
      </c>
      <c r="L49" s="7" t="inlineStr">
        <is>
          <t>Nicene Creed</t>
        </is>
      </c>
      <c r="M49" s="7" t="inlineStr">
        <is>
          <t>1.1–3, Nicene Creed</t>
        </is>
      </c>
      <c r="N49" s="7" t="inlineStr">
        <is>
          <t>https://pcusa.org/about-pcusa/agencies-entities/life-witness/ministry-areas/constitutional-interpretation/constitution</t>
        </is>
      </c>
      <c r="O49" s="7" t="inlineStr">
        <is>
          <t>https://pcusa.org/sites/default/files/boc2016.pdf</t>
        </is>
      </c>
      <c r="P49" s="7" t="inlineStr">
        <is>
          <t>S9-IA-0079 / S8-IA-0079</t>
        </is>
      </c>
      <c r="Q49" s="7" t="inlineStr">
        <is>
          <t>HIGH</t>
        </is>
      </c>
      <c r="R49" s="7" t="inlineStr">
        <is>
          <t>PC(USA) scope.</t>
        </is>
      </c>
      <c r="S49" s="7" t="inlineStr">
        <is>
          <t>NO</t>
        </is>
      </c>
      <c r="T49" s="7" t="inlineStr">
        <is>
          <t>A</t>
        </is>
      </c>
      <c r="U49" s="7" t="inlineStr">
        <is>
          <t>PC(USA) authority page and direct Book of Confessions PDF repaired in v2.9. | PC(USA) Text URL repaired to live Book of Confessions PDF in v2.10.</t>
        </is>
      </c>
      <c r="V49" s="7" t="inlineStr">
        <is>
          <t>CERTIFIED</t>
        </is>
      </c>
      <c r="W49" s="7" t="n"/>
      <c r="X49" s="7" t="inlineStr">
        <is>
          <t>A</t>
        </is>
      </c>
      <c r="Y49" s="7" t="inlineStr">
        <is>
          <t>A</t>
        </is>
      </c>
      <c r="Z49" s="11" t="b">
        <v>0</v>
      </c>
      <c r="AA49" s="8" t="inlineStr">
        <is>
          <t>CURRENT EVIDENCE / STATUS</t>
        </is>
      </c>
    </row>
    <row r="50" ht="15.75" customHeight="1" s="29">
      <c r="A50" s="7" t="inlineStr">
        <is>
          <t>Q-045</t>
        </is>
      </c>
      <c r="B50" s="7" t="inlineStr">
        <is>
          <t>RNR-H06</t>
        </is>
      </c>
      <c r="C50" s="7" t="inlineStr">
        <is>
          <t>Lord</t>
        </is>
      </c>
      <c r="D50" s="7" t="inlineStr">
        <is>
          <t>A</t>
        </is>
      </c>
      <c r="E50" s="7" t="inlineStr">
        <is>
          <t>Anglican</t>
        </is>
      </c>
      <c r="F50" s="7" t="inlineStr">
        <is>
          <t>SINGLE</t>
        </is>
      </c>
      <c r="G50" s="7" t="inlineStr">
        <is>
          <t>TO RECOVER FROM SESSION 9 LEDGER</t>
        </is>
      </c>
      <c r="H50" s="7" t="inlineStr">
        <is>
          <t>NO PUBLIC TILE</t>
        </is>
      </c>
      <c r="I50" s="7" t="n"/>
      <c r="J50" s="7" t="n"/>
      <c r="K50" s="7" t="n"/>
      <c r="L50" s="7" t="n"/>
      <c r="M50" s="7" t="n"/>
      <c r="N50" s="7" t="n"/>
      <c r="O50" s="7" t="n"/>
      <c r="P50" s="7" t="n"/>
      <c r="Q50" s="7" t="inlineStr">
        <is>
          <t>NOT-ASSESSED</t>
        </is>
      </c>
      <c r="R50" s="7" t="n"/>
      <c r="S50" s="7" t="n"/>
      <c r="T50" s="7" t="n"/>
      <c r="U50" s="7" t="n"/>
      <c r="V50" s="7" t="n"/>
      <c r="W50" s="7" t="n"/>
      <c r="X50" s="7" t="inlineStr">
        <is>
          <t>NOT LOCATED — NOT YET RECOVERED</t>
        </is>
      </c>
      <c r="Y50" s="7" t="inlineStr">
        <is>
          <t>EXCLUDED</t>
        </is>
      </c>
      <c r="Z50" s="11" t="b">
        <v>0</v>
      </c>
      <c r="AA50" s="8" t="inlineStr">
        <is>
          <t>CURRENT EVIDENCE / STATUS</t>
        </is>
      </c>
    </row>
    <row r="51" ht="15.75" customHeight="1" s="29">
      <c r="A51" s="7" t="inlineStr">
        <is>
          <t>Q-046</t>
        </is>
      </c>
      <c r="B51" s="7" t="inlineStr">
        <is>
          <t>RNR-H06</t>
        </is>
      </c>
      <c r="C51" s="7" t="inlineStr">
        <is>
          <t>Lord</t>
        </is>
      </c>
      <c r="D51" s="7" t="inlineStr">
        <is>
          <t>A</t>
        </is>
      </c>
      <c r="E51" s="7" t="inlineStr">
        <is>
          <t>Baptist</t>
        </is>
      </c>
      <c r="F51" s="7" t="inlineStr">
        <is>
          <t>SINGLE</t>
        </is>
      </c>
      <c r="G51" s="7" t="inlineStr">
        <is>
          <t>CURRENT OFFICIAL SOURCE RECOVERED — WEB VERIFIED</t>
        </is>
      </c>
      <c r="H51" s="7" t="inlineStr">
        <is>
          <t>PUBLIC-CERTIFIED</t>
        </is>
      </c>
      <c r="I51" s="7" t="inlineStr">
        <is>
          <t>RNR-H06a</t>
        </is>
      </c>
      <c r="J51" s="7" t="inlineStr">
        <is>
          <t>A</t>
        </is>
      </c>
      <c r="K51" s="7" t="inlineStr">
        <is>
          <t>Southern Baptist Convention</t>
        </is>
      </c>
      <c r="L51" s="7" t="inlineStr">
        <is>
          <t>Baptist Faith and Message 2000</t>
        </is>
      </c>
      <c r="M51" s="7" t="inlineStr">
        <is>
          <t>II.B. God the Son — living and ever present Lord</t>
        </is>
      </c>
      <c r="N51" s="7" t="inlineStr">
        <is>
          <t>https://bfm.sbc.net/bfm2000/</t>
        </is>
      </c>
      <c r="O51" s="7" t="inlineStr">
        <is>
          <t>https://bfm.sbc.net/bfm2000/</t>
        </is>
      </c>
      <c r="P51" s="7" t="inlineStr">
        <is>
          <t>Current official-source recovery, web-verified against Baptist Faith &amp; Message 2000; source role N2 per project institutional authority roster.</t>
        </is>
      </c>
      <c r="Q51" s="7" t="inlineStr">
        <is>
          <t>HIGH</t>
        </is>
      </c>
      <c r="R51" s="7" t="inlineStr">
        <is>
          <t>Southern Baptist Convention cooperative identity under BF&amp;M 2000; not all Baptist churches or Baptist traditions.</t>
        </is>
      </c>
      <c r="S51" s="7" t="inlineStr">
        <is>
          <t>NO</t>
        </is>
      </c>
      <c r="T51" s="7" t="inlineStr">
        <is>
          <t>A</t>
        </is>
      </c>
      <c r="U51" s="7" t="inlineStr">
        <is>
          <t>Current SBC source explicitly calls Christ Lord.</t>
        </is>
      </c>
      <c r="V51" s="7" t="inlineStr">
        <is>
          <t>CERTIFIED</t>
        </is>
      </c>
      <c r="W51" s="7" t="n"/>
      <c r="X51" s="7" t="inlineStr">
        <is>
          <t>A</t>
        </is>
      </c>
      <c r="Y51" s="7" t="inlineStr">
        <is>
          <t>A</t>
        </is>
      </c>
      <c r="Z51" s="11" t="b">
        <v>0</v>
      </c>
      <c r="AA51" s="8" t="inlineStr">
        <is>
          <t>CURRENT EVIDENCE / STATUS</t>
        </is>
      </c>
    </row>
    <row r="52" ht="15.75" customHeight="1" s="29">
      <c r="A52" s="7" t="inlineStr">
        <is>
          <t>Q-047</t>
        </is>
      </c>
      <c r="B52" s="7" t="inlineStr">
        <is>
          <t>RNR-H06</t>
        </is>
      </c>
      <c r="C52" s="7" t="inlineStr">
        <is>
          <t>Lord</t>
        </is>
      </c>
      <c r="D52" s="7" t="inlineStr">
        <is>
          <t>A</t>
        </is>
      </c>
      <c r="E52" s="7" t="inlineStr">
        <is>
          <t>Methodist / Wesleyan</t>
        </is>
      </c>
      <c r="F52" s="7" t="inlineStr">
        <is>
          <t>SINGLE</t>
        </is>
      </c>
      <c r="G52" s="7" t="inlineStr">
        <is>
          <t>TO RECOVER FROM SESSION 9 LEDGER</t>
        </is>
      </c>
      <c r="H52" s="7" t="inlineStr">
        <is>
          <t>NO PUBLIC TILE</t>
        </is>
      </c>
      <c r="I52" s="7" t="n"/>
      <c r="J52" s="7" t="n"/>
      <c r="K52" s="7" t="n"/>
      <c r="L52" s="7" t="n"/>
      <c r="M52" s="7" t="n"/>
      <c r="N52" s="7" t="n"/>
      <c r="O52" s="7" t="n"/>
      <c r="P52" s="7" t="n"/>
      <c r="Q52" s="7" t="inlineStr">
        <is>
          <t>NOT-ASSESSED</t>
        </is>
      </c>
      <c r="R52" s="7" t="n"/>
      <c r="S52" s="7" t="n"/>
      <c r="T52" s="7" t="n"/>
      <c r="U52" s="7" t="n"/>
      <c r="V52" s="7" t="n"/>
      <c r="W52" s="7" t="n"/>
      <c r="X52" s="7" t="inlineStr">
        <is>
          <t>NOT LOCATED — NOT YET RECOVERED</t>
        </is>
      </c>
      <c r="Y52" s="7" t="inlineStr">
        <is>
          <t>EXCLUDED</t>
        </is>
      </c>
      <c r="Z52" s="11" t="b">
        <v>0</v>
      </c>
      <c r="AA52" s="8" t="inlineStr">
        <is>
          <t>CURRENT EVIDENCE / STATUS</t>
        </is>
      </c>
    </row>
    <row r="53" ht="15.75" customHeight="1" s="29">
      <c r="A53" s="7" t="inlineStr">
        <is>
          <t>Q-048</t>
        </is>
      </c>
      <c r="B53" s="7" t="inlineStr">
        <is>
          <t>RNR-H06</t>
        </is>
      </c>
      <c r="C53" s="7" t="inlineStr">
        <is>
          <t>Lord</t>
        </is>
      </c>
      <c r="D53" s="7" t="inlineStr">
        <is>
          <t>A</t>
        </is>
      </c>
      <c r="E53" s="7" t="inlineStr">
        <is>
          <t>Mennonite / Anabaptist</t>
        </is>
      </c>
      <c r="F53" s="7" t="inlineStr">
        <is>
          <t>SINGLE</t>
        </is>
      </c>
      <c r="G53" s="7" t="inlineStr">
        <is>
          <t>CURRENT OFFICIAL SOURCE RECOVERED — WEB VERIFIED</t>
        </is>
      </c>
      <c r="H53" s="7" t="inlineStr">
        <is>
          <t>PUBLIC-CERTIFIED</t>
        </is>
      </c>
      <c r="I53" s="7" t="inlineStr">
        <is>
          <t>RNR-H06a</t>
        </is>
      </c>
      <c r="J53" s="7" t="inlineStr">
        <is>
          <t>A</t>
        </is>
      </c>
      <c r="K53" s="7" t="inlineStr">
        <is>
          <t>Mennonite Church USA</t>
        </is>
      </c>
      <c r="L53" s="7" t="inlineStr">
        <is>
          <t>Confession of Faith in a Mennonite Perspective (1995), Article 1: God</t>
        </is>
      </c>
      <c r="M53" s="7" t="inlineStr">
        <is>
          <t>Article 1 — confessing Jesus Christ to be Savior and Lord</t>
        </is>
      </c>
      <c r="N53" s="7" t="inlineStr">
        <is>
          <t>https://www.mennoniteusa.org/who-are-mennonites/what-we-believe/confession-of-faith/god/</t>
        </is>
      </c>
      <c r="O53" s="7" t="inlineStr">
        <is>
          <t>https://www.mennoniteusa.org/who-are-mennonites/what-we-believe/confession-of-faith/god/</t>
        </is>
      </c>
      <c r="P53" s="7" t="inlineStr">
        <is>
          <t>Current official-source recovery, web-verified against Mennonite Church USA Confession of Faith in a Mennonite Perspective (1995); N2 role per project roster.</t>
        </is>
      </c>
      <c r="Q53" s="7" t="inlineStr">
        <is>
          <t>HIGH</t>
        </is>
      </c>
      <c r="R53" s="7" t="inlineStr">
        <is>
          <t>Mennonite Church USA / adopting-body scope for the 1995 Confession; not all Mennonite or Anabaptist bodies.</t>
        </is>
      </c>
      <c r="S53" s="7" t="inlineStr">
        <is>
          <t>NO</t>
        </is>
      </c>
      <c r="T53" s="7" t="inlineStr">
        <is>
          <t>A</t>
        </is>
      </c>
      <c r="U53" s="7" t="inlineStr">
        <is>
          <t>Current Mennonite source explicitly calls Christ Lord.</t>
        </is>
      </c>
      <c r="V53" s="7" t="inlineStr">
        <is>
          <t>CERTIFIED</t>
        </is>
      </c>
      <c r="W53" s="7" t="n"/>
      <c r="X53" s="7" t="inlineStr">
        <is>
          <t>A</t>
        </is>
      </c>
      <c r="Y53" s="7" t="inlineStr">
        <is>
          <t>A</t>
        </is>
      </c>
      <c r="Z53" s="11" t="b">
        <v>0</v>
      </c>
      <c r="AA53" s="8" t="inlineStr">
        <is>
          <t>CURRENT EVIDENCE / STATUS</t>
        </is>
      </c>
    </row>
    <row r="54" ht="15.75" customHeight="1" s="29">
      <c r="A54" s="7" t="inlineStr">
        <is>
          <t>Q-049</t>
        </is>
      </c>
      <c r="B54" s="7" t="inlineStr">
        <is>
          <t>RNR-H07</t>
        </is>
      </c>
      <c r="C54" s="7" t="inlineStr">
        <is>
          <t>Almighty / omnipotent</t>
        </is>
      </c>
      <c r="D54" s="7" t="inlineStr">
        <is>
          <t>A</t>
        </is>
      </c>
      <c r="E54" s="7" t="inlineStr">
        <is>
          <t>Roman Catholic</t>
        </is>
      </c>
      <c r="F54" s="7" t="inlineStr">
        <is>
          <t>VECTOR REQUIRED</t>
        </is>
      </c>
      <c r="G54" s="7" t="inlineStr">
        <is>
          <t>SOURCE ROW RECOVERED</t>
        </is>
      </c>
      <c r="H54" s="7" t="inlineStr">
        <is>
          <t>ATOMIC VECTOR — INCOMPLETE</t>
        </is>
      </c>
      <c r="I54" s="7" t="inlineStr">
        <is>
          <t>RNR-H07a</t>
        </is>
      </c>
      <c r="J54" s="7" t="inlineStr">
        <is>
          <t>A</t>
        </is>
      </c>
      <c r="K54" s="7" t="inlineStr">
        <is>
          <t>Roman Catholic Church</t>
        </is>
      </c>
      <c r="L54" s="7" t="inlineStr">
        <is>
          <t>First Vatican Council, Dei Filius</t>
        </is>
      </c>
      <c r="M54" s="7" t="inlineStr">
        <is>
          <t>Chapter I</t>
        </is>
      </c>
      <c r="N54" s="7" t="inlineStr">
        <is>
          <t>https://www.vatican.va/archive/hist_councils/i-vatican-council/documents/vat-i_const_18700424_dei-filius_la.html</t>
        </is>
      </c>
      <c r="O54" s="7" t="inlineStr">
        <is>
          <t>https://www.ewtn.com/catholicism/teachings/vatican-i-dogmatic-constitution-dei-filius-on-the-catholic-faith-241</t>
        </is>
      </c>
      <c r="P54" s="7" t="inlineStr">
        <is>
          <t>Recovered source report / institution ledger or direct document</t>
        </is>
      </c>
      <c r="Q54" s="7" t="inlineStr">
        <is>
          <t>HIGH</t>
        </is>
      </c>
      <c r="R54" s="7" t="inlineStr">
        <is>
          <t>Branch label is a teaching family; institution/scope column controls the claim.</t>
        </is>
      </c>
      <c r="S54" s="7" t="inlineStr">
        <is>
          <t>YES</t>
        </is>
      </c>
      <c r="T54" s="7" t="n"/>
      <c r="U54" s="7" t="inlineStr">
        <is>
          <t>H07a Almighty/all-power attestation recovered; H07b unrestricted modal-theory layer remains U-HOLD and must be recovered/reviewed before any family-level tile. | v2.11: Dei Filius learner-facing Text URL replaced with actual English translation witness.</t>
        </is>
      </c>
      <c r="V54" s="7" t="inlineStr">
        <is>
          <t>PENDING REVIEW</t>
        </is>
      </c>
      <c r="W54" s="7" t="n"/>
      <c r="X54" s="7" t="inlineStr">
        <is>
          <t>VECTOR PENDING</t>
        </is>
      </c>
      <c r="Y54" s="7" t="inlineStr">
        <is>
          <t>EXCLUDED</t>
        </is>
      </c>
      <c r="Z54" s="11" t="b">
        <v>0</v>
      </c>
      <c r="AA54" s="8" t="inlineStr">
        <is>
          <t>CURRENT EVIDENCE / STATUS</t>
        </is>
      </c>
    </row>
    <row r="55" ht="15.75" customHeight="1" s="29">
      <c r="A55" s="7" t="inlineStr">
        <is>
          <t>Q-050</t>
        </is>
      </c>
      <c r="B55" s="7" t="inlineStr">
        <is>
          <t>RNR-H07</t>
        </is>
      </c>
      <c r="C55" s="7" t="inlineStr">
        <is>
          <t>Almighty / omnipotent</t>
        </is>
      </c>
      <c r="D55" s="7" t="inlineStr">
        <is>
          <t>A</t>
        </is>
      </c>
      <c r="E55" s="7" t="inlineStr">
        <is>
          <t>Eastern Orthodox</t>
        </is>
      </c>
      <c r="F55" s="7" t="inlineStr">
        <is>
          <t>VECTOR REQUIRED</t>
        </is>
      </c>
      <c r="G55" s="7" t="inlineStr">
        <is>
          <t>SOURCE ROW RECOVERED</t>
        </is>
      </c>
      <c r="H55" s="7" t="inlineStr">
        <is>
          <t>ATOMIC VECTOR — INCOMPLETE</t>
        </is>
      </c>
      <c r="I55" s="7" t="inlineStr">
        <is>
          <t>RNR-H07a</t>
        </is>
      </c>
      <c r="J55" s="7" t="inlineStr">
        <is>
          <t>A</t>
        </is>
      </c>
      <c r="K55" s="7" t="inlineStr">
        <is>
          <t>Orthodox Church in America (jurisdictional witness)</t>
        </is>
      </c>
      <c r="L55" s="7" t="inlineStr">
        <is>
          <t>Nicene Creed / Symbol of Faith</t>
        </is>
      </c>
      <c r="M55" s="7" t="inlineStr">
        <is>
          <t>'Father Almighty'</t>
        </is>
      </c>
      <c r="N55" s="7" t="inlineStr">
        <is>
          <t>https://www.oca.org/orthodoxy/the-orthodox-faith/doctrine-scripture/symbol-of-faith/nicene-creed</t>
        </is>
      </c>
      <c r="O55" s="7" t="inlineStr">
        <is>
          <t>https://www.oca.org/orthodoxy/the-orthodox-faith/doctrine-scripture/symbol-of-faith/nicene-creed</t>
        </is>
      </c>
      <c r="P55" s="7" t="inlineStr">
        <is>
          <t>Recovered source report / institution ledger or direct document</t>
        </is>
      </c>
      <c r="Q55" s="7" t="inlineStr">
        <is>
          <t>HIGH</t>
        </is>
      </c>
      <c r="R55" s="7" t="inlineStr">
        <is>
          <t>Branch label is a teaching family; institution/scope column controls the claim.</t>
        </is>
      </c>
      <c r="S55" s="7" t="inlineStr">
        <is>
          <t>YES</t>
        </is>
      </c>
      <c r="T55" s="7" t="n"/>
      <c r="U55" s="7" t="inlineStr">
        <is>
          <t>H07a Almighty/all-power attestation recovered; H07b unrestricted modal-theory layer remains U-HOLD and must be recovered/reviewed before any family-level tile.</t>
        </is>
      </c>
      <c r="V55" s="7" t="inlineStr">
        <is>
          <t>PENDING REVIEW</t>
        </is>
      </c>
      <c r="W55" s="7" t="n"/>
      <c r="X55" s="7" t="inlineStr">
        <is>
          <t>VECTOR PENDING</t>
        </is>
      </c>
      <c r="Y55" s="7" t="inlineStr">
        <is>
          <t>EXCLUDED</t>
        </is>
      </c>
      <c r="Z55" s="11" t="b">
        <v>0</v>
      </c>
      <c r="AA55" s="8" t="inlineStr">
        <is>
          <t>CURRENT EVIDENCE / STATUS</t>
        </is>
      </c>
    </row>
    <row r="56" ht="15.75" customHeight="1" s="29">
      <c r="A56" s="7" t="inlineStr">
        <is>
          <t>Q-051</t>
        </is>
      </c>
      <c r="B56" s="7" t="inlineStr">
        <is>
          <t>RNR-H07</t>
        </is>
      </c>
      <c r="C56" s="7" t="inlineStr">
        <is>
          <t>Almighty / omnipotent</t>
        </is>
      </c>
      <c r="D56" s="7" t="inlineStr">
        <is>
          <t>A</t>
        </is>
      </c>
      <c r="E56" s="7" t="inlineStr">
        <is>
          <t>Lutheran</t>
        </is>
      </c>
      <c r="F56" s="7" t="inlineStr">
        <is>
          <t>VECTOR REQUIRED</t>
        </is>
      </c>
      <c r="G56" s="7" t="inlineStr">
        <is>
          <t>SOURCE ROW RECOVERED</t>
        </is>
      </c>
      <c r="H56" s="7" t="inlineStr">
        <is>
          <t>ATOMIC VECTOR — INCOMPLETE</t>
        </is>
      </c>
      <c r="I56" s="7" t="inlineStr">
        <is>
          <t>RNR-H07a</t>
        </is>
      </c>
      <c r="J56" s="7" t="inlineStr">
        <is>
          <t>A</t>
        </is>
      </c>
      <c r="K56" s="7" t="inlineStr">
        <is>
          <t>Lutheran Church—Missouri Synod / Book of Concord</t>
        </is>
      </c>
      <c r="L56" s="7" t="inlineStr">
        <is>
          <t>Augsburg Confession</t>
        </is>
      </c>
      <c r="M56" s="7" t="inlineStr">
        <is>
          <t>Article I, Of God</t>
        </is>
      </c>
      <c r="N56" s="7" t="inlineStr">
        <is>
          <t>https://bookofconcord.org/augsburg-confession/of-god/</t>
        </is>
      </c>
      <c r="O56" s="7" t="inlineStr">
        <is>
          <t>https://bookofconcord.org/augsburg-confession/of-god/</t>
        </is>
      </c>
      <c r="P56" s="7" t="inlineStr">
        <is>
          <t>Recovered source report / institution ledger or direct document</t>
        </is>
      </c>
      <c r="Q56" s="7" t="inlineStr">
        <is>
          <t>HIGH</t>
        </is>
      </c>
      <c r="R56" s="7" t="inlineStr">
        <is>
          <t>Branch label is a teaching family; institution/scope column controls the claim.</t>
        </is>
      </c>
      <c r="S56" s="7" t="inlineStr">
        <is>
          <t>YES</t>
        </is>
      </c>
      <c r="T56" s="7" t="n"/>
      <c r="U56" s="7" t="inlineStr">
        <is>
          <t>H07a Almighty/all-power attestation recovered; H07b unrestricted modal-theory layer remains U-HOLD and must be recovered/reviewed before any family-level tile.</t>
        </is>
      </c>
      <c r="V56" s="7" t="inlineStr">
        <is>
          <t>PENDING REVIEW</t>
        </is>
      </c>
      <c r="W56" s="7" t="n"/>
      <c r="X56" s="7" t="inlineStr">
        <is>
          <t>VECTOR PENDING</t>
        </is>
      </c>
      <c r="Y56" s="7" t="inlineStr">
        <is>
          <t>EXCLUDED</t>
        </is>
      </c>
      <c r="Z56" s="11" t="b">
        <v>0</v>
      </c>
      <c r="AA56" s="8" t="inlineStr">
        <is>
          <t>CURRENT EVIDENCE / STATUS</t>
        </is>
      </c>
    </row>
    <row r="57" ht="15.75" customHeight="1" s="29">
      <c r="A57" s="7" t="inlineStr">
        <is>
          <t>Q-052</t>
        </is>
      </c>
      <c r="B57" s="7" t="inlineStr">
        <is>
          <t>RNR-H07</t>
        </is>
      </c>
      <c r="C57" s="7" t="inlineStr">
        <is>
          <t>Almighty / omnipotent</t>
        </is>
      </c>
      <c r="D57" s="7" t="inlineStr">
        <is>
          <t>A</t>
        </is>
      </c>
      <c r="E57" s="7" t="inlineStr">
        <is>
          <t>Reformed / Presbyterian</t>
        </is>
      </c>
      <c r="F57" s="7" t="inlineStr">
        <is>
          <t>VECTOR REQUIRED</t>
        </is>
      </c>
      <c r="G57" s="7" t="inlineStr">
        <is>
          <t>SOURCE ROW RECOVERED</t>
        </is>
      </c>
      <c r="H57" s="7" t="inlineStr">
        <is>
          <t>ATOMIC VECTOR — INCOMPLETE</t>
        </is>
      </c>
      <c r="I57" s="7" t="inlineStr">
        <is>
          <t>RNR-H07a</t>
        </is>
      </c>
      <c r="J57" s="7" t="inlineStr">
        <is>
          <t>A</t>
        </is>
      </c>
      <c r="K57" s="7" t="inlineStr">
        <is>
          <t>Orthodox Presbyterian Church</t>
        </is>
      </c>
      <c r="L57" s="7" t="inlineStr">
        <is>
          <t>Westminster Confession of Faith</t>
        </is>
      </c>
      <c r="M57" s="7" t="inlineStr">
        <is>
          <t>Chapter II</t>
        </is>
      </c>
      <c r="N57" s="7" t="inlineStr">
        <is>
          <t>https://opc.org/wcf.html</t>
        </is>
      </c>
      <c r="O57" s="7" t="inlineStr">
        <is>
          <t>https://opc.org/wcf.html</t>
        </is>
      </c>
      <c r="P57" s="7" t="inlineStr">
        <is>
          <t>Recovered source report / institution ledger or direct document</t>
        </is>
      </c>
      <c r="Q57" s="7" t="inlineStr">
        <is>
          <t>HIGH</t>
        </is>
      </c>
      <c r="R57" s="7" t="inlineStr">
        <is>
          <t>Branch label is a teaching family; institution/scope column controls the claim.</t>
        </is>
      </c>
      <c r="S57" s="7" t="inlineStr">
        <is>
          <t>YES</t>
        </is>
      </c>
      <c r="T57" s="7" t="n"/>
      <c r="U57" s="7" t="inlineStr">
        <is>
          <t>H07a Almighty/all-power attestation recovered; H07b unrestricted modal-theory layer remains U-HOLD and must be recovered/reviewed before any family-level tile.</t>
        </is>
      </c>
      <c r="V57" s="7" t="inlineStr">
        <is>
          <t>PENDING REVIEW</t>
        </is>
      </c>
      <c r="W57" s="7" t="n"/>
      <c r="X57" s="7" t="inlineStr">
        <is>
          <t>VECTOR PENDING</t>
        </is>
      </c>
      <c r="Y57" s="7" t="inlineStr">
        <is>
          <t>EXCLUDED</t>
        </is>
      </c>
      <c r="Z57" s="11" t="b">
        <v>0</v>
      </c>
      <c r="AA57" s="8" t="inlineStr">
        <is>
          <t>CURRENT EVIDENCE / STATUS</t>
        </is>
      </c>
    </row>
    <row r="58" ht="15.75" customHeight="1" s="29">
      <c r="A58" s="7" t="inlineStr">
        <is>
          <t>Q-053</t>
        </is>
      </c>
      <c r="B58" s="7" t="inlineStr">
        <is>
          <t>RNR-H07</t>
        </is>
      </c>
      <c r="C58" s="7" t="inlineStr">
        <is>
          <t>Almighty / omnipotent</t>
        </is>
      </c>
      <c r="D58" s="7" t="inlineStr">
        <is>
          <t>A</t>
        </is>
      </c>
      <c r="E58" s="7" t="inlineStr">
        <is>
          <t>Anglican</t>
        </is>
      </c>
      <c r="F58" s="7" t="inlineStr">
        <is>
          <t>VECTOR REQUIRED</t>
        </is>
      </c>
      <c r="G58" s="7" t="inlineStr">
        <is>
          <t>SOURCE ROW RECOVERED</t>
        </is>
      </c>
      <c r="H58" s="7" t="inlineStr">
        <is>
          <t>ATOMIC VECTOR — INCOMPLETE</t>
        </is>
      </c>
      <c r="I58" s="7" t="inlineStr">
        <is>
          <t>RNR-H07a</t>
        </is>
      </c>
      <c r="J58" s="7" t="inlineStr">
        <is>
          <t>A</t>
        </is>
      </c>
      <c r="K58" s="7" t="inlineStr">
        <is>
          <t>Church of England</t>
        </is>
      </c>
      <c r="L58" s="7" t="inlineStr">
        <is>
          <t>Thirty-Nine Articles</t>
        </is>
      </c>
      <c r="M58" s="7" t="inlineStr">
        <is>
          <t>Article I</t>
        </is>
      </c>
      <c r="N58" s="7" t="inlineStr">
        <is>
          <t>https://www.churchofengland.org/prayer-and-worship/worship-texts-and-resources/book-common-prayer/articles-religion</t>
        </is>
      </c>
      <c r="O58" s="7" t="inlineStr">
        <is>
          <t>https://www.churchofengland.org/prayer-and-worship/worship-texts-and-resources/book-common-prayer/articles-religion</t>
        </is>
      </c>
      <c r="P58" s="7" t="inlineStr">
        <is>
          <t>Recovered source report / institution ledger or direct document</t>
        </is>
      </c>
      <c r="Q58" s="7" t="inlineStr">
        <is>
          <t>HIGH</t>
        </is>
      </c>
      <c r="R58" s="7" t="inlineStr">
        <is>
          <t>Branch label is a teaching family; institution/scope column controls the claim.</t>
        </is>
      </c>
      <c r="S58" s="7" t="inlineStr">
        <is>
          <t>YES</t>
        </is>
      </c>
      <c r="T58" s="7" t="n"/>
      <c r="U58" s="7" t="inlineStr">
        <is>
          <t>H07a Almighty/all-power attestation recovered; H07b unrestricted modal-theory layer remains U-HOLD and must be recovered/reviewed before any family-level tile.</t>
        </is>
      </c>
      <c r="V58" s="7" t="inlineStr">
        <is>
          <t>PENDING REVIEW</t>
        </is>
      </c>
      <c r="W58" s="7" t="n"/>
      <c r="X58" s="7" t="inlineStr">
        <is>
          <t>VECTOR PENDING</t>
        </is>
      </c>
      <c r="Y58" s="7" t="inlineStr">
        <is>
          <t>EXCLUDED</t>
        </is>
      </c>
      <c r="Z58" s="11" t="b">
        <v>0</v>
      </c>
      <c r="AA58" s="8" t="inlineStr">
        <is>
          <t>CURRENT EVIDENCE / STATUS</t>
        </is>
      </c>
    </row>
    <row r="59" ht="15.75" customHeight="1" s="29">
      <c r="A59" s="7" t="inlineStr">
        <is>
          <t>Q-054</t>
        </is>
      </c>
      <c r="B59" s="7" t="inlineStr">
        <is>
          <t>RNR-H07</t>
        </is>
      </c>
      <c r="C59" s="7" t="inlineStr">
        <is>
          <t>Almighty / omnipotent</t>
        </is>
      </c>
      <c r="D59" s="7" t="inlineStr">
        <is>
          <t>A</t>
        </is>
      </c>
      <c r="E59" s="7" t="inlineStr">
        <is>
          <t>Baptist</t>
        </is>
      </c>
      <c r="F59" s="7" t="inlineStr">
        <is>
          <t>VECTOR REQUIRED</t>
        </is>
      </c>
      <c r="G59" s="7" t="inlineStr">
        <is>
          <t>CURRENT OFFICIAL SOURCE RECOVERED — WEB VERIFIED</t>
        </is>
      </c>
      <c r="H59" s="7" t="inlineStr">
        <is>
          <t>ATOMIC VECTOR — INCOMPLETE</t>
        </is>
      </c>
      <c r="I59" s="7" t="inlineStr">
        <is>
          <t>RNR-H07a</t>
        </is>
      </c>
      <c r="J59" s="7" t="inlineStr">
        <is>
          <t>A</t>
        </is>
      </c>
      <c r="K59" s="7" t="inlineStr">
        <is>
          <t>Southern Baptist Convention</t>
        </is>
      </c>
      <c r="L59" s="7" t="inlineStr">
        <is>
          <t>Baptist Faith and Message 2000</t>
        </is>
      </c>
      <c r="M59" s="7" t="inlineStr">
        <is>
          <t>II. God / II.A — all powerful</t>
        </is>
      </c>
      <c r="N59" s="7" t="inlineStr">
        <is>
          <t>https://bfm.sbc.net/bfm2000/</t>
        </is>
      </c>
      <c r="O59" s="7" t="inlineStr">
        <is>
          <t>https://bfm.sbc.net/bfm2000/</t>
        </is>
      </c>
      <c r="P59" s="7" t="inlineStr">
        <is>
          <t>Current official-source recovery, web-verified against Baptist Faith &amp; Message 2000; source role N2 per project institutional authority roster.</t>
        </is>
      </c>
      <c r="Q59" s="7" t="inlineStr">
        <is>
          <t>HIGH</t>
        </is>
      </c>
      <c r="R59" s="7" t="inlineStr">
        <is>
          <t>Southern Baptist Convention cooperative identity under BF&amp;M 2000; not all Baptist churches or Baptist traditions.</t>
        </is>
      </c>
      <c r="S59" s="7" t="inlineStr">
        <is>
          <t>YES</t>
        </is>
      </c>
      <c r="T59" s="7" t="n"/>
      <c r="U59" s="7" t="inlineStr">
        <is>
          <t>H07a is directly attested, but H07b unrestricted modal theory is not; family remains an incomplete vector.</t>
        </is>
      </c>
      <c r="V59" s="7" t="inlineStr">
        <is>
          <t>PENDING REVIEW</t>
        </is>
      </c>
      <c r="W59" s="7" t="n"/>
      <c r="X59" s="7" t="inlineStr">
        <is>
          <t>VECTOR PENDING</t>
        </is>
      </c>
      <c r="Y59" s="7" t="inlineStr">
        <is>
          <t>EXCLUDED</t>
        </is>
      </c>
      <c r="Z59" s="11" t="b">
        <v>0</v>
      </c>
      <c r="AA59" s="8" t="inlineStr">
        <is>
          <t>CURRENT EVIDENCE / STATUS</t>
        </is>
      </c>
    </row>
    <row r="60" ht="15.75" customHeight="1" s="29">
      <c r="A60" s="7" t="inlineStr">
        <is>
          <t>Q-055</t>
        </is>
      </c>
      <c r="B60" s="7" t="inlineStr">
        <is>
          <t>RNR-H07</t>
        </is>
      </c>
      <c r="C60" s="7" t="inlineStr">
        <is>
          <t>Almighty / omnipotent</t>
        </is>
      </c>
      <c r="D60" s="7" t="inlineStr">
        <is>
          <t>A</t>
        </is>
      </c>
      <c r="E60" s="7" t="inlineStr">
        <is>
          <t>Methodist / Wesleyan</t>
        </is>
      </c>
      <c r="F60" s="7" t="inlineStr">
        <is>
          <t>VECTOR REQUIRED</t>
        </is>
      </c>
      <c r="G60" s="7" t="inlineStr">
        <is>
          <t>SOURCE ROW RECOVERED</t>
        </is>
      </c>
      <c r="H60" s="7" t="inlineStr">
        <is>
          <t>ATOMIC VECTOR — INCOMPLETE</t>
        </is>
      </c>
      <c r="I60" s="7" t="inlineStr">
        <is>
          <t>RNR-H07a</t>
        </is>
      </c>
      <c r="J60" s="7" t="inlineStr">
        <is>
          <t>A</t>
        </is>
      </c>
      <c r="K60" s="7" t="inlineStr">
        <is>
          <t>The United Methodist Church</t>
        </is>
      </c>
      <c r="L60" s="7" t="inlineStr">
        <is>
          <t>Articles of Religion</t>
        </is>
      </c>
      <c r="M60" s="7" t="inlineStr">
        <is>
          <t>Article I</t>
        </is>
      </c>
      <c r="N60" s="7" t="inlineStr">
        <is>
          <t>https://www.umc.org/en/content/articles-of-religion</t>
        </is>
      </c>
      <c r="O60" s="7" t="inlineStr">
        <is>
          <t>https://www.umc.org/en/content/articles-of-religion</t>
        </is>
      </c>
      <c r="P60" s="7" t="inlineStr">
        <is>
          <t>Recovered source report / institution ledger or direct document</t>
        </is>
      </c>
      <c r="Q60" s="7" t="inlineStr">
        <is>
          <t>HIGH</t>
        </is>
      </c>
      <c r="R60" s="7" t="inlineStr">
        <is>
          <t>Branch label is a teaching family; institution/scope column controls the claim.</t>
        </is>
      </c>
      <c r="S60" s="7" t="inlineStr">
        <is>
          <t>YES</t>
        </is>
      </c>
      <c r="T60" s="7" t="n"/>
      <c r="U60" s="7" t="inlineStr">
        <is>
          <t>H07a Almighty/all-power attestation recovered; H07b unrestricted modal-theory layer remains U-HOLD and must be recovered/reviewed before any family-level tile.</t>
        </is>
      </c>
      <c r="V60" s="7" t="inlineStr">
        <is>
          <t>PENDING REVIEW</t>
        </is>
      </c>
      <c r="W60" s="7" t="n"/>
      <c r="X60" s="7" t="inlineStr">
        <is>
          <t>VECTOR PENDING</t>
        </is>
      </c>
      <c r="Y60" s="7" t="inlineStr">
        <is>
          <t>EXCLUDED</t>
        </is>
      </c>
      <c r="Z60" s="11" t="b">
        <v>0</v>
      </c>
      <c r="AA60" s="8" t="inlineStr">
        <is>
          <t>CURRENT EVIDENCE / STATUS</t>
        </is>
      </c>
    </row>
    <row r="61" ht="15.75" customHeight="1" s="29">
      <c r="A61" s="7" t="inlineStr">
        <is>
          <t>Q-056</t>
        </is>
      </c>
      <c r="B61" s="7" t="inlineStr">
        <is>
          <t>RNR-H07</t>
        </is>
      </c>
      <c r="C61" s="7" t="inlineStr">
        <is>
          <t>Almighty / omnipotent</t>
        </is>
      </c>
      <c r="D61" s="7" t="inlineStr">
        <is>
          <t>A</t>
        </is>
      </c>
      <c r="E61" s="7" t="inlineStr">
        <is>
          <t>Mennonite / Anabaptist</t>
        </is>
      </c>
      <c r="F61" s="7" t="inlineStr">
        <is>
          <t>VECTOR REQUIRED</t>
        </is>
      </c>
      <c r="G61" s="7" t="inlineStr">
        <is>
          <t>HISTORICAL SOURCE RETIRED — CURRENT SOURCE NOT YET RECOVERED</t>
        </is>
      </c>
      <c r="H61" s="7" t="inlineStr">
        <is>
          <t>NO PUBLIC TILE</t>
        </is>
      </c>
      <c r="I61" s="7" t="inlineStr">
        <is>
          <t>RNR-H07a</t>
        </is>
      </c>
      <c r="J61" s="7" t="inlineStr">
        <is>
          <t>A</t>
        </is>
      </c>
      <c r="K61" s="7" t="inlineStr">
        <is>
          <t>Historical Mennonite witness</t>
        </is>
      </c>
      <c r="L61" s="7" t="inlineStr">
        <is>
          <t>Dordrecht Confession of Faith (1632)</t>
        </is>
      </c>
      <c r="M61" s="7" t="inlineStr">
        <is>
          <t>Article I</t>
        </is>
      </c>
      <c r="N61" s="7" t="inlineStr">
        <is>
          <t>https://gameo.org/index.php?title=Dordrecht_Confession_of_Faith_%28Mennonite%2C_1632%29</t>
        </is>
      </c>
      <c r="O61" s="7" t="inlineStr">
        <is>
          <t>https://gameo.org/index.php?title=Dordrecht_Confession_of_Faith_%28Mennonite%2C_1632%29</t>
        </is>
      </c>
      <c r="P61" s="7" t="inlineStr">
        <is>
          <t>Recovered source report / institution ledger or direct document</t>
        </is>
      </c>
      <c r="Q61" s="7" t="inlineStr">
        <is>
          <t>HISTORICAL-ONLY</t>
        </is>
      </c>
      <c r="R61" s="7" t="inlineStr">
        <is>
          <t>Historical source may remain in the bounded inherited corpus but is not a current institutional witness for this teaching branch.</t>
        </is>
      </c>
      <c r="S61" s="7" t="inlineStr">
        <is>
          <t>CURRENT-SOURCE REPLACEMENT REQUIRED</t>
        </is>
      </c>
      <c r="T61" s="7" t="n"/>
      <c r="U61" s="7" t="inlineStr">
        <is>
          <t>Dordrecht 1632 remains historical/antecedent evidence; project controls explicitly exclude it from current Mennonite institutional attribution.</t>
        </is>
      </c>
      <c r="V61" s="7" t="inlineStr">
        <is>
          <t>HOLD</t>
        </is>
      </c>
      <c r="W61" s="7" t="n"/>
      <c r="X61" s="7" t="inlineStr">
        <is>
          <t>NOT LOCATED — CURRENT SOURCE</t>
        </is>
      </c>
      <c r="Y61" s="7" t="inlineStr">
        <is>
          <t>EXCLUDED</t>
        </is>
      </c>
      <c r="Z61" s="11" t="b">
        <v>1</v>
      </c>
      <c r="AA61" s="8" t="inlineStr">
        <is>
          <t>LINEAGE ONLY</t>
        </is>
      </c>
    </row>
    <row r="62" ht="15.75" customHeight="1" s="29">
      <c r="A62" s="7" t="inlineStr">
        <is>
          <t>Q-057</t>
        </is>
      </c>
      <c r="B62" s="7" t="inlineStr">
        <is>
          <t>RNR-H08</t>
        </is>
      </c>
      <c r="C62" s="7" t="inlineStr">
        <is>
          <t>Wise / all-wise</t>
        </is>
      </c>
      <c r="D62" s="7" t="inlineStr">
        <is>
          <t>A</t>
        </is>
      </c>
      <c r="E62" s="7" t="inlineStr">
        <is>
          <t>Roman Catholic</t>
        </is>
      </c>
      <c r="F62" s="7" t="inlineStr">
        <is>
          <t>SINGLE</t>
        </is>
      </c>
      <c r="G62" s="7" t="inlineStr">
        <is>
          <t>TO RECOVER FROM SESSION 9 LEDGER</t>
        </is>
      </c>
      <c r="H62" s="7" t="inlineStr">
        <is>
          <t>NO PUBLIC TILE</t>
        </is>
      </c>
      <c r="I62" s="7" t="n"/>
      <c r="J62" s="7" t="n"/>
      <c r="K62" s="7" t="n"/>
      <c r="L62" s="7" t="n"/>
      <c r="M62" s="7" t="n"/>
      <c r="N62" s="7" t="n"/>
      <c r="O62" s="7" t="n"/>
      <c r="P62" s="7" t="n"/>
      <c r="Q62" s="7" t="inlineStr">
        <is>
          <t>NOT-ASSESSED</t>
        </is>
      </c>
      <c r="R62" s="7" t="n"/>
      <c r="S62" s="7" t="n"/>
      <c r="T62" s="7" t="n"/>
      <c r="U62" s="7" t="n"/>
      <c r="V62" s="7" t="n"/>
      <c r="W62" s="7" t="n"/>
      <c r="X62" s="7" t="inlineStr">
        <is>
          <t>NOT LOCATED — NOT YET RECOVERED</t>
        </is>
      </c>
      <c r="Y62" s="7" t="inlineStr">
        <is>
          <t>EXCLUDED</t>
        </is>
      </c>
      <c r="Z62" s="11" t="b">
        <v>0</v>
      </c>
      <c r="AA62" s="8" t="inlineStr">
        <is>
          <t>CURRENT EVIDENCE / STATUS</t>
        </is>
      </c>
    </row>
    <row r="63" ht="15.75" customHeight="1" s="29">
      <c r="A63" s="7" t="inlineStr">
        <is>
          <t>Q-058</t>
        </is>
      </c>
      <c r="B63" s="7" t="inlineStr">
        <is>
          <t>RNR-H08</t>
        </is>
      </c>
      <c r="C63" s="7" t="inlineStr">
        <is>
          <t>Wise / all-wise</t>
        </is>
      </c>
      <c r="D63" s="7" t="inlineStr">
        <is>
          <t>A</t>
        </is>
      </c>
      <c r="E63" s="7" t="inlineStr">
        <is>
          <t>Eastern Orthodox</t>
        </is>
      </c>
      <c r="F63" s="7" t="inlineStr">
        <is>
          <t>SINGLE</t>
        </is>
      </c>
      <c r="G63" s="7" t="inlineStr">
        <is>
          <t>TO RECOVER FROM SESSION 9 LEDGER</t>
        </is>
      </c>
      <c r="H63" s="7" t="inlineStr">
        <is>
          <t>NO PUBLIC TILE</t>
        </is>
      </c>
      <c r="I63" s="7" t="n"/>
      <c r="J63" s="7" t="n"/>
      <c r="K63" s="7" t="n"/>
      <c r="L63" s="7" t="n"/>
      <c r="M63" s="7" t="n"/>
      <c r="N63" s="7" t="n"/>
      <c r="O63" s="7" t="n"/>
      <c r="P63" s="7" t="n"/>
      <c r="Q63" s="7" t="inlineStr">
        <is>
          <t>NOT-ASSESSED</t>
        </is>
      </c>
      <c r="R63" s="7" t="n"/>
      <c r="S63" s="7" t="n"/>
      <c r="T63" s="7" t="n"/>
      <c r="U63" s="7" t="n"/>
      <c r="V63" s="7" t="n"/>
      <c r="W63" s="7" t="n"/>
      <c r="X63" s="7" t="inlineStr">
        <is>
          <t>NOT LOCATED — NOT YET RECOVERED</t>
        </is>
      </c>
      <c r="Y63" s="7" t="inlineStr">
        <is>
          <t>EXCLUDED</t>
        </is>
      </c>
      <c r="Z63" s="11" t="b">
        <v>0</v>
      </c>
      <c r="AA63" s="8" t="inlineStr">
        <is>
          <t>CURRENT EVIDENCE / STATUS</t>
        </is>
      </c>
    </row>
    <row r="64" ht="15.75" customHeight="1" s="29">
      <c r="A64" s="7" t="inlineStr">
        <is>
          <t>Q-059</t>
        </is>
      </c>
      <c r="B64" s="7" t="inlineStr">
        <is>
          <t>RNR-H08</t>
        </is>
      </c>
      <c r="C64" s="7" t="inlineStr">
        <is>
          <t>Wise / all-wise</t>
        </is>
      </c>
      <c r="D64" s="7" t="inlineStr">
        <is>
          <t>A</t>
        </is>
      </c>
      <c r="E64" s="7" t="inlineStr">
        <is>
          <t>Lutheran</t>
        </is>
      </c>
      <c r="F64" s="7" t="inlineStr">
        <is>
          <t>SINGLE</t>
        </is>
      </c>
      <c r="G64" s="7" t="inlineStr">
        <is>
          <t>SESSION 9 SOURCE ROW RECOVERED</t>
        </is>
      </c>
      <c r="H64" s="7" t="inlineStr">
        <is>
          <t>PUBLIC-CERTIFIED</t>
        </is>
      </c>
      <c r="I64" s="7" t="inlineStr">
        <is>
          <t>RNR-H08a</t>
        </is>
      </c>
      <c r="J64" s="7" t="inlineStr">
        <is>
          <t>A</t>
        </is>
      </c>
      <c r="K64" s="7" t="inlineStr">
        <is>
          <t>Lutheran Church—Missouri Synod</t>
        </is>
      </c>
      <c r="L64" s="7" t="inlineStr">
        <is>
          <t>Augsburg Confession</t>
        </is>
      </c>
      <c r="M64" s="7" t="inlineStr">
        <is>
          <t>Article I, God</t>
        </is>
      </c>
      <c r="N64" s="7" t="inlineStr">
        <is>
          <t>https://www.lcms.org/about/beliefs/lutheran-confessions</t>
        </is>
      </c>
      <c r="O64" s="7" t="inlineStr">
        <is>
          <t>https://bookofconcord.org/augsburg-confession/of-god/</t>
        </is>
      </c>
      <c r="P64" s="7" t="inlineStr">
        <is>
          <t>S9-IA-0111 / S8-IA-0111</t>
        </is>
      </c>
      <c r="Q64" s="7" t="inlineStr">
        <is>
          <t>HIGH</t>
        </is>
      </c>
      <c r="R64" s="7" t="inlineStr">
        <is>
          <t>LCMS confessional subscription; not all Lutherans.</t>
        </is>
      </c>
      <c r="S64" s="7" t="inlineStr">
        <is>
          <t>NO</t>
        </is>
      </c>
      <c r="T64" s="7" t="inlineStr">
        <is>
          <t>A</t>
        </is>
      </c>
      <c r="U64" s="7" t="inlineStr">
        <is>
          <t>Wise / all-wise.</t>
        </is>
      </c>
      <c r="V64" s="7" t="inlineStr">
        <is>
          <t>CERTIFIED</t>
        </is>
      </c>
      <c r="W64" s="7" t="n"/>
      <c r="X64" s="7" t="inlineStr">
        <is>
          <t>A</t>
        </is>
      </c>
      <c r="Y64" s="7" t="inlineStr">
        <is>
          <t>A</t>
        </is>
      </c>
      <c r="Z64" s="11" t="b">
        <v>0</v>
      </c>
      <c r="AA64" s="8" t="inlineStr">
        <is>
          <t>CURRENT EVIDENCE / STATUS</t>
        </is>
      </c>
    </row>
    <row r="65" ht="15.75" customHeight="1" s="29">
      <c r="A65" s="7" t="inlineStr">
        <is>
          <t>Q-060</t>
        </is>
      </c>
      <c r="B65" s="7" t="inlineStr">
        <is>
          <t>RNR-H08</t>
        </is>
      </c>
      <c r="C65" s="7" t="inlineStr">
        <is>
          <t>Wise / all-wise</t>
        </is>
      </c>
      <c r="D65" s="7" t="inlineStr">
        <is>
          <t>A</t>
        </is>
      </c>
      <c r="E65" s="7" t="inlineStr">
        <is>
          <t>Reformed / Presbyterian</t>
        </is>
      </c>
      <c r="F65" s="7" t="inlineStr">
        <is>
          <t>SINGLE</t>
        </is>
      </c>
      <c r="G65" s="7" t="inlineStr">
        <is>
          <t>SESSION 9 SOURCE ROW RECOVERED</t>
        </is>
      </c>
      <c r="H65" s="7" t="inlineStr">
        <is>
          <t>PUBLIC-CERTIFIED</t>
        </is>
      </c>
      <c r="I65" s="7" t="inlineStr">
        <is>
          <t>RNR-H08a</t>
        </is>
      </c>
      <c r="J65" s="7" t="inlineStr">
        <is>
          <t>A</t>
        </is>
      </c>
      <c r="K65" s="7" t="inlineStr">
        <is>
          <t>Orthodox Presbyterian Church</t>
        </is>
      </c>
      <c r="L65" s="7" t="inlineStr">
        <is>
          <t>Westminster Confession of Faith</t>
        </is>
      </c>
      <c r="M65" s="7" t="inlineStr">
        <is>
          <t>Chapters II.1–3; III; V; VI; IX; XIII as applicable</t>
        </is>
      </c>
      <c r="N65" s="7" t="inlineStr">
        <is>
          <t>https://opc.org/wcf.html</t>
        </is>
      </c>
      <c r="O65" s="7" t="inlineStr">
        <is>
          <t>https://opc.org/wcf.html</t>
        </is>
      </c>
      <c r="P65" s="7" t="inlineStr">
        <is>
          <t>Session 9 H08 OPC Westminster row recovered; PC(USA) Westminster and WSC corroborate.</t>
        </is>
      </c>
      <c r="Q65" s="7" t="inlineStr">
        <is>
          <t>HIGH</t>
        </is>
      </c>
      <c r="R65" s="7" t="inlineStr">
        <is>
          <t>OPC is the primary certified witness; additional PC(USA)/OPC rows are corroborating, not votes.</t>
        </is>
      </c>
      <c r="S65" s="7" t="inlineStr">
        <is>
          <t>NO</t>
        </is>
      </c>
      <c r="T65" s="7" t="inlineStr">
        <is>
          <t>A</t>
        </is>
      </c>
      <c r="U65" s="7" t="inlineStr">
        <is>
          <t>Wise/all-wise. Multiple Reformed/Presbyterian institution-document rows recovered.</t>
        </is>
      </c>
      <c r="V65" s="7" t="inlineStr">
        <is>
          <t>CERTIFIED</t>
        </is>
      </c>
      <c r="W65" s="7" t="n"/>
      <c r="X65" s="7" t="inlineStr">
        <is>
          <t>A</t>
        </is>
      </c>
      <c r="Y65" s="7" t="inlineStr">
        <is>
          <t>A</t>
        </is>
      </c>
      <c r="Z65" s="11" t="b">
        <v>0</v>
      </c>
      <c r="AA65" s="8" t="inlineStr">
        <is>
          <t>CURRENT EVIDENCE / STATUS</t>
        </is>
      </c>
    </row>
    <row r="66" ht="15.75" customHeight="1" s="29">
      <c r="A66" s="7" t="inlineStr">
        <is>
          <t>Q-061</t>
        </is>
      </c>
      <c r="B66" s="7" t="inlineStr">
        <is>
          <t>RNR-H08</t>
        </is>
      </c>
      <c r="C66" s="7" t="inlineStr">
        <is>
          <t>Wise / all-wise</t>
        </is>
      </c>
      <c r="D66" s="7" t="inlineStr">
        <is>
          <t>A</t>
        </is>
      </c>
      <c r="E66" s="7" t="inlineStr">
        <is>
          <t>Anglican</t>
        </is>
      </c>
      <c r="F66" s="7" t="inlineStr">
        <is>
          <t>SINGLE</t>
        </is>
      </c>
      <c r="G66" s="7" t="inlineStr">
        <is>
          <t>SESSION 9 SOURCE ROW RECOVERED</t>
        </is>
      </c>
      <c r="H66" s="7" t="inlineStr">
        <is>
          <t>PUBLIC-CERTIFIED</t>
        </is>
      </c>
      <c r="I66" s="7" t="inlineStr">
        <is>
          <t>RNR-H08a</t>
        </is>
      </c>
      <c r="J66" s="7" t="inlineStr">
        <is>
          <t>A</t>
        </is>
      </c>
      <c r="K66" s="7" t="inlineStr">
        <is>
          <t>Church of England</t>
        </is>
      </c>
      <c r="L66" s="7" t="inlineStr">
        <is>
          <t>Thirty-Nine Articles</t>
        </is>
      </c>
      <c r="M66" s="7" t="inlineStr">
        <is>
          <t>Articles I–II</t>
        </is>
      </c>
      <c r="N66" s="7" t="inlineStr">
        <is>
          <t>https://www.churchofengland.org/prayer-and-worship/worship-texts-and-resources/book-common-prayer/articles-religion</t>
        </is>
      </c>
      <c r="O66" s="7" t="inlineStr">
        <is>
          <t>https://www.churchofengland.org/prayer-and-worship/worship-texts-and-resources/book-common-prayer/articles-religion</t>
        </is>
      </c>
      <c r="P66" s="7" t="inlineStr">
        <is>
          <t>S9-IA-0115 / S8-IA-0115</t>
        </is>
      </c>
      <c r="Q66" s="7" t="inlineStr">
        <is>
          <t>HIGH</t>
        </is>
      </c>
      <c r="R66" s="7" t="inlineStr">
        <is>
          <t>Church of England only; not Anglican Communion-wide.</t>
        </is>
      </c>
      <c r="S66" s="7" t="inlineStr">
        <is>
          <t>NO</t>
        </is>
      </c>
      <c r="T66" s="7" t="inlineStr">
        <is>
          <t>A</t>
        </is>
      </c>
      <c r="U66" s="7" t="inlineStr">
        <is>
          <t>Wise / all-wise.</t>
        </is>
      </c>
      <c r="V66" s="7" t="inlineStr">
        <is>
          <t>CERTIFIED</t>
        </is>
      </c>
      <c r="W66" s="7" t="n"/>
      <c r="X66" s="7" t="inlineStr">
        <is>
          <t>A</t>
        </is>
      </c>
      <c r="Y66" s="7" t="inlineStr">
        <is>
          <t>A</t>
        </is>
      </c>
      <c r="Z66" s="11" t="b">
        <v>0</v>
      </c>
      <c r="AA66" s="8" t="inlineStr">
        <is>
          <t>CURRENT EVIDENCE / STATUS</t>
        </is>
      </c>
    </row>
    <row r="67" ht="15.75" customHeight="1" s="29">
      <c r="A67" s="7" t="inlineStr">
        <is>
          <t>Q-062</t>
        </is>
      </c>
      <c r="B67" s="7" t="inlineStr">
        <is>
          <t>RNR-H08</t>
        </is>
      </c>
      <c r="C67" s="7" t="inlineStr">
        <is>
          <t>Wise / all-wise</t>
        </is>
      </c>
      <c r="D67" s="7" t="inlineStr">
        <is>
          <t>A</t>
        </is>
      </c>
      <c r="E67" s="7" t="inlineStr">
        <is>
          <t>Baptist</t>
        </is>
      </c>
      <c r="F67" s="7" t="inlineStr">
        <is>
          <t>SINGLE</t>
        </is>
      </c>
      <c r="G67" s="7" t="inlineStr">
        <is>
          <t>CURRENT OFFICIAL SOURCE RECOVERED — WEB VERIFIED</t>
        </is>
      </c>
      <c r="H67" s="7" t="inlineStr">
        <is>
          <t>PUBLIC-CERTIFIED</t>
        </is>
      </c>
      <c r="I67" s="7" t="inlineStr">
        <is>
          <t>RNR-H08a</t>
        </is>
      </c>
      <c r="J67" s="7" t="inlineStr">
        <is>
          <t>A</t>
        </is>
      </c>
      <c r="K67" s="7" t="inlineStr">
        <is>
          <t>Southern Baptist Convention</t>
        </is>
      </c>
      <c r="L67" s="7" t="inlineStr">
        <is>
          <t>Baptist Faith and Message 2000</t>
        </is>
      </c>
      <c r="M67" s="7" t="inlineStr">
        <is>
          <t>II.A. God the Father — all wise</t>
        </is>
      </c>
      <c r="N67" s="7" t="inlineStr">
        <is>
          <t>https://bfm.sbc.net/bfm2000/</t>
        </is>
      </c>
      <c r="O67" s="7" t="inlineStr">
        <is>
          <t>https://bfm.sbc.net/bfm2000/</t>
        </is>
      </c>
      <c r="P67" s="7" t="inlineStr">
        <is>
          <t>Current official-source recovery, web-verified against Baptist Faith &amp; Message 2000; source role N2 per project institutional authority roster.</t>
        </is>
      </c>
      <c r="Q67" s="7" t="inlineStr">
        <is>
          <t>HIGH</t>
        </is>
      </c>
      <c r="R67" s="7" t="inlineStr">
        <is>
          <t>Southern Baptist Convention cooperative identity under BF&amp;M 2000; not all Baptist churches or Baptist traditions.</t>
        </is>
      </c>
      <c r="S67" s="7" t="inlineStr">
        <is>
          <t>NO</t>
        </is>
      </c>
      <c r="T67" s="7" t="inlineStr">
        <is>
          <t>A</t>
        </is>
      </c>
      <c r="U67" s="7" t="inlineStr">
        <is>
          <t>Current SBC source explicitly attests divine wisdom.</t>
        </is>
      </c>
      <c r="V67" s="7" t="inlineStr">
        <is>
          <t>CERTIFIED</t>
        </is>
      </c>
      <c r="W67" s="7" t="n"/>
      <c r="X67" s="7" t="inlineStr">
        <is>
          <t>A</t>
        </is>
      </c>
      <c r="Y67" s="7" t="inlineStr">
        <is>
          <t>A</t>
        </is>
      </c>
      <c r="Z67" s="11" t="b">
        <v>0</v>
      </c>
      <c r="AA67" s="8" t="inlineStr">
        <is>
          <t>CURRENT EVIDENCE / STATUS</t>
        </is>
      </c>
    </row>
    <row r="68" ht="15.75" customHeight="1" s="29">
      <c r="A68" s="7" t="inlineStr">
        <is>
          <t>Q-063</t>
        </is>
      </c>
      <c r="B68" s="7" t="inlineStr">
        <is>
          <t>RNR-H08</t>
        </is>
      </c>
      <c r="C68" s="7" t="inlineStr">
        <is>
          <t>Wise / all-wise</t>
        </is>
      </c>
      <c r="D68" s="7" t="inlineStr">
        <is>
          <t>A</t>
        </is>
      </c>
      <c r="E68" s="7" t="inlineStr">
        <is>
          <t>Methodist / Wesleyan</t>
        </is>
      </c>
      <c r="F68" s="7" t="inlineStr">
        <is>
          <t>SINGLE</t>
        </is>
      </c>
      <c r="G68" s="7" t="inlineStr">
        <is>
          <t>SESSION 9 SOURCE ROW RECOVERED</t>
        </is>
      </c>
      <c r="H68" s="7" t="inlineStr">
        <is>
          <t>PUBLIC-CERTIFIED</t>
        </is>
      </c>
      <c r="I68" s="7" t="inlineStr">
        <is>
          <t>RNR-H08a</t>
        </is>
      </c>
      <c r="J68" s="7" t="inlineStr">
        <is>
          <t>A</t>
        </is>
      </c>
      <c r="K68" s="7" t="inlineStr">
        <is>
          <t>The United Methodist Church</t>
        </is>
      </c>
      <c r="L68" s="7" t="inlineStr">
        <is>
          <t>Articles of Religion of the Methodist Church</t>
        </is>
      </c>
      <c r="M68" s="7" t="inlineStr">
        <is>
          <t>Article I</t>
        </is>
      </c>
      <c r="N68" s="7" t="inlineStr">
        <is>
          <t>https://www.umc.org/en/content/articles-of-religion</t>
        </is>
      </c>
      <c r="O68" s="7" t="inlineStr">
        <is>
          <t>https://www.umc.org/en/content/articles-of-religion</t>
        </is>
      </c>
      <c r="P68" s="7" t="inlineStr">
        <is>
          <t>S9-IA-0121 / S8-IA-0121; EUB S9-IA-0122 corroborates.</t>
        </is>
      </c>
      <c r="Q68" s="7" t="inlineStr">
        <is>
          <t>HIGH</t>
        </is>
      </c>
      <c r="R68" s="7" t="inlineStr">
        <is>
          <t>UMC institutional scope.</t>
        </is>
      </c>
      <c r="S68" s="7" t="inlineStr">
        <is>
          <t>NO</t>
        </is>
      </c>
      <c r="T68" s="7" t="inlineStr">
        <is>
          <t>A</t>
        </is>
      </c>
      <c r="U68" s="7" t="inlineStr">
        <is>
          <t>Wise / all-wise.</t>
        </is>
      </c>
      <c r="V68" s="7" t="inlineStr">
        <is>
          <t>CERTIFIED</t>
        </is>
      </c>
      <c r="W68" s="7" t="n"/>
      <c r="X68" s="7" t="inlineStr">
        <is>
          <t>A</t>
        </is>
      </c>
      <c r="Y68" s="7" t="inlineStr">
        <is>
          <t>A</t>
        </is>
      </c>
      <c r="Z68" s="11" t="b">
        <v>0</v>
      </c>
      <c r="AA68" s="8" t="inlineStr">
        <is>
          <t>CURRENT EVIDENCE / STATUS</t>
        </is>
      </c>
    </row>
    <row r="69" ht="15.75" customHeight="1" s="29">
      <c r="A69" s="7" t="inlineStr">
        <is>
          <t>Q-064</t>
        </is>
      </c>
      <c r="B69" s="7" t="inlineStr">
        <is>
          <t>RNR-H08</t>
        </is>
      </c>
      <c r="C69" s="7" t="inlineStr">
        <is>
          <t>Wise / all-wise</t>
        </is>
      </c>
      <c r="D69" s="7" t="inlineStr">
        <is>
          <t>A</t>
        </is>
      </c>
      <c r="E69" s="7" t="inlineStr">
        <is>
          <t>Mennonite / Anabaptist</t>
        </is>
      </c>
      <c r="F69" s="7" t="inlineStr">
        <is>
          <t>SINGLE</t>
        </is>
      </c>
      <c r="G69" s="7" t="inlineStr">
        <is>
          <t>TO RECOVER FROM SESSION 9 LEDGER</t>
        </is>
      </c>
      <c r="H69" s="7" t="inlineStr">
        <is>
          <t>NO PUBLIC TILE</t>
        </is>
      </c>
      <c r="I69" s="7" t="n"/>
      <c r="J69" s="7" t="n"/>
      <c r="K69" s="7" t="n"/>
      <c r="L69" s="7" t="n"/>
      <c r="M69" s="7" t="n"/>
      <c r="N69" s="7" t="n"/>
      <c r="O69" s="7" t="n"/>
      <c r="P69" s="7" t="n"/>
      <c r="Q69" s="7" t="inlineStr">
        <is>
          <t>NOT-ASSESSED</t>
        </is>
      </c>
      <c r="R69" s="7" t="n"/>
      <c r="S69" s="7" t="n"/>
      <c r="T69" s="7" t="n"/>
      <c r="U69" s="7" t="n"/>
      <c r="V69" s="7" t="n"/>
      <c r="W69" s="7" t="n"/>
      <c r="X69" s="7" t="inlineStr">
        <is>
          <t>NOT LOCATED — NOT YET RECOVERED</t>
        </is>
      </c>
      <c r="Y69" s="7" t="inlineStr">
        <is>
          <t>EXCLUDED</t>
        </is>
      </c>
      <c r="Z69" s="11" t="b">
        <v>0</v>
      </c>
      <c r="AA69" s="8" t="inlineStr">
        <is>
          <t>CURRENT EVIDENCE / STATUS</t>
        </is>
      </c>
    </row>
    <row r="70" ht="15.75" customHeight="1" s="29">
      <c r="A70" s="7" t="inlineStr">
        <is>
          <t>Q-065</t>
        </is>
      </c>
      <c r="B70" s="7" t="inlineStr">
        <is>
          <t>RNR-H09</t>
        </is>
      </c>
      <c r="C70" s="7" t="inlineStr">
        <is>
          <t>Good</t>
        </is>
      </c>
      <c r="D70" s="7" t="inlineStr">
        <is>
          <t>A</t>
        </is>
      </c>
      <c r="E70" s="7" t="inlineStr">
        <is>
          <t>Roman Catholic</t>
        </is>
      </c>
      <c r="F70" s="7" t="inlineStr">
        <is>
          <t>SINGLE</t>
        </is>
      </c>
      <c r="G70" s="7" t="inlineStr">
        <is>
          <t>SESSION 8 ATTESTATION + SESSION 9 ATOMIC CODE RECOVERED</t>
        </is>
      </c>
      <c r="H70" s="7" t="inlineStr">
        <is>
          <t>PUBLIC-CERTIFIED</t>
        </is>
      </c>
      <c r="I70" s="7" t="inlineStr">
        <is>
          <t>RNR-H09a</t>
        </is>
      </c>
      <c r="J70" s="7" t="inlineStr">
        <is>
          <t>A</t>
        </is>
      </c>
      <c r="K70" s="7" t="inlineStr">
        <is>
          <t>Roman Catholic Church</t>
        </is>
      </c>
      <c r="L70" s="7" t="inlineStr">
        <is>
          <t>First Vatican Council, Dei Filius</t>
        </is>
      </c>
      <c r="M70" s="7" t="inlineStr">
        <is>
          <t>Chapter I, God the Creator of All Things</t>
        </is>
      </c>
      <c r="N70" s="7" t="inlineStr">
        <is>
          <t>https://www.vatican.va/archive/hist_councils/i-vatican-council/documents/vat-i_const_18700424_dei-filius_la.html</t>
        </is>
      </c>
      <c r="O70" s="7" t="inlineStr">
        <is>
          <t>https://www.ewtn.com/catholicism/teachings/vatican-i-dogmatic-constitution-dei-filius-on-the-catholic-faith-241</t>
        </is>
      </c>
      <c r="P70" s="7" t="inlineStr">
        <is>
          <t>S8-IA-0132 + Session 9 H09a atomic A decision</t>
        </is>
      </c>
      <c r="Q70" s="7" t="inlineStr">
        <is>
          <t>HIGH</t>
        </is>
      </c>
      <c r="R70" s="7" t="inlineStr">
        <is>
          <t>Universal Catholic Church; official Latin controls.</t>
        </is>
      </c>
      <c r="S70" s="7" t="inlineStr">
        <is>
          <t>NO</t>
        </is>
      </c>
      <c r="T70" s="7" t="inlineStr">
        <is>
          <t>A</t>
        </is>
      </c>
      <c r="U70" s="7" t="inlineStr">
        <is>
          <t>Good.</t>
        </is>
      </c>
      <c r="V70" s="7" t="inlineStr">
        <is>
          <t>CERTIFIED</t>
        </is>
      </c>
      <c r="W70" s="7" t="n"/>
      <c r="X70" s="7" t="inlineStr">
        <is>
          <t>A</t>
        </is>
      </c>
      <c r="Y70" s="7" t="inlineStr">
        <is>
          <t>A</t>
        </is>
      </c>
      <c r="Z70" s="11" t="b">
        <v>0</v>
      </c>
      <c r="AA70" s="8" t="inlineStr">
        <is>
          <t>CURRENT EVIDENCE / STATUS</t>
        </is>
      </c>
    </row>
    <row r="71" ht="15.75" customHeight="1" s="29">
      <c r="A71" s="7" t="inlineStr">
        <is>
          <t>Q-066</t>
        </is>
      </c>
      <c r="B71" s="7" t="inlineStr">
        <is>
          <t>RNR-H09</t>
        </is>
      </c>
      <c r="C71" s="7" t="inlineStr">
        <is>
          <t>Good</t>
        </is>
      </c>
      <c r="D71" s="7" t="inlineStr">
        <is>
          <t>A</t>
        </is>
      </c>
      <c r="E71" s="7" t="inlineStr">
        <is>
          <t>Eastern Orthodox</t>
        </is>
      </c>
      <c r="F71" s="7" t="inlineStr">
        <is>
          <t>SINGLE</t>
        </is>
      </c>
      <c r="G71" s="7" t="inlineStr">
        <is>
          <t>TO RECOVER FROM SESSION 9 LEDGER</t>
        </is>
      </c>
      <c r="H71" s="7" t="inlineStr">
        <is>
          <t>NO PUBLIC TILE</t>
        </is>
      </c>
      <c r="I71" s="7" t="n"/>
      <c r="J71" s="7" t="n"/>
      <c r="K71" s="7" t="n"/>
      <c r="L71" s="7" t="n"/>
      <c r="M71" s="7" t="n"/>
      <c r="N71" s="7" t="n"/>
      <c r="O71" s="7" t="n"/>
      <c r="P71" s="7" t="n"/>
      <c r="Q71" s="7" t="inlineStr">
        <is>
          <t>NOT-ASSESSED</t>
        </is>
      </c>
      <c r="R71" s="7" t="n"/>
      <c r="S71" s="7" t="n"/>
      <c r="T71" s="7" t="n"/>
      <c r="U71" s="7" t="n"/>
      <c r="V71" s="7" t="n"/>
      <c r="W71" s="7" t="n"/>
      <c r="X71" s="7" t="inlineStr">
        <is>
          <t>NOT LOCATED — NOT YET RECOVERED</t>
        </is>
      </c>
      <c r="Y71" s="7" t="inlineStr">
        <is>
          <t>EXCLUDED</t>
        </is>
      </c>
      <c r="Z71" s="11" t="b">
        <v>0</v>
      </c>
      <c r="AA71" s="8" t="inlineStr">
        <is>
          <t>CURRENT EVIDENCE / STATUS</t>
        </is>
      </c>
    </row>
    <row r="72" ht="15.75" customHeight="1" s="29">
      <c r="A72" s="7" t="inlineStr">
        <is>
          <t>Q-067</t>
        </is>
      </c>
      <c r="B72" s="7" t="inlineStr">
        <is>
          <t>RNR-H09</t>
        </is>
      </c>
      <c r="C72" s="7" t="inlineStr">
        <is>
          <t>Good</t>
        </is>
      </c>
      <c r="D72" s="7" t="inlineStr">
        <is>
          <t>A</t>
        </is>
      </c>
      <c r="E72" s="7" t="inlineStr">
        <is>
          <t>Lutheran</t>
        </is>
      </c>
      <c r="F72" s="7" t="inlineStr">
        <is>
          <t>SINGLE</t>
        </is>
      </c>
      <c r="G72" s="7" t="inlineStr">
        <is>
          <t>SESSION 9 SOURCE ROW RECOVERED</t>
        </is>
      </c>
      <c r="H72" s="7" t="inlineStr">
        <is>
          <t>PUBLIC-CERTIFIED</t>
        </is>
      </c>
      <c r="I72" s="7" t="inlineStr">
        <is>
          <t>RNR-H09a</t>
        </is>
      </c>
      <c r="J72" s="7" t="inlineStr">
        <is>
          <t>A</t>
        </is>
      </c>
      <c r="K72" s="7" t="inlineStr">
        <is>
          <t>Lutheran Church—Missouri Synod</t>
        </is>
      </c>
      <c r="L72" s="7" t="inlineStr">
        <is>
          <t>Augsburg Confession</t>
        </is>
      </c>
      <c r="M72" s="7" t="inlineStr">
        <is>
          <t>Article I, Of God</t>
        </is>
      </c>
      <c r="N72" s="7" t="inlineStr">
        <is>
          <t>https://www.lcms.org/about/beliefs/lutheran-confessions</t>
        </is>
      </c>
      <c r="O72" s="7" t="inlineStr">
        <is>
          <t>https://bookofconcord.org/augsburg-confession/of-god/</t>
        </is>
      </c>
      <c r="P72" s="7" t="inlineStr">
        <is>
          <t>Session 9 H09 LCMS Augsburg row recovered.</t>
        </is>
      </c>
      <c r="Q72" s="7" t="inlineStr">
        <is>
          <t>HIGH</t>
        </is>
      </c>
      <c r="R72" s="7" t="inlineStr">
        <is>
          <t>LCMS confessional subscription controls institutional scope.</t>
        </is>
      </c>
      <c r="S72" s="7" t="inlineStr">
        <is>
          <t>NO</t>
        </is>
      </c>
      <c r="T72" s="7" t="inlineStr">
        <is>
          <t>A</t>
        </is>
      </c>
      <c r="U72" s="7" t="inlineStr">
        <is>
          <t>Good.</t>
        </is>
      </c>
      <c r="V72" s="7" t="inlineStr">
        <is>
          <t>CERTIFIED</t>
        </is>
      </c>
      <c r="W72" s="7" t="n"/>
      <c r="X72" s="7" t="inlineStr">
        <is>
          <t>A</t>
        </is>
      </c>
      <c r="Y72" s="7" t="inlineStr">
        <is>
          <t>A</t>
        </is>
      </c>
      <c r="Z72" s="11" t="b">
        <v>0</v>
      </c>
      <c r="AA72" s="8" t="inlineStr">
        <is>
          <t>CURRENT EVIDENCE / STATUS</t>
        </is>
      </c>
    </row>
    <row r="73" ht="15.75" customHeight="1" s="29">
      <c r="A73" s="7" t="inlineStr">
        <is>
          <t>Q-068</t>
        </is>
      </c>
      <c r="B73" s="7" t="inlineStr">
        <is>
          <t>RNR-H09</t>
        </is>
      </c>
      <c r="C73" s="7" t="inlineStr">
        <is>
          <t>Good</t>
        </is>
      </c>
      <c r="D73" s="7" t="inlineStr">
        <is>
          <t>A</t>
        </is>
      </c>
      <c r="E73" s="7" t="inlineStr">
        <is>
          <t>Reformed / Presbyterian</t>
        </is>
      </c>
      <c r="F73" s="7" t="inlineStr">
        <is>
          <t>SINGLE</t>
        </is>
      </c>
      <c r="G73" s="7" t="inlineStr">
        <is>
          <t>SESSION 9 SOURCE ROW RECOVERED</t>
        </is>
      </c>
      <c r="H73" s="7" t="inlineStr">
        <is>
          <t>PUBLIC-CERTIFIED</t>
        </is>
      </c>
      <c r="I73" s="7" t="inlineStr">
        <is>
          <t>RNR-H09a</t>
        </is>
      </c>
      <c r="J73" s="7" t="inlineStr">
        <is>
          <t>A</t>
        </is>
      </c>
      <c r="K73" s="7" t="inlineStr">
        <is>
          <t>Presbyterian Church (U.S.A.)</t>
        </is>
      </c>
      <c r="L73" s="7" t="inlineStr">
        <is>
          <t>Scots Confession</t>
        </is>
      </c>
      <c r="M73" s="7" t="inlineStr">
        <is>
          <t>Chapter 1</t>
        </is>
      </c>
      <c r="N73" s="7" t="inlineStr">
        <is>
          <t>https://pcusa.org/about-pcusa/agencies-entities/life-witness/ministry-areas/constitutional-interpretation/constitution</t>
        </is>
      </c>
      <c r="O73" s="7" t="inlineStr">
        <is>
          <t>https://pcusa.org/sites/default/files/boc2016.pdf</t>
        </is>
      </c>
      <c r="P73" s="7" t="inlineStr">
        <is>
          <t>Session 9 H09 PC(USA) Scots row recovered; CRCNA Belgic also recovered.</t>
        </is>
      </c>
      <c r="Q73" s="7" t="inlineStr">
        <is>
          <t>HIGH</t>
        </is>
      </c>
      <c r="R73" s="7" t="inlineStr">
        <is>
          <t>PC(USA) primary; CRCNA evidence corroborates within the teaching-family bucket.</t>
        </is>
      </c>
      <c r="S73" s="7" t="inlineStr">
        <is>
          <t>NO</t>
        </is>
      </c>
      <c r="T73" s="7" t="inlineStr">
        <is>
          <t>A</t>
        </is>
      </c>
      <c r="U73" s="7" t="inlineStr">
        <is>
          <t>Good. | PC(USA) authority page and direct Book of Confessions PDF repaired in v2.9. | PC(USA) Text URL repaired to live Book of Confessions PDF in v2.10.</t>
        </is>
      </c>
      <c r="V73" s="7" t="inlineStr">
        <is>
          <t>CERTIFIED</t>
        </is>
      </c>
      <c r="W73" s="7" t="n"/>
      <c r="X73" s="7" t="inlineStr">
        <is>
          <t>A</t>
        </is>
      </c>
      <c r="Y73" s="7" t="inlineStr">
        <is>
          <t>A</t>
        </is>
      </c>
      <c r="Z73" s="11" t="b">
        <v>0</v>
      </c>
      <c r="AA73" s="8" t="inlineStr">
        <is>
          <t>CURRENT EVIDENCE / STATUS</t>
        </is>
      </c>
    </row>
    <row r="74" ht="15.75" customHeight="1" s="29">
      <c r="A74" s="7" t="inlineStr">
        <is>
          <t>Q-069</t>
        </is>
      </c>
      <c r="B74" s="7" t="inlineStr">
        <is>
          <t>RNR-H09</t>
        </is>
      </c>
      <c r="C74" s="7" t="inlineStr">
        <is>
          <t>Good</t>
        </is>
      </c>
      <c r="D74" s="7" t="inlineStr">
        <is>
          <t>A</t>
        </is>
      </c>
      <c r="E74" s="7" t="inlineStr">
        <is>
          <t>Anglican</t>
        </is>
      </c>
      <c r="F74" s="7" t="inlineStr">
        <is>
          <t>SINGLE</t>
        </is>
      </c>
      <c r="G74" s="7" t="inlineStr">
        <is>
          <t>SESSION 9 SOURCE ROW RECOVERED</t>
        </is>
      </c>
      <c r="H74" s="7" t="inlineStr">
        <is>
          <t>PUBLIC-CERTIFIED</t>
        </is>
      </c>
      <c r="I74" s="7" t="inlineStr">
        <is>
          <t>RNR-H09a</t>
        </is>
      </c>
      <c r="J74" s="7" t="inlineStr">
        <is>
          <t>A</t>
        </is>
      </c>
      <c r="K74" s="7" t="inlineStr">
        <is>
          <t>Church of England</t>
        </is>
      </c>
      <c r="L74" s="7" t="inlineStr">
        <is>
          <t>Thirty-Nine Articles</t>
        </is>
      </c>
      <c r="M74" s="7" t="inlineStr">
        <is>
          <t>Articles I–II</t>
        </is>
      </c>
      <c r="N74" s="7" t="inlineStr">
        <is>
          <t>https://www.churchofengland.org/prayer-and-worship/worship-texts-and-resources/book-common-prayer/articles-religion</t>
        </is>
      </c>
      <c r="O74" s="7" t="inlineStr">
        <is>
          <t>https://www.churchofengland.org/prayer-and-worship/worship-texts-and-resources/book-common-prayer/articles-religion</t>
        </is>
      </c>
      <c r="P74" s="7" t="inlineStr">
        <is>
          <t>S9-IA-0127 / S8-IA-0127</t>
        </is>
      </c>
      <c r="Q74" s="7" t="inlineStr">
        <is>
          <t>HIGH</t>
        </is>
      </c>
      <c r="R74" s="7" t="inlineStr">
        <is>
          <t>Church of England only; not Anglican Communion-wide.</t>
        </is>
      </c>
      <c r="S74" s="7" t="inlineStr">
        <is>
          <t>NO</t>
        </is>
      </c>
      <c r="T74" s="7" t="inlineStr">
        <is>
          <t>A</t>
        </is>
      </c>
      <c r="U74" s="7" t="inlineStr">
        <is>
          <t>Good.</t>
        </is>
      </c>
      <c r="V74" s="7" t="inlineStr">
        <is>
          <t>CERTIFIED</t>
        </is>
      </c>
      <c r="W74" s="7" t="n"/>
      <c r="X74" s="7" t="inlineStr">
        <is>
          <t>A</t>
        </is>
      </c>
      <c r="Y74" s="7" t="inlineStr">
        <is>
          <t>A</t>
        </is>
      </c>
      <c r="Z74" s="11" t="b">
        <v>0</v>
      </c>
      <c r="AA74" s="8" t="inlineStr">
        <is>
          <t>CURRENT EVIDENCE / STATUS</t>
        </is>
      </c>
    </row>
    <row r="75" ht="15.75" customHeight="1" s="29">
      <c r="A75" s="7" t="inlineStr">
        <is>
          <t>Q-070</t>
        </is>
      </c>
      <c r="B75" s="7" t="inlineStr">
        <is>
          <t>RNR-H09</t>
        </is>
      </c>
      <c r="C75" s="7" t="inlineStr">
        <is>
          <t>Good</t>
        </is>
      </c>
      <c r="D75" s="7" t="inlineStr">
        <is>
          <t>A</t>
        </is>
      </c>
      <c r="E75" s="7" t="inlineStr">
        <is>
          <t>Baptist</t>
        </is>
      </c>
      <c r="F75" s="7" t="inlineStr">
        <is>
          <t>SINGLE</t>
        </is>
      </c>
      <c r="G75" s="7" t="inlineStr">
        <is>
          <t>TO RECOVER FROM SESSION 9 LEDGER</t>
        </is>
      </c>
      <c r="H75" s="7" t="inlineStr">
        <is>
          <t>NO PUBLIC TILE</t>
        </is>
      </c>
      <c r="I75" s="7" t="n"/>
      <c r="J75" s="7" t="n"/>
      <c r="K75" s="7" t="n"/>
      <c r="L75" s="7" t="n"/>
      <c r="M75" s="7" t="n"/>
      <c r="N75" s="7" t="n"/>
      <c r="O75" s="7" t="n"/>
      <c r="P75" s="7" t="n"/>
      <c r="Q75" s="7" t="inlineStr">
        <is>
          <t>NOT-ASSESSED</t>
        </is>
      </c>
      <c r="R75" s="7" t="n"/>
      <c r="S75" s="7" t="n"/>
      <c r="T75" s="7" t="n"/>
      <c r="U75" s="7" t="n"/>
      <c r="V75" s="7" t="n"/>
      <c r="W75" s="7" t="n"/>
      <c r="X75" s="7" t="inlineStr">
        <is>
          <t>NOT LOCATED — NOT YET RECOVERED</t>
        </is>
      </c>
      <c r="Y75" s="7" t="inlineStr">
        <is>
          <t>EXCLUDED</t>
        </is>
      </c>
      <c r="Z75" s="11" t="b">
        <v>0</v>
      </c>
      <c r="AA75" s="8" t="inlineStr">
        <is>
          <t>CURRENT EVIDENCE / STATUS</t>
        </is>
      </c>
    </row>
    <row r="76" ht="15.75" customHeight="1" s="29">
      <c r="A76" s="7" t="inlineStr">
        <is>
          <t>Q-071</t>
        </is>
      </c>
      <c r="B76" s="7" t="inlineStr">
        <is>
          <t>RNR-H09</t>
        </is>
      </c>
      <c r="C76" s="7" t="inlineStr">
        <is>
          <t>Good</t>
        </is>
      </c>
      <c r="D76" s="7" t="inlineStr">
        <is>
          <t>A</t>
        </is>
      </c>
      <c r="E76" s="7" t="inlineStr">
        <is>
          <t>Methodist / Wesleyan</t>
        </is>
      </c>
      <c r="F76" s="7" t="inlineStr">
        <is>
          <t>SINGLE</t>
        </is>
      </c>
      <c r="G76" s="7" t="inlineStr">
        <is>
          <t>SESSION 8 ATTESTATION + SESSION 9 ATOMIC CODE RECOVERED</t>
        </is>
      </c>
      <c r="H76" s="7" t="inlineStr">
        <is>
          <t>PUBLIC-CERTIFIED</t>
        </is>
      </c>
      <c r="I76" s="7" t="inlineStr">
        <is>
          <t>RNR-H09a</t>
        </is>
      </c>
      <c r="J76" s="7" t="inlineStr">
        <is>
          <t>A</t>
        </is>
      </c>
      <c r="K76" s="7" t="inlineStr">
        <is>
          <t>The United Methodist Church</t>
        </is>
      </c>
      <c r="L76" s="7" t="inlineStr">
        <is>
          <t>Articles of Religion of the Methodist Church</t>
        </is>
      </c>
      <c r="M76" s="7" t="inlineStr">
        <is>
          <t>Article I</t>
        </is>
      </c>
      <c r="N76" s="7" t="inlineStr">
        <is>
          <t>https://www.umc.org/en/content/articles-of-religion</t>
        </is>
      </c>
      <c r="O76" s="7" t="inlineStr">
        <is>
          <t>https://www.umc.org/en/content/articles-of-religion</t>
        </is>
      </c>
      <c r="P76" s="7" t="inlineStr">
        <is>
          <t>S8-IA-0131 + Session 9 H09a atomic A decision; EUB S8-IA-0133 corroborates.</t>
        </is>
      </c>
      <c r="Q76" s="7" t="inlineStr">
        <is>
          <t>HIGH</t>
        </is>
      </c>
      <c r="R76" s="7" t="inlineStr">
        <is>
          <t>UMC institutional scope.</t>
        </is>
      </c>
      <c r="S76" s="7" t="inlineStr">
        <is>
          <t>NO</t>
        </is>
      </c>
      <c r="T76" s="7" t="inlineStr">
        <is>
          <t>A</t>
        </is>
      </c>
      <c r="U76" s="7" t="inlineStr">
        <is>
          <t>Good.</t>
        </is>
      </c>
      <c r="V76" s="7" t="inlineStr">
        <is>
          <t>CERTIFIED</t>
        </is>
      </c>
      <c r="W76" s="7" t="n"/>
      <c r="X76" s="7" t="inlineStr">
        <is>
          <t>A</t>
        </is>
      </c>
      <c r="Y76" s="7" t="inlineStr">
        <is>
          <t>A</t>
        </is>
      </c>
      <c r="Z76" s="11" t="b">
        <v>0</v>
      </c>
      <c r="AA76" s="8" t="inlineStr">
        <is>
          <t>CURRENT EVIDENCE / STATUS</t>
        </is>
      </c>
    </row>
    <row r="77" ht="15.75" customHeight="1" s="29">
      <c r="A77" s="7" t="inlineStr">
        <is>
          <t>Q-072</t>
        </is>
      </c>
      <c r="B77" s="7" t="inlineStr">
        <is>
          <t>RNR-H09</t>
        </is>
      </c>
      <c r="C77" s="7" t="inlineStr">
        <is>
          <t>Good</t>
        </is>
      </c>
      <c r="D77" s="7" t="inlineStr">
        <is>
          <t>A</t>
        </is>
      </c>
      <c r="E77" s="7" t="inlineStr">
        <is>
          <t>Mennonite / Anabaptist</t>
        </is>
      </c>
      <c r="F77" s="7" t="inlineStr">
        <is>
          <t>SINGLE</t>
        </is>
      </c>
      <c r="G77" s="7" t="inlineStr">
        <is>
          <t>CURRENT OFFICIAL SOURCE RECOVERED — WEB VERIFIED</t>
        </is>
      </c>
      <c r="H77" s="7" t="inlineStr">
        <is>
          <t>PUBLIC-CERTIFIED</t>
        </is>
      </c>
      <c r="I77" s="7" t="inlineStr">
        <is>
          <t>RNR-H09a</t>
        </is>
      </c>
      <c r="J77" s="7" t="inlineStr">
        <is>
          <t>A</t>
        </is>
      </c>
      <c r="K77" s="7" t="inlineStr">
        <is>
          <t>Mennonite Church USA</t>
        </is>
      </c>
      <c r="L77" s="7" t="inlineStr">
        <is>
          <t>Confession of Faith in a Mennonite Perspective (1995), Article 5: Creation and Divine Providence</t>
        </is>
      </c>
      <c r="M77" s="7" t="inlineStr">
        <is>
          <t>Article 5 — the world is created good because God is good</t>
        </is>
      </c>
      <c r="N77" s="7" t="inlineStr">
        <is>
          <t>https://www.mennoniteusa.org/who-are-mennonites/what-we-believe/confession-of-faith/creation-and-divine-providence/</t>
        </is>
      </c>
      <c r="O77" s="7" t="inlineStr">
        <is>
          <t>https://www.mennoniteusa.org/who-are-mennonites/what-we-believe/confession-of-faith/creation-and-divine-providence/</t>
        </is>
      </c>
      <c r="P77" s="7" t="inlineStr">
        <is>
          <t>Current official-source recovery, web-verified against Mennonite Church USA Confession of Faith in a Mennonite Perspective (1995); N2 role per project roster.</t>
        </is>
      </c>
      <c r="Q77" s="7" t="inlineStr">
        <is>
          <t>HIGH</t>
        </is>
      </c>
      <c r="R77" s="7" t="inlineStr">
        <is>
          <t>Mennonite Church USA / adopting-body scope for the 1995 Confession; not all Mennonite or Anabaptist bodies.</t>
        </is>
      </c>
      <c r="S77" s="7" t="inlineStr">
        <is>
          <t>NO</t>
        </is>
      </c>
      <c r="T77" s="7" t="inlineStr">
        <is>
          <t>A</t>
        </is>
      </c>
      <c r="U77" s="7" t="inlineStr">
        <is>
          <t>Current Mennonite source explicitly says God is good.</t>
        </is>
      </c>
      <c r="V77" s="7" t="inlineStr">
        <is>
          <t>CERTIFIED</t>
        </is>
      </c>
      <c r="W77" s="7" t="n"/>
      <c r="X77" s="7" t="inlineStr">
        <is>
          <t>A</t>
        </is>
      </c>
      <c r="Y77" s="7" t="inlineStr">
        <is>
          <t>A</t>
        </is>
      </c>
      <c r="Z77" s="11" t="b">
        <v>0</v>
      </c>
      <c r="AA77" s="8" t="inlineStr">
        <is>
          <t>CURRENT EVIDENCE / STATUS</t>
        </is>
      </c>
    </row>
    <row r="78" ht="15.75" customHeight="1" s="29">
      <c r="A78" s="7" t="inlineStr">
        <is>
          <t>Q-073</t>
        </is>
      </c>
      <c r="B78" s="7" t="inlineStr">
        <is>
          <t>RNR-H10</t>
        </is>
      </c>
      <c r="C78" s="7" t="inlineStr">
        <is>
          <t>Source of all good</t>
        </is>
      </c>
      <c r="D78" s="7" t="inlineStr">
        <is>
          <t>A</t>
        </is>
      </c>
      <c r="E78" s="7" t="inlineStr">
        <is>
          <t>Roman Catholic</t>
        </is>
      </c>
      <c r="F78" s="7" t="inlineStr">
        <is>
          <t>SINGLE</t>
        </is>
      </c>
      <c r="G78" s="7" t="inlineStr">
        <is>
          <t>TO RECOVER FROM SESSION 9 LEDGER</t>
        </is>
      </c>
      <c r="H78" s="7" t="inlineStr">
        <is>
          <t>NO PUBLIC TILE</t>
        </is>
      </c>
      <c r="I78" s="7" t="n"/>
      <c r="J78" s="7" t="n"/>
      <c r="K78" s="7" t="n"/>
      <c r="L78" s="7" t="n"/>
      <c r="M78" s="7" t="n"/>
      <c r="N78" s="7" t="n"/>
      <c r="O78" s="7" t="n"/>
      <c r="P78" s="7" t="n"/>
      <c r="Q78" s="7" t="inlineStr">
        <is>
          <t>NOT-ASSESSED</t>
        </is>
      </c>
      <c r="R78" s="7" t="n"/>
      <c r="S78" s="7" t="n"/>
      <c r="T78" s="7" t="n"/>
      <c r="U78" s="7" t="n"/>
      <c r="V78" s="7" t="n"/>
      <c r="W78" s="7" t="n"/>
      <c r="X78" s="7" t="inlineStr">
        <is>
          <t>NOT LOCATED — NOT YET RECOVERED</t>
        </is>
      </c>
      <c r="Y78" s="7" t="inlineStr">
        <is>
          <t>EXCLUDED</t>
        </is>
      </c>
      <c r="Z78" s="11" t="b">
        <v>0</v>
      </c>
      <c r="AA78" s="8" t="inlineStr">
        <is>
          <t>CURRENT EVIDENCE / STATUS</t>
        </is>
      </c>
    </row>
    <row r="79" ht="15.75" customHeight="1" s="29">
      <c r="A79" s="7" t="inlineStr">
        <is>
          <t>Q-074</t>
        </is>
      </c>
      <c r="B79" s="7" t="inlineStr">
        <is>
          <t>RNR-H10</t>
        </is>
      </c>
      <c r="C79" s="7" t="inlineStr">
        <is>
          <t>Source of all good</t>
        </is>
      </c>
      <c r="D79" s="7" t="inlineStr">
        <is>
          <t>A</t>
        </is>
      </c>
      <c r="E79" s="7" t="inlineStr">
        <is>
          <t>Eastern Orthodox</t>
        </is>
      </c>
      <c r="F79" s="7" t="inlineStr">
        <is>
          <t>SINGLE</t>
        </is>
      </c>
      <c r="G79" s="7" t="inlineStr">
        <is>
          <t>TO RECOVER FROM SESSION 9 LEDGER</t>
        </is>
      </c>
      <c r="H79" s="7" t="inlineStr">
        <is>
          <t>NO PUBLIC TILE</t>
        </is>
      </c>
      <c r="I79" s="7" t="n"/>
      <c r="J79" s="7" t="n"/>
      <c r="K79" s="7" t="n"/>
      <c r="L79" s="7" t="n"/>
      <c r="M79" s="7" t="n"/>
      <c r="N79" s="7" t="n"/>
      <c r="O79" s="7" t="n"/>
      <c r="P79" s="7" t="n"/>
      <c r="Q79" s="7" t="inlineStr">
        <is>
          <t>NOT-ASSESSED</t>
        </is>
      </c>
      <c r="R79" s="7" t="n"/>
      <c r="S79" s="7" t="n"/>
      <c r="T79" s="7" t="n"/>
      <c r="U79" s="7" t="n"/>
      <c r="V79" s="7" t="n"/>
      <c r="W79" s="7" t="n"/>
      <c r="X79" s="7" t="inlineStr">
        <is>
          <t>NOT LOCATED — NOT YET RECOVERED</t>
        </is>
      </c>
      <c r="Y79" s="7" t="inlineStr">
        <is>
          <t>EXCLUDED</t>
        </is>
      </c>
      <c r="Z79" s="11" t="b">
        <v>0</v>
      </c>
      <c r="AA79" s="8" t="inlineStr">
        <is>
          <t>CURRENT EVIDENCE / STATUS</t>
        </is>
      </c>
    </row>
    <row r="80" ht="15.75" customHeight="1" s="29">
      <c r="A80" s="7" t="inlineStr">
        <is>
          <t>Q-075</t>
        </is>
      </c>
      <c r="B80" s="7" t="inlineStr">
        <is>
          <t>RNR-H10</t>
        </is>
      </c>
      <c r="C80" s="7" t="inlineStr">
        <is>
          <t>Source of all good</t>
        </is>
      </c>
      <c r="D80" s="7" t="inlineStr">
        <is>
          <t>A</t>
        </is>
      </c>
      <c r="E80" s="7" t="inlineStr">
        <is>
          <t>Lutheran</t>
        </is>
      </c>
      <c r="F80" s="7" t="inlineStr">
        <is>
          <t>SINGLE</t>
        </is>
      </c>
      <c r="G80" s="7" t="inlineStr">
        <is>
          <t>TO RECOVER FROM SESSION 9 LEDGER</t>
        </is>
      </c>
      <c r="H80" s="7" t="inlineStr">
        <is>
          <t>NO PUBLIC TILE</t>
        </is>
      </c>
      <c r="I80" s="7" t="n"/>
      <c r="J80" s="7" t="n"/>
      <c r="K80" s="7" t="n"/>
      <c r="L80" s="7" t="n"/>
      <c r="M80" s="7" t="n"/>
      <c r="N80" s="7" t="n"/>
      <c r="O80" s="7" t="n"/>
      <c r="P80" s="7" t="n"/>
      <c r="Q80" s="7" t="inlineStr">
        <is>
          <t>NOT-ASSESSED</t>
        </is>
      </c>
      <c r="R80" s="7" t="n"/>
      <c r="S80" s="7" t="n"/>
      <c r="T80" s="7" t="n"/>
      <c r="U80" s="7" t="n"/>
      <c r="V80" s="7" t="n"/>
      <c r="W80" s="7" t="n"/>
      <c r="X80" s="7" t="inlineStr">
        <is>
          <t>NOT LOCATED — NOT YET RECOVERED</t>
        </is>
      </c>
      <c r="Y80" s="7" t="inlineStr">
        <is>
          <t>EXCLUDED</t>
        </is>
      </c>
      <c r="Z80" s="11" t="b">
        <v>0</v>
      </c>
      <c r="AA80" s="8" t="inlineStr">
        <is>
          <t>CURRENT EVIDENCE / STATUS</t>
        </is>
      </c>
    </row>
    <row r="81" ht="15.75" customHeight="1" s="29">
      <c r="A81" s="7" t="inlineStr">
        <is>
          <t>Q-076</t>
        </is>
      </c>
      <c r="B81" s="7" t="inlineStr">
        <is>
          <t>RNR-H10</t>
        </is>
      </c>
      <c r="C81" s="7" t="inlineStr">
        <is>
          <t>Source of all good</t>
        </is>
      </c>
      <c r="D81" s="7" t="inlineStr">
        <is>
          <t>A</t>
        </is>
      </c>
      <c r="E81" s="7" t="inlineStr">
        <is>
          <t>Reformed / Presbyterian</t>
        </is>
      </c>
      <c r="F81" s="7" t="inlineStr">
        <is>
          <t>SINGLE</t>
        </is>
      </c>
      <c r="G81" s="7" t="inlineStr">
        <is>
          <t>SESSION 9 SOURCE ROW RECOVERED</t>
        </is>
      </c>
      <c r="H81" s="7" t="inlineStr">
        <is>
          <t>PUBLIC-CERTIFIED</t>
        </is>
      </c>
      <c r="I81" s="7" t="inlineStr">
        <is>
          <t>RNR-H10a</t>
        </is>
      </c>
      <c r="J81" s="7" t="inlineStr">
        <is>
          <t>A</t>
        </is>
      </c>
      <c r="K81" s="7" t="inlineStr">
        <is>
          <t>Christian Reformed Church in North America</t>
        </is>
      </c>
      <c r="L81" s="7" t="inlineStr">
        <is>
          <t>Belgic Confession</t>
        </is>
      </c>
      <c r="M81" s="7" t="inlineStr">
        <is>
          <t>Articles 1–2 and 8</t>
        </is>
      </c>
      <c r="N81" s="7" t="inlineStr">
        <is>
          <t>https://www.crcna.org/welcome/beliefs/confessions/belgic-confession</t>
        </is>
      </c>
      <c r="O81" s="7" t="inlineStr">
        <is>
          <t>https://www.crcna.org/welcome/beliefs/confessions/belgic-confession</t>
        </is>
      </c>
      <c r="P81" s="7" t="inlineStr">
        <is>
          <t>S9-IA-0134 / S8-IA-0134; RCA S9-IA-0135 corroborates.</t>
        </is>
      </c>
      <c r="Q81" s="7" t="inlineStr">
        <is>
          <t>HIGH</t>
        </is>
      </c>
      <c r="R81" s="7" t="inlineStr">
        <is>
          <t>CRCNA primary; RCA corroboration is genealogically related and not a separate vote.</t>
        </is>
      </c>
      <c r="S81" s="7" t="inlineStr">
        <is>
          <t>NO</t>
        </is>
      </c>
      <c r="T81" s="7" t="inlineStr">
        <is>
          <t>A</t>
        </is>
      </c>
      <c r="U81" s="7" t="inlineStr">
        <is>
          <t>Source of all good.</t>
        </is>
      </c>
      <c r="V81" s="7" t="inlineStr">
        <is>
          <t>CERTIFIED</t>
        </is>
      </c>
      <c r="W81" s="7" t="n"/>
      <c r="X81" s="7" t="inlineStr">
        <is>
          <t>A</t>
        </is>
      </c>
      <c r="Y81" s="7" t="inlineStr">
        <is>
          <t>A</t>
        </is>
      </c>
      <c r="Z81" s="11" t="b">
        <v>0</v>
      </c>
      <c r="AA81" s="8" t="inlineStr">
        <is>
          <t>CURRENT EVIDENCE / STATUS</t>
        </is>
      </c>
    </row>
    <row r="82" ht="15.75" customHeight="1" s="29">
      <c r="A82" s="7" t="inlineStr">
        <is>
          <t>Q-077</t>
        </is>
      </c>
      <c r="B82" s="7" t="inlineStr">
        <is>
          <t>RNR-H10</t>
        </is>
      </c>
      <c r="C82" s="7" t="inlineStr">
        <is>
          <t>Source of all good</t>
        </is>
      </c>
      <c r="D82" s="7" t="inlineStr">
        <is>
          <t>A</t>
        </is>
      </c>
      <c r="E82" s="7" t="inlineStr">
        <is>
          <t>Anglican</t>
        </is>
      </c>
      <c r="F82" s="7" t="inlineStr">
        <is>
          <t>SINGLE</t>
        </is>
      </c>
      <c r="G82" s="7" t="inlineStr">
        <is>
          <t>TO RECOVER FROM SESSION 9 LEDGER</t>
        </is>
      </c>
      <c r="H82" s="7" t="inlineStr">
        <is>
          <t>NO PUBLIC TILE</t>
        </is>
      </c>
      <c r="I82" s="7" t="n"/>
      <c r="J82" s="7" t="n"/>
      <c r="K82" s="7" t="n"/>
      <c r="L82" s="7" t="n"/>
      <c r="M82" s="7" t="n"/>
      <c r="N82" s="7" t="n"/>
      <c r="O82" s="7" t="n"/>
      <c r="P82" s="7" t="n"/>
      <c r="Q82" s="7" t="inlineStr">
        <is>
          <t>NOT-ASSESSED</t>
        </is>
      </c>
      <c r="R82" s="7" t="n"/>
      <c r="S82" s="7" t="n"/>
      <c r="T82" s="7" t="n"/>
      <c r="U82" s="7" t="n"/>
      <c r="V82" s="7" t="n"/>
      <c r="W82" s="7" t="n"/>
      <c r="X82" s="7" t="inlineStr">
        <is>
          <t>NOT LOCATED — NOT YET RECOVERED</t>
        </is>
      </c>
      <c r="Y82" s="7" t="inlineStr">
        <is>
          <t>EXCLUDED</t>
        </is>
      </c>
      <c r="Z82" s="11" t="b">
        <v>0</v>
      </c>
      <c r="AA82" s="8" t="inlineStr">
        <is>
          <t>CURRENT EVIDENCE / STATUS</t>
        </is>
      </c>
    </row>
    <row r="83" ht="15.75" customHeight="1" s="29">
      <c r="A83" s="7" t="inlineStr">
        <is>
          <t>Q-078</t>
        </is>
      </c>
      <c r="B83" s="7" t="inlineStr">
        <is>
          <t>RNR-H10</t>
        </is>
      </c>
      <c r="C83" s="7" t="inlineStr">
        <is>
          <t>Source of all good</t>
        </is>
      </c>
      <c r="D83" s="7" t="inlineStr">
        <is>
          <t>A</t>
        </is>
      </c>
      <c r="E83" s="7" t="inlineStr">
        <is>
          <t>Baptist</t>
        </is>
      </c>
      <c r="F83" s="7" t="inlineStr">
        <is>
          <t>SINGLE</t>
        </is>
      </c>
      <c r="G83" s="7" t="inlineStr">
        <is>
          <t>TO RECOVER FROM SESSION 9 LEDGER</t>
        </is>
      </c>
      <c r="H83" s="7" t="inlineStr">
        <is>
          <t>NO PUBLIC TILE</t>
        </is>
      </c>
      <c r="I83" s="7" t="n"/>
      <c r="J83" s="7" t="n"/>
      <c r="K83" s="7" t="n"/>
      <c r="L83" s="7" t="n"/>
      <c r="M83" s="7" t="n"/>
      <c r="N83" s="7" t="n"/>
      <c r="O83" s="7" t="n"/>
      <c r="P83" s="7" t="n"/>
      <c r="Q83" s="7" t="inlineStr">
        <is>
          <t>NOT-ASSESSED</t>
        </is>
      </c>
      <c r="R83" s="7" t="n"/>
      <c r="S83" s="7" t="n"/>
      <c r="T83" s="7" t="n"/>
      <c r="U83" s="7" t="n"/>
      <c r="V83" s="7" t="n"/>
      <c r="W83" s="7" t="n"/>
      <c r="X83" s="7" t="inlineStr">
        <is>
          <t>NOT LOCATED — NOT YET RECOVERED</t>
        </is>
      </c>
      <c r="Y83" s="7" t="inlineStr">
        <is>
          <t>EXCLUDED</t>
        </is>
      </c>
      <c r="Z83" s="11" t="b">
        <v>0</v>
      </c>
      <c r="AA83" s="8" t="inlineStr">
        <is>
          <t>CURRENT EVIDENCE / STATUS</t>
        </is>
      </c>
    </row>
    <row r="84" ht="15.75" customHeight="1" s="29">
      <c r="A84" s="7" t="inlineStr">
        <is>
          <t>Q-079</t>
        </is>
      </c>
      <c r="B84" s="7" t="inlineStr">
        <is>
          <t>RNR-H10</t>
        </is>
      </c>
      <c r="C84" s="7" t="inlineStr">
        <is>
          <t>Source of all good</t>
        </is>
      </c>
      <c r="D84" s="7" t="inlineStr">
        <is>
          <t>A</t>
        </is>
      </c>
      <c r="E84" s="7" t="inlineStr">
        <is>
          <t>Methodist / Wesleyan</t>
        </is>
      </c>
      <c r="F84" s="7" t="inlineStr">
        <is>
          <t>SINGLE</t>
        </is>
      </c>
      <c r="G84" s="7" t="inlineStr">
        <is>
          <t>TO RECOVER FROM SESSION 9 LEDGER</t>
        </is>
      </c>
      <c r="H84" s="7" t="inlineStr">
        <is>
          <t>NO PUBLIC TILE</t>
        </is>
      </c>
      <c r="I84" s="7" t="n"/>
      <c r="J84" s="7" t="n"/>
      <c r="K84" s="7" t="n"/>
      <c r="L84" s="7" t="n"/>
      <c r="M84" s="7" t="n"/>
      <c r="N84" s="7" t="n"/>
      <c r="O84" s="7" t="n"/>
      <c r="P84" s="7" t="n"/>
      <c r="Q84" s="7" t="inlineStr">
        <is>
          <t>NOT-ASSESSED</t>
        </is>
      </c>
      <c r="R84" s="7" t="n"/>
      <c r="S84" s="7" t="n"/>
      <c r="T84" s="7" t="n"/>
      <c r="U84" s="7" t="n"/>
      <c r="V84" s="7" t="n"/>
      <c r="W84" s="7" t="n"/>
      <c r="X84" s="7" t="inlineStr">
        <is>
          <t>NOT LOCATED — NOT YET RECOVERED</t>
        </is>
      </c>
      <c r="Y84" s="7" t="inlineStr">
        <is>
          <t>EXCLUDED</t>
        </is>
      </c>
      <c r="Z84" s="11" t="b">
        <v>0</v>
      </c>
      <c r="AA84" s="8" t="inlineStr">
        <is>
          <t>CURRENT EVIDENCE / STATUS</t>
        </is>
      </c>
    </row>
    <row r="85" ht="15.75" customHeight="1" s="29">
      <c r="A85" s="7" t="inlineStr">
        <is>
          <t>Q-080</t>
        </is>
      </c>
      <c r="B85" s="7" t="inlineStr">
        <is>
          <t>RNR-H10</t>
        </is>
      </c>
      <c r="C85" s="7" t="inlineStr">
        <is>
          <t>Source of all good</t>
        </is>
      </c>
      <c r="D85" s="7" t="inlineStr">
        <is>
          <t>A</t>
        </is>
      </c>
      <c r="E85" s="7" t="inlineStr">
        <is>
          <t>Mennonite / Anabaptist</t>
        </is>
      </c>
      <c r="F85" s="7" t="inlineStr">
        <is>
          <t>SINGLE</t>
        </is>
      </c>
      <c r="G85" s="7" t="inlineStr">
        <is>
          <t>TO RECOVER FROM SESSION 9 LEDGER</t>
        </is>
      </c>
      <c r="H85" s="7" t="inlineStr">
        <is>
          <t>NO PUBLIC TILE</t>
        </is>
      </c>
      <c r="I85" s="7" t="n"/>
      <c r="J85" s="7" t="n"/>
      <c r="K85" s="7" t="n"/>
      <c r="L85" s="7" t="n"/>
      <c r="M85" s="7" t="n"/>
      <c r="N85" s="7" t="n"/>
      <c r="O85" s="7" t="n"/>
      <c r="P85" s="7" t="n"/>
      <c r="Q85" s="7" t="inlineStr">
        <is>
          <t>NOT-ASSESSED</t>
        </is>
      </c>
      <c r="R85" s="7" t="n"/>
      <c r="S85" s="7" t="n"/>
      <c r="T85" s="7" t="n"/>
      <c r="U85" s="7" t="n"/>
      <c r="V85" s="7" t="n"/>
      <c r="W85" s="7" t="n"/>
      <c r="X85" s="7" t="inlineStr">
        <is>
          <t>NOT LOCATED — NOT YET RECOVERED</t>
        </is>
      </c>
      <c r="Y85" s="7" t="inlineStr">
        <is>
          <t>EXCLUDED</t>
        </is>
      </c>
      <c r="Z85" s="11" t="b">
        <v>0</v>
      </c>
      <c r="AA85" s="8" t="inlineStr">
        <is>
          <t>CURRENT EVIDENCE / STATUS</t>
        </is>
      </c>
    </row>
    <row r="86" ht="15.75" customHeight="1" s="29">
      <c r="A86" s="7" t="inlineStr">
        <is>
          <t>Q-081</t>
        </is>
      </c>
      <c r="B86" s="7" t="inlineStr">
        <is>
          <t>RNR-H11</t>
        </is>
      </c>
      <c r="C86" s="7" t="inlineStr">
        <is>
          <t>Just / righteous</t>
        </is>
      </c>
      <c r="D86" s="7" t="inlineStr">
        <is>
          <t>A</t>
        </is>
      </c>
      <c r="E86" s="7" t="inlineStr">
        <is>
          <t>Roman Catholic</t>
        </is>
      </c>
      <c r="F86" s="7" t="inlineStr">
        <is>
          <t>SINGLE</t>
        </is>
      </c>
      <c r="G86" s="7" t="inlineStr">
        <is>
          <t>TO RECOVER FROM SESSION 9 LEDGER</t>
        </is>
      </c>
      <c r="H86" s="7" t="inlineStr">
        <is>
          <t>NO PUBLIC TILE</t>
        </is>
      </c>
      <c r="I86" s="7" t="n"/>
      <c r="J86" s="7" t="n"/>
      <c r="K86" s="7" t="n"/>
      <c r="L86" s="7" t="n"/>
      <c r="M86" s="7" t="n"/>
      <c r="N86" s="7" t="n"/>
      <c r="O86" s="7" t="n"/>
      <c r="P86" s="7" t="n"/>
      <c r="Q86" s="7" t="inlineStr">
        <is>
          <t>NOT-ASSESSED</t>
        </is>
      </c>
      <c r="R86" s="7" t="n"/>
      <c r="S86" s="7" t="n"/>
      <c r="T86" s="7" t="n"/>
      <c r="U86" s="7" t="n"/>
      <c r="V86" s="7" t="n"/>
      <c r="W86" s="7" t="n"/>
      <c r="X86" s="7" t="inlineStr">
        <is>
          <t>NOT LOCATED — NOT YET RECOVERED</t>
        </is>
      </c>
      <c r="Y86" s="7" t="inlineStr">
        <is>
          <t>EXCLUDED</t>
        </is>
      </c>
      <c r="Z86" s="11" t="b">
        <v>0</v>
      </c>
      <c r="AA86" s="8" t="inlineStr">
        <is>
          <t>CURRENT EVIDENCE / STATUS</t>
        </is>
      </c>
    </row>
    <row r="87" ht="15.75" customHeight="1" s="29">
      <c r="A87" s="7" t="inlineStr">
        <is>
          <t>Q-082</t>
        </is>
      </c>
      <c r="B87" s="7" t="inlineStr">
        <is>
          <t>RNR-H11</t>
        </is>
      </c>
      <c r="C87" s="7" t="inlineStr">
        <is>
          <t>Just / righteous</t>
        </is>
      </c>
      <c r="D87" s="7" t="inlineStr">
        <is>
          <t>A</t>
        </is>
      </c>
      <c r="E87" s="7" t="inlineStr">
        <is>
          <t>Eastern Orthodox</t>
        </is>
      </c>
      <c r="F87" s="7" t="inlineStr">
        <is>
          <t>SINGLE</t>
        </is>
      </c>
      <c r="G87" s="7" t="inlineStr">
        <is>
          <t>TO RECOVER FROM SESSION 9 LEDGER</t>
        </is>
      </c>
      <c r="H87" s="7" t="inlineStr">
        <is>
          <t>NO PUBLIC TILE</t>
        </is>
      </c>
      <c r="I87" s="7" t="n"/>
      <c r="J87" s="7" t="n"/>
      <c r="K87" s="7" t="n"/>
      <c r="L87" s="7" t="n"/>
      <c r="M87" s="7" t="n"/>
      <c r="N87" s="7" t="n"/>
      <c r="O87" s="7" t="n"/>
      <c r="P87" s="7" t="n"/>
      <c r="Q87" s="7" t="inlineStr">
        <is>
          <t>NOT-ASSESSED</t>
        </is>
      </c>
      <c r="R87" s="7" t="n"/>
      <c r="S87" s="7" t="n"/>
      <c r="T87" s="7" t="n"/>
      <c r="U87" s="7" t="n"/>
      <c r="V87" s="7" t="n"/>
      <c r="W87" s="7" t="n"/>
      <c r="X87" s="7" t="inlineStr">
        <is>
          <t>NOT LOCATED — NOT YET RECOVERED</t>
        </is>
      </c>
      <c r="Y87" s="7" t="inlineStr">
        <is>
          <t>EXCLUDED</t>
        </is>
      </c>
      <c r="Z87" s="11" t="b">
        <v>0</v>
      </c>
      <c r="AA87" s="8" t="inlineStr">
        <is>
          <t>CURRENT EVIDENCE / STATUS</t>
        </is>
      </c>
    </row>
    <row r="88" ht="15.75" customHeight="1" s="29">
      <c r="A88" s="7" t="inlineStr">
        <is>
          <t>Q-083</t>
        </is>
      </c>
      <c r="B88" s="7" t="inlineStr">
        <is>
          <t>RNR-H11</t>
        </is>
      </c>
      <c r="C88" s="7" t="inlineStr">
        <is>
          <t>Just / righteous</t>
        </is>
      </c>
      <c r="D88" s="7" t="inlineStr">
        <is>
          <t>A</t>
        </is>
      </c>
      <c r="E88" s="7" t="inlineStr">
        <is>
          <t>Lutheran</t>
        </is>
      </c>
      <c r="F88" s="7" t="inlineStr">
        <is>
          <t>SINGLE</t>
        </is>
      </c>
      <c r="G88" s="7" t="inlineStr">
        <is>
          <t>TO RECOVER FROM SESSION 9 LEDGER</t>
        </is>
      </c>
      <c r="H88" s="7" t="inlineStr">
        <is>
          <t>NO PUBLIC TILE</t>
        </is>
      </c>
      <c r="I88" s="7" t="n"/>
      <c r="J88" s="7" t="n"/>
      <c r="K88" s="7" t="n"/>
      <c r="L88" s="7" t="n"/>
      <c r="M88" s="7" t="n"/>
      <c r="N88" s="7" t="n"/>
      <c r="O88" s="7" t="n"/>
      <c r="P88" s="7" t="n"/>
      <c r="Q88" s="7" t="inlineStr">
        <is>
          <t>NOT-ASSESSED</t>
        </is>
      </c>
      <c r="R88" s="7" t="n"/>
      <c r="S88" s="7" t="n"/>
      <c r="T88" s="7" t="n"/>
      <c r="U88" s="7" t="n"/>
      <c r="V88" s="7" t="n"/>
      <c r="W88" s="7" t="n"/>
      <c r="X88" s="7" t="inlineStr">
        <is>
          <t>NOT LOCATED — NOT YET RECOVERED</t>
        </is>
      </c>
      <c r="Y88" s="7" t="inlineStr">
        <is>
          <t>EXCLUDED</t>
        </is>
      </c>
      <c r="Z88" s="11" t="b">
        <v>0</v>
      </c>
      <c r="AA88" s="8" t="inlineStr">
        <is>
          <t>CURRENT EVIDENCE / STATUS</t>
        </is>
      </c>
    </row>
    <row r="89" ht="15.75" customHeight="1" s="29">
      <c r="A89" s="7" t="inlineStr">
        <is>
          <t>Q-084</t>
        </is>
      </c>
      <c r="B89" s="7" t="inlineStr">
        <is>
          <t>RNR-H11</t>
        </is>
      </c>
      <c r="C89" s="7" t="inlineStr">
        <is>
          <t>Just / righteous</t>
        </is>
      </c>
      <c r="D89" s="7" t="inlineStr">
        <is>
          <t>A</t>
        </is>
      </c>
      <c r="E89" s="7" t="inlineStr">
        <is>
          <t>Reformed / Presbyterian</t>
        </is>
      </c>
      <c r="F89" s="7" t="inlineStr">
        <is>
          <t>SINGLE</t>
        </is>
      </c>
      <c r="G89" s="7" t="inlineStr">
        <is>
          <t>SESSION 9 SOURCE ROW RECOVERED</t>
        </is>
      </c>
      <c r="H89" s="7" t="inlineStr">
        <is>
          <t>PUBLIC-CERTIFIED</t>
        </is>
      </c>
      <c r="I89" s="7" t="inlineStr">
        <is>
          <t>RNR-H11a</t>
        </is>
      </c>
      <c r="J89" s="7" t="inlineStr">
        <is>
          <t>A</t>
        </is>
      </c>
      <c r="K89" s="7" t="inlineStr">
        <is>
          <t>Orthodox Presbyterian Church</t>
        </is>
      </c>
      <c r="L89" s="7" t="inlineStr">
        <is>
          <t>Westminster Confession of Faith</t>
        </is>
      </c>
      <c r="M89" s="7" t="inlineStr">
        <is>
          <t>Chapters II.1–3; III; V; VI; IX; XIII as applicable</t>
        </is>
      </c>
      <c r="N89" s="7" t="inlineStr">
        <is>
          <t>https://opc.org/wcf.html</t>
        </is>
      </c>
      <c r="O89" s="7" t="inlineStr">
        <is>
          <t>https://opc.org/wcf.html</t>
        </is>
      </c>
      <c r="P89" s="7" t="inlineStr">
        <is>
          <t>S9-IA-0140 / S8-IA-0140; PC(USA) Scots/Second Helvetic/Westminster rows also recovered.</t>
        </is>
      </c>
      <c r="Q89" s="7" t="inlineStr">
        <is>
          <t>HIGH</t>
        </is>
      </c>
      <c r="R89" s="7" t="inlineStr">
        <is>
          <t>OPC primary; multiple Reformed/Presbyterian corroborating rows are evidence, not votes.</t>
        </is>
      </c>
      <c r="S89" s="7" t="inlineStr">
        <is>
          <t>NO</t>
        </is>
      </c>
      <c r="T89" s="7" t="inlineStr">
        <is>
          <t>A</t>
        </is>
      </c>
      <c r="U89" s="7" t="inlineStr">
        <is>
          <t>Just / righteous.</t>
        </is>
      </c>
      <c r="V89" s="7" t="inlineStr">
        <is>
          <t>CERTIFIED</t>
        </is>
      </c>
      <c r="W89" s="7" t="n"/>
      <c r="X89" s="7" t="inlineStr">
        <is>
          <t>A</t>
        </is>
      </c>
      <c r="Y89" s="7" t="inlineStr">
        <is>
          <t>A</t>
        </is>
      </c>
      <c r="Z89" s="11" t="b">
        <v>0</v>
      </c>
      <c r="AA89" s="8" t="inlineStr">
        <is>
          <t>CURRENT EVIDENCE / STATUS</t>
        </is>
      </c>
    </row>
    <row r="90" ht="15.75" customHeight="1" s="29">
      <c r="A90" s="7" t="inlineStr">
        <is>
          <t>Q-085</t>
        </is>
      </c>
      <c r="B90" s="7" t="inlineStr">
        <is>
          <t>RNR-H11</t>
        </is>
      </c>
      <c r="C90" s="7" t="inlineStr">
        <is>
          <t>Just / righteous</t>
        </is>
      </c>
      <c r="D90" s="7" t="inlineStr">
        <is>
          <t>A</t>
        </is>
      </c>
      <c r="E90" s="7" t="inlineStr">
        <is>
          <t>Anglican</t>
        </is>
      </c>
      <c r="F90" s="7" t="inlineStr">
        <is>
          <t>SINGLE</t>
        </is>
      </c>
      <c r="G90" s="7" t="inlineStr">
        <is>
          <t>TO RECOVER FROM SESSION 9 LEDGER</t>
        </is>
      </c>
      <c r="H90" s="7" t="inlineStr">
        <is>
          <t>NO PUBLIC TILE</t>
        </is>
      </c>
      <c r="I90" s="7" t="n"/>
      <c r="J90" s="7" t="n"/>
      <c r="K90" s="7" t="n"/>
      <c r="L90" s="7" t="n"/>
      <c r="M90" s="7" t="n"/>
      <c r="N90" s="7" t="n"/>
      <c r="O90" s="7" t="n"/>
      <c r="P90" s="7" t="n"/>
      <c r="Q90" s="7" t="inlineStr">
        <is>
          <t>NOT-ASSESSED</t>
        </is>
      </c>
      <c r="R90" s="7" t="n"/>
      <c r="S90" s="7" t="n"/>
      <c r="T90" s="7" t="n"/>
      <c r="U90" s="7" t="n"/>
      <c r="V90" s="7" t="n"/>
      <c r="W90" s="7" t="n"/>
      <c r="X90" s="7" t="inlineStr">
        <is>
          <t>NOT LOCATED — NOT YET RECOVERED</t>
        </is>
      </c>
      <c r="Y90" s="7" t="inlineStr">
        <is>
          <t>EXCLUDED</t>
        </is>
      </c>
      <c r="Z90" s="11" t="b">
        <v>0</v>
      </c>
      <c r="AA90" s="8" t="inlineStr">
        <is>
          <t>CURRENT EVIDENCE / STATUS</t>
        </is>
      </c>
    </row>
    <row r="91" ht="15.75" customHeight="1" s="29">
      <c r="A91" s="7" t="inlineStr">
        <is>
          <t>Q-086</t>
        </is>
      </c>
      <c r="B91" s="7" t="inlineStr">
        <is>
          <t>RNR-H11</t>
        </is>
      </c>
      <c r="C91" s="7" t="inlineStr">
        <is>
          <t>Just / righteous</t>
        </is>
      </c>
      <c r="D91" s="7" t="inlineStr">
        <is>
          <t>A</t>
        </is>
      </c>
      <c r="E91" s="7" t="inlineStr">
        <is>
          <t>Baptist</t>
        </is>
      </c>
      <c r="F91" s="7" t="inlineStr">
        <is>
          <t>SINGLE</t>
        </is>
      </c>
      <c r="G91" s="7" t="inlineStr">
        <is>
          <t>TO RECOVER FROM SESSION 9 LEDGER</t>
        </is>
      </c>
      <c r="H91" s="7" t="inlineStr">
        <is>
          <t>NO PUBLIC TILE</t>
        </is>
      </c>
      <c r="I91" s="7" t="n"/>
      <c r="J91" s="7" t="n"/>
      <c r="K91" s="7" t="n"/>
      <c r="L91" s="7" t="n"/>
      <c r="M91" s="7" t="n"/>
      <c r="N91" s="7" t="n"/>
      <c r="O91" s="7" t="n"/>
      <c r="P91" s="7" t="n"/>
      <c r="Q91" s="7" t="inlineStr">
        <is>
          <t>NOT-ASSESSED</t>
        </is>
      </c>
      <c r="R91" s="7" t="n"/>
      <c r="S91" s="7" t="n"/>
      <c r="T91" s="7" t="n"/>
      <c r="U91" s="7" t="n"/>
      <c r="V91" s="7" t="n"/>
      <c r="W91" s="7" t="n"/>
      <c r="X91" s="7" t="inlineStr">
        <is>
          <t>NOT LOCATED — NOT YET RECOVERED</t>
        </is>
      </c>
      <c r="Y91" s="7" t="inlineStr">
        <is>
          <t>EXCLUDED</t>
        </is>
      </c>
      <c r="Z91" s="11" t="b">
        <v>0</v>
      </c>
      <c r="AA91" s="8" t="inlineStr">
        <is>
          <t>CURRENT EVIDENCE / STATUS</t>
        </is>
      </c>
    </row>
    <row r="92" ht="15.75" customHeight="1" s="29">
      <c r="A92" s="7" t="inlineStr">
        <is>
          <t>Q-087</t>
        </is>
      </c>
      <c r="B92" s="7" t="inlineStr">
        <is>
          <t>RNR-H11</t>
        </is>
      </c>
      <c r="C92" s="7" t="inlineStr">
        <is>
          <t>Just / righteous</t>
        </is>
      </c>
      <c r="D92" s="7" t="inlineStr">
        <is>
          <t>A</t>
        </is>
      </c>
      <c r="E92" s="7" t="inlineStr">
        <is>
          <t>Methodist / Wesleyan</t>
        </is>
      </c>
      <c r="F92" s="7" t="inlineStr">
        <is>
          <t>SINGLE</t>
        </is>
      </c>
      <c r="G92" s="7" t="inlineStr">
        <is>
          <t>SESSION 9 SOURCE ROW RECOVERED</t>
        </is>
      </c>
      <c r="H92" s="7" t="inlineStr">
        <is>
          <t>PUBLIC-CERTIFIED</t>
        </is>
      </c>
      <c r="I92" s="7" t="inlineStr">
        <is>
          <t>RNR-H11a</t>
        </is>
      </c>
      <c r="J92" s="7" t="inlineStr">
        <is>
          <t>A</t>
        </is>
      </c>
      <c r="K92" s="7" t="inlineStr">
        <is>
          <t>The United Methodist Church</t>
        </is>
      </c>
      <c r="L92" s="7" t="inlineStr">
        <is>
          <t>Confession of Faith of the Evangelical United Brethren Church</t>
        </is>
      </c>
      <c r="M92" s="7" t="inlineStr">
        <is>
          <t>Article I</t>
        </is>
      </c>
      <c r="N92" s="7" t="inlineStr">
        <is>
          <t>https://www.umc.org/en/content/confession-of-faith</t>
        </is>
      </c>
      <c r="O92" s="7" t="inlineStr">
        <is>
          <t>https://www.umc.org/en/content/confession-of-faith</t>
        </is>
      </c>
      <c r="P92" s="7" t="inlineStr">
        <is>
          <t>S9-IA-0142 / S8-IA-0142.</t>
        </is>
      </c>
      <c r="Q92" s="7" t="inlineStr">
        <is>
          <t>HIGH</t>
        </is>
      </c>
      <c r="R92" s="7" t="inlineStr">
        <is>
          <t>UMC institutional scope.</t>
        </is>
      </c>
      <c r="S92" s="7" t="inlineStr">
        <is>
          <t>NO</t>
        </is>
      </c>
      <c r="T92" s="7" t="inlineStr">
        <is>
          <t>A</t>
        </is>
      </c>
      <c r="U92" s="7" t="inlineStr">
        <is>
          <t>Just / righteous.</t>
        </is>
      </c>
      <c r="V92" s="7" t="inlineStr">
        <is>
          <t>CERTIFIED</t>
        </is>
      </c>
      <c r="W92" s="7" t="n"/>
      <c r="X92" s="7" t="inlineStr">
        <is>
          <t>A</t>
        </is>
      </c>
      <c r="Y92" s="7" t="inlineStr">
        <is>
          <t>A</t>
        </is>
      </c>
      <c r="Z92" s="11" t="b">
        <v>0</v>
      </c>
      <c r="AA92" s="8" t="inlineStr">
        <is>
          <t>CURRENT EVIDENCE / STATUS</t>
        </is>
      </c>
    </row>
    <row r="93" ht="15.75" customHeight="1" s="29">
      <c r="A93" s="7" t="inlineStr">
        <is>
          <t>Q-088</t>
        </is>
      </c>
      <c r="B93" s="7" t="inlineStr">
        <is>
          <t>RNR-H11</t>
        </is>
      </c>
      <c r="C93" s="7" t="inlineStr">
        <is>
          <t>Just / righteous</t>
        </is>
      </c>
      <c r="D93" s="7" t="inlineStr">
        <is>
          <t>A</t>
        </is>
      </c>
      <c r="E93" s="7" t="inlineStr">
        <is>
          <t>Mennonite / Anabaptist</t>
        </is>
      </c>
      <c r="F93" s="7" t="inlineStr">
        <is>
          <t>SINGLE</t>
        </is>
      </c>
      <c r="G93" s="7" t="inlineStr">
        <is>
          <t>TO RECOVER FROM SESSION 9 LEDGER</t>
        </is>
      </c>
      <c r="H93" s="7" t="inlineStr">
        <is>
          <t>NO PUBLIC TILE</t>
        </is>
      </c>
      <c r="I93" s="7" t="n"/>
      <c r="J93" s="7" t="n"/>
      <c r="K93" s="7" t="n"/>
      <c r="L93" s="7" t="n"/>
      <c r="M93" s="7" t="n"/>
      <c r="N93" s="7" t="n"/>
      <c r="O93" s="7" t="n"/>
      <c r="P93" s="7" t="n"/>
      <c r="Q93" s="7" t="inlineStr">
        <is>
          <t>NOT-ASSESSED</t>
        </is>
      </c>
      <c r="R93" s="7" t="n"/>
      <c r="S93" s="7" t="n"/>
      <c r="T93" s="7" t="n"/>
      <c r="U93" s="7" t="n"/>
      <c r="V93" s="7" t="n"/>
      <c r="W93" s="7" t="n"/>
      <c r="X93" s="7" t="inlineStr">
        <is>
          <t>NOT LOCATED — NOT YET RECOVERED</t>
        </is>
      </c>
      <c r="Y93" s="7" t="inlineStr">
        <is>
          <t>EXCLUDED</t>
        </is>
      </c>
      <c r="Z93" s="11" t="b">
        <v>0</v>
      </c>
      <c r="AA93" s="8" t="inlineStr">
        <is>
          <t>CURRENT EVIDENCE / STATUS</t>
        </is>
      </c>
    </row>
    <row r="94" ht="15.75" customHeight="1" s="29">
      <c r="A94" s="7" t="inlineStr">
        <is>
          <t>Q-089</t>
        </is>
      </c>
      <c r="B94" s="7" t="inlineStr">
        <is>
          <t>RNR-H12</t>
        </is>
      </c>
      <c r="C94" s="7" t="inlineStr">
        <is>
          <t>Holy</t>
        </is>
      </c>
      <c r="D94" s="7" t="inlineStr">
        <is>
          <t>A</t>
        </is>
      </c>
      <c r="E94" s="7" t="inlineStr">
        <is>
          <t>Roman Catholic</t>
        </is>
      </c>
      <c r="F94" s="7" t="inlineStr">
        <is>
          <t>SINGLE</t>
        </is>
      </c>
      <c r="G94" s="7" t="inlineStr">
        <is>
          <t>TO RECOVER FROM SESSION 9 LEDGER</t>
        </is>
      </c>
      <c r="H94" s="7" t="inlineStr">
        <is>
          <t>NO PUBLIC TILE</t>
        </is>
      </c>
      <c r="I94" s="7" t="n"/>
      <c r="J94" s="7" t="n"/>
      <c r="K94" s="7" t="n"/>
      <c r="L94" s="7" t="n"/>
      <c r="M94" s="7" t="n"/>
      <c r="N94" s="7" t="n"/>
      <c r="O94" s="7" t="n"/>
      <c r="P94" s="7" t="n"/>
      <c r="Q94" s="7" t="inlineStr">
        <is>
          <t>NOT-ASSESSED</t>
        </is>
      </c>
      <c r="R94" s="7" t="n"/>
      <c r="S94" s="7" t="n"/>
      <c r="T94" s="7" t="n"/>
      <c r="U94" s="7" t="n"/>
      <c r="V94" s="7" t="n"/>
      <c r="W94" s="7" t="n"/>
      <c r="X94" s="7" t="inlineStr">
        <is>
          <t>NOT LOCATED — NOT YET RECOVERED</t>
        </is>
      </c>
      <c r="Y94" s="7" t="inlineStr">
        <is>
          <t>EXCLUDED</t>
        </is>
      </c>
      <c r="Z94" s="11" t="b">
        <v>0</v>
      </c>
      <c r="AA94" s="8" t="inlineStr">
        <is>
          <t>CURRENT EVIDENCE / STATUS</t>
        </is>
      </c>
    </row>
    <row r="95" ht="15.75" customHeight="1" s="29">
      <c r="A95" s="7" t="inlineStr">
        <is>
          <t>Q-090</t>
        </is>
      </c>
      <c r="B95" s="7" t="inlineStr">
        <is>
          <t>RNR-H12</t>
        </is>
      </c>
      <c r="C95" s="7" t="inlineStr">
        <is>
          <t>Holy</t>
        </is>
      </c>
      <c r="D95" s="7" t="inlineStr">
        <is>
          <t>A</t>
        </is>
      </c>
      <c r="E95" s="7" t="inlineStr">
        <is>
          <t>Eastern Orthodox</t>
        </is>
      </c>
      <c r="F95" s="7" t="inlineStr">
        <is>
          <t>SINGLE</t>
        </is>
      </c>
      <c r="G95" s="7" t="inlineStr">
        <is>
          <t>TO RECOVER FROM SESSION 9 LEDGER</t>
        </is>
      </c>
      <c r="H95" s="7" t="inlineStr">
        <is>
          <t>NO PUBLIC TILE</t>
        </is>
      </c>
      <c r="I95" s="7" t="n"/>
      <c r="J95" s="7" t="n"/>
      <c r="K95" s="7" t="n"/>
      <c r="L95" s="7" t="n"/>
      <c r="M95" s="7" t="n"/>
      <c r="N95" s="7" t="n"/>
      <c r="O95" s="7" t="n"/>
      <c r="P95" s="7" t="n"/>
      <c r="Q95" s="7" t="inlineStr">
        <is>
          <t>NOT-ASSESSED</t>
        </is>
      </c>
      <c r="R95" s="7" t="n"/>
      <c r="S95" s="7" t="n"/>
      <c r="T95" s="7" t="n"/>
      <c r="U95" s="7" t="n"/>
      <c r="V95" s="7" t="n"/>
      <c r="W95" s="7" t="n"/>
      <c r="X95" s="7" t="inlineStr">
        <is>
          <t>NOT LOCATED — NOT YET RECOVERED</t>
        </is>
      </c>
      <c r="Y95" s="7" t="inlineStr">
        <is>
          <t>EXCLUDED</t>
        </is>
      </c>
      <c r="Z95" s="11" t="b">
        <v>0</v>
      </c>
      <c r="AA95" s="8" t="inlineStr">
        <is>
          <t>CURRENT EVIDENCE / STATUS</t>
        </is>
      </c>
    </row>
    <row r="96" ht="15.75" customHeight="1" s="29">
      <c r="A96" s="7" t="inlineStr">
        <is>
          <t>Q-091</t>
        </is>
      </c>
      <c r="B96" s="7" t="inlineStr">
        <is>
          <t>RNR-H12</t>
        </is>
      </c>
      <c r="C96" s="7" t="inlineStr">
        <is>
          <t>Holy</t>
        </is>
      </c>
      <c r="D96" s="7" t="inlineStr">
        <is>
          <t>A</t>
        </is>
      </c>
      <c r="E96" s="7" t="inlineStr">
        <is>
          <t>Lutheran</t>
        </is>
      </c>
      <c r="F96" s="7" t="inlineStr">
        <is>
          <t>SINGLE</t>
        </is>
      </c>
      <c r="G96" s="7" t="inlineStr">
        <is>
          <t>TO RECOVER FROM SESSION 9 LEDGER</t>
        </is>
      </c>
      <c r="H96" s="7" t="inlineStr">
        <is>
          <t>NO PUBLIC TILE</t>
        </is>
      </c>
      <c r="I96" s="7" t="n"/>
      <c r="J96" s="7" t="n"/>
      <c r="K96" s="7" t="n"/>
      <c r="L96" s="7" t="n"/>
      <c r="M96" s="7" t="n"/>
      <c r="N96" s="7" t="n"/>
      <c r="O96" s="7" t="n"/>
      <c r="P96" s="7" t="n"/>
      <c r="Q96" s="7" t="inlineStr">
        <is>
          <t>NOT-ASSESSED</t>
        </is>
      </c>
      <c r="R96" s="7" t="n"/>
      <c r="S96" s="7" t="n"/>
      <c r="T96" s="7" t="n"/>
      <c r="U96" s="7" t="n"/>
      <c r="V96" s="7" t="n"/>
      <c r="W96" s="7" t="n"/>
      <c r="X96" s="7" t="inlineStr">
        <is>
          <t>NOT LOCATED — NOT YET RECOVERED</t>
        </is>
      </c>
      <c r="Y96" s="7" t="inlineStr">
        <is>
          <t>EXCLUDED</t>
        </is>
      </c>
      <c r="Z96" s="11" t="b">
        <v>0</v>
      </c>
      <c r="AA96" s="8" t="inlineStr">
        <is>
          <t>CURRENT EVIDENCE / STATUS</t>
        </is>
      </c>
    </row>
    <row r="97" ht="15.75" customHeight="1" s="29">
      <c r="A97" s="7" t="inlineStr">
        <is>
          <t>Q-092</t>
        </is>
      </c>
      <c r="B97" s="7" t="inlineStr">
        <is>
          <t>RNR-H12</t>
        </is>
      </c>
      <c r="C97" s="7" t="inlineStr">
        <is>
          <t>Holy</t>
        </is>
      </c>
      <c r="D97" s="7" t="inlineStr">
        <is>
          <t>A</t>
        </is>
      </c>
      <c r="E97" s="7" t="inlineStr">
        <is>
          <t>Reformed / Presbyterian</t>
        </is>
      </c>
      <c r="F97" s="7" t="inlineStr">
        <is>
          <t>SINGLE</t>
        </is>
      </c>
      <c r="G97" s="7" t="inlineStr">
        <is>
          <t>SESSION 8 ATTESTATION + SESSION 9 ATOMIC CODE RECOVERED</t>
        </is>
      </c>
      <c r="H97" s="7" t="inlineStr">
        <is>
          <t>PUBLIC-CERTIFIED</t>
        </is>
      </c>
      <c r="I97" s="7" t="inlineStr">
        <is>
          <t>RNR-H12a</t>
        </is>
      </c>
      <c r="J97" s="7" t="inlineStr">
        <is>
          <t>A</t>
        </is>
      </c>
      <c r="K97" s="7" t="inlineStr">
        <is>
          <t>Orthodox Presbyterian Church</t>
        </is>
      </c>
      <c r="L97" s="7" t="inlineStr">
        <is>
          <t>Westminster Confession of Faith</t>
        </is>
      </c>
      <c r="M97" s="7" t="inlineStr">
        <is>
          <t>Chapters II.1–3; III; V; VI; IX; XIII as applicable</t>
        </is>
      </c>
      <c r="N97" s="7" t="inlineStr">
        <is>
          <t>https://opc.org/wcf.html</t>
        </is>
      </c>
      <c r="O97" s="7" t="inlineStr">
        <is>
          <t>https://opc.org/wcf.html</t>
        </is>
      </c>
      <c r="P97" s="7" t="inlineStr">
        <is>
          <t>S8-IA-0143 + Session 9 H12a atomic A decision</t>
        </is>
      </c>
      <c r="Q97" s="7" t="inlineStr">
        <is>
          <t>HIGH</t>
        </is>
      </c>
      <c r="R97" s="7" t="inlineStr">
        <is>
          <t>Teaching-family claim is limited to the named institution/source; related sources may corroborate.</t>
        </is>
      </c>
      <c r="S97" s="7" t="inlineStr">
        <is>
          <t>NO</t>
        </is>
      </c>
      <c r="T97" s="7" t="inlineStr">
        <is>
          <t>A</t>
        </is>
      </c>
      <c r="U97" s="7" t="inlineStr">
        <is>
          <t>Session 8 attestation plus Session 9 atomic-unit adjudication.</t>
        </is>
      </c>
      <c r="V97" s="7" t="inlineStr">
        <is>
          <t>CERTIFIED</t>
        </is>
      </c>
      <c r="W97" s="7" t="n"/>
      <c r="X97" s="7" t="inlineStr">
        <is>
          <t>A</t>
        </is>
      </c>
      <c r="Y97" s="7" t="inlineStr">
        <is>
          <t>A</t>
        </is>
      </c>
      <c r="Z97" s="11" t="b">
        <v>0</v>
      </c>
      <c r="AA97" s="8" t="inlineStr">
        <is>
          <t>CURRENT EVIDENCE / STATUS</t>
        </is>
      </c>
    </row>
    <row r="98" ht="15.75" customHeight="1" s="29">
      <c r="A98" s="7" t="inlineStr">
        <is>
          <t>Q-093</t>
        </is>
      </c>
      <c r="B98" s="7" t="inlineStr">
        <is>
          <t>RNR-H12</t>
        </is>
      </c>
      <c r="C98" s="7" t="inlineStr">
        <is>
          <t>Holy</t>
        </is>
      </c>
      <c r="D98" s="7" t="inlineStr">
        <is>
          <t>A</t>
        </is>
      </c>
      <c r="E98" s="7" t="inlineStr">
        <is>
          <t>Anglican</t>
        </is>
      </c>
      <c r="F98" s="7" t="inlineStr">
        <is>
          <t>SINGLE</t>
        </is>
      </c>
      <c r="G98" s="7" t="inlineStr">
        <is>
          <t>TO RECOVER FROM SESSION 9 LEDGER</t>
        </is>
      </c>
      <c r="H98" s="7" t="inlineStr">
        <is>
          <t>NO PUBLIC TILE</t>
        </is>
      </c>
      <c r="I98" s="7" t="n"/>
      <c r="J98" s="7" t="n"/>
      <c r="K98" s="7" t="n"/>
      <c r="L98" s="7" t="n"/>
      <c r="M98" s="7" t="n"/>
      <c r="N98" s="7" t="n"/>
      <c r="O98" s="7" t="n"/>
      <c r="P98" s="7" t="n"/>
      <c r="Q98" s="7" t="inlineStr">
        <is>
          <t>NOT-ASSESSED</t>
        </is>
      </c>
      <c r="R98" s="7" t="n"/>
      <c r="S98" s="7" t="n"/>
      <c r="T98" s="7" t="n"/>
      <c r="U98" s="7" t="n"/>
      <c r="V98" s="7" t="n"/>
      <c r="W98" s="7" t="n"/>
      <c r="X98" s="7" t="inlineStr">
        <is>
          <t>NOT LOCATED — NOT YET RECOVERED</t>
        </is>
      </c>
      <c r="Y98" s="7" t="inlineStr">
        <is>
          <t>EXCLUDED</t>
        </is>
      </c>
      <c r="Z98" s="11" t="b">
        <v>0</v>
      </c>
      <c r="AA98" s="8" t="inlineStr">
        <is>
          <t>CURRENT EVIDENCE / STATUS</t>
        </is>
      </c>
    </row>
    <row r="99" ht="15.75" customHeight="1" s="29">
      <c r="A99" s="7" t="inlineStr">
        <is>
          <t>Q-094</t>
        </is>
      </c>
      <c r="B99" s="7" t="inlineStr">
        <is>
          <t>RNR-H12</t>
        </is>
      </c>
      <c r="C99" s="7" t="inlineStr">
        <is>
          <t>Holy</t>
        </is>
      </c>
      <c r="D99" s="7" t="inlineStr">
        <is>
          <t>A</t>
        </is>
      </c>
      <c r="E99" s="7" t="inlineStr">
        <is>
          <t>Baptist</t>
        </is>
      </c>
      <c r="F99" s="7" t="inlineStr">
        <is>
          <t>SINGLE</t>
        </is>
      </c>
      <c r="G99" s="7" t="inlineStr">
        <is>
          <t>CURRENT OFFICIAL SOURCE RECOVERED — WEB VERIFIED</t>
        </is>
      </c>
      <c r="H99" s="7" t="inlineStr">
        <is>
          <t>PUBLIC-CERTIFIED</t>
        </is>
      </c>
      <c r="I99" s="7" t="inlineStr">
        <is>
          <t>RNR-H12a</t>
        </is>
      </c>
      <c r="J99" s="7" t="inlineStr">
        <is>
          <t>A</t>
        </is>
      </c>
      <c r="K99" s="7" t="inlineStr">
        <is>
          <t>Southern Baptist Convention</t>
        </is>
      </c>
      <c r="L99" s="7" t="inlineStr">
        <is>
          <t>Baptist Faith and Message 2000</t>
        </is>
      </c>
      <c r="M99" s="7" t="inlineStr">
        <is>
          <t>II. God — infinite in holiness</t>
        </is>
      </c>
      <c r="N99" s="7" t="inlineStr">
        <is>
          <t>https://bfm.sbc.net/bfm2000/</t>
        </is>
      </c>
      <c r="O99" s="7" t="inlineStr">
        <is>
          <t>https://bfm.sbc.net/bfm2000/</t>
        </is>
      </c>
      <c r="P99" s="7" t="inlineStr">
        <is>
          <t>Current official-source recovery, web-verified against Baptist Faith &amp; Message 2000; source role N2 per project institutional authority roster.</t>
        </is>
      </c>
      <c r="Q99" s="7" t="inlineStr">
        <is>
          <t>HIGH</t>
        </is>
      </c>
      <c r="R99" s="7" t="inlineStr">
        <is>
          <t>Southern Baptist Convention cooperative identity under BF&amp;M 2000; not all Baptist churches or Baptist traditions.</t>
        </is>
      </c>
      <c r="S99" s="7" t="inlineStr">
        <is>
          <t>NO</t>
        </is>
      </c>
      <c r="T99" s="7" t="inlineStr">
        <is>
          <t>A</t>
        </is>
      </c>
      <c r="U99" s="7" t="inlineStr">
        <is>
          <t>Current SBC source explicitly attests holiness.</t>
        </is>
      </c>
      <c r="V99" s="7" t="inlineStr">
        <is>
          <t>CERTIFIED</t>
        </is>
      </c>
      <c r="W99" s="7" t="n"/>
      <c r="X99" s="7" t="inlineStr">
        <is>
          <t>A</t>
        </is>
      </c>
      <c r="Y99" s="7" t="inlineStr">
        <is>
          <t>A</t>
        </is>
      </c>
      <c r="Z99" s="11" t="b">
        <v>0</v>
      </c>
      <c r="AA99" s="8" t="inlineStr">
        <is>
          <t>CURRENT EVIDENCE / STATUS</t>
        </is>
      </c>
    </row>
    <row r="100" ht="15.75" customHeight="1" s="29">
      <c r="A100" s="7" t="inlineStr">
        <is>
          <t>Q-095</t>
        </is>
      </c>
      <c r="B100" s="7" t="inlineStr">
        <is>
          <t>RNR-H12</t>
        </is>
      </c>
      <c r="C100" s="7" t="inlineStr">
        <is>
          <t>Holy</t>
        </is>
      </c>
      <c r="D100" s="7" t="inlineStr">
        <is>
          <t>A</t>
        </is>
      </c>
      <c r="E100" s="7" t="inlineStr">
        <is>
          <t>Methodist / Wesleyan</t>
        </is>
      </c>
      <c r="F100" s="7" t="inlineStr">
        <is>
          <t>SINGLE</t>
        </is>
      </c>
      <c r="G100" s="7" t="inlineStr">
        <is>
          <t>SESSION 8 ATTESTATION + SESSION 9 ATOMIC CODE RECOVERED</t>
        </is>
      </c>
      <c r="H100" s="7" t="inlineStr">
        <is>
          <t>PUBLIC-CERTIFIED</t>
        </is>
      </c>
      <c r="I100" s="7" t="inlineStr">
        <is>
          <t>RNR-H12a</t>
        </is>
      </c>
      <c r="J100" s="7" t="inlineStr">
        <is>
          <t>A</t>
        </is>
      </c>
      <c r="K100" s="7" t="inlineStr">
        <is>
          <t>The United Methodist Church</t>
        </is>
      </c>
      <c r="L100" s="7" t="inlineStr">
        <is>
          <t>Confession of Faith of the Evangelical United Brethren Church</t>
        </is>
      </c>
      <c r="M100" s="7" t="inlineStr">
        <is>
          <t>Article I</t>
        </is>
      </c>
      <c r="N100" s="7" t="inlineStr">
        <is>
          <t>https://www.umc.org/en/content/confession-of-faith</t>
        </is>
      </c>
      <c r="O100" s="7" t="inlineStr">
        <is>
          <t>https://www.umc.org/en/content/confession-of-faith</t>
        </is>
      </c>
      <c r="P100" s="7" t="inlineStr">
        <is>
          <t>S8-IA-0147 + Session 9 H12a atomic A decision</t>
        </is>
      </c>
      <c r="Q100" s="7" t="inlineStr">
        <is>
          <t>HIGH</t>
        </is>
      </c>
      <c r="R100" s="7" t="inlineStr">
        <is>
          <t>Teaching-family claim is limited to the named institution/source; related sources may corroborate.</t>
        </is>
      </c>
      <c r="S100" s="7" t="inlineStr">
        <is>
          <t>NO</t>
        </is>
      </c>
      <c r="T100" s="7" t="inlineStr">
        <is>
          <t>A</t>
        </is>
      </c>
      <c r="U100" s="7" t="inlineStr">
        <is>
          <t>Session 8 attestation plus Session 9 atomic-unit adjudication.</t>
        </is>
      </c>
      <c r="V100" s="7" t="inlineStr">
        <is>
          <t>CERTIFIED</t>
        </is>
      </c>
      <c r="W100" s="7" t="n"/>
      <c r="X100" s="7" t="inlineStr">
        <is>
          <t>A</t>
        </is>
      </c>
      <c r="Y100" s="7" t="inlineStr">
        <is>
          <t>A</t>
        </is>
      </c>
      <c r="Z100" s="11" t="b">
        <v>0</v>
      </c>
      <c r="AA100" s="8" t="inlineStr">
        <is>
          <t>CURRENT EVIDENCE / STATUS</t>
        </is>
      </c>
    </row>
    <row r="101" ht="15.75" customHeight="1" s="29">
      <c r="A101" s="7" t="inlineStr">
        <is>
          <t>Q-096</t>
        </is>
      </c>
      <c r="B101" s="7" t="inlineStr">
        <is>
          <t>RNR-H12</t>
        </is>
      </c>
      <c r="C101" s="7" t="inlineStr">
        <is>
          <t>Holy</t>
        </is>
      </c>
      <c r="D101" s="7" t="inlineStr">
        <is>
          <t>A</t>
        </is>
      </c>
      <c r="E101" s="7" t="inlineStr">
        <is>
          <t>Mennonite / Anabaptist</t>
        </is>
      </c>
      <c r="F101" s="7" t="inlineStr">
        <is>
          <t>SINGLE</t>
        </is>
      </c>
      <c r="G101" s="7" t="inlineStr">
        <is>
          <t>CURRENT OFFICIAL SOURCE RECOVERED — WEB VERIFIED</t>
        </is>
      </c>
      <c r="H101" s="7" t="inlineStr">
        <is>
          <t>PUBLIC-CERTIFIED</t>
        </is>
      </c>
      <c r="I101" s="7" t="inlineStr">
        <is>
          <t>RNR-H12a</t>
        </is>
      </c>
      <c r="J101" s="7" t="inlineStr">
        <is>
          <t>A</t>
        </is>
      </c>
      <c r="K101" s="7" t="inlineStr">
        <is>
          <t>Mennonite Church USA</t>
        </is>
      </c>
      <c r="L101" s="7" t="inlineStr">
        <is>
          <t>Confession of Faith in a Mennonite Perspective (1995), Article 1: God</t>
        </is>
      </c>
      <c r="M101" s="7" t="inlineStr">
        <is>
          <t>Article 1 — one holy and loving God</t>
        </is>
      </c>
      <c r="N101" s="7" t="inlineStr">
        <is>
          <t>https://www.mennoniteusa.org/who-are-mennonites/what-we-believe/confession-of-faith/god/</t>
        </is>
      </c>
      <c r="O101" s="7" t="inlineStr">
        <is>
          <t>https://www.mennoniteusa.org/who-are-mennonites/what-we-believe/confession-of-faith/god/</t>
        </is>
      </c>
      <c r="P101" s="7" t="inlineStr">
        <is>
          <t>Current official-source recovery, web-verified against Mennonite Church USA Confession of Faith in a Mennonite Perspective (1995); N2 role per project roster.</t>
        </is>
      </c>
      <c r="Q101" s="7" t="inlineStr">
        <is>
          <t>HIGH</t>
        </is>
      </c>
      <c r="R101" s="7" t="inlineStr">
        <is>
          <t>Mennonite Church USA / adopting-body scope for the 1995 Confession; not all Mennonite or Anabaptist bodies.</t>
        </is>
      </c>
      <c r="S101" s="7" t="inlineStr">
        <is>
          <t>NO</t>
        </is>
      </c>
      <c r="T101" s="7" t="inlineStr">
        <is>
          <t>A</t>
        </is>
      </c>
      <c r="U101" s="7" t="inlineStr">
        <is>
          <t>Current Mennonite source explicitly attests holiness.</t>
        </is>
      </c>
      <c r="V101" s="7" t="inlineStr">
        <is>
          <t>CERTIFIED</t>
        </is>
      </c>
      <c r="W101" s="7" t="n"/>
      <c r="X101" s="7" t="inlineStr">
        <is>
          <t>A</t>
        </is>
      </c>
      <c r="Y101" s="7" t="inlineStr">
        <is>
          <t>A</t>
        </is>
      </c>
      <c r="Z101" s="11" t="b">
        <v>0</v>
      </c>
      <c r="AA101" s="8" t="inlineStr">
        <is>
          <t>CURRENT EVIDENCE / STATUS</t>
        </is>
      </c>
    </row>
    <row r="102" ht="15.75" customHeight="1" s="29">
      <c r="A102" s="7" t="inlineStr">
        <is>
          <t>Q-097</t>
        </is>
      </c>
      <c r="B102" s="7" t="inlineStr">
        <is>
          <t>RNR-H13</t>
        </is>
      </c>
      <c r="C102" s="7" t="inlineStr">
        <is>
          <t>Truthful / faithful</t>
        </is>
      </c>
      <c r="D102" s="7" t="inlineStr">
        <is>
          <t>A</t>
        </is>
      </c>
      <c r="E102" s="7" t="inlineStr">
        <is>
          <t>Roman Catholic</t>
        </is>
      </c>
      <c r="F102" s="7" t="inlineStr">
        <is>
          <t>SINGLE</t>
        </is>
      </c>
      <c r="G102" s="7" t="inlineStr">
        <is>
          <t>TO RECOVER FROM SESSION 9 LEDGER</t>
        </is>
      </c>
      <c r="H102" s="7" t="inlineStr">
        <is>
          <t>NO PUBLIC TILE</t>
        </is>
      </c>
      <c r="I102" s="7" t="n"/>
      <c r="J102" s="7" t="n"/>
      <c r="K102" s="7" t="n"/>
      <c r="L102" s="7" t="n"/>
      <c r="M102" s="7" t="n"/>
      <c r="N102" s="7" t="n"/>
      <c r="O102" s="7" t="n"/>
      <c r="P102" s="7" t="n"/>
      <c r="Q102" s="7" t="inlineStr">
        <is>
          <t>NOT-ASSESSED</t>
        </is>
      </c>
      <c r="R102" s="7" t="n"/>
      <c r="S102" s="7" t="n"/>
      <c r="T102" s="7" t="n"/>
      <c r="U102" s="7" t="n"/>
      <c r="V102" s="7" t="n"/>
      <c r="W102" s="7" t="n"/>
      <c r="X102" s="7" t="inlineStr">
        <is>
          <t>NOT LOCATED — NOT YET RECOVERED</t>
        </is>
      </c>
      <c r="Y102" s="7" t="inlineStr">
        <is>
          <t>EXCLUDED</t>
        </is>
      </c>
      <c r="Z102" s="11" t="b">
        <v>0</v>
      </c>
      <c r="AA102" s="8" t="inlineStr">
        <is>
          <t>CURRENT EVIDENCE / STATUS</t>
        </is>
      </c>
    </row>
    <row r="103" ht="15.75" customHeight="1" s="29">
      <c r="A103" s="7" t="inlineStr">
        <is>
          <t>Q-098</t>
        </is>
      </c>
      <c r="B103" s="7" t="inlineStr">
        <is>
          <t>RNR-H13</t>
        </is>
      </c>
      <c r="C103" s="7" t="inlineStr">
        <is>
          <t>Truthful / faithful</t>
        </is>
      </c>
      <c r="D103" s="7" t="inlineStr">
        <is>
          <t>A</t>
        </is>
      </c>
      <c r="E103" s="7" t="inlineStr">
        <is>
          <t>Eastern Orthodox</t>
        </is>
      </c>
      <c r="F103" s="7" t="inlineStr">
        <is>
          <t>SINGLE</t>
        </is>
      </c>
      <c r="G103" s="7" t="inlineStr">
        <is>
          <t>TO RECOVER FROM SESSION 9 LEDGER</t>
        </is>
      </c>
      <c r="H103" s="7" t="inlineStr">
        <is>
          <t>NO PUBLIC TILE</t>
        </is>
      </c>
      <c r="I103" s="7" t="n"/>
      <c r="J103" s="7" t="n"/>
      <c r="K103" s="7" t="n"/>
      <c r="L103" s="7" t="n"/>
      <c r="M103" s="7" t="n"/>
      <c r="N103" s="7" t="n"/>
      <c r="O103" s="7" t="n"/>
      <c r="P103" s="7" t="n"/>
      <c r="Q103" s="7" t="inlineStr">
        <is>
          <t>NOT-ASSESSED</t>
        </is>
      </c>
      <c r="R103" s="7" t="n"/>
      <c r="S103" s="7" t="n"/>
      <c r="T103" s="7" t="n"/>
      <c r="U103" s="7" t="n"/>
      <c r="V103" s="7" t="n"/>
      <c r="W103" s="7" t="n"/>
      <c r="X103" s="7" t="inlineStr">
        <is>
          <t>NOT LOCATED — NOT YET RECOVERED</t>
        </is>
      </c>
      <c r="Y103" s="7" t="inlineStr">
        <is>
          <t>EXCLUDED</t>
        </is>
      </c>
      <c r="Z103" s="11" t="b">
        <v>0</v>
      </c>
      <c r="AA103" s="8" t="inlineStr">
        <is>
          <t>CURRENT EVIDENCE / STATUS</t>
        </is>
      </c>
    </row>
    <row r="104" ht="15.75" customHeight="1" s="29">
      <c r="A104" s="7" t="inlineStr">
        <is>
          <t>Q-099</t>
        </is>
      </c>
      <c r="B104" s="7" t="inlineStr">
        <is>
          <t>RNR-H13</t>
        </is>
      </c>
      <c r="C104" s="7" t="inlineStr">
        <is>
          <t>Truthful / faithful</t>
        </is>
      </c>
      <c r="D104" s="7" t="inlineStr">
        <is>
          <t>A</t>
        </is>
      </c>
      <c r="E104" s="7" t="inlineStr">
        <is>
          <t>Lutheran</t>
        </is>
      </c>
      <c r="F104" s="7" t="inlineStr">
        <is>
          <t>SINGLE</t>
        </is>
      </c>
      <c r="G104" s="7" t="inlineStr">
        <is>
          <t>TO RECOVER FROM SESSION 9 LEDGER</t>
        </is>
      </c>
      <c r="H104" s="7" t="inlineStr">
        <is>
          <t>NO PUBLIC TILE</t>
        </is>
      </c>
      <c r="I104" s="7" t="n"/>
      <c r="J104" s="7" t="n"/>
      <c r="K104" s="7" t="n"/>
      <c r="L104" s="7" t="n"/>
      <c r="M104" s="7" t="n"/>
      <c r="N104" s="7" t="n"/>
      <c r="O104" s="7" t="n"/>
      <c r="P104" s="7" t="n"/>
      <c r="Q104" s="7" t="inlineStr">
        <is>
          <t>NOT-ASSESSED</t>
        </is>
      </c>
      <c r="R104" s="7" t="n"/>
      <c r="S104" s="7" t="n"/>
      <c r="T104" s="7" t="n"/>
      <c r="U104" s="7" t="n"/>
      <c r="V104" s="7" t="n"/>
      <c r="W104" s="7" t="n"/>
      <c r="X104" s="7" t="inlineStr">
        <is>
          <t>NOT LOCATED — NOT YET RECOVERED</t>
        </is>
      </c>
      <c r="Y104" s="7" t="inlineStr">
        <is>
          <t>EXCLUDED</t>
        </is>
      </c>
      <c r="Z104" s="11" t="b">
        <v>0</v>
      </c>
      <c r="AA104" s="8" t="inlineStr">
        <is>
          <t>CURRENT EVIDENCE / STATUS</t>
        </is>
      </c>
    </row>
    <row r="105" ht="15.75" customHeight="1" s="29">
      <c r="A105" s="7" t="inlineStr">
        <is>
          <t>Q-100</t>
        </is>
      </c>
      <c r="B105" s="7" t="inlineStr">
        <is>
          <t>RNR-H13</t>
        </is>
      </c>
      <c r="C105" s="7" t="inlineStr">
        <is>
          <t>Truthful / faithful</t>
        </is>
      </c>
      <c r="D105" s="7" t="inlineStr">
        <is>
          <t>A</t>
        </is>
      </c>
      <c r="E105" s="7" t="inlineStr">
        <is>
          <t>Reformed / Presbyterian</t>
        </is>
      </c>
      <c r="F105" s="7" t="inlineStr">
        <is>
          <t>SINGLE</t>
        </is>
      </c>
      <c r="G105" s="7" t="inlineStr">
        <is>
          <t>SESSION 8 ATTESTATION + SESSION 9 ATOMIC CODE RECOVERED</t>
        </is>
      </c>
      <c r="H105" s="7" t="inlineStr">
        <is>
          <t>PUBLIC-CERTIFIED</t>
        </is>
      </c>
      <c r="I105" s="7" t="inlineStr">
        <is>
          <t>RNR-H13a</t>
        </is>
      </c>
      <c r="J105" s="7" t="inlineStr">
        <is>
          <t>A</t>
        </is>
      </c>
      <c r="K105" s="7" t="inlineStr">
        <is>
          <t>Orthodox Presbyterian Church</t>
        </is>
      </c>
      <c r="L105" s="7" t="inlineStr">
        <is>
          <t>Westminster Confession of Faith</t>
        </is>
      </c>
      <c r="M105" s="7" t="inlineStr">
        <is>
          <t>Chapters II.1–3; III; V; VI; IX; XIII as applicable</t>
        </is>
      </c>
      <c r="N105" s="7" t="inlineStr">
        <is>
          <t>https://opc.org/wcf.html</t>
        </is>
      </c>
      <c r="O105" s="7" t="inlineStr">
        <is>
          <t>https://opc.org/wcf.html</t>
        </is>
      </c>
      <c r="P105" s="7" t="inlineStr">
        <is>
          <t>S8-IA-0152 + Session 9 H13a atomic A decision</t>
        </is>
      </c>
      <c r="Q105" s="7" t="inlineStr">
        <is>
          <t>HIGH</t>
        </is>
      </c>
      <c r="R105" s="7" t="inlineStr">
        <is>
          <t>Teaching-family claim is limited to the named institution/source; related sources may corroborate.</t>
        </is>
      </c>
      <c r="S105" s="7" t="inlineStr">
        <is>
          <t>NO</t>
        </is>
      </c>
      <c r="T105" s="7" t="inlineStr">
        <is>
          <t>A</t>
        </is>
      </c>
      <c r="U105" s="7" t="inlineStr">
        <is>
          <t>Additional Heidelberg/Second Helvetic/PC(USA) rows corroborate.</t>
        </is>
      </c>
      <c r="V105" s="7" t="inlineStr">
        <is>
          <t>CERTIFIED</t>
        </is>
      </c>
      <c r="W105" s="7" t="n"/>
      <c r="X105" s="7" t="inlineStr">
        <is>
          <t>A</t>
        </is>
      </c>
      <c r="Y105" s="7" t="inlineStr">
        <is>
          <t>A</t>
        </is>
      </c>
      <c r="Z105" s="11" t="b">
        <v>0</v>
      </c>
      <c r="AA105" s="8" t="inlineStr">
        <is>
          <t>CURRENT EVIDENCE / STATUS</t>
        </is>
      </c>
    </row>
    <row r="106" ht="15.75" customHeight="1" s="29">
      <c r="A106" s="7" t="inlineStr">
        <is>
          <t>Q-101</t>
        </is>
      </c>
      <c r="B106" s="7" t="inlineStr">
        <is>
          <t>RNR-H13</t>
        </is>
      </c>
      <c r="C106" s="7" t="inlineStr">
        <is>
          <t>Truthful / faithful</t>
        </is>
      </c>
      <c r="D106" s="7" t="inlineStr">
        <is>
          <t>A</t>
        </is>
      </c>
      <c r="E106" s="7" t="inlineStr">
        <is>
          <t>Anglican</t>
        </is>
      </c>
      <c r="F106" s="7" t="inlineStr">
        <is>
          <t>SINGLE</t>
        </is>
      </c>
      <c r="G106" s="7" t="inlineStr">
        <is>
          <t>TO RECOVER FROM SESSION 9 LEDGER</t>
        </is>
      </c>
      <c r="H106" s="7" t="inlineStr">
        <is>
          <t>NO PUBLIC TILE</t>
        </is>
      </c>
      <c r="I106" s="7" t="n"/>
      <c r="J106" s="7" t="n"/>
      <c r="K106" s="7" t="n"/>
      <c r="L106" s="7" t="n"/>
      <c r="M106" s="7" t="n"/>
      <c r="N106" s="7" t="n"/>
      <c r="O106" s="7" t="n"/>
      <c r="P106" s="7" t="n"/>
      <c r="Q106" s="7" t="inlineStr">
        <is>
          <t>NOT-ASSESSED</t>
        </is>
      </c>
      <c r="R106" s="7" t="n"/>
      <c r="S106" s="7" t="n"/>
      <c r="T106" s="7" t="n"/>
      <c r="U106" s="7" t="n"/>
      <c r="V106" s="7" t="n"/>
      <c r="W106" s="7" t="n"/>
      <c r="X106" s="7" t="inlineStr">
        <is>
          <t>NOT LOCATED — NOT YET RECOVERED</t>
        </is>
      </c>
      <c r="Y106" s="7" t="inlineStr">
        <is>
          <t>EXCLUDED</t>
        </is>
      </c>
      <c r="Z106" s="11" t="b">
        <v>0</v>
      </c>
      <c r="AA106" s="8" t="inlineStr">
        <is>
          <t>CURRENT EVIDENCE / STATUS</t>
        </is>
      </c>
    </row>
    <row r="107" ht="15.75" customHeight="1" s="29">
      <c r="A107" s="7" t="inlineStr">
        <is>
          <t>Q-102</t>
        </is>
      </c>
      <c r="B107" s="7" t="inlineStr">
        <is>
          <t>RNR-H13</t>
        </is>
      </c>
      <c r="C107" s="7" t="inlineStr">
        <is>
          <t>Truthful / faithful</t>
        </is>
      </c>
      <c r="D107" s="7" t="inlineStr">
        <is>
          <t>A</t>
        </is>
      </c>
      <c r="E107" s="7" t="inlineStr">
        <is>
          <t>Baptist</t>
        </is>
      </c>
      <c r="F107" s="7" t="inlineStr">
        <is>
          <t>SINGLE</t>
        </is>
      </c>
      <c r="G107" s="7" t="inlineStr">
        <is>
          <t>TO RECOVER FROM SESSION 9 LEDGER</t>
        </is>
      </c>
      <c r="H107" s="7" t="inlineStr">
        <is>
          <t>NO PUBLIC TILE</t>
        </is>
      </c>
      <c r="I107" s="7" t="n"/>
      <c r="J107" s="7" t="n"/>
      <c r="K107" s="7" t="n"/>
      <c r="L107" s="7" t="n"/>
      <c r="M107" s="7" t="n"/>
      <c r="N107" s="7" t="n"/>
      <c r="O107" s="7" t="n"/>
      <c r="P107" s="7" t="n"/>
      <c r="Q107" s="7" t="inlineStr">
        <is>
          <t>NOT-ASSESSED</t>
        </is>
      </c>
      <c r="R107" s="7" t="n"/>
      <c r="S107" s="7" t="n"/>
      <c r="T107" s="7" t="n"/>
      <c r="U107" s="7" t="n"/>
      <c r="V107" s="7" t="n"/>
      <c r="W107" s="7" t="n"/>
      <c r="X107" s="7" t="inlineStr">
        <is>
          <t>NOT LOCATED — NOT YET RECOVERED</t>
        </is>
      </c>
      <c r="Y107" s="7" t="inlineStr">
        <is>
          <t>EXCLUDED</t>
        </is>
      </c>
      <c r="Z107" s="11" t="b">
        <v>0</v>
      </c>
      <c r="AA107" s="8" t="inlineStr">
        <is>
          <t>CURRENT EVIDENCE / STATUS</t>
        </is>
      </c>
    </row>
    <row r="108" ht="15.75" customHeight="1" s="29">
      <c r="A108" s="7" t="inlineStr">
        <is>
          <t>Q-103</t>
        </is>
      </c>
      <c r="B108" s="7" t="inlineStr">
        <is>
          <t>RNR-H13</t>
        </is>
      </c>
      <c r="C108" s="7" t="inlineStr">
        <is>
          <t>Truthful / faithful</t>
        </is>
      </c>
      <c r="D108" s="7" t="inlineStr">
        <is>
          <t>A</t>
        </is>
      </c>
      <c r="E108" s="7" t="inlineStr">
        <is>
          <t>Methodist / Wesleyan</t>
        </is>
      </c>
      <c r="F108" s="7" t="inlineStr">
        <is>
          <t>SINGLE</t>
        </is>
      </c>
      <c r="G108" s="7" t="inlineStr">
        <is>
          <t>TO RECOVER FROM SESSION 9 LEDGER</t>
        </is>
      </c>
      <c r="H108" s="7" t="inlineStr">
        <is>
          <t>NO PUBLIC TILE</t>
        </is>
      </c>
      <c r="I108" s="7" t="n"/>
      <c r="J108" s="7" t="n"/>
      <c r="K108" s="7" t="n"/>
      <c r="L108" s="7" t="n"/>
      <c r="M108" s="7" t="n"/>
      <c r="N108" s="7" t="n"/>
      <c r="O108" s="7" t="n"/>
      <c r="P108" s="7" t="n"/>
      <c r="Q108" s="7" t="inlineStr">
        <is>
          <t>NOT-ASSESSED</t>
        </is>
      </c>
      <c r="R108" s="7" t="n"/>
      <c r="S108" s="7" t="n"/>
      <c r="T108" s="7" t="n"/>
      <c r="U108" s="7" t="n"/>
      <c r="V108" s="7" t="n"/>
      <c r="W108" s="7" t="n"/>
      <c r="X108" s="7" t="inlineStr">
        <is>
          <t>NOT LOCATED — NOT YET RECOVERED</t>
        </is>
      </c>
      <c r="Y108" s="7" t="inlineStr">
        <is>
          <t>EXCLUDED</t>
        </is>
      </c>
      <c r="Z108" s="11" t="b">
        <v>0</v>
      </c>
      <c r="AA108" s="8" t="inlineStr">
        <is>
          <t>CURRENT EVIDENCE / STATUS</t>
        </is>
      </c>
    </row>
    <row r="109" ht="15.75" customHeight="1" s="29">
      <c r="A109" s="7" t="inlineStr">
        <is>
          <t>Q-104</t>
        </is>
      </c>
      <c r="B109" s="7" t="inlineStr">
        <is>
          <t>RNR-H13</t>
        </is>
      </c>
      <c r="C109" s="7" t="inlineStr">
        <is>
          <t>Truthful / faithful</t>
        </is>
      </c>
      <c r="D109" s="7" t="inlineStr">
        <is>
          <t>A</t>
        </is>
      </c>
      <c r="E109" s="7" t="inlineStr">
        <is>
          <t>Mennonite / Anabaptist</t>
        </is>
      </c>
      <c r="F109" s="7" t="inlineStr">
        <is>
          <t>SINGLE</t>
        </is>
      </c>
      <c r="G109" s="7" t="inlineStr">
        <is>
          <t>TO RECOVER FROM SESSION 9 LEDGER</t>
        </is>
      </c>
      <c r="H109" s="7" t="inlineStr">
        <is>
          <t>NO PUBLIC TILE</t>
        </is>
      </c>
      <c r="I109" s="7" t="n"/>
      <c r="J109" s="7" t="n"/>
      <c r="K109" s="7" t="n"/>
      <c r="L109" s="7" t="n"/>
      <c r="M109" s="7" t="n"/>
      <c r="N109" s="7" t="n"/>
      <c r="O109" s="7" t="n"/>
      <c r="P109" s="7" t="n"/>
      <c r="Q109" s="7" t="inlineStr">
        <is>
          <t>NOT-ASSESSED</t>
        </is>
      </c>
      <c r="R109" s="7" t="n"/>
      <c r="S109" s="7" t="n"/>
      <c r="T109" s="7" t="n"/>
      <c r="U109" s="7" t="n"/>
      <c r="V109" s="7" t="n"/>
      <c r="W109" s="7" t="n"/>
      <c r="X109" s="7" t="inlineStr">
        <is>
          <t>NOT LOCATED — NOT YET RECOVERED</t>
        </is>
      </c>
      <c r="Y109" s="7" t="inlineStr">
        <is>
          <t>EXCLUDED</t>
        </is>
      </c>
      <c r="Z109" s="11" t="b">
        <v>0</v>
      </c>
      <c r="AA109" s="8" t="inlineStr">
        <is>
          <t>CURRENT EVIDENCE / STATUS</t>
        </is>
      </c>
    </row>
    <row r="110" ht="15.75" customHeight="1" s="29">
      <c r="A110" s="7" t="inlineStr">
        <is>
          <t>Q-105</t>
        </is>
      </c>
      <c r="B110" s="7" t="inlineStr">
        <is>
          <t>RNR-H14</t>
        </is>
      </c>
      <c r="C110" s="7" t="inlineStr">
        <is>
          <t>Love / loving</t>
        </is>
      </c>
      <c r="D110" s="7" t="inlineStr">
        <is>
          <t>A</t>
        </is>
      </c>
      <c r="E110" s="7" t="inlineStr">
        <is>
          <t>Roman Catholic</t>
        </is>
      </c>
      <c r="F110" s="7" t="inlineStr">
        <is>
          <t>SINGLE</t>
        </is>
      </c>
      <c r="G110" s="7" t="inlineStr">
        <is>
          <t>TO RECOVER FROM SESSION 9 LEDGER</t>
        </is>
      </c>
      <c r="H110" s="7" t="inlineStr">
        <is>
          <t>NO PUBLIC TILE</t>
        </is>
      </c>
      <c r="I110" s="7" t="n"/>
      <c r="J110" s="7" t="n"/>
      <c r="K110" s="7" t="n"/>
      <c r="L110" s="7" t="n"/>
      <c r="M110" s="7" t="n"/>
      <c r="N110" s="7" t="n"/>
      <c r="O110" s="7" t="n"/>
      <c r="P110" s="7" t="n"/>
      <c r="Q110" s="7" t="inlineStr">
        <is>
          <t>NOT-ASSESSED</t>
        </is>
      </c>
      <c r="R110" s="7" t="n"/>
      <c r="S110" s="7" t="n"/>
      <c r="T110" s="7" t="n"/>
      <c r="U110" s="7" t="n"/>
      <c r="V110" s="7" t="n"/>
      <c r="W110" s="7" t="n"/>
      <c r="X110" s="7" t="inlineStr">
        <is>
          <t>NOT LOCATED — NOT YET RECOVERED</t>
        </is>
      </c>
      <c r="Y110" s="7" t="inlineStr">
        <is>
          <t>EXCLUDED</t>
        </is>
      </c>
      <c r="Z110" s="11" t="b">
        <v>0</v>
      </c>
      <c r="AA110" s="8" t="inlineStr">
        <is>
          <t>CURRENT EVIDENCE / STATUS</t>
        </is>
      </c>
    </row>
    <row r="111" ht="15.75" customHeight="1" s="29">
      <c r="A111" s="7" t="inlineStr">
        <is>
          <t>Q-106</t>
        </is>
      </c>
      <c r="B111" s="7" t="inlineStr">
        <is>
          <t>RNR-H14</t>
        </is>
      </c>
      <c r="C111" s="7" t="inlineStr">
        <is>
          <t>Love / loving</t>
        </is>
      </c>
      <c r="D111" s="7" t="inlineStr">
        <is>
          <t>A</t>
        </is>
      </c>
      <c r="E111" s="7" t="inlineStr">
        <is>
          <t>Eastern Orthodox</t>
        </is>
      </c>
      <c r="F111" s="7" t="inlineStr">
        <is>
          <t>SINGLE</t>
        </is>
      </c>
      <c r="G111" s="7" t="inlineStr">
        <is>
          <t>TO RECOVER FROM SESSION 9 LEDGER</t>
        </is>
      </c>
      <c r="H111" s="7" t="inlineStr">
        <is>
          <t>NO PUBLIC TILE</t>
        </is>
      </c>
      <c r="I111" s="7" t="n"/>
      <c r="J111" s="7" t="n"/>
      <c r="K111" s="7" t="n"/>
      <c r="L111" s="7" t="n"/>
      <c r="M111" s="7" t="n"/>
      <c r="N111" s="7" t="n"/>
      <c r="O111" s="7" t="n"/>
      <c r="P111" s="7" t="n"/>
      <c r="Q111" s="7" t="inlineStr">
        <is>
          <t>NOT-ASSESSED</t>
        </is>
      </c>
      <c r="R111" s="7" t="n"/>
      <c r="S111" s="7" t="n"/>
      <c r="T111" s="7" t="n"/>
      <c r="U111" s="7" t="n"/>
      <c r="V111" s="7" t="n"/>
      <c r="W111" s="7" t="n"/>
      <c r="X111" s="7" t="inlineStr">
        <is>
          <t>NOT LOCATED — NOT YET RECOVERED</t>
        </is>
      </c>
      <c r="Y111" s="7" t="inlineStr">
        <is>
          <t>EXCLUDED</t>
        </is>
      </c>
      <c r="Z111" s="11" t="b">
        <v>0</v>
      </c>
      <c r="AA111" s="8" t="inlineStr">
        <is>
          <t>CURRENT EVIDENCE / STATUS</t>
        </is>
      </c>
    </row>
    <row r="112" ht="15.75" customHeight="1" s="29">
      <c r="A112" s="7" t="inlineStr">
        <is>
          <t>Q-107</t>
        </is>
      </c>
      <c r="B112" s="7" t="inlineStr">
        <is>
          <t>RNR-H14</t>
        </is>
      </c>
      <c r="C112" s="7" t="inlineStr">
        <is>
          <t>Love / loving</t>
        </is>
      </c>
      <c r="D112" s="7" t="inlineStr">
        <is>
          <t>A</t>
        </is>
      </c>
      <c r="E112" s="7" t="inlineStr">
        <is>
          <t>Lutheran</t>
        </is>
      </c>
      <c r="F112" s="7" t="inlineStr">
        <is>
          <t>SINGLE</t>
        </is>
      </c>
      <c r="G112" s="7" t="inlineStr">
        <is>
          <t>TO RECOVER FROM SESSION 9 LEDGER</t>
        </is>
      </c>
      <c r="H112" s="7" t="inlineStr">
        <is>
          <t>NO PUBLIC TILE</t>
        </is>
      </c>
      <c r="I112" s="7" t="n"/>
      <c r="J112" s="7" t="n"/>
      <c r="K112" s="7" t="n"/>
      <c r="L112" s="7" t="n"/>
      <c r="M112" s="7" t="n"/>
      <c r="N112" s="7" t="n"/>
      <c r="O112" s="7" t="n"/>
      <c r="P112" s="7" t="n"/>
      <c r="Q112" s="7" t="inlineStr">
        <is>
          <t>NOT-ASSESSED</t>
        </is>
      </c>
      <c r="R112" s="7" t="n"/>
      <c r="S112" s="7" t="n"/>
      <c r="T112" s="7" t="n"/>
      <c r="U112" s="7" t="n"/>
      <c r="V112" s="7" t="n"/>
      <c r="W112" s="7" t="n"/>
      <c r="X112" s="7" t="inlineStr">
        <is>
          <t>NOT LOCATED — NOT YET RECOVERED</t>
        </is>
      </c>
      <c r="Y112" s="7" t="inlineStr">
        <is>
          <t>EXCLUDED</t>
        </is>
      </c>
      <c r="Z112" s="11" t="b">
        <v>0</v>
      </c>
      <c r="AA112" s="8" t="inlineStr">
        <is>
          <t>CURRENT EVIDENCE / STATUS</t>
        </is>
      </c>
    </row>
    <row r="113" ht="15.75" customHeight="1" s="29">
      <c r="A113" s="7" t="inlineStr">
        <is>
          <t>Q-108</t>
        </is>
      </c>
      <c r="B113" s="7" t="inlineStr">
        <is>
          <t>RNR-H14</t>
        </is>
      </c>
      <c r="C113" s="7" t="inlineStr">
        <is>
          <t>Love / loving</t>
        </is>
      </c>
      <c r="D113" s="7" t="inlineStr">
        <is>
          <t>A</t>
        </is>
      </c>
      <c r="E113" s="7" t="inlineStr">
        <is>
          <t>Reformed / Presbyterian</t>
        </is>
      </c>
      <c r="F113" s="7" t="inlineStr">
        <is>
          <t>SINGLE</t>
        </is>
      </c>
      <c r="G113" s="7" t="inlineStr">
        <is>
          <t>SESSION 8 ATTESTATION + SESSION 9 ATOMIC CODE RECOVERED</t>
        </is>
      </c>
      <c r="H113" s="7" t="inlineStr">
        <is>
          <t>PUBLIC-CERTIFIED</t>
        </is>
      </c>
      <c r="I113" s="7" t="inlineStr">
        <is>
          <t>RNR-H14a</t>
        </is>
      </c>
      <c r="J113" s="7" t="inlineStr">
        <is>
          <t>A</t>
        </is>
      </c>
      <c r="K113" s="7" t="inlineStr">
        <is>
          <t>Orthodox Presbyterian Church</t>
        </is>
      </c>
      <c r="L113" s="7" t="inlineStr">
        <is>
          <t>Westminster Confession of Faith</t>
        </is>
      </c>
      <c r="M113" s="7" t="inlineStr">
        <is>
          <t>Chapters II.1–3; III; V; VI; IX; XIII as applicable</t>
        </is>
      </c>
      <c r="N113" s="7" t="inlineStr">
        <is>
          <t>https://opc.org/wcf.html</t>
        </is>
      </c>
      <c r="O113" s="7" t="inlineStr">
        <is>
          <t>https://opc.org/wcf.html</t>
        </is>
      </c>
      <c r="P113" s="7" t="inlineStr">
        <is>
          <t>S9-IA-0154 / S8-IA-0154</t>
        </is>
      </c>
      <c r="Q113" s="7" t="inlineStr">
        <is>
          <t>HIGH</t>
        </is>
      </c>
      <c r="R113" s="7" t="inlineStr">
        <is>
          <t>Teaching-family claim is limited to the named institution/source; related sources may corroborate.</t>
        </is>
      </c>
      <c r="S113" s="7" t="inlineStr">
        <is>
          <t>NO</t>
        </is>
      </c>
      <c r="T113" s="7" t="inlineStr">
        <is>
          <t>A</t>
        </is>
      </c>
      <c r="U113" s="7" t="inlineStr">
        <is>
          <t>Direct Session 9 row: God is love.</t>
        </is>
      </c>
      <c r="V113" s="7" t="inlineStr">
        <is>
          <t>CERTIFIED</t>
        </is>
      </c>
      <c r="W113" s="7" t="n"/>
      <c r="X113" s="7" t="inlineStr">
        <is>
          <t>A</t>
        </is>
      </c>
      <c r="Y113" s="7" t="inlineStr">
        <is>
          <t>A</t>
        </is>
      </c>
      <c r="Z113" s="11" t="b">
        <v>0</v>
      </c>
      <c r="AA113" s="8" t="inlineStr">
        <is>
          <t>CURRENT EVIDENCE / STATUS</t>
        </is>
      </c>
    </row>
    <row r="114" ht="15.75" customHeight="1" s="29">
      <c r="A114" s="7" t="inlineStr">
        <is>
          <t>Q-109</t>
        </is>
      </c>
      <c r="B114" s="7" t="inlineStr">
        <is>
          <t>RNR-H14</t>
        </is>
      </c>
      <c r="C114" s="7" t="inlineStr">
        <is>
          <t>Love / loving</t>
        </is>
      </c>
      <c r="D114" s="7" t="inlineStr">
        <is>
          <t>A</t>
        </is>
      </c>
      <c r="E114" s="7" t="inlineStr">
        <is>
          <t>Anglican</t>
        </is>
      </c>
      <c r="F114" s="7" t="inlineStr">
        <is>
          <t>SINGLE</t>
        </is>
      </c>
      <c r="G114" s="7" t="inlineStr">
        <is>
          <t>TO RECOVER FROM SESSION 9 LEDGER</t>
        </is>
      </c>
      <c r="H114" s="7" t="inlineStr">
        <is>
          <t>NO PUBLIC TILE</t>
        </is>
      </c>
      <c r="I114" s="7" t="n"/>
      <c r="J114" s="7" t="n"/>
      <c r="K114" s="7" t="n"/>
      <c r="L114" s="7" t="n"/>
      <c r="M114" s="7" t="n"/>
      <c r="N114" s="7" t="n"/>
      <c r="O114" s="7" t="n"/>
      <c r="P114" s="7" t="n"/>
      <c r="Q114" s="7" t="inlineStr">
        <is>
          <t>NOT-ASSESSED</t>
        </is>
      </c>
      <c r="R114" s="7" t="n"/>
      <c r="S114" s="7" t="n"/>
      <c r="T114" s="7" t="n"/>
      <c r="U114" s="7" t="n"/>
      <c r="V114" s="7" t="n"/>
      <c r="W114" s="7" t="n"/>
      <c r="X114" s="7" t="inlineStr">
        <is>
          <t>NOT LOCATED — NOT YET RECOVERED</t>
        </is>
      </c>
      <c r="Y114" s="7" t="inlineStr">
        <is>
          <t>EXCLUDED</t>
        </is>
      </c>
      <c r="Z114" s="11" t="b">
        <v>0</v>
      </c>
      <c r="AA114" s="8" t="inlineStr">
        <is>
          <t>CURRENT EVIDENCE / STATUS</t>
        </is>
      </c>
    </row>
    <row r="115" ht="15.75" customHeight="1" s="29">
      <c r="A115" s="7" t="inlineStr">
        <is>
          <t>Q-110</t>
        </is>
      </c>
      <c r="B115" s="7" t="inlineStr">
        <is>
          <t>RNR-H14</t>
        </is>
      </c>
      <c r="C115" s="7" t="inlineStr">
        <is>
          <t>Love / loving</t>
        </is>
      </c>
      <c r="D115" s="7" t="inlineStr">
        <is>
          <t>A</t>
        </is>
      </c>
      <c r="E115" s="7" t="inlineStr">
        <is>
          <t>Baptist</t>
        </is>
      </c>
      <c r="F115" s="7" t="inlineStr">
        <is>
          <t>SINGLE</t>
        </is>
      </c>
      <c r="G115" s="7" t="inlineStr">
        <is>
          <t>CURRENT OFFICIAL SOURCE RECOVERED — WEB VERIFIED</t>
        </is>
      </c>
      <c r="H115" s="7" t="inlineStr">
        <is>
          <t>PUBLIC-CERTIFIED</t>
        </is>
      </c>
      <c r="I115" s="7" t="inlineStr">
        <is>
          <t>RNR-H14a</t>
        </is>
      </c>
      <c r="J115" s="7" t="inlineStr">
        <is>
          <t>A</t>
        </is>
      </c>
      <c r="K115" s="7" t="inlineStr">
        <is>
          <t>Southern Baptist Convention</t>
        </is>
      </c>
      <c r="L115" s="7" t="inlineStr">
        <is>
          <t>Baptist Faith and Message 2000</t>
        </is>
      </c>
      <c r="M115" s="7" t="inlineStr">
        <is>
          <t>II.A. God the Father — all loving</t>
        </is>
      </c>
      <c r="N115" s="7" t="inlineStr">
        <is>
          <t>https://bfm.sbc.net/bfm2000/</t>
        </is>
      </c>
      <c r="O115" s="7" t="inlineStr">
        <is>
          <t>https://bfm.sbc.net/bfm2000/</t>
        </is>
      </c>
      <c r="P115" s="7" t="inlineStr">
        <is>
          <t>Current official-source recovery, web-verified against Baptist Faith &amp; Message 2000; source role N2 per project institutional authority roster.</t>
        </is>
      </c>
      <c r="Q115" s="7" t="inlineStr">
        <is>
          <t>HIGH</t>
        </is>
      </c>
      <c r="R115" s="7" t="inlineStr">
        <is>
          <t>Southern Baptist Convention cooperative identity under BF&amp;M 2000; not all Baptist churches or Baptist traditions.</t>
        </is>
      </c>
      <c r="S115" s="7" t="inlineStr">
        <is>
          <t>NO</t>
        </is>
      </c>
      <c r="T115" s="7" t="inlineStr">
        <is>
          <t>A</t>
        </is>
      </c>
      <c r="U115" s="7" t="inlineStr">
        <is>
          <t>Current SBC source explicitly attests divine love.</t>
        </is>
      </c>
      <c r="V115" s="7" t="inlineStr">
        <is>
          <t>CERTIFIED</t>
        </is>
      </c>
      <c r="W115" s="7" t="n"/>
      <c r="X115" s="7" t="inlineStr">
        <is>
          <t>A</t>
        </is>
      </c>
      <c r="Y115" s="7" t="inlineStr">
        <is>
          <t>A</t>
        </is>
      </c>
      <c r="Z115" s="11" t="b">
        <v>0</v>
      </c>
      <c r="AA115" s="8" t="inlineStr">
        <is>
          <t>CURRENT EVIDENCE / STATUS</t>
        </is>
      </c>
    </row>
    <row r="116" ht="15.75" customHeight="1" s="29">
      <c r="A116" s="7" t="inlineStr">
        <is>
          <t>Q-111</t>
        </is>
      </c>
      <c r="B116" s="7" t="inlineStr">
        <is>
          <t>RNR-H14</t>
        </is>
      </c>
      <c r="C116" s="7" t="inlineStr">
        <is>
          <t>Love / loving</t>
        </is>
      </c>
      <c r="D116" s="7" t="inlineStr">
        <is>
          <t>A</t>
        </is>
      </c>
      <c r="E116" s="7" t="inlineStr">
        <is>
          <t>Methodist / Wesleyan</t>
        </is>
      </c>
      <c r="F116" s="7" t="inlineStr">
        <is>
          <t>SINGLE</t>
        </is>
      </c>
      <c r="G116" s="7" t="inlineStr">
        <is>
          <t>SESSION 8 ATTESTATION + SESSION 9 ATOMIC CODE RECOVERED</t>
        </is>
      </c>
      <c r="H116" s="7" t="inlineStr">
        <is>
          <t>PUBLIC-CERTIFIED</t>
        </is>
      </c>
      <c r="I116" s="7" t="inlineStr">
        <is>
          <t>RNR-H14a</t>
        </is>
      </c>
      <c r="J116" s="7" t="inlineStr">
        <is>
          <t>A</t>
        </is>
      </c>
      <c r="K116" s="7" t="inlineStr">
        <is>
          <t>The United Methodist Church</t>
        </is>
      </c>
      <c r="L116" s="7" t="inlineStr">
        <is>
          <t>Confession of Faith of the Evangelical United Brethren Church</t>
        </is>
      </c>
      <c r="M116" s="7" t="inlineStr">
        <is>
          <t>Article I</t>
        </is>
      </c>
      <c r="N116" s="7" t="inlineStr">
        <is>
          <t>https://www.umc.org/en/content/confession-of-faith</t>
        </is>
      </c>
      <c r="O116" s="7" t="inlineStr">
        <is>
          <t>https://www.umc.org/en/content/confession-of-faith</t>
        </is>
      </c>
      <c r="P116" s="7" t="inlineStr">
        <is>
          <t>S8-IA-0156 + Session 9 H14a atomic A decision</t>
        </is>
      </c>
      <c r="Q116" s="7" t="inlineStr">
        <is>
          <t>HIGH</t>
        </is>
      </c>
      <c r="R116" s="7" t="inlineStr">
        <is>
          <t>Teaching-family claim is limited to the named institution/source; related sources may corroborate.</t>
        </is>
      </c>
      <c r="S116" s="7" t="inlineStr">
        <is>
          <t>NO</t>
        </is>
      </c>
      <c r="T116" s="7" t="inlineStr">
        <is>
          <t>A</t>
        </is>
      </c>
      <c r="U116" s="7" t="inlineStr">
        <is>
          <t>Session 8 attestation plus Session 9 atomic-unit adjudication.</t>
        </is>
      </c>
      <c r="V116" s="7" t="inlineStr">
        <is>
          <t>CERTIFIED</t>
        </is>
      </c>
      <c r="W116" s="7" t="n"/>
      <c r="X116" s="7" t="inlineStr">
        <is>
          <t>A</t>
        </is>
      </c>
      <c r="Y116" s="7" t="inlineStr">
        <is>
          <t>A</t>
        </is>
      </c>
      <c r="Z116" s="11" t="b">
        <v>0</v>
      </c>
      <c r="AA116" s="8" t="inlineStr">
        <is>
          <t>CURRENT EVIDENCE / STATUS</t>
        </is>
      </c>
    </row>
    <row r="117" ht="15.75" customHeight="1" s="29">
      <c r="A117" s="7" t="inlineStr">
        <is>
          <t>Q-112</t>
        </is>
      </c>
      <c r="B117" s="7" t="inlineStr">
        <is>
          <t>RNR-H14</t>
        </is>
      </c>
      <c r="C117" s="7" t="inlineStr">
        <is>
          <t>Love / loving</t>
        </is>
      </c>
      <c r="D117" s="7" t="inlineStr">
        <is>
          <t>A</t>
        </is>
      </c>
      <c r="E117" s="7" t="inlineStr">
        <is>
          <t>Mennonite / Anabaptist</t>
        </is>
      </c>
      <c r="F117" s="7" t="inlineStr">
        <is>
          <t>SINGLE</t>
        </is>
      </c>
      <c r="G117" s="7" t="inlineStr">
        <is>
          <t>CURRENT OFFICIAL SOURCE RECOVERED — WEB VERIFIED</t>
        </is>
      </c>
      <c r="H117" s="7" t="inlineStr">
        <is>
          <t>PUBLIC-CERTIFIED</t>
        </is>
      </c>
      <c r="I117" s="7" t="inlineStr">
        <is>
          <t>RNR-H14a</t>
        </is>
      </c>
      <c r="J117" s="7" t="inlineStr">
        <is>
          <t>A</t>
        </is>
      </c>
      <c r="K117" s="7" t="inlineStr">
        <is>
          <t>Mennonite Church USA</t>
        </is>
      </c>
      <c r="L117" s="7" t="inlineStr">
        <is>
          <t>Confession of Faith in a Mennonite Perspective (1995), Article 1: God</t>
        </is>
      </c>
      <c r="M117" s="7" t="inlineStr">
        <is>
          <t>Article 1 — one holy and loving God</t>
        </is>
      </c>
      <c r="N117" s="7" t="inlineStr">
        <is>
          <t>https://www.mennoniteusa.org/who-are-mennonites/what-we-believe/confession-of-faith/god/</t>
        </is>
      </c>
      <c r="O117" s="7" t="inlineStr">
        <is>
          <t>https://www.mennoniteusa.org/who-are-mennonites/what-we-believe/confession-of-faith/god/</t>
        </is>
      </c>
      <c r="P117" s="7" t="inlineStr">
        <is>
          <t>Current official-source recovery, web-verified against Mennonite Church USA Confession of Faith in a Mennonite Perspective (1995); N2 role per project roster.</t>
        </is>
      </c>
      <c r="Q117" s="7" t="inlineStr">
        <is>
          <t>HIGH</t>
        </is>
      </c>
      <c r="R117" s="7" t="inlineStr">
        <is>
          <t>Mennonite Church USA / adopting-body scope for the 1995 Confession; not all Mennonite or Anabaptist bodies.</t>
        </is>
      </c>
      <c r="S117" s="7" t="inlineStr">
        <is>
          <t>NO</t>
        </is>
      </c>
      <c r="T117" s="7" t="inlineStr">
        <is>
          <t>A</t>
        </is>
      </c>
      <c r="U117" s="7" t="inlineStr">
        <is>
          <t>Current Mennonite source explicitly attests divine love.</t>
        </is>
      </c>
      <c r="V117" s="7" t="inlineStr">
        <is>
          <t>CERTIFIED</t>
        </is>
      </c>
      <c r="W117" s="7" t="n"/>
      <c r="X117" s="7" t="inlineStr">
        <is>
          <t>A</t>
        </is>
      </c>
      <c r="Y117" s="7" t="inlineStr">
        <is>
          <t>A</t>
        </is>
      </c>
      <c r="Z117" s="11" t="b">
        <v>0</v>
      </c>
      <c r="AA117" s="8" t="inlineStr">
        <is>
          <t>CURRENT EVIDENCE / STATUS</t>
        </is>
      </c>
    </row>
    <row r="118" ht="15.75" customHeight="1" s="29">
      <c r="A118" s="7" t="inlineStr">
        <is>
          <t>Q-113</t>
        </is>
      </c>
      <c r="B118" s="7" t="inlineStr">
        <is>
          <t>RNR-H15</t>
        </is>
      </c>
      <c r="C118" s="7" t="inlineStr">
        <is>
          <t>Merciful</t>
        </is>
      </c>
      <c r="D118" s="7" t="inlineStr">
        <is>
          <t>A</t>
        </is>
      </c>
      <c r="E118" s="7" t="inlineStr">
        <is>
          <t>Roman Catholic</t>
        </is>
      </c>
      <c r="F118" s="7" t="inlineStr">
        <is>
          <t>SINGLE</t>
        </is>
      </c>
      <c r="G118" s="7" t="inlineStr">
        <is>
          <t>TO RECOVER FROM SESSION 9 LEDGER</t>
        </is>
      </c>
      <c r="H118" s="7" t="inlineStr">
        <is>
          <t>NO PUBLIC TILE</t>
        </is>
      </c>
      <c r="I118" s="7" t="n"/>
      <c r="J118" s="7" t="n"/>
      <c r="K118" s="7" t="n"/>
      <c r="L118" s="7" t="n"/>
      <c r="M118" s="7" t="n"/>
      <c r="N118" s="7" t="n"/>
      <c r="O118" s="7" t="n"/>
      <c r="P118" s="7" t="n"/>
      <c r="Q118" s="7" t="inlineStr">
        <is>
          <t>NOT-ASSESSED</t>
        </is>
      </c>
      <c r="R118" s="7" t="n"/>
      <c r="S118" s="7" t="n"/>
      <c r="T118" s="7" t="n"/>
      <c r="U118" s="7" t="n"/>
      <c r="V118" s="7" t="n"/>
      <c r="W118" s="7" t="n"/>
      <c r="X118" s="7" t="inlineStr">
        <is>
          <t>NOT LOCATED — NOT YET RECOVERED</t>
        </is>
      </c>
      <c r="Y118" s="7" t="inlineStr">
        <is>
          <t>EXCLUDED</t>
        </is>
      </c>
      <c r="Z118" s="11" t="b">
        <v>0</v>
      </c>
      <c r="AA118" s="8" t="inlineStr">
        <is>
          <t>CURRENT EVIDENCE / STATUS</t>
        </is>
      </c>
    </row>
    <row r="119" ht="15.75" customHeight="1" s="29">
      <c r="A119" s="7" t="inlineStr">
        <is>
          <t>Q-114</t>
        </is>
      </c>
      <c r="B119" s="7" t="inlineStr">
        <is>
          <t>RNR-H15</t>
        </is>
      </c>
      <c r="C119" s="7" t="inlineStr">
        <is>
          <t>Merciful</t>
        </is>
      </c>
      <c r="D119" s="7" t="inlineStr">
        <is>
          <t>A</t>
        </is>
      </c>
      <c r="E119" s="7" t="inlineStr">
        <is>
          <t>Eastern Orthodox</t>
        </is>
      </c>
      <c r="F119" s="7" t="inlineStr">
        <is>
          <t>SINGLE</t>
        </is>
      </c>
      <c r="G119" s="7" t="inlineStr">
        <is>
          <t>TO RECOVER FROM SESSION 9 LEDGER</t>
        </is>
      </c>
      <c r="H119" s="7" t="inlineStr">
        <is>
          <t>NO PUBLIC TILE</t>
        </is>
      </c>
      <c r="I119" s="7" t="n"/>
      <c r="J119" s="7" t="n"/>
      <c r="K119" s="7" t="n"/>
      <c r="L119" s="7" t="n"/>
      <c r="M119" s="7" t="n"/>
      <c r="N119" s="7" t="n"/>
      <c r="O119" s="7" t="n"/>
      <c r="P119" s="7" t="n"/>
      <c r="Q119" s="7" t="inlineStr">
        <is>
          <t>NOT-ASSESSED</t>
        </is>
      </c>
      <c r="R119" s="7" t="n"/>
      <c r="S119" s="7" t="n"/>
      <c r="T119" s="7" t="n"/>
      <c r="U119" s="7" t="n"/>
      <c r="V119" s="7" t="n"/>
      <c r="W119" s="7" t="n"/>
      <c r="X119" s="7" t="inlineStr">
        <is>
          <t>NOT LOCATED — NOT YET RECOVERED</t>
        </is>
      </c>
      <c r="Y119" s="7" t="inlineStr">
        <is>
          <t>EXCLUDED</t>
        </is>
      </c>
      <c r="Z119" s="11" t="b">
        <v>0</v>
      </c>
      <c r="AA119" s="8" t="inlineStr">
        <is>
          <t>CURRENT EVIDENCE / STATUS</t>
        </is>
      </c>
    </row>
    <row r="120" ht="15.75" customHeight="1" s="29">
      <c r="A120" s="7" t="inlineStr">
        <is>
          <t>Q-115</t>
        </is>
      </c>
      <c r="B120" s="7" t="inlineStr">
        <is>
          <t>RNR-H15</t>
        </is>
      </c>
      <c r="C120" s="7" t="inlineStr">
        <is>
          <t>Merciful</t>
        </is>
      </c>
      <c r="D120" s="7" t="inlineStr">
        <is>
          <t>A</t>
        </is>
      </c>
      <c r="E120" s="7" t="inlineStr">
        <is>
          <t>Lutheran</t>
        </is>
      </c>
      <c r="F120" s="7" t="inlineStr">
        <is>
          <t>SINGLE</t>
        </is>
      </c>
      <c r="G120" s="7" t="inlineStr">
        <is>
          <t>TO RECOVER FROM SESSION 9 LEDGER</t>
        </is>
      </c>
      <c r="H120" s="7" t="inlineStr">
        <is>
          <t>NO PUBLIC TILE</t>
        </is>
      </c>
      <c r="I120" s="7" t="n"/>
      <c r="J120" s="7" t="n"/>
      <c r="K120" s="7" t="n"/>
      <c r="L120" s="7" t="n"/>
      <c r="M120" s="7" t="n"/>
      <c r="N120" s="7" t="n"/>
      <c r="O120" s="7" t="n"/>
      <c r="P120" s="7" t="n"/>
      <c r="Q120" s="7" t="inlineStr">
        <is>
          <t>NOT-ASSESSED</t>
        </is>
      </c>
      <c r="R120" s="7" t="n"/>
      <c r="S120" s="7" t="n"/>
      <c r="T120" s="7" t="n"/>
      <c r="U120" s="7" t="n"/>
      <c r="V120" s="7" t="n"/>
      <c r="W120" s="7" t="n"/>
      <c r="X120" s="7" t="inlineStr">
        <is>
          <t>NOT LOCATED — NOT YET RECOVERED</t>
        </is>
      </c>
      <c r="Y120" s="7" t="inlineStr">
        <is>
          <t>EXCLUDED</t>
        </is>
      </c>
      <c r="Z120" s="11" t="b">
        <v>0</v>
      </c>
      <c r="AA120" s="8" t="inlineStr">
        <is>
          <t>CURRENT EVIDENCE / STATUS</t>
        </is>
      </c>
    </row>
    <row r="121" ht="15.75" customHeight="1" s="29">
      <c r="A121" s="7" t="inlineStr">
        <is>
          <t>Q-116</t>
        </is>
      </c>
      <c r="B121" s="7" t="inlineStr">
        <is>
          <t>RNR-H15</t>
        </is>
      </c>
      <c r="C121" s="7" t="inlineStr">
        <is>
          <t>Merciful</t>
        </is>
      </c>
      <c r="D121" s="7" t="inlineStr">
        <is>
          <t>A</t>
        </is>
      </c>
      <c r="E121" s="7" t="inlineStr">
        <is>
          <t>Reformed / Presbyterian</t>
        </is>
      </c>
      <c r="F121" s="7" t="inlineStr">
        <is>
          <t>SINGLE</t>
        </is>
      </c>
      <c r="G121" s="7" t="inlineStr">
        <is>
          <t>SESSION 8 ATTESTATION + SESSION 9 ATOMIC CODE RECOVERED</t>
        </is>
      </c>
      <c r="H121" s="7" t="inlineStr">
        <is>
          <t>PUBLIC-CERTIFIED</t>
        </is>
      </c>
      <c r="I121" s="7" t="inlineStr">
        <is>
          <t>RNR-H15a</t>
        </is>
      </c>
      <c r="J121" s="7" t="inlineStr">
        <is>
          <t>A</t>
        </is>
      </c>
      <c r="K121" s="7" t="inlineStr">
        <is>
          <t>Orthodox Presbyterian Church</t>
        </is>
      </c>
      <c r="L121" s="7" t="inlineStr">
        <is>
          <t>Westminster Confession of Faith</t>
        </is>
      </c>
      <c r="M121" s="7" t="inlineStr">
        <is>
          <t>Chapters II.1–3; III; V; VI; IX; XIII as applicable</t>
        </is>
      </c>
      <c r="N121" s="7" t="inlineStr">
        <is>
          <t>https://opc.org/wcf.html</t>
        </is>
      </c>
      <c r="O121" s="7" t="inlineStr">
        <is>
          <t>https://opc.org/wcf.html</t>
        </is>
      </c>
      <c r="P121" s="7" t="inlineStr">
        <is>
          <t>S8-IA-0158 + Session 9 H15a atomic A decision</t>
        </is>
      </c>
      <c r="Q121" s="7" t="inlineStr">
        <is>
          <t>HIGH</t>
        </is>
      </c>
      <c r="R121" s="7" t="inlineStr">
        <is>
          <t>Teaching-family claim is limited to the named institution/source; related sources may corroborate.</t>
        </is>
      </c>
      <c r="S121" s="7" t="inlineStr">
        <is>
          <t>NO</t>
        </is>
      </c>
      <c r="T121" s="7" t="inlineStr">
        <is>
          <t>A</t>
        </is>
      </c>
      <c r="U121" s="7" t="inlineStr">
        <is>
          <t>PC(USA) Second Helvetic/Westminster rows corroborate.</t>
        </is>
      </c>
      <c r="V121" s="7" t="inlineStr">
        <is>
          <t>CERTIFIED</t>
        </is>
      </c>
      <c r="W121" s="7" t="n"/>
      <c r="X121" s="7" t="inlineStr">
        <is>
          <t>A</t>
        </is>
      </c>
      <c r="Y121" s="7" t="inlineStr">
        <is>
          <t>A</t>
        </is>
      </c>
      <c r="Z121" s="11" t="b">
        <v>0</v>
      </c>
      <c r="AA121" s="8" t="inlineStr">
        <is>
          <t>CURRENT EVIDENCE / STATUS</t>
        </is>
      </c>
    </row>
    <row r="122" ht="15.75" customHeight="1" s="29">
      <c r="A122" s="7" t="inlineStr">
        <is>
          <t>Q-117</t>
        </is>
      </c>
      <c r="B122" s="7" t="inlineStr">
        <is>
          <t>RNR-H15</t>
        </is>
      </c>
      <c r="C122" s="7" t="inlineStr">
        <is>
          <t>Merciful</t>
        </is>
      </c>
      <c r="D122" s="7" t="inlineStr">
        <is>
          <t>A</t>
        </is>
      </c>
      <c r="E122" s="7" t="inlineStr">
        <is>
          <t>Anglican</t>
        </is>
      </c>
      <c r="F122" s="7" t="inlineStr">
        <is>
          <t>SINGLE</t>
        </is>
      </c>
      <c r="G122" s="7" t="inlineStr">
        <is>
          <t>TO RECOVER FROM SESSION 9 LEDGER</t>
        </is>
      </c>
      <c r="H122" s="7" t="inlineStr">
        <is>
          <t>NO PUBLIC TILE</t>
        </is>
      </c>
      <c r="I122" s="7" t="n"/>
      <c r="J122" s="7" t="n"/>
      <c r="K122" s="7" t="n"/>
      <c r="L122" s="7" t="n"/>
      <c r="M122" s="7" t="n"/>
      <c r="N122" s="7" t="n"/>
      <c r="O122" s="7" t="n"/>
      <c r="P122" s="7" t="n"/>
      <c r="Q122" s="7" t="inlineStr">
        <is>
          <t>NOT-ASSESSED</t>
        </is>
      </c>
      <c r="R122" s="7" t="n"/>
      <c r="S122" s="7" t="n"/>
      <c r="T122" s="7" t="n"/>
      <c r="U122" s="7" t="n"/>
      <c r="V122" s="7" t="n"/>
      <c r="W122" s="7" t="n"/>
      <c r="X122" s="7" t="inlineStr">
        <is>
          <t>NOT LOCATED — NOT YET RECOVERED</t>
        </is>
      </c>
      <c r="Y122" s="7" t="inlineStr">
        <is>
          <t>EXCLUDED</t>
        </is>
      </c>
      <c r="Z122" s="11" t="b">
        <v>0</v>
      </c>
      <c r="AA122" s="8" t="inlineStr">
        <is>
          <t>CURRENT EVIDENCE / STATUS</t>
        </is>
      </c>
    </row>
    <row r="123" ht="15.75" customHeight="1" s="29">
      <c r="A123" s="7" t="inlineStr">
        <is>
          <t>Q-118</t>
        </is>
      </c>
      <c r="B123" s="7" t="inlineStr">
        <is>
          <t>RNR-H15</t>
        </is>
      </c>
      <c r="C123" s="7" t="inlineStr">
        <is>
          <t>Merciful</t>
        </is>
      </c>
      <c r="D123" s="7" t="inlineStr">
        <is>
          <t>A</t>
        </is>
      </c>
      <c r="E123" s="7" t="inlineStr">
        <is>
          <t>Baptist</t>
        </is>
      </c>
      <c r="F123" s="7" t="inlineStr">
        <is>
          <t>SINGLE</t>
        </is>
      </c>
      <c r="G123" s="7" t="inlineStr">
        <is>
          <t>TO RECOVER FROM SESSION 9 LEDGER</t>
        </is>
      </c>
      <c r="H123" s="7" t="inlineStr">
        <is>
          <t>NO PUBLIC TILE</t>
        </is>
      </c>
      <c r="I123" s="7" t="n"/>
      <c r="J123" s="7" t="n"/>
      <c r="K123" s="7" t="n"/>
      <c r="L123" s="7" t="n"/>
      <c r="M123" s="7" t="n"/>
      <c r="N123" s="7" t="n"/>
      <c r="O123" s="7" t="n"/>
      <c r="P123" s="7" t="n"/>
      <c r="Q123" s="7" t="inlineStr">
        <is>
          <t>NOT-ASSESSED</t>
        </is>
      </c>
      <c r="R123" s="7" t="n"/>
      <c r="S123" s="7" t="n"/>
      <c r="T123" s="7" t="n"/>
      <c r="U123" s="7" t="n"/>
      <c r="V123" s="7" t="n"/>
      <c r="W123" s="7" t="n"/>
      <c r="X123" s="7" t="inlineStr">
        <is>
          <t>NOT LOCATED — NOT YET RECOVERED</t>
        </is>
      </c>
      <c r="Y123" s="7" t="inlineStr">
        <is>
          <t>EXCLUDED</t>
        </is>
      </c>
      <c r="Z123" s="11" t="b">
        <v>0</v>
      </c>
      <c r="AA123" s="8" t="inlineStr">
        <is>
          <t>CURRENT EVIDENCE / STATUS</t>
        </is>
      </c>
    </row>
    <row r="124" ht="15.75" customHeight="1" s="29">
      <c r="A124" s="7" t="inlineStr">
        <is>
          <t>Q-119</t>
        </is>
      </c>
      <c r="B124" s="7" t="inlineStr">
        <is>
          <t>RNR-H15</t>
        </is>
      </c>
      <c r="C124" s="7" t="inlineStr">
        <is>
          <t>Merciful</t>
        </is>
      </c>
      <c r="D124" s="7" t="inlineStr">
        <is>
          <t>A</t>
        </is>
      </c>
      <c r="E124" s="7" t="inlineStr">
        <is>
          <t>Methodist / Wesleyan</t>
        </is>
      </c>
      <c r="F124" s="7" t="inlineStr">
        <is>
          <t>SINGLE</t>
        </is>
      </c>
      <c r="G124" s="7" t="inlineStr">
        <is>
          <t>TO RECOVER FROM SESSION 9 LEDGER</t>
        </is>
      </c>
      <c r="H124" s="7" t="inlineStr">
        <is>
          <t>NO PUBLIC TILE</t>
        </is>
      </c>
      <c r="I124" s="7" t="n"/>
      <c r="J124" s="7" t="n"/>
      <c r="K124" s="7" t="n"/>
      <c r="L124" s="7" t="n"/>
      <c r="M124" s="7" t="n"/>
      <c r="N124" s="7" t="n"/>
      <c r="O124" s="7" t="n"/>
      <c r="P124" s="7" t="n"/>
      <c r="Q124" s="7" t="inlineStr">
        <is>
          <t>NOT-ASSESSED</t>
        </is>
      </c>
      <c r="R124" s="7" t="n"/>
      <c r="S124" s="7" t="n"/>
      <c r="T124" s="7" t="n"/>
      <c r="U124" s="7" t="n"/>
      <c r="V124" s="7" t="n"/>
      <c r="W124" s="7" t="n"/>
      <c r="X124" s="7" t="inlineStr">
        <is>
          <t>NOT LOCATED — NOT YET RECOVERED</t>
        </is>
      </c>
      <c r="Y124" s="7" t="inlineStr">
        <is>
          <t>EXCLUDED</t>
        </is>
      </c>
      <c r="Z124" s="11" t="b">
        <v>0</v>
      </c>
      <c r="AA124" s="8" t="inlineStr">
        <is>
          <t>CURRENT EVIDENCE / STATUS</t>
        </is>
      </c>
    </row>
    <row r="125" ht="15.75" customHeight="1" s="29">
      <c r="A125" s="7" t="inlineStr">
        <is>
          <t>Q-120</t>
        </is>
      </c>
      <c r="B125" s="7" t="inlineStr">
        <is>
          <t>RNR-H15</t>
        </is>
      </c>
      <c r="C125" s="7" t="inlineStr">
        <is>
          <t>Merciful</t>
        </is>
      </c>
      <c r="D125" s="7" t="inlineStr">
        <is>
          <t>A</t>
        </is>
      </c>
      <c r="E125" s="7" t="inlineStr">
        <is>
          <t>Mennonite / Anabaptist</t>
        </is>
      </c>
      <c r="F125" s="7" t="inlineStr">
        <is>
          <t>SINGLE</t>
        </is>
      </c>
      <c r="G125" s="7" t="inlineStr">
        <is>
          <t>TO RECOVER FROM SESSION 9 LEDGER</t>
        </is>
      </c>
      <c r="H125" s="7" t="inlineStr">
        <is>
          <t>NO PUBLIC TILE</t>
        </is>
      </c>
      <c r="I125" s="7" t="n"/>
      <c r="J125" s="7" t="n"/>
      <c r="K125" s="7" t="n"/>
      <c r="L125" s="7" t="n"/>
      <c r="M125" s="7" t="n"/>
      <c r="N125" s="7" t="n"/>
      <c r="O125" s="7" t="n"/>
      <c r="P125" s="7" t="n"/>
      <c r="Q125" s="7" t="inlineStr">
        <is>
          <t>NOT-ASSESSED</t>
        </is>
      </c>
      <c r="R125" s="7" t="n"/>
      <c r="S125" s="7" t="n"/>
      <c r="T125" s="7" t="n"/>
      <c r="U125" s="7" t="n"/>
      <c r="V125" s="7" t="n"/>
      <c r="W125" s="7" t="n"/>
      <c r="X125" s="7" t="inlineStr">
        <is>
          <t>NOT LOCATED — NOT YET RECOVERED</t>
        </is>
      </c>
      <c r="Y125" s="7" t="inlineStr">
        <is>
          <t>EXCLUDED</t>
        </is>
      </c>
      <c r="Z125" s="11" t="b">
        <v>0</v>
      </c>
      <c r="AA125" s="8" t="inlineStr">
        <is>
          <t>CURRENT EVIDENCE / STATUS</t>
        </is>
      </c>
    </row>
    <row r="126" ht="15.75" customHeight="1" s="29">
      <c r="A126" s="7" t="inlineStr">
        <is>
          <t>Q-121</t>
        </is>
      </c>
      <c r="B126" s="7" t="inlineStr">
        <is>
          <t>RNR-H16</t>
        </is>
      </c>
      <c r="C126" s="7" t="inlineStr">
        <is>
          <t>Gracious</t>
        </is>
      </c>
      <c r="D126" s="7" t="inlineStr">
        <is>
          <t>A</t>
        </is>
      </c>
      <c r="E126" s="7" t="inlineStr">
        <is>
          <t>Roman Catholic</t>
        </is>
      </c>
      <c r="F126" s="7" t="inlineStr">
        <is>
          <t>SINGLE</t>
        </is>
      </c>
      <c r="G126" s="7" t="inlineStr">
        <is>
          <t>TO RECOVER FROM SESSION 9 LEDGER</t>
        </is>
      </c>
      <c r="H126" s="7" t="inlineStr">
        <is>
          <t>NO PUBLIC TILE</t>
        </is>
      </c>
      <c r="I126" s="7" t="n"/>
      <c r="J126" s="7" t="n"/>
      <c r="K126" s="7" t="n"/>
      <c r="L126" s="7" t="n"/>
      <c r="M126" s="7" t="n"/>
      <c r="N126" s="7" t="n"/>
      <c r="O126" s="7" t="n"/>
      <c r="P126" s="7" t="n"/>
      <c r="Q126" s="7" t="inlineStr">
        <is>
          <t>NOT-ASSESSED</t>
        </is>
      </c>
      <c r="R126" s="7" t="n"/>
      <c r="S126" s="7" t="n"/>
      <c r="T126" s="7" t="n"/>
      <c r="U126" s="7" t="n"/>
      <c r="V126" s="7" t="n"/>
      <c r="W126" s="7" t="n"/>
      <c r="X126" s="7" t="inlineStr">
        <is>
          <t>NOT LOCATED — NOT YET RECOVERED</t>
        </is>
      </c>
      <c r="Y126" s="7" t="inlineStr">
        <is>
          <t>EXCLUDED</t>
        </is>
      </c>
      <c r="Z126" s="11" t="b">
        <v>0</v>
      </c>
      <c r="AA126" s="8" t="inlineStr">
        <is>
          <t>CURRENT EVIDENCE / STATUS</t>
        </is>
      </c>
    </row>
    <row r="127" ht="15.75" customHeight="1" s="29">
      <c r="A127" s="7" t="inlineStr">
        <is>
          <t>Q-122</t>
        </is>
      </c>
      <c r="B127" s="7" t="inlineStr">
        <is>
          <t>RNR-H16</t>
        </is>
      </c>
      <c r="C127" s="7" t="inlineStr">
        <is>
          <t>Gracious</t>
        </is>
      </c>
      <c r="D127" s="7" t="inlineStr">
        <is>
          <t>A</t>
        </is>
      </c>
      <c r="E127" s="7" t="inlineStr">
        <is>
          <t>Eastern Orthodox</t>
        </is>
      </c>
      <c r="F127" s="7" t="inlineStr">
        <is>
          <t>SINGLE</t>
        </is>
      </c>
      <c r="G127" s="7" t="inlineStr">
        <is>
          <t>TO RECOVER FROM SESSION 9 LEDGER</t>
        </is>
      </c>
      <c r="H127" s="7" t="inlineStr">
        <is>
          <t>NO PUBLIC TILE</t>
        </is>
      </c>
      <c r="I127" s="7" t="n"/>
      <c r="J127" s="7" t="n"/>
      <c r="K127" s="7" t="n"/>
      <c r="L127" s="7" t="n"/>
      <c r="M127" s="7" t="n"/>
      <c r="N127" s="7" t="n"/>
      <c r="O127" s="7" t="n"/>
      <c r="P127" s="7" t="n"/>
      <c r="Q127" s="7" t="inlineStr">
        <is>
          <t>NOT-ASSESSED</t>
        </is>
      </c>
      <c r="R127" s="7" t="n"/>
      <c r="S127" s="7" t="n"/>
      <c r="T127" s="7" t="n"/>
      <c r="U127" s="7" t="n"/>
      <c r="V127" s="7" t="n"/>
      <c r="W127" s="7" t="n"/>
      <c r="X127" s="7" t="inlineStr">
        <is>
          <t>NOT LOCATED — NOT YET RECOVERED</t>
        </is>
      </c>
      <c r="Y127" s="7" t="inlineStr">
        <is>
          <t>EXCLUDED</t>
        </is>
      </c>
      <c r="Z127" s="11" t="b">
        <v>0</v>
      </c>
      <c r="AA127" s="8" t="inlineStr">
        <is>
          <t>CURRENT EVIDENCE / STATUS</t>
        </is>
      </c>
    </row>
    <row r="128" ht="15.75" customHeight="1" s="29">
      <c r="A128" s="7" t="inlineStr">
        <is>
          <t>Q-123</t>
        </is>
      </c>
      <c r="B128" s="7" t="inlineStr">
        <is>
          <t>RNR-H16</t>
        </is>
      </c>
      <c r="C128" s="7" t="inlineStr">
        <is>
          <t>Gracious</t>
        </is>
      </c>
      <c r="D128" s="7" t="inlineStr">
        <is>
          <t>A</t>
        </is>
      </c>
      <c r="E128" s="7" t="inlineStr">
        <is>
          <t>Lutheran</t>
        </is>
      </c>
      <c r="F128" s="7" t="inlineStr">
        <is>
          <t>SINGLE</t>
        </is>
      </c>
      <c r="G128" s="7" t="inlineStr">
        <is>
          <t>TO RECOVER FROM SESSION 9 LEDGER</t>
        </is>
      </c>
      <c r="H128" s="7" t="inlineStr">
        <is>
          <t>NO PUBLIC TILE</t>
        </is>
      </c>
      <c r="I128" s="7" t="n"/>
      <c r="J128" s="7" t="n"/>
      <c r="K128" s="7" t="n"/>
      <c r="L128" s="7" t="n"/>
      <c r="M128" s="7" t="n"/>
      <c r="N128" s="7" t="n"/>
      <c r="O128" s="7" t="n"/>
      <c r="P128" s="7" t="n"/>
      <c r="Q128" s="7" t="inlineStr">
        <is>
          <t>NOT-ASSESSED</t>
        </is>
      </c>
      <c r="R128" s="7" t="n"/>
      <c r="S128" s="7" t="n"/>
      <c r="T128" s="7" t="n"/>
      <c r="U128" s="7" t="n"/>
      <c r="V128" s="7" t="n"/>
      <c r="W128" s="7" t="n"/>
      <c r="X128" s="7" t="inlineStr">
        <is>
          <t>NOT LOCATED — NOT YET RECOVERED</t>
        </is>
      </c>
      <c r="Y128" s="7" t="inlineStr">
        <is>
          <t>EXCLUDED</t>
        </is>
      </c>
      <c r="Z128" s="11" t="b">
        <v>0</v>
      </c>
      <c r="AA128" s="8" t="inlineStr">
        <is>
          <t>CURRENT EVIDENCE / STATUS</t>
        </is>
      </c>
    </row>
    <row r="129" ht="15.75" customHeight="1" s="29">
      <c r="A129" s="7" t="inlineStr">
        <is>
          <t>Q-124</t>
        </is>
      </c>
      <c r="B129" s="7" t="inlineStr">
        <is>
          <t>RNR-H16</t>
        </is>
      </c>
      <c r="C129" s="7" t="inlineStr">
        <is>
          <t>Gracious</t>
        </is>
      </c>
      <c r="D129" s="7" t="inlineStr">
        <is>
          <t>A</t>
        </is>
      </c>
      <c r="E129" s="7" t="inlineStr">
        <is>
          <t>Reformed / Presbyterian</t>
        </is>
      </c>
      <c r="F129" s="7" t="inlineStr">
        <is>
          <t>SINGLE</t>
        </is>
      </c>
      <c r="G129" s="7" t="inlineStr">
        <is>
          <t>SESSION 8 ATTESTATION + SESSION 9 ATOMIC CODE RECOVERED</t>
        </is>
      </c>
      <c r="H129" s="7" t="inlineStr">
        <is>
          <t>PUBLIC-CERTIFIED</t>
        </is>
      </c>
      <c r="I129" s="7" t="inlineStr">
        <is>
          <t>RNR-H16a</t>
        </is>
      </c>
      <c r="J129" s="7" t="inlineStr">
        <is>
          <t>A</t>
        </is>
      </c>
      <c r="K129" s="7" t="inlineStr">
        <is>
          <t>Orthodox Presbyterian Church</t>
        </is>
      </c>
      <c r="L129" s="7" t="inlineStr">
        <is>
          <t>Westminster Confession of Faith</t>
        </is>
      </c>
      <c r="M129" s="7" t="inlineStr">
        <is>
          <t>Chapters II.1–3; III; V; VI; IX; XIII as applicable</t>
        </is>
      </c>
      <c r="N129" s="7" t="inlineStr">
        <is>
          <t>https://opc.org/wcf.html</t>
        </is>
      </c>
      <c r="O129" s="7" t="inlineStr">
        <is>
          <t>https://opc.org/wcf.html</t>
        </is>
      </c>
      <c r="P129" s="7" t="inlineStr">
        <is>
          <t>S8-IA-0160 + Session 9 H16a atomic A decision</t>
        </is>
      </c>
      <c r="Q129" s="7" t="inlineStr">
        <is>
          <t>HIGH</t>
        </is>
      </c>
      <c r="R129" s="7" t="inlineStr">
        <is>
          <t>Teaching-family claim is limited to the named institution/source; related sources may corroborate.</t>
        </is>
      </c>
      <c r="S129" s="7" t="inlineStr">
        <is>
          <t>NO</t>
        </is>
      </c>
      <c r="T129" s="7" t="inlineStr">
        <is>
          <t>A</t>
        </is>
      </c>
      <c r="U129" s="7" t="inlineStr">
        <is>
          <t>PC(USA) Westminster corroborates.</t>
        </is>
      </c>
      <c r="V129" s="7" t="inlineStr">
        <is>
          <t>CERTIFIED</t>
        </is>
      </c>
      <c r="W129" s="7" t="n"/>
      <c r="X129" s="7" t="inlineStr">
        <is>
          <t>A</t>
        </is>
      </c>
      <c r="Y129" s="7" t="inlineStr">
        <is>
          <t>A</t>
        </is>
      </c>
      <c r="Z129" s="11" t="b">
        <v>0</v>
      </c>
      <c r="AA129" s="8" t="inlineStr">
        <is>
          <t>CURRENT EVIDENCE / STATUS</t>
        </is>
      </c>
    </row>
    <row r="130" ht="15.75" customHeight="1" s="29">
      <c r="A130" s="7" t="inlineStr">
        <is>
          <t>Q-125</t>
        </is>
      </c>
      <c r="B130" s="7" t="inlineStr">
        <is>
          <t>RNR-H16</t>
        </is>
      </c>
      <c r="C130" s="7" t="inlineStr">
        <is>
          <t>Gracious</t>
        </is>
      </c>
      <c r="D130" s="7" t="inlineStr">
        <is>
          <t>A</t>
        </is>
      </c>
      <c r="E130" s="7" t="inlineStr">
        <is>
          <t>Anglican</t>
        </is>
      </c>
      <c r="F130" s="7" t="inlineStr">
        <is>
          <t>SINGLE</t>
        </is>
      </c>
      <c r="G130" s="7" t="inlineStr">
        <is>
          <t>TO RECOVER FROM SESSION 9 LEDGER</t>
        </is>
      </c>
      <c r="H130" s="7" t="inlineStr">
        <is>
          <t>NO PUBLIC TILE</t>
        </is>
      </c>
      <c r="I130" s="7" t="n"/>
      <c r="J130" s="7" t="n"/>
      <c r="K130" s="7" t="n"/>
      <c r="L130" s="7" t="n"/>
      <c r="M130" s="7" t="n"/>
      <c r="N130" s="7" t="n"/>
      <c r="O130" s="7" t="n"/>
      <c r="P130" s="7" t="n"/>
      <c r="Q130" s="7" t="inlineStr">
        <is>
          <t>NOT-ASSESSED</t>
        </is>
      </c>
      <c r="R130" s="7" t="n"/>
      <c r="S130" s="7" t="n"/>
      <c r="T130" s="7" t="n"/>
      <c r="U130" s="7" t="n"/>
      <c r="V130" s="7" t="n"/>
      <c r="W130" s="7" t="n"/>
      <c r="X130" s="7" t="inlineStr">
        <is>
          <t>NOT LOCATED — NOT YET RECOVERED</t>
        </is>
      </c>
      <c r="Y130" s="7" t="inlineStr">
        <is>
          <t>EXCLUDED</t>
        </is>
      </c>
      <c r="Z130" s="11" t="b">
        <v>0</v>
      </c>
      <c r="AA130" s="8" t="inlineStr">
        <is>
          <t>CURRENT EVIDENCE / STATUS</t>
        </is>
      </c>
    </row>
    <row r="131" ht="15.75" customHeight="1" s="29">
      <c r="A131" s="7" t="inlineStr">
        <is>
          <t>Q-126</t>
        </is>
      </c>
      <c r="B131" s="7" t="inlineStr">
        <is>
          <t>RNR-H16</t>
        </is>
      </c>
      <c r="C131" s="7" t="inlineStr">
        <is>
          <t>Gracious</t>
        </is>
      </c>
      <c r="D131" s="7" t="inlineStr">
        <is>
          <t>A</t>
        </is>
      </c>
      <c r="E131" s="7" t="inlineStr">
        <is>
          <t>Baptist</t>
        </is>
      </c>
      <c r="F131" s="7" t="inlineStr">
        <is>
          <t>SINGLE</t>
        </is>
      </c>
      <c r="G131" s="7" t="inlineStr">
        <is>
          <t>TO RECOVER FROM SESSION 9 LEDGER</t>
        </is>
      </c>
      <c r="H131" s="7" t="inlineStr">
        <is>
          <t>NO PUBLIC TILE</t>
        </is>
      </c>
      <c r="I131" s="7" t="n"/>
      <c r="J131" s="7" t="n"/>
      <c r="K131" s="7" t="n"/>
      <c r="L131" s="7" t="n"/>
      <c r="M131" s="7" t="n"/>
      <c r="N131" s="7" t="n"/>
      <c r="O131" s="7" t="n"/>
      <c r="P131" s="7" t="n"/>
      <c r="Q131" s="7" t="inlineStr">
        <is>
          <t>NOT-ASSESSED</t>
        </is>
      </c>
      <c r="R131" s="7" t="n"/>
      <c r="S131" s="7" t="n"/>
      <c r="T131" s="7" t="n"/>
      <c r="U131" s="7" t="n"/>
      <c r="V131" s="7" t="n"/>
      <c r="W131" s="7" t="n"/>
      <c r="X131" s="7" t="inlineStr">
        <is>
          <t>NOT LOCATED — NOT YET RECOVERED</t>
        </is>
      </c>
      <c r="Y131" s="7" t="inlineStr">
        <is>
          <t>EXCLUDED</t>
        </is>
      </c>
      <c r="Z131" s="11" t="b">
        <v>0</v>
      </c>
      <c r="AA131" s="8" t="inlineStr">
        <is>
          <t>CURRENT EVIDENCE / STATUS</t>
        </is>
      </c>
    </row>
    <row r="132" ht="15.75" customHeight="1" s="29">
      <c r="A132" s="7" t="inlineStr">
        <is>
          <t>Q-127</t>
        </is>
      </c>
      <c r="B132" s="7" t="inlineStr">
        <is>
          <t>RNR-H16</t>
        </is>
      </c>
      <c r="C132" s="7" t="inlineStr">
        <is>
          <t>Gracious</t>
        </is>
      </c>
      <c r="D132" s="7" t="inlineStr">
        <is>
          <t>A</t>
        </is>
      </c>
      <c r="E132" s="7" t="inlineStr">
        <is>
          <t>Methodist / Wesleyan</t>
        </is>
      </c>
      <c r="F132" s="7" t="inlineStr">
        <is>
          <t>SINGLE</t>
        </is>
      </c>
      <c r="G132" s="7" t="inlineStr">
        <is>
          <t>SESSION 8 ATTESTATION + SESSION 9 ATOMIC CODE RECOVERED</t>
        </is>
      </c>
      <c r="H132" s="7" t="inlineStr">
        <is>
          <t>PUBLIC-CERTIFIED</t>
        </is>
      </c>
      <c r="I132" s="7" t="inlineStr">
        <is>
          <t>RNR-H16a</t>
        </is>
      </c>
      <c r="J132" s="7" t="inlineStr">
        <is>
          <t>A</t>
        </is>
      </c>
      <c r="K132" s="7" t="inlineStr">
        <is>
          <t>The United Methodist Church</t>
        </is>
      </c>
      <c r="L132" s="7" t="inlineStr">
        <is>
          <t>Confession of Faith of the Evangelical United Brethren Church</t>
        </is>
      </c>
      <c r="M132" s="7" t="inlineStr">
        <is>
          <t>Article I</t>
        </is>
      </c>
      <c r="N132" s="7" t="inlineStr">
        <is>
          <t>https://www.umc.org/en/content/confession-of-faith</t>
        </is>
      </c>
      <c r="O132" s="7" t="inlineStr">
        <is>
          <t>https://www.umc.org/en/content/confession-of-faith</t>
        </is>
      </c>
      <c r="P132" s="7" t="inlineStr">
        <is>
          <t>S8-IA-0162 + Session 9 H16a atomic A decision</t>
        </is>
      </c>
      <c r="Q132" s="7" t="inlineStr">
        <is>
          <t>HIGH</t>
        </is>
      </c>
      <c r="R132" s="7" t="inlineStr">
        <is>
          <t>Teaching-family claim is limited to the named institution/source; related sources may corroborate.</t>
        </is>
      </c>
      <c r="S132" s="7" t="inlineStr">
        <is>
          <t>NO</t>
        </is>
      </c>
      <c r="T132" s="7" t="inlineStr">
        <is>
          <t>A</t>
        </is>
      </c>
      <c r="U132" s="7" t="inlineStr">
        <is>
          <t>Session 8 attestation plus Session 9 atomic-unit adjudication.</t>
        </is>
      </c>
      <c r="V132" s="7" t="inlineStr">
        <is>
          <t>CERTIFIED</t>
        </is>
      </c>
      <c r="W132" s="7" t="n"/>
      <c r="X132" s="7" t="inlineStr">
        <is>
          <t>A</t>
        </is>
      </c>
      <c r="Y132" s="7" t="inlineStr">
        <is>
          <t>A</t>
        </is>
      </c>
      <c r="Z132" s="11" t="b">
        <v>0</v>
      </c>
      <c r="AA132" s="8" t="inlineStr">
        <is>
          <t>CURRENT EVIDENCE / STATUS</t>
        </is>
      </c>
    </row>
    <row r="133" ht="15.75" customHeight="1" s="29">
      <c r="A133" s="7" t="inlineStr">
        <is>
          <t>Q-128</t>
        </is>
      </c>
      <c r="B133" s="7" t="inlineStr">
        <is>
          <t>RNR-H16</t>
        </is>
      </c>
      <c r="C133" s="7" t="inlineStr">
        <is>
          <t>Gracious</t>
        </is>
      </c>
      <c r="D133" s="7" t="inlineStr">
        <is>
          <t>A</t>
        </is>
      </c>
      <c r="E133" s="7" t="inlineStr">
        <is>
          <t>Mennonite / Anabaptist</t>
        </is>
      </c>
      <c r="F133" s="7" t="inlineStr">
        <is>
          <t>SINGLE</t>
        </is>
      </c>
      <c r="G133" s="7" t="inlineStr">
        <is>
          <t>TO RECOVER FROM SESSION 9 LEDGER</t>
        </is>
      </c>
      <c r="H133" s="7" t="inlineStr">
        <is>
          <t>NO PUBLIC TILE</t>
        </is>
      </c>
      <c r="I133" s="7" t="n"/>
      <c r="J133" s="7" t="n"/>
      <c r="K133" s="7" t="n"/>
      <c r="L133" s="7" t="n"/>
      <c r="M133" s="7" t="n"/>
      <c r="N133" s="7" t="n"/>
      <c r="O133" s="7" t="n"/>
      <c r="P133" s="7" t="n"/>
      <c r="Q133" s="7" t="inlineStr">
        <is>
          <t>NOT-ASSESSED</t>
        </is>
      </c>
      <c r="R133" s="7" t="n"/>
      <c r="S133" s="7" t="n"/>
      <c r="T133" s="7" t="n"/>
      <c r="U133" s="7" t="n"/>
      <c r="V133" s="7" t="n"/>
      <c r="W133" s="7" t="n"/>
      <c r="X133" s="7" t="inlineStr">
        <is>
          <t>NOT LOCATED — NOT YET RECOVERED</t>
        </is>
      </c>
      <c r="Y133" s="7" t="inlineStr">
        <is>
          <t>EXCLUDED</t>
        </is>
      </c>
      <c r="Z133" s="11" t="b">
        <v>0</v>
      </c>
      <c r="AA133" s="8" t="inlineStr">
        <is>
          <t>CURRENT EVIDENCE / STATUS</t>
        </is>
      </c>
    </row>
    <row r="134" ht="15.75" customHeight="1" s="29">
      <c r="A134" s="7" t="inlineStr">
        <is>
          <t>Q-129</t>
        </is>
      </c>
      <c r="B134" s="7" t="inlineStr">
        <is>
          <t>RNR-H17</t>
        </is>
      </c>
      <c r="C134" s="7" t="inlineStr">
        <is>
          <t>Long-suffering / patient</t>
        </is>
      </c>
      <c r="D134" s="7" t="inlineStr">
        <is>
          <t>A</t>
        </is>
      </c>
      <c r="E134" s="7" t="inlineStr">
        <is>
          <t>Roman Catholic</t>
        </is>
      </c>
      <c r="F134" s="7" t="inlineStr">
        <is>
          <t>SINGLE</t>
        </is>
      </c>
      <c r="G134" s="7" t="inlineStr">
        <is>
          <t>TO RECOVER FROM SESSION 9 LEDGER</t>
        </is>
      </c>
      <c r="H134" s="7" t="inlineStr">
        <is>
          <t>NO PUBLIC TILE</t>
        </is>
      </c>
      <c r="I134" s="7" t="n"/>
      <c r="J134" s="7" t="n"/>
      <c r="K134" s="7" t="n"/>
      <c r="L134" s="7" t="n"/>
      <c r="M134" s="7" t="n"/>
      <c r="N134" s="7" t="n"/>
      <c r="O134" s="7" t="n"/>
      <c r="P134" s="7" t="n"/>
      <c r="Q134" s="7" t="inlineStr">
        <is>
          <t>NOT-ASSESSED</t>
        </is>
      </c>
      <c r="R134" s="7" t="n"/>
      <c r="S134" s="7" t="n"/>
      <c r="T134" s="7" t="n"/>
      <c r="U134" s="7" t="n"/>
      <c r="V134" s="7" t="n"/>
      <c r="W134" s="7" t="n"/>
      <c r="X134" s="7" t="inlineStr">
        <is>
          <t>NOT LOCATED — NOT YET RECOVERED</t>
        </is>
      </c>
      <c r="Y134" s="7" t="inlineStr">
        <is>
          <t>EXCLUDED</t>
        </is>
      </c>
      <c r="Z134" s="11" t="b">
        <v>0</v>
      </c>
      <c r="AA134" s="8" t="inlineStr">
        <is>
          <t>CURRENT EVIDENCE / STATUS</t>
        </is>
      </c>
    </row>
    <row r="135" ht="15.75" customHeight="1" s="29">
      <c r="A135" s="7" t="inlineStr">
        <is>
          <t>Q-130</t>
        </is>
      </c>
      <c r="B135" s="7" t="inlineStr">
        <is>
          <t>RNR-H17</t>
        </is>
      </c>
      <c r="C135" s="7" t="inlineStr">
        <is>
          <t>Long-suffering / patient</t>
        </is>
      </c>
      <c r="D135" s="7" t="inlineStr">
        <is>
          <t>A</t>
        </is>
      </c>
      <c r="E135" s="7" t="inlineStr">
        <is>
          <t>Eastern Orthodox</t>
        </is>
      </c>
      <c r="F135" s="7" t="inlineStr">
        <is>
          <t>SINGLE</t>
        </is>
      </c>
      <c r="G135" s="7" t="inlineStr">
        <is>
          <t>TO RECOVER FROM SESSION 9 LEDGER</t>
        </is>
      </c>
      <c r="H135" s="7" t="inlineStr">
        <is>
          <t>NO PUBLIC TILE</t>
        </is>
      </c>
      <c r="I135" s="7" t="n"/>
      <c r="J135" s="7" t="n"/>
      <c r="K135" s="7" t="n"/>
      <c r="L135" s="7" t="n"/>
      <c r="M135" s="7" t="n"/>
      <c r="N135" s="7" t="n"/>
      <c r="O135" s="7" t="n"/>
      <c r="P135" s="7" t="n"/>
      <c r="Q135" s="7" t="inlineStr">
        <is>
          <t>NOT-ASSESSED</t>
        </is>
      </c>
      <c r="R135" s="7" t="n"/>
      <c r="S135" s="7" t="n"/>
      <c r="T135" s="7" t="n"/>
      <c r="U135" s="7" t="n"/>
      <c r="V135" s="7" t="n"/>
      <c r="W135" s="7" t="n"/>
      <c r="X135" s="7" t="inlineStr">
        <is>
          <t>NOT LOCATED — NOT YET RECOVERED</t>
        </is>
      </c>
      <c r="Y135" s="7" t="inlineStr">
        <is>
          <t>EXCLUDED</t>
        </is>
      </c>
      <c r="Z135" s="11" t="b">
        <v>0</v>
      </c>
      <c r="AA135" s="8" t="inlineStr">
        <is>
          <t>CURRENT EVIDENCE / STATUS</t>
        </is>
      </c>
    </row>
    <row r="136" ht="15.75" customHeight="1" s="29">
      <c r="A136" s="7" t="inlineStr">
        <is>
          <t>Q-131</t>
        </is>
      </c>
      <c r="B136" s="7" t="inlineStr">
        <is>
          <t>RNR-H17</t>
        </is>
      </c>
      <c r="C136" s="7" t="inlineStr">
        <is>
          <t>Long-suffering / patient</t>
        </is>
      </c>
      <c r="D136" s="7" t="inlineStr">
        <is>
          <t>A</t>
        </is>
      </c>
      <c r="E136" s="7" t="inlineStr">
        <is>
          <t>Lutheran</t>
        </is>
      </c>
      <c r="F136" s="7" t="inlineStr">
        <is>
          <t>SINGLE</t>
        </is>
      </c>
      <c r="G136" s="7" t="inlineStr">
        <is>
          <t>TO RECOVER FROM SESSION 9 LEDGER</t>
        </is>
      </c>
      <c r="H136" s="7" t="inlineStr">
        <is>
          <t>NO PUBLIC TILE</t>
        </is>
      </c>
      <c r="I136" s="7" t="n"/>
      <c r="J136" s="7" t="n"/>
      <c r="K136" s="7" t="n"/>
      <c r="L136" s="7" t="n"/>
      <c r="M136" s="7" t="n"/>
      <c r="N136" s="7" t="n"/>
      <c r="O136" s="7" t="n"/>
      <c r="P136" s="7" t="n"/>
      <c r="Q136" s="7" t="inlineStr">
        <is>
          <t>NOT-ASSESSED</t>
        </is>
      </c>
      <c r="R136" s="7" t="n"/>
      <c r="S136" s="7" t="n"/>
      <c r="T136" s="7" t="n"/>
      <c r="U136" s="7" t="n"/>
      <c r="V136" s="7" t="n"/>
      <c r="W136" s="7" t="n"/>
      <c r="X136" s="7" t="inlineStr">
        <is>
          <t>NOT LOCATED — NOT YET RECOVERED</t>
        </is>
      </c>
      <c r="Y136" s="7" t="inlineStr">
        <is>
          <t>EXCLUDED</t>
        </is>
      </c>
      <c r="Z136" s="11" t="b">
        <v>0</v>
      </c>
      <c r="AA136" s="8" t="inlineStr">
        <is>
          <t>CURRENT EVIDENCE / STATUS</t>
        </is>
      </c>
    </row>
    <row r="137" ht="15.75" customHeight="1" s="29">
      <c r="A137" s="7" t="inlineStr">
        <is>
          <t>Q-132</t>
        </is>
      </c>
      <c r="B137" s="7" t="inlineStr">
        <is>
          <t>RNR-H17</t>
        </is>
      </c>
      <c r="C137" s="7" t="inlineStr">
        <is>
          <t>Long-suffering / patient</t>
        </is>
      </c>
      <c r="D137" s="7" t="inlineStr">
        <is>
          <t>A</t>
        </is>
      </c>
      <c r="E137" s="7" t="inlineStr">
        <is>
          <t>Reformed / Presbyterian</t>
        </is>
      </c>
      <c r="F137" s="7" t="inlineStr">
        <is>
          <t>SINGLE</t>
        </is>
      </c>
      <c r="G137" s="7" t="inlineStr">
        <is>
          <t>SESSION 9 SOURCE ROW RECOVERED</t>
        </is>
      </c>
      <c r="H137" s="7" t="inlineStr">
        <is>
          <t>PUBLIC-CERTIFIED</t>
        </is>
      </c>
      <c r="I137" s="7" t="inlineStr">
        <is>
          <t>RNR-H17a</t>
        </is>
      </c>
      <c r="J137" s="7" t="inlineStr">
        <is>
          <t>A</t>
        </is>
      </c>
      <c r="K137" s="7" t="inlineStr">
        <is>
          <t>Presbyterian Church (U.S.A.)</t>
        </is>
      </c>
      <c r="L137" s="7" t="inlineStr">
        <is>
          <t>Westminster Confession of Faith</t>
        </is>
      </c>
      <c r="M137" s="7" t="inlineStr">
        <is>
          <t>6.001 onward; Westminster Confession</t>
        </is>
      </c>
      <c r="N137" s="7" t="inlineStr">
        <is>
          <t>https://pcusa.org/about-pcusa/agencies-entities/life-witness/ministry-areas/constitutional-interpretation/constitution</t>
        </is>
      </c>
      <c r="O137" s="7" t="inlineStr">
        <is>
          <t>https://pcusa.org/sites/default/files/boc2016.pdf</t>
        </is>
      </c>
      <c r="P137" s="7" t="inlineStr">
        <is>
          <t>S9-IA-0164 / S8-IA-0164; OPC S8-IA-0163 corroborates.</t>
        </is>
      </c>
      <c r="Q137" s="7" t="inlineStr">
        <is>
          <t>HIGH</t>
        </is>
      </c>
      <c r="R137" s="7" t="inlineStr">
        <is>
          <t>PC(USA) primary; OPC corroboration.</t>
        </is>
      </c>
      <c r="S137" s="7" t="inlineStr">
        <is>
          <t>NO</t>
        </is>
      </c>
      <c r="T137" s="7" t="inlineStr">
        <is>
          <t>A</t>
        </is>
      </c>
      <c r="U137" s="7" t="inlineStr">
        <is>
          <t>Long-suffering / patient. | PC(USA) authority page and direct Book of Confessions PDF repaired in v2.9. | PC(USA) Text URL repaired to live Book of Confessions PDF in v2.10.</t>
        </is>
      </c>
      <c r="V137" s="7" t="inlineStr">
        <is>
          <t>CERTIFIED</t>
        </is>
      </c>
      <c r="W137" s="7" t="n"/>
      <c r="X137" s="7" t="inlineStr">
        <is>
          <t>A</t>
        </is>
      </c>
      <c r="Y137" s="7" t="inlineStr">
        <is>
          <t>A</t>
        </is>
      </c>
      <c r="Z137" s="11" t="b">
        <v>0</v>
      </c>
      <c r="AA137" s="8" t="inlineStr">
        <is>
          <t>CURRENT EVIDENCE / STATUS</t>
        </is>
      </c>
    </row>
    <row r="138" ht="15.75" customHeight="1" s="29">
      <c r="A138" s="7" t="inlineStr">
        <is>
          <t>Q-133</t>
        </is>
      </c>
      <c r="B138" s="7" t="inlineStr">
        <is>
          <t>RNR-H17</t>
        </is>
      </c>
      <c r="C138" s="7" t="inlineStr">
        <is>
          <t>Long-suffering / patient</t>
        </is>
      </c>
      <c r="D138" s="7" t="inlineStr">
        <is>
          <t>A</t>
        </is>
      </c>
      <c r="E138" s="7" t="inlineStr">
        <is>
          <t>Anglican</t>
        </is>
      </c>
      <c r="F138" s="7" t="inlineStr">
        <is>
          <t>SINGLE</t>
        </is>
      </c>
      <c r="G138" s="7" t="inlineStr">
        <is>
          <t>TO RECOVER FROM SESSION 9 LEDGER</t>
        </is>
      </c>
      <c r="H138" s="7" t="inlineStr">
        <is>
          <t>NO PUBLIC TILE</t>
        </is>
      </c>
      <c r="I138" s="7" t="n"/>
      <c r="J138" s="7" t="n"/>
      <c r="K138" s="7" t="n"/>
      <c r="L138" s="7" t="n"/>
      <c r="M138" s="7" t="n"/>
      <c r="N138" s="7" t="n"/>
      <c r="O138" s="7" t="n"/>
      <c r="P138" s="7" t="n"/>
      <c r="Q138" s="7" t="inlineStr">
        <is>
          <t>NOT-ASSESSED</t>
        </is>
      </c>
      <c r="R138" s="7" t="n"/>
      <c r="S138" s="7" t="n"/>
      <c r="T138" s="7" t="n"/>
      <c r="U138" s="7" t="n"/>
      <c r="V138" s="7" t="n"/>
      <c r="W138" s="7" t="n"/>
      <c r="X138" s="7" t="inlineStr">
        <is>
          <t>NOT LOCATED — NOT YET RECOVERED</t>
        </is>
      </c>
      <c r="Y138" s="7" t="inlineStr">
        <is>
          <t>EXCLUDED</t>
        </is>
      </c>
      <c r="Z138" s="11" t="b">
        <v>0</v>
      </c>
      <c r="AA138" s="8" t="inlineStr">
        <is>
          <t>CURRENT EVIDENCE / STATUS</t>
        </is>
      </c>
    </row>
    <row r="139" ht="15.75" customHeight="1" s="29">
      <c r="A139" s="7" t="inlineStr">
        <is>
          <t>Q-134</t>
        </is>
      </c>
      <c r="B139" s="7" t="inlineStr">
        <is>
          <t>RNR-H17</t>
        </is>
      </c>
      <c r="C139" s="7" t="inlineStr">
        <is>
          <t>Long-suffering / patient</t>
        </is>
      </c>
      <c r="D139" s="7" t="inlineStr">
        <is>
          <t>A</t>
        </is>
      </c>
      <c r="E139" s="7" t="inlineStr">
        <is>
          <t>Baptist</t>
        </is>
      </c>
      <c r="F139" s="7" t="inlineStr">
        <is>
          <t>SINGLE</t>
        </is>
      </c>
      <c r="G139" s="7" t="inlineStr">
        <is>
          <t>TO RECOVER FROM SESSION 9 LEDGER</t>
        </is>
      </c>
      <c r="H139" s="7" t="inlineStr">
        <is>
          <t>NO PUBLIC TILE</t>
        </is>
      </c>
      <c r="I139" s="7" t="n"/>
      <c r="J139" s="7" t="n"/>
      <c r="K139" s="7" t="n"/>
      <c r="L139" s="7" t="n"/>
      <c r="M139" s="7" t="n"/>
      <c r="N139" s="7" t="n"/>
      <c r="O139" s="7" t="n"/>
      <c r="P139" s="7" t="n"/>
      <c r="Q139" s="7" t="inlineStr">
        <is>
          <t>NOT-ASSESSED</t>
        </is>
      </c>
      <c r="R139" s="7" t="n"/>
      <c r="S139" s="7" t="n"/>
      <c r="T139" s="7" t="n"/>
      <c r="U139" s="7" t="n"/>
      <c r="V139" s="7" t="n"/>
      <c r="W139" s="7" t="n"/>
      <c r="X139" s="7" t="inlineStr">
        <is>
          <t>NOT LOCATED — NOT YET RECOVERED</t>
        </is>
      </c>
      <c r="Y139" s="7" t="inlineStr">
        <is>
          <t>EXCLUDED</t>
        </is>
      </c>
      <c r="Z139" s="11" t="b">
        <v>0</v>
      </c>
      <c r="AA139" s="8" t="inlineStr">
        <is>
          <t>CURRENT EVIDENCE / STATUS</t>
        </is>
      </c>
    </row>
    <row r="140" ht="15.75" customHeight="1" s="29">
      <c r="A140" s="7" t="inlineStr">
        <is>
          <t>Q-135</t>
        </is>
      </c>
      <c r="B140" s="7" t="inlineStr">
        <is>
          <t>RNR-H17</t>
        </is>
      </c>
      <c r="C140" s="7" t="inlineStr">
        <is>
          <t>Long-suffering / patient</t>
        </is>
      </c>
      <c r="D140" s="7" t="inlineStr">
        <is>
          <t>A</t>
        </is>
      </c>
      <c r="E140" s="7" t="inlineStr">
        <is>
          <t>Methodist / Wesleyan</t>
        </is>
      </c>
      <c r="F140" s="7" t="inlineStr">
        <is>
          <t>SINGLE</t>
        </is>
      </c>
      <c r="G140" s="7" t="inlineStr">
        <is>
          <t>TO RECOVER FROM SESSION 9 LEDGER</t>
        </is>
      </c>
      <c r="H140" s="7" t="inlineStr">
        <is>
          <t>NO PUBLIC TILE</t>
        </is>
      </c>
      <c r="I140" s="7" t="n"/>
      <c r="J140" s="7" t="n"/>
      <c r="K140" s="7" t="n"/>
      <c r="L140" s="7" t="n"/>
      <c r="M140" s="7" t="n"/>
      <c r="N140" s="7" t="n"/>
      <c r="O140" s="7" t="n"/>
      <c r="P140" s="7" t="n"/>
      <c r="Q140" s="7" t="inlineStr">
        <is>
          <t>NOT-ASSESSED</t>
        </is>
      </c>
      <c r="R140" s="7" t="n"/>
      <c r="S140" s="7" t="n"/>
      <c r="T140" s="7" t="n"/>
      <c r="U140" s="7" t="n"/>
      <c r="V140" s="7" t="n"/>
      <c r="W140" s="7" t="n"/>
      <c r="X140" s="7" t="inlineStr">
        <is>
          <t>NOT LOCATED — NOT YET RECOVERED</t>
        </is>
      </c>
      <c r="Y140" s="7" t="inlineStr">
        <is>
          <t>EXCLUDED</t>
        </is>
      </c>
      <c r="Z140" s="11" t="b">
        <v>0</v>
      </c>
      <c r="AA140" s="8" t="inlineStr">
        <is>
          <t>CURRENT EVIDENCE / STATUS</t>
        </is>
      </c>
    </row>
    <row r="141" ht="15.75" customHeight="1" s="29">
      <c r="A141" s="7" t="inlineStr">
        <is>
          <t>Q-136</t>
        </is>
      </c>
      <c r="B141" s="7" t="inlineStr">
        <is>
          <t>RNR-H17</t>
        </is>
      </c>
      <c r="C141" s="7" t="inlineStr">
        <is>
          <t>Long-suffering / patient</t>
        </is>
      </c>
      <c r="D141" s="7" t="inlineStr">
        <is>
          <t>A</t>
        </is>
      </c>
      <c r="E141" s="7" t="inlineStr">
        <is>
          <t>Mennonite / Anabaptist</t>
        </is>
      </c>
      <c r="F141" s="7" t="inlineStr">
        <is>
          <t>SINGLE</t>
        </is>
      </c>
      <c r="G141" s="7" t="inlineStr">
        <is>
          <t>TO RECOVER FROM SESSION 9 LEDGER</t>
        </is>
      </c>
      <c r="H141" s="7" t="inlineStr">
        <is>
          <t>NO PUBLIC TILE</t>
        </is>
      </c>
      <c r="I141" s="7" t="n"/>
      <c r="J141" s="7" t="n"/>
      <c r="K141" s="7" t="n"/>
      <c r="L141" s="7" t="n"/>
      <c r="M141" s="7" t="n"/>
      <c r="N141" s="7" t="n"/>
      <c r="O141" s="7" t="n"/>
      <c r="P141" s="7" t="n"/>
      <c r="Q141" s="7" t="inlineStr">
        <is>
          <t>NOT-ASSESSED</t>
        </is>
      </c>
      <c r="R141" s="7" t="n"/>
      <c r="S141" s="7" t="n"/>
      <c r="T141" s="7" t="n"/>
      <c r="U141" s="7" t="n"/>
      <c r="V141" s="7" t="n"/>
      <c r="W141" s="7" t="n"/>
      <c r="X141" s="7" t="inlineStr">
        <is>
          <t>NOT LOCATED — NOT YET RECOVERED</t>
        </is>
      </c>
      <c r="Y141" s="7" t="inlineStr">
        <is>
          <t>EXCLUDED</t>
        </is>
      </c>
      <c r="Z141" s="11" t="b">
        <v>0</v>
      </c>
      <c r="AA141" s="8" t="inlineStr">
        <is>
          <t>CURRENT EVIDENCE / STATUS</t>
        </is>
      </c>
    </row>
    <row r="142" ht="15.75" customHeight="1" s="29">
      <c r="A142" s="7" t="inlineStr">
        <is>
          <t>Q-137</t>
        </is>
      </c>
      <c r="B142" s="7" t="inlineStr">
        <is>
          <t>RNR-H18</t>
        </is>
      </c>
      <c r="C142" s="7" t="inlineStr">
        <is>
          <t>Forgiving</t>
        </is>
      </c>
      <c r="D142" s="7" t="inlineStr">
        <is>
          <t>A</t>
        </is>
      </c>
      <c r="E142" s="7" t="inlineStr">
        <is>
          <t>Roman Catholic</t>
        </is>
      </c>
      <c r="F142" s="7" t="inlineStr">
        <is>
          <t>SINGLE</t>
        </is>
      </c>
      <c r="G142" s="7" t="inlineStr">
        <is>
          <t>TO RECOVER FROM SESSION 9 LEDGER</t>
        </is>
      </c>
      <c r="H142" s="7" t="inlineStr">
        <is>
          <t>NO PUBLIC TILE</t>
        </is>
      </c>
      <c r="I142" s="7" t="n"/>
      <c r="J142" s="7" t="n"/>
      <c r="K142" s="7" t="n"/>
      <c r="L142" s="7" t="n"/>
      <c r="M142" s="7" t="n"/>
      <c r="N142" s="7" t="n"/>
      <c r="O142" s="7" t="n"/>
      <c r="P142" s="7" t="n"/>
      <c r="Q142" s="7" t="inlineStr">
        <is>
          <t>NOT-ASSESSED</t>
        </is>
      </c>
      <c r="R142" s="7" t="n"/>
      <c r="S142" s="7" t="n"/>
      <c r="T142" s="7" t="n"/>
      <c r="U142" s="7" t="n"/>
      <c r="V142" s="7" t="n"/>
      <c r="W142" s="7" t="n"/>
      <c r="X142" s="7" t="inlineStr">
        <is>
          <t>NOT LOCATED — NOT YET RECOVERED</t>
        </is>
      </c>
      <c r="Y142" s="7" t="inlineStr">
        <is>
          <t>EXCLUDED</t>
        </is>
      </c>
      <c r="Z142" s="11" t="b">
        <v>0</v>
      </c>
      <c r="AA142" s="8" t="inlineStr">
        <is>
          <t>CURRENT EVIDENCE / STATUS</t>
        </is>
      </c>
    </row>
    <row r="143" ht="15.75" customHeight="1" s="29">
      <c r="A143" s="7" t="inlineStr">
        <is>
          <t>Q-138</t>
        </is>
      </c>
      <c r="B143" s="7" t="inlineStr">
        <is>
          <t>RNR-H18</t>
        </is>
      </c>
      <c r="C143" s="7" t="inlineStr">
        <is>
          <t>Forgiving</t>
        </is>
      </c>
      <c r="D143" s="7" t="inlineStr">
        <is>
          <t>A</t>
        </is>
      </c>
      <c r="E143" s="7" t="inlineStr">
        <is>
          <t>Eastern Orthodox</t>
        </is>
      </c>
      <c r="F143" s="7" t="inlineStr">
        <is>
          <t>SINGLE</t>
        </is>
      </c>
      <c r="G143" s="7" t="inlineStr">
        <is>
          <t>TO RECOVER FROM SESSION 9 LEDGER</t>
        </is>
      </c>
      <c r="H143" s="7" t="inlineStr">
        <is>
          <t>NO PUBLIC TILE</t>
        </is>
      </c>
      <c r="I143" s="7" t="n"/>
      <c r="J143" s="7" t="n"/>
      <c r="K143" s="7" t="n"/>
      <c r="L143" s="7" t="n"/>
      <c r="M143" s="7" t="n"/>
      <c r="N143" s="7" t="n"/>
      <c r="O143" s="7" t="n"/>
      <c r="P143" s="7" t="n"/>
      <c r="Q143" s="7" t="inlineStr">
        <is>
          <t>NOT-ASSESSED</t>
        </is>
      </c>
      <c r="R143" s="7" t="n"/>
      <c r="S143" s="7" t="n"/>
      <c r="T143" s="7" t="n"/>
      <c r="U143" s="7" t="n"/>
      <c r="V143" s="7" t="n"/>
      <c r="W143" s="7" t="n"/>
      <c r="X143" s="7" t="inlineStr">
        <is>
          <t>NOT LOCATED — NOT YET RECOVERED</t>
        </is>
      </c>
      <c r="Y143" s="7" t="inlineStr">
        <is>
          <t>EXCLUDED</t>
        </is>
      </c>
      <c r="Z143" s="11" t="b">
        <v>0</v>
      </c>
      <c r="AA143" s="8" t="inlineStr">
        <is>
          <t>CURRENT EVIDENCE / STATUS</t>
        </is>
      </c>
    </row>
    <row r="144" ht="15.75" customHeight="1" s="29">
      <c r="A144" s="7" t="inlineStr">
        <is>
          <t>Q-139</t>
        </is>
      </c>
      <c r="B144" s="7" t="inlineStr">
        <is>
          <t>RNR-H18</t>
        </is>
      </c>
      <c r="C144" s="7" t="inlineStr">
        <is>
          <t>Forgiving</t>
        </is>
      </c>
      <c r="D144" s="7" t="inlineStr">
        <is>
          <t>A</t>
        </is>
      </c>
      <c r="E144" s="7" t="inlineStr">
        <is>
          <t>Lutheran</t>
        </is>
      </c>
      <c r="F144" s="7" t="inlineStr">
        <is>
          <t>SINGLE</t>
        </is>
      </c>
      <c r="G144" s="7" t="inlineStr">
        <is>
          <t>TO RECOVER FROM SESSION 9 LEDGER</t>
        </is>
      </c>
      <c r="H144" s="7" t="inlineStr">
        <is>
          <t>NO PUBLIC TILE</t>
        </is>
      </c>
      <c r="I144" s="7" t="n"/>
      <c r="J144" s="7" t="n"/>
      <c r="K144" s="7" t="n"/>
      <c r="L144" s="7" t="n"/>
      <c r="M144" s="7" t="n"/>
      <c r="N144" s="7" t="n"/>
      <c r="O144" s="7" t="n"/>
      <c r="P144" s="7" t="n"/>
      <c r="Q144" s="7" t="inlineStr">
        <is>
          <t>NOT-ASSESSED</t>
        </is>
      </c>
      <c r="R144" s="7" t="n"/>
      <c r="S144" s="7" t="n"/>
      <c r="T144" s="7" t="n"/>
      <c r="U144" s="7" t="n"/>
      <c r="V144" s="7" t="n"/>
      <c r="W144" s="7" t="n"/>
      <c r="X144" s="7" t="inlineStr">
        <is>
          <t>NOT LOCATED — NOT YET RECOVERED</t>
        </is>
      </c>
      <c r="Y144" s="7" t="inlineStr">
        <is>
          <t>EXCLUDED</t>
        </is>
      </c>
      <c r="Z144" s="11" t="b">
        <v>0</v>
      </c>
      <c r="AA144" s="8" t="inlineStr">
        <is>
          <t>CURRENT EVIDENCE / STATUS</t>
        </is>
      </c>
    </row>
    <row r="145" ht="15.75" customHeight="1" s="29">
      <c r="A145" s="7" t="inlineStr">
        <is>
          <t>Q-140</t>
        </is>
      </c>
      <c r="B145" s="7" t="inlineStr">
        <is>
          <t>RNR-H18</t>
        </is>
      </c>
      <c r="C145" s="7" t="inlineStr">
        <is>
          <t>Forgiving</t>
        </is>
      </c>
      <c r="D145" s="7" t="inlineStr">
        <is>
          <t>A</t>
        </is>
      </c>
      <c r="E145" s="7" t="inlineStr">
        <is>
          <t>Reformed / Presbyterian</t>
        </is>
      </c>
      <c r="F145" s="7" t="inlineStr">
        <is>
          <t>SINGLE</t>
        </is>
      </c>
      <c r="G145" s="7" t="inlineStr">
        <is>
          <t>SESSION 9 SOURCE ROW RECOVERED</t>
        </is>
      </c>
      <c r="H145" s="7" t="inlineStr">
        <is>
          <t>PUBLIC-CERTIFIED</t>
        </is>
      </c>
      <c r="I145" s="7" t="inlineStr">
        <is>
          <t>RNR-H18a</t>
        </is>
      </c>
      <c r="J145" s="7" t="inlineStr">
        <is>
          <t>A</t>
        </is>
      </c>
      <c r="K145" s="7" t="inlineStr">
        <is>
          <t>Orthodox Presbyterian Church</t>
        </is>
      </c>
      <c r="L145" s="7" t="inlineStr">
        <is>
          <t>Westminster Confession of Faith</t>
        </is>
      </c>
      <c r="M145" s="7" t="inlineStr">
        <is>
          <t>Chapters II.1–3; III; V; VI; IX; XIII as applicable</t>
        </is>
      </c>
      <c r="N145" s="7" t="inlineStr">
        <is>
          <t>https://opc.org/wcf.html</t>
        </is>
      </c>
      <c r="O145" s="7" t="inlineStr">
        <is>
          <t>https://opc.org/wcf.html</t>
        </is>
      </c>
      <c r="P145" s="7" t="inlineStr">
        <is>
          <t>S9-IA-0165 / S8-IA-0165; PC(USA) S9-IA-0166 corroborates.</t>
        </is>
      </c>
      <c r="Q145" s="7" t="inlineStr">
        <is>
          <t>HIGH</t>
        </is>
      </c>
      <c r="R145" s="7" t="inlineStr">
        <is>
          <t>OPC primary; PC(USA) corroboration.</t>
        </is>
      </c>
      <c r="S145" s="7" t="inlineStr">
        <is>
          <t>NO</t>
        </is>
      </c>
      <c r="T145" s="7" t="inlineStr">
        <is>
          <t>A</t>
        </is>
      </c>
      <c r="U145" s="7" t="inlineStr">
        <is>
          <t>Forgiving.</t>
        </is>
      </c>
      <c r="V145" s="7" t="inlineStr">
        <is>
          <t>CERTIFIED</t>
        </is>
      </c>
      <c r="W145" s="7" t="n"/>
      <c r="X145" s="7" t="inlineStr">
        <is>
          <t>A</t>
        </is>
      </c>
      <c r="Y145" s="7" t="inlineStr">
        <is>
          <t>A</t>
        </is>
      </c>
      <c r="Z145" s="11" t="b">
        <v>0</v>
      </c>
      <c r="AA145" s="8" t="inlineStr">
        <is>
          <t>CURRENT EVIDENCE / STATUS</t>
        </is>
      </c>
    </row>
    <row r="146" ht="15.75" customHeight="1" s="29">
      <c r="A146" s="7" t="inlineStr">
        <is>
          <t>Q-141</t>
        </is>
      </c>
      <c r="B146" s="7" t="inlineStr">
        <is>
          <t>RNR-H18</t>
        </is>
      </c>
      <c r="C146" s="7" t="inlineStr">
        <is>
          <t>Forgiving</t>
        </is>
      </c>
      <c r="D146" s="7" t="inlineStr">
        <is>
          <t>A</t>
        </is>
      </c>
      <c r="E146" s="7" t="inlineStr">
        <is>
          <t>Anglican</t>
        </is>
      </c>
      <c r="F146" s="7" t="inlineStr">
        <is>
          <t>SINGLE</t>
        </is>
      </c>
      <c r="G146" s="7" t="inlineStr">
        <is>
          <t>TO RECOVER FROM SESSION 9 LEDGER</t>
        </is>
      </c>
      <c r="H146" s="7" t="inlineStr">
        <is>
          <t>NO PUBLIC TILE</t>
        </is>
      </c>
      <c r="I146" s="7" t="n"/>
      <c r="J146" s="7" t="n"/>
      <c r="K146" s="7" t="n"/>
      <c r="L146" s="7" t="n"/>
      <c r="M146" s="7" t="n"/>
      <c r="N146" s="7" t="n"/>
      <c r="O146" s="7" t="n"/>
      <c r="P146" s="7" t="n"/>
      <c r="Q146" s="7" t="inlineStr">
        <is>
          <t>NOT-ASSESSED</t>
        </is>
      </c>
      <c r="R146" s="7" t="n"/>
      <c r="S146" s="7" t="n"/>
      <c r="T146" s="7" t="n"/>
      <c r="U146" s="7" t="n"/>
      <c r="V146" s="7" t="n"/>
      <c r="W146" s="7" t="n"/>
      <c r="X146" s="7" t="inlineStr">
        <is>
          <t>NOT LOCATED — NOT YET RECOVERED</t>
        </is>
      </c>
      <c r="Y146" s="7" t="inlineStr">
        <is>
          <t>EXCLUDED</t>
        </is>
      </c>
      <c r="Z146" s="11" t="b">
        <v>0</v>
      </c>
      <c r="AA146" s="8" t="inlineStr">
        <is>
          <t>CURRENT EVIDENCE / STATUS</t>
        </is>
      </c>
    </row>
    <row r="147" ht="15.75" customHeight="1" s="29">
      <c r="A147" s="7" t="inlineStr">
        <is>
          <t>Q-142</t>
        </is>
      </c>
      <c r="B147" s="7" t="inlineStr">
        <is>
          <t>RNR-H18</t>
        </is>
      </c>
      <c r="C147" s="7" t="inlineStr">
        <is>
          <t>Forgiving</t>
        </is>
      </c>
      <c r="D147" s="7" t="inlineStr">
        <is>
          <t>A</t>
        </is>
      </c>
      <c r="E147" s="7" t="inlineStr">
        <is>
          <t>Baptist</t>
        </is>
      </c>
      <c r="F147" s="7" t="inlineStr">
        <is>
          <t>SINGLE</t>
        </is>
      </c>
      <c r="G147" s="7" t="inlineStr">
        <is>
          <t>TO RECOVER FROM SESSION 9 LEDGER</t>
        </is>
      </c>
      <c r="H147" s="7" t="inlineStr">
        <is>
          <t>NO PUBLIC TILE</t>
        </is>
      </c>
      <c r="I147" s="7" t="n"/>
      <c r="J147" s="7" t="n"/>
      <c r="K147" s="7" t="n"/>
      <c r="L147" s="7" t="n"/>
      <c r="M147" s="7" t="n"/>
      <c r="N147" s="7" t="n"/>
      <c r="O147" s="7" t="n"/>
      <c r="P147" s="7" t="n"/>
      <c r="Q147" s="7" t="inlineStr">
        <is>
          <t>NOT-ASSESSED</t>
        </is>
      </c>
      <c r="R147" s="7" t="n"/>
      <c r="S147" s="7" t="n"/>
      <c r="T147" s="7" t="n"/>
      <c r="U147" s="7" t="n"/>
      <c r="V147" s="7" t="n"/>
      <c r="W147" s="7" t="n"/>
      <c r="X147" s="7" t="inlineStr">
        <is>
          <t>NOT LOCATED — NOT YET RECOVERED</t>
        </is>
      </c>
      <c r="Y147" s="7" t="inlineStr">
        <is>
          <t>EXCLUDED</t>
        </is>
      </c>
      <c r="Z147" s="11" t="b">
        <v>0</v>
      </c>
      <c r="AA147" s="8" t="inlineStr">
        <is>
          <t>CURRENT EVIDENCE / STATUS</t>
        </is>
      </c>
    </row>
    <row r="148" ht="15.75" customHeight="1" s="29">
      <c r="A148" s="7" t="inlineStr">
        <is>
          <t>Q-143</t>
        </is>
      </c>
      <c r="B148" s="7" t="inlineStr">
        <is>
          <t>RNR-H18</t>
        </is>
      </c>
      <c r="C148" s="7" t="inlineStr">
        <is>
          <t>Forgiving</t>
        </is>
      </c>
      <c r="D148" s="7" t="inlineStr">
        <is>
          <t>A</t>
        </is>
      </c>
      <c r="E148" s="7" t="inlineStr">
        <is>
          <t>Methodist / Wesleyan</t>
        </is>
      </c>
      <c r="F148" s="7" t="inlineStr">
        <is>
          <t>SINGLE</t>
        </is>
      </c>
      <c r="G148" s="7" t="inlineStr">
        <is>
          <t>TO RECOVER FROM SESSION 9 LEDGER</t>
        </is>
      </c>
      <c r="H148" s="7" t="inlineStr">
        <is>
          <t>NO PUBLIC TILE</t>
        </is>
      </c>
      <c r="I148" s="7" t="n"/>
      <c r="J148" s="7" t="n"/>
      <c r="K148" s="7" t="n"/>
      <c r="L148" s="7" t="n"/>
      <c r="M148" s="7" t="n"/>
      <c r="N148" s="7" t="n"/>
      <c r="O148" s="7" t="n"/>
      <c r="P148" s="7" t="n"/>
      <c r="Q148" s="7" t="inlineStr">
        <is>
          <t>NOT-ASSESSED</t>
        </is>
      </c>
      <c r="R148" s="7" t="n"/>
      <c r="S148" s="7" t="n"/>
      <c r="T148" s="7" t="n"/>
      <c r="U148" s="7" t="n"/>
      <c r="V148" s="7" t="n"/>
      <c r="W148" s="7" t="n"/>
      <c r="X148" s="7" t="inlineStr">
        <is>
          <t>NOT LOCATED — NOT YET RECOVERED</t>
        </is>
      </c>
      <c r="Y148" s="7" t="inlineStr">
        <is>
          <t>EXCLUDED</t>
        </is>
      </c>
      <c r="Z148" s="11" t="b">
        <v>0</v>
      </c>
      <c r="AA148" s="8" t="inlineStr">
        <is>
          <t>CURRENT EVIDENCE / STATUS</t>
        </is>
      </c>
    </row>
    <row r="149" ht="15.75" customHeight="1" s="29">
      <c r="A149" s="7" t="inlineStr">
        <is>
          <t>Q-144</t>
        </is>
      </c>
      <c r="B149" s="7" t="inlineStr">
        <is>
          <t>RNR-H18</t>
        </is>
      </c>
      <c r="C149" s="7" t="inlineStr">
        <is>
          <t>Forgiving</t>
        </is>
      </c>
      <c r="D149" s="7" t="inlineStr">
        <is>
          <t>A</t>
        </is>
      </c>
      <c r="E149" s="7" t="inlineStr">
        <is>
          <t>Mennonite / Anabaptist</t>
        </is>
      </c>
      <c r="F149" s="7" t="inlineStr">
        <is>
          <t>SINGLE</t>
        </is>
      </c>
      <c r="G149" s="7" t="inlineStr">
        <is>
          <t>TO RECOVER FROM SESSION 9 LEDGER</t>
        </is>
      </c>
      <c r="H149" s="7" t="inlineStr">
        <is>
          <t>NO PUBLIC TILE</t>
        </is>
      </c>
      <c r="I149" s="7" t="n"/>
      <c r="J149" s="7" t="n"/>
      <c r="K149" s="7" t="n"/>
      <c r="L149" s="7" t="n"/>
      <c r="M149" s="7" t="n"/>
      <c r="N149" s="7" t="n"/>
      <c r="O149" s="7" t="n"/>
      <c r="P149" s="7" t="n"/>
      <c r="Q149" s="7" t="inlineStr">
        <is>
          <t>NOT-ASSESSED</t>
        </is>
      </c>
      <c r="R149" s="7" t="n"/>
      <c r="S149" s="7" t="n"/>
      <c r="T149" s="7" t="n"/>
      <c r="U149" s="7" t="n"/>
      <c r="V149" s="7" t="n"/>
      <c r="W149" s="7" t="n"/>
      <c r="X149" s="7" t="inlineStr">
        <is>
          <t>NOT LOCATED — NOT YET RECOVERED</t>
        </is>
      </c>
      <c r="Y149" s="7" t="inlineStr">
        <is>
          <t>EXCLUDED</t>
        </is>
      </c>
      <c r="Z149" s="11" t="b">
        <v>0</v>
      </c>
      <c r="AA149" s="8" t="inlineStr">
        <is>
          <t>CURRENT EVIDENCE / STATUS</t>
        </is>
      </c>
    </row>
    <row r="150" ht="15.75" customHeight="1" s="29">
      <c r="A150" s="7" t="inlineStr">
        <is>
          <t>Q-145</t>
        </is>
      </c>
      <c r="B150" s="7" t="inlineStr">
        <is>
          <t>RNR-H19</t>
        </is>
      </c>
      <c r="C150" s="7" t="inlineStr">
        <is>
          <t>Blessed</t>
        </is>
      </c>
      <c r="D150" s="7" t="inlineStr">
        <is>
          <t>A</t>
        </is>
      </c>
      <c r="E150" s="7" t="inlineStr">
        <is>
          <t>Roman Catholic</t>
        </is>
      </c>
      <c r="F150" s="7" t="inlineStr">
        <is>
          <t>SINGLE</t>
        </is>
      </c>
      <c r="G150" s="7" t="inlineStr">
        <is>
          <t>SESSION 8 ATTESTATION + SESSION 9 ATOMIC CODE RECOVERED</t>
        </is>
      </c>
      <c r="H150" s="7" t="inlineStr">
        <is>
          <t>PUBLIC-CERTIFIED</t>
        </is>
      </c>
      <c r="I150" s="7" t="inlineStr">
        <is>
          <t>RNR-H19a</t>
        </is>
      </c>
      <c r="J150" s="7" t="inlineStr">
        <is>
          <t>A</t>
        </is>
      </c>
      <c r="K150" s="7" t="inlineStr">
        <is>
          <t>Roman Catholic Church</t>
        </is>
      </c>
      <c r="L150" s="7" t="inlineStr">
        <is>
          <t>First Vatican Council, Dei Filius</t>
        </is>
      </c>
      <c r="M150" s="7" t="inlineStr">
        <is>
          <t>Chapter I, God the Creator of All Things</t>
        </is>
      </c>
      <c r="N150" s="7" t="inlineStr">
        <is>
          <t>https://www.vatican.va/archive/hist_councils/i-vatican-council/documents/vat-i_const_18700424_dei-filius_la.html</t>
        </is>
      </c>
      <c r="O150" s="7" t="inlineStr">
        <is>
          <t>https://www.ewtn.com/catholicism/teachings/vatican-i-dogmatic-constitution-dei-filius-on-the-catholic-faith-241</t>
        </is>
      </c>
      <c r="P150" s="7" t="inlineStr">
        <is>
          <t>S8-IA-0169 + Session 9 H19a atomic A decision</t>
        </is>
      </c>
      <c r="Q150" s="7" t="inlineStr">
        <is>
          <t>MEDIUM-HIGH</t>
        </is>
      </c>
      <c r="R150" s="7" t="inlineStr">
        <is>
          <t>Universal Catholic Church; official Latin controls.</t>
        </is>
      </c>
      <c r="S150" s="7" t="inlineStr">
        <is>
          <t>NO</t>
        </is>
      </c>
      <c r="T150" s="7" t="inlineStr">
        <is>
          <t>A</t>
        </is>
      </c>
      <c r="U150" s="7" t="inlineStr">
        <is>
          <t>Blessedness / beatitude.</t>
        </is>
      </c>
      <c r="V150" s="7" t="inlineStr">
        <is>
          <t>CERTIFIED</t>
        </is>
      </c>
      <c r="W150" s="7" t="n"/>
      <c r="X150" s="7" t="inlineStr">
        <is>
          <t>A</t>
        </is>
      </c>
      <c r="Y150" s="7" t="inlineStr">
        <is>
          <t>A</t>
        </is>
      </c>
      <c r="Z150" s="11" t="b">
        <v>0</v>
      </c>
      <c r="AA150" s="8" t="inlineStr">
        <is>
          <t>CURRENT EVIDENCE / STATUS</t>
        </is>
      </c>
    </row>
    <row r="151" ht="15.75" customHeight="1" s="29">
      <c r="A151" s="7" t="inlineStr">
        <is>
          <t>Q-146</t>
        </is>
      </c>
      <c r="B151" s="7" t="inlineStr">
        <is>
          <t>RNR-H19</t>
        </is>
      </c>
      <c r="C151" s="7" t="inlineStr">
        <is>
          <t>Blessed</t>
        </is>
      </c>
      <c r="D151" s="7" t="inlineStr">
        <is>
          <t>A</t>
        </is>
      </c>
      <c r="E151" s="7" t="inlineStr">
        <is>
          <t>Eastern Orthodox</t>
        </is>
      </c>
      <c r="F151" s="7" t="inlineStr">
        <is>
          <t>SINGLE</t>
        </is>
      </c>
      <c r="G151" s="7" t="inlineStr">
        <is>
          <t>TO RECOVER FROM SESSION 9 LEDGER</t>
        </is>
      </c>
      <c r="H151" s="7" t="inlineStr">
        <is>
          <t>NO PUBLIC TILE</t>
        </is>
      </c>
      <c r="I151" s="7" t="n"/>
      <c r="J151" s="7" t="n"/>
      <c r="K151" s="7" t="n"/>
      <c r="L151" s="7" t="n"/>
      <c r="M151" s="7" t="n"/>
      <c r="N151" s="7" t="n"/>
      <c r="O151" s="7" t="n"/>
      <c r="P151" s="7" t="n"/>
      <c r="Q151" s="7" t="inlineStr">
        <is>
          <t>NOT-ASSESSED</t>
        </is>
      </c>
      <c r="R151" s="7" t="n"/>
      <c r="S151" s="7" t="n"/>
      <c r="T151" s="7" t="n"/>
      <c r="U151" s="7" t="n"/>
      <c r="V151" s="7" t="n"/>
      <c r="W151" s="7" t="n"/>
      <c r="X151" s="7" t="inlineStr">
        <is>
          <t>NOT LOCATED — NOT YET RECOVERED</t>
        </is>
      </c>
      <c r="Y151" s="7" t="inlineStr">
        <is>
          <t>EXCLUDED</t>
        </is>
      </c>
      <c r="Z151" s="11" t="b">
        <v>0</v>
      </c>
      <c r="AA151" s="8" t="inlineStr">
        <is>
          <t>CURRENT EVIDENCE / STATUS</t>
        </is>
      </c>
    </row>
    <row r="152" ht="15.75" customHeight="1" s="29">
      <c r="A152" s="7" t="inlineStr">
        <is>
          <t>Q-147</t>
        </is>
      </c>
      <c r="B152" s="7" t="inlineStr">
        <is>
          <t>RNR-H19</t>
        </is>
      </c>
      <c r="C152" s="7" t="inlineStr">
        <is>
          <t>Blessed</t>
        </is>
      </c>
      <c r="D152" s="7" t="inlineStr">
        <is>
          <t>A</t>
        </is>
      </c>
      <c r="E152" s="7" t="inlineStr">
        <is>
          <t>Lutheran</t>
        </is>
      </c>
      <c r="F152" s="7" t="inlineStr">
        <is>
          <t>SINGLE</t>
        </is>
      </c>
      <c r="G152" s="7" t="inlineStr">
        <is>
          <t>TO RECOVER FROM SESSION 9 LEDGER</t>
        </is>
      </c>
      <c r="H152" s="7" t="inlineStr">
        <is>
          <t>NO PUBLIC TILE</t>
        </is>
      </c>
      <c r="I152" s="7" t="n"/>
      <c r="J152" s="7" t="n"/>
      <c r="K152" s="7" t="n"/>
      <c r="L152" s="7" t="n"/>
      <c r="M152" s="7" t="n"/>
      <c r="N152" s="7" t="n"/>
      <c r="O152" s="7" t="n"/>
      <c r="P152" s="7" t="n"/>
      <c r="Q152" s="7" t="inlineStr">
        <is>
          <t>NOT-ASSESSED</t>
        </is>
      </c>
      <c r="R152" s="7" t="n"/>
      <c r="S152" s="7" t="n"/>
      <c r="T152" s="7" t="n"/>
      <c r="U152" s="7" t="n"/>
      <c r="V152" s="7" t="n"/>
      <c r="W152" s="7" t="n"/>
      <c r="X152" s="7" t="inlineStr">
        <is>
          <t>NOT LOCATED — NOT YET RECOVERED</t>
        </is>
      </c>
      <c r="Y152" s="7" t="inlineStr">
        <is>
          <t>EXCLUDED</t>
        </is>
      </c>
      <c r="Z152" s="11" t="b">
        <v>0</v>
      </c>
      <c r="AA152" s="8" t="inlineStr">
        <is>
          <t>CURRENT EVIDENCE / STATUS</t>
        </is>
      </c>
    </row>
    <row r="153" ht="15.75" customHeight="1" s="29">
      <c r="A153" s="7" t="inlineStr">
        <is>
          <t>Q-148</t>
        </is>
      </c>
      <c r="B153" s="7" t="inlineStr">
        <is>
          <t>RNR-H19</t>
        </is>
      </c>
      <c r="C153" s="7" t="inlineStr">
        <is>
          <t>Blessed</t>
        </is>
      </c>
      <c r="D153" s="7" t="inlineStr">
        <is>
          <t>A</t>
        </is>
      </c>
      <c r="E153" s="7" t="inlineStr">
        <is>
          <t>Reformed / Presbyterian</t>
        </is>
      </c>
      <c r="F153" s="7" t="inlineStr">
        <is>
          <t>SINGLE</t>
        </is>
      </c>
      <c r="G153" s="7" t="inlineStr">
        <is>
          <t>SESSION 9 SOURCE ROW RECOVERED</t>
        </is>
      </c>
      <c r="H153" s="7" t="inlineStr">
        <is>
          <t>PUBLIC-CERTIFIED</t>
        </is>
      </c>
      <c r="I153" s="7" t="inlineStr">
        <is>
          <t>RNR-H19a</t>
        </is>
      </c>
      <c r="J153" s="7" t="inlineStr">
        <is>
          <t>A</t>
        </is>
      </c>
      <c r="K153" s="7" t="inlineStr">
        <is>
          <t>Orthodox Presbyterian Church</t>
        </is>
      </c>
      <c r="L153" s="7" t="inlineStr">
        <is>
          <t>Westminster Confession of Faith</t>
        </is>
      </c>
      <c r="M153" s="7" t="inlineStr">
        <is>
          <t>Chapters II.1–3; III; V; VI; IX; XIII as applicable</t>
        </is>
      </c>
      <c r="N153" s="7" t="inlineStr">
        <is>
          <t>https://opc.org/wcf.html</t>
        </is>
      </c>
      <c r="O153" s="7" t="inlineStr">
        <is>
          <t>https://opc.org/wcf.html</t>
        </is>
      </c>
      <c r="P153" s="7" t="inlineStr">
        <is>
          <t>S9-IA-0167 / S8-IA-0167; PC(USA) S9-IA-0168 corroborates.</t>
        </is>
      </c>
      <c r="Q153" s="7" t="inlineStr">
        <is>
          <t>MEDIUM-HIGH</t>
        </is>
      </c>
      <c r="R153" s="7" t="inlineStr">
        <is>
          <t>OPC primary; PC(USA) corroboration.</t>
        </is>
      </c>
      <c r="S153" s="7" t="inlineStr">
        <is>
          <t>NO</t>
        </is>
      </c>
      <c r="T153" s="7" t="inlineStr">
        <is>
          <t>A</t>
        </is>
      </c>
      <c r="U153" s="7" t="inlineStr">
        <is>
          <t>Blessedness / beatitude.</t>
        </is>
      </c>
      <c r="V153" s="7" t="inlineStr">
        <is>
          <t>CERTIFIED</t>
        </is>
      </c>
      <c r="W153" s="7" t="n"/>
      <c r="X153" s="7" t="inlineStr">
        <is>
          <t>A</t>
        </is>
      </c>
      <c r="Y153" s="7" t="inlineStr">
        <is>
          <t>A</t>
        </is>
      </c>
      <c r="Z153" s="11" t="b">
        <v>0</v>
      </c>
      <c r="AA153" s="8" t="inlineStr">
        <is>
          <t>CURRENT EVIDENCE / STATUS</t>
        </is>
      </c>
    </row>
    <row r="154" ht="15.75" customHeight="1" s="29">
      <c r="A154" s="7" t="inlineStr">
        <is>
          <t>Q-149</t>
        </is>
      </c>
      <c r="B154" s="7" t="inlineStr">
        <is>
          <t>RNR-H19</t>
        </is>
      </c>
      <c r="C154" s="7" t="inlineStr">
        <is>
          <t>Blessed</t>
        </is>
      </c>
      <c r="D154" s="7" t="inlineStr">
        <is>
          <t>A</t>
        </is>
      </c>
      <c r="E154" s="7" t="inlineStr">
        <is>
          <t>Anglican</t>
        </is>
      </c>
      <c r="F154" s="7" t="inlineStr">
        <is>
          <t>SINGLE</t>
        </is>
      </c>
      <c r="G154" s="7" t="inlineStr">
        <is>
          <t>TO RECOVER FROM SESSION 9 LEDGER</t>
        </is>
      </c>
      <c r="H154" s="7" t="inlineStr">
        <is>
          <t>NO PUBLIC TILE</t>
        </is>
      </c>
      <c r="I154" s="7" t="n"/>
      <c r="J154" s="7" t="n"/>
      <c r="K154" s="7" t="n"/>
      <c r="L154" s="7" t="n"/>
      <c r="M154" s="7" t="n"/>
      <c r="N154" s="7" t="n"/>
      <c r="O154" s="7" t="n"/>
      <c r="P154" s="7" t="n"/>
      <c r="Q154" s="7" t="inlineStr">
        <is>
          <t>NOT-ASSESSED</t>
        </is>
      </c>
      <c r="R154" s="7" t="n"/>
      <c r="S154" s="7" t="n"/>
      <c r="T154" s="7" t="n"/>
      <c r="U154" s="7" t="n"/>
      <c r="V154" s="7" t="n"/>
      <c r="W154" s="7" t="n"/>
      <c r="X154" s="7" t="inlineStr">
        <is>
          <t>NOT LOCATED — NOT YET RECOVERED</t>
        </is>
      </c>
      <c r="Y154" s="7" t="inlineStr">
        <is>
          <t>EXCLUDED</t>
        </is>
      </c>
      <c r="Z154" s="11" t="b">
        <v>0</v>
      </c>
      <c r="AA154" s="8" t="inlineStr">
        <is>
          <t>CURRENT EVIDENCE / STATUS</t>
        </is>
      </c>
    </row>
    <row r="155" ht="15.75" customHeight="1" s="29">
      <c r="A155" s="7" t="inlineStr">
        <is>
          <t>Q-150</t>
        </is>
      </c>
      <c r="B155" s="7" t="inlineStr">
        <is>
          <t>RNR-H19</t>
        </is>
      </c>
      <c r="C155" s="7" t="inlineStr">
        <is>
          <t>Blessed</t>
        </is>
      </c>
      <c r="D155" s="7" t="inlineStr">
        <is>
          <t>A</t>
        </is>
      </c>
      <c r="E155" s="7" t="inlineStr">
        <is>
          <t>Baptist</t>
        </is>
      </c>
      <c r="F155" s="7" t="inlineStr">
        <is>
          <t>SINGLE</t>
        </is>
      </c>
      <c r="G155" s="7" t="inlineStr">
        <is>
          <t>TO RECOVER FROM SESSION 9 LEDGER</t>
        </is>
      </c>
      <c r="H155" s="7" t="inlineStr">
        <is>
          <t>NO PUBLIC TILE</t>
        </is>
      </c>
      <c r="I155" s="7" t="n"/>
      <c r="J155" s="7" t="n"/>
      <c r="K155" s="7" t="n"/>
      <c r="L155" s="7" t="n"/>
      <c r="M155" s="7" t="n"/>
      <c r="N155" s="7" t="n"/>
      <c r="O155" s="7" t="n"/>
      <c r="P155" s="7" t="n"/>
      <c r="Q155" s="7" t="inlineStr">
        <is>
          <t>NOT-ASSESSED</t>
        </is>
      </c>
      <c r="R155" s="7" t="n"/>
      <c r="S155" s="7" t="n"/>
      <c r="T155" s="7" t="n"/>
      <c r="U155" s="7" t="n"/>
      <c r="V155" s="7" t="n"/>
      <c r="W155" s="7" t="n"/>
      <c r="X155" s="7" t="inlineStr">
        <is>
          <t>NOT LOCATED — NOT YET RECOVERED</t>
        </is>
      </c>
      <c r="Y155" s="7" t="inlineStr">
        <is>
          <t>EXCLUDED</t>
        </is>
      </c>
      <c r="Z155" s="11" t="b">
        <v>0</v>
      </c>
      <c r="AA155" s="8" t="inlineStr">
        <is>
          <t>CURRENT EVIDENCE / STATUS</t>
        </is>
      </c>
    </row>
    <row r="156" ht="15.75" customHeight="1" s="29">
      <c r="A156" s="7" t="inlineStr">
        <is>
          <t>Q-151</t>
        </is>
      </c>
      <c r="B156" s="7" t="inlineStr">
        <is>
          <t>RNR-H19</t>
        </is>
      </c>
      <c r="C156" s="7" t="inlineStr">
        <is>
          <t>Blessed</t>
        </is>
      </c>
      <c r="D156" s="7" t="inlineStr">
        <is>
          <t>A</t>
        </is>
      </c>
      <c r="E156" s="7" t="inlineStr">
        <is>
          <t>Methodist / Wesleyan</t>
        </is>
      </c>
      <c r="F156" s="7" t="inlineStr">
        <is>
          <t>SINGLE</t>
        </is>
      </c>
      <c r="G156" s="7" t="inlineStr">
        <is>
          <t>TO RECOVER FROM SESSION 9 LEDGER</t>
        </is>
      </c>
      <c r="H156" s="7" t="inlineStr">
        <is>
          <t>NO PUBLIC TILE</t>
        </is>
      </c>
      <c r="I156" s="7" t="n"/>
      <c r="J156" s="7" t="n"/>
      <c r="K156" s="7" t="n"/>
      <c r="L156" s="7" t="n"/>
      <c r="M156" s="7" t="n"/>
      <c r="N156" s="7" t="n"/>
      <c r="O156" s="7" t="n"/>
      <c r="P156" s="7" t="n"/>
      <c r="Q156" s="7" t="inlineStr">
        <is>
          <t>NOT-ASSESSED</t>
        </is>
      </c>
      <c r="R156" s="7" t="n"/>
      <c r="S156" s="7" t="n"/>
      <c r="T156" s="7" t="n"/>
      <c r="U156" s="7" t="n"/>
      <c r="V156" s="7" t="n"/>
      <c r="W156" s="7" t="n"/>
      <c r="X156" s="7" t="inlineStr">
        <is>
          <t>NOT LOCATED — NOT YET RECOVERED</t>
        </is>
      </c>
      <c r="Y156" s="7" t="inlineStr">
        <is>
          <t>EXCLUDED</t>
        </is>
      </c>
      <c r="Z156" s="11" t="b">
        <v>0</v>
      </c>
      <c r="AA156" s="8" t="inlineStr">
        <is>
          <t>CURRENT EVIDENCE / STATUS</t>
        </is>
      </c>
    </row>
    <row r="157" ht="15.75" customHeight="1" s="29">
      <c r="A157" s="7" t="inlineStr">
        <is>
          <t>Q-152</t>
        </is>
      </c>
      <c r="B157" s="7" t="inlineStr">
        <is>
          <t>RNR-H19</t>
        </is>
      </c>
      <c r="C157" s="7" t="inlineStr">
        <is>
          <t>Blessed</t>
        </is>
      </c>
      <c r="D157" s="7" t="inlineStr">
        <is>
          <t>A</t>
        </is>
      </c>
      <c r="E157" s="7" t="inlineStr">
        <is>
          <t>Mennonite / Anabaptist</t>
        </is>
      </c>
      <c r="F157" s="7" t="inlineStr">
        <is>
          <t>SINGLE</t>
        </is>
      </c>
      <c r="G157" s="7" t="inlineStr">
        <is>
          <t>TO RECOVER FROM SESSION 9 LEDGER</t>
        </is>
      </c>
      <c r="H157" s="7" t="inlineStr">
        <is>
          <t>NO PUBLIC TILE</t>
        </is>
      </c>
      <c r="I157" s="7" t="n"/>
      <c r="J157" s="7" t="n"/>
      <c r="K157" s="7" t="n"/>
      <c r="L157" s="7" t="n"/>
      <c r="M157" s="7" t="n"/>
      <c r="N157" s="7" t="n"/>
      <c r="O157" s="7" t="n"/>
      <c r="P157" s="7" t="n"/>
      <c r="Q157" s="7" t="inlineStr">
        <is>
          <t>NOT-ASSESSED</t>
        </is>
      </c>
      <c r="R157" s="7" t="n"/>
      <c r="S157" s="7" t="n"/>
      <c r="T157" s="7" t="n"/>
      <c r="U157" s="7" t="n"/>
      <c r="V157" s="7" t="n"/>
      <c r="W157" s="7" t="n"/>
      <c r="X157" s="7" t="inlineStr">
        <is>
          <t>NOT LOCATED — NOT YET RECOVERED</t>
        </is>
      </c>
      <c r="Y157" s="7" t="inlineStr">
        <is>
          <t>EXCLUDED</t>
        </is>
      </c>
      <c r="Z157" s="11" t="b">
        <v>0</v>
      </c>
      <c r="AA157" s="8" t="inlineStr">
        <is>
          <t>CURRENT EVIDENCE / STATUS</t>
        </is>
      </c>
    </row>
    <row r="158" ht="15.75" customHeight="1" s="29">
      <c r="A158" s="7" t="inlineStr">
        <is>
          <t>Q-153</t>
        </is>
      </c>
      <c r="B158" s="7" t="inlineStr">
        <is>
          <t>RNR-H20</t>
        </is>
      </c>
      <c r="C158" s="7" t="inlineStr">
        <is>
          <t>Glorious</t>
        </is>
      </c>
      <c r="D158" s="7" t="inlineStr">
        <is>
          <t>A</t>
        </is>
      </c>
      <c r="E158" s="7" t="inlineStr">
        <is>
          <t>Roman Catholic</t>
        </is>
      </c>
      <c r="F158" s="7" t="inlineStr">
        <is>
          <t>SINGLE</t>
        </is>
      </c>
      <c r="G158" s="7" t="inlineStr">
        <is>
          <t>TO RECOVER FROM SESSION 9 LEDGER</t>
        </is>
      </c>
      <c r="H158" s="7" t="inlineStr">
        <is>
          <t>NO PUBLIC TILE</t>
        </is>
      </c>
      <c r="I158" s="7" t="n"/>
      <c r="J158" s="7" t="n"/>
      <c r="K158" s="7" t="n"/>
      <c r="L158" s="7" t="n"/>
      <c r="M158" s="7" t="n"/>
      <c r="N158" s="7" t="n"/>
      <c r="O158" s="7" t="n"/>
      <c r="P158" s="7" t="n"/>
      <c r="Q158" s="7" t="inlineStr">
        <is>
          <t>NOT-ASSESSED</t>
        </is>
      </c>
      <c r="R158" s="7" t="n"/>
      <c r="S158" s="7" t="n"/>
      <c r="T158" s="7" t="n"/>
      <c r="U158" s="7" t="n"/>
      <c r="V158" s="7" t="n"/>
      <c r="W158" s="7" t="n"/>
      <c r="X158" s="7" t="inlineStr">
        <is>
          <t>NOT LOCATED — NOT YET RECOVERED</t>
        </is>
      </c>
      <c r="Y158" s="7" t="inlineStr">
        <is>
          <t>EXCLUDED</t>
        </is>
      </c>
      <c r="Z158" s="11" t="b">
        <v>0</v>
      </c>
      <c r="AA158" s="8" t="inlineStr">
        <is>
          <t>CURRENT EVIDENCE / STATUS</t>
        </is>
      </c>
    </row>
    <row r="159" ht="15.75" customHeight="1" s="29">
      <c r="A159" s="7" t="inlineStr">
        <is>
          <t>Q-154</t>
        </is>
      </c>
      <c r="B159" s="7" t="inlineStr">
        <is>
          <t>RNR-H20</t>
        </is>
      </c>
      <c r="C159" s="7" t="inlineStr">
        <is>
          <t>Glorious</t>
        </is>
      </c>
      <c r="D159" s="7" t="inlineStr">
        <is>
          <t>A</t>
        </is>
      </c>
      <c r="E159" s="7" t="inlineStr">
        <is>
          <t>Eastern Orthodox</t>
        </is>
      </c>
      <c r="F159" s="7" t="inlineStr">
        <is>
          <t>SINGLE</t>
        </is>
      </c>
      <c r="G159" s="7" t="inlineStr">
        <is>
          <t>TO RECOVER FROM SESSION 9 LEDGER</t>
        </is>
      </c>
      <c r="H159" s="7" t="inlineStr">
        <is>
          <t>NO PUBLIC TILE</t>
        </is>
      </c>
      <c r="I159" s="7" t="n"/>
      <c r="J159" s="7" t="n"/>
      <c r="K159" s="7" t="n"/>
      <c r="L159" s="7" t="n"/>
      <c r="M159" s="7" t="n"/>
      <c r="N159" s="7" t="n"/>
      <c r="O159" s="7" t="n"/>
      <c r="P159" s="7" t="n"/>
      <c r="Q159" s="7" t="inlineStr">
        <is>
          <t>NOT-ASSESSED</t>
        </is>
      </c>
      <c r="R159" s="7" t="n"/>
      <c r="S159" s="7" t="n"/>
      <c r="T159" s="7" t="n"/>
      <c r="U159" s="7" t="n"/>
      <c r="V159" s="7" t="n"/>
      <c r="W159" s="7" t="n"/>
      <c r="X159" s="7" t="inlineStr">
        <is>
          <t>NOT LOCATED — NOT YET RECOVERED</t>
        </is>
      </c>
      <c r="Y159" s="7" t="inlineStr">
        <is>
          <t>EXCLUDED</t>
        </is>
      </c>
      <c r="Z159" s="11" t="b">
        <v>0</v>
      </c>
      <c r="AA159" s="8" t="inlineStr">
        <is>
          <t>CURRENT EVIDENCE / STATUS</t>
        </is>
      </c>
    </row>
    <row r="160" ht="15.75" customHeight="1" s="29">
      <c r="A160" s="7" t="inlineStr">
        <is>
          <t>Q-155</t>
        </is>
      </c>
      <c r="B160" s="7" t="inlineStr">
        <is>
          <t>RNR-H20</t>
        </is>
      </c>
      <c r="C160" s="7" t="inlineStr">
        <is>
          <t>Glorious</t>
        </is>
      </c>
      <c r="D160" s="7" t="inlineStr">
        <is>
          <t>A</t>
        </is>
      </c>
      <c r="E160" s="7" t="inlineStr">
        <is>
          <t>Lutheran</t>
        </is>
      </c>
      <c r="F160" s="7" t="inlineStr">
        <is>
          <t>SINGLE</t>
        </is>
      </c>
      <c r="G160" s="7" t="inlineStr">
        <is>
          <t>SESSION 8 ATTESTATION + SESSION 9 ATOMIC CODE RECOVERED</t>
        </is>
      </c>
      <c r="H160" s="7" t="inlineStr">
        <is>
          <t>PUBLIC-CERTIFIED</t>
        </is>
      </c>
      <c r="I160" s="7" t="inlineStr">
        <is>
          <t>RNR-H20a</t>
        </is>
      </c>
      <c r="J160" s="7" t="inlineStr">
        <is>
          <t>A</t>
        </is>
      </c>
      <c r="K160" s="7" t="inlineStr">
        <is>
          <t>Lutheran Church—Missouri Synod</t>
        </is>
      </c>
      <c r="L160" s="7" t="inlineStr">
        <is>
          <t>Athanasian Creed</t>
        </is>
      </c>
      <c r="M160" s="7" t="inlineStr">
        <is>
          <t>Trinity and person/substance clauses</t>
        </is>
      </c>
      <c r="N160" s="7" t="inlineStr">
        <is>
          <t>https://www.lcms.org/about/beliefs/lutheran-confessions</t>
        </is>
      </c>
      <c r="O160" s="7" t="inlineStr">
        <is>
          <t>https://bookofconcord.org/ecumenical-creeds/athanasian-creed/</t>
        </is>
      </c>
      <c r="P160" s="7" t="inlineStr">
        <is>
          <t>S8-IA-0170 + Session 9 H20a atomic A decision</t>
        </is>
      </c>
      <c r="Q160" s="7" t="inlineStr">
        <is>
          <t>HIGH</t>
        </is>
      </c>
      <c r="R160" s="7" t="inlineStr">
        <is>
          <t>LCMS adoption controls; linked creed is text witness.</t>
        </is>
      </c>
      <c r="S160" s="7" t="inlineStr">
        <is>
          <t>NO</t>
        </is>
      </c>
      <c r="T160" s="7" t="inlineStr">
        <is>
          <t>A</t>
        </is>
      </c>
      <c r="U160" s="7" t="inlineStr">
        <is>
          <t>Glorious.</t>
        </is>
      </c>
      <c r="V160" s="7" t="inlineStr">
        <is>
          <t>CERTIFIED</t>
        </is>
      </c>
      <c r="W160" s="7" t="n"/>
      <c r="X160" s="7" t="inlineStr">
        <is>
          <t>A</t>
        </is>
      </c>
      <c r="Y160" s="7" t="inlineStr">
        <is>
          <t>A</t>
        </is>
      </c>
      <c r="Z160" s="11" t="b">
        <v>0</v>
      </c>
      <c r="AA160" s="8" t="inlineStr">
        <is>
          <t>CURRENT EVIDENCE / STATUS</t>
        </is>
      </c>
    </row>
    <row r="161" ht="15.75" customHeight="1" s="29">
      <c r="A161" s="7" t="inlineStr">
        <is>
          <t>Q-156</t>
        </is>
      </c>
      <c r="B161" s="7" t="inlineStr">
        <is>
          <t>RNR-H20</t>
        </is>
      </c>
      <c r="C161" s="7" t="inlineStr">
        <is>
          <t>Glorious</t>
        </is>
      </c>
      <c r="D161" s="7" t="inlineStr">
        <is>
          <t>A</t>
        </is>
      </c>
      <c r="E161" s="7" t="inlineStr">
        <is>
          <t>Reformed / Presbyterian</t>
        </is>
      </c>
      <c r="F161" s="7" t="inlineStr">
        <is>
          <t>SINGLE</t>
        </is>
      </c>
      <c r="G161" s="7" t="inlineStr">
        <is>
          <t>SESSION 9 SOURCE ROW RECOVERED</t>
        </is>
      </c>
      <c r="H161" s="7" t="inlineStr">
        <is>
          <t>PUBLIC-CERTIFIED</t>
        </is>
      </c>
      <c r="I161" s="7" t="inlineStr">
        <is>
          <t>RNR-H20a</t>
        </is>
      </c>
      <c r="J161" s="7" t="inlineStr">
        <is>
          <t>A</t>
        </is>
      </c>
      <c r="K161" s="7" t="inlineStr">
        <is>
          <t>Presbyterian Church (U.S.A.)</t>
        </is>
      </c>
      <c r="L161" s="7" t="inlineStr">
        <is>
          <t>Scots Confession</t>
        </is>
      </c>
      <c r="M161" s="7" t="inlineStr">
        <is>
          <t>3.01–3.25; especially chapter 1</t>
        </is>
      </c>
      <c r="N161" s="7" t="inlineStr">
        <is>
          <t>https://pcusa.org/about-pcusa/agencies-entities/life-witness/ministry-areas/constitutional-interpretation/constitution</t>
        </is>
      </c>
      <c r="O161" s="7" t="inlineStr">
        <is>
          <t>https://pcusa.org/sites/default/files/boc2016.pdf</t>
        </is>
      </c>
      <c r="P161" s="7" t="inlineStr">
        <is>
          <t>S9-IA-0171 / S8-IA-0171; OPC/PCUSA Westminster rows corroborate.</t>
        </is>
      </c>
      <c r="Q161" s="7" t="inlineStr">
        <is>
          <t>HIGH</t>
        </is>
      </c>
      <c r="R161" s="7" t="inlineStr">
        <is>
          <t>PC(USA) primary; additional Westminster rows corroborate.</t>
        </is>
      </c>
      <c r="S161" s="7" t="inlineStr">
        <is>
          <t>NO</t>
        </is>
      </c>
      <c r="T161" s="7" t="inlineStr">
        <is>
          <t>A</t>
        </is>
      </c>
      <c r="U161" s="7" t="inlineStr">
        <is>
          <t>Glorious. | PC(USA) authority page and direct Book of Confessions PDF repaired in v2.9. | PC(USA) Text URL repaired to live Book of Confessions PDF in v2.10.</t>
        </is>
      </c>
      <c r="V161" s="7" t="inlineStr">
        <is>
          <t>CERTIFIED</t>
        </is>
      </c>
      <c r="W161" s="7" t="n"/>
      <c r="X161" s="7" t="inlineStr">
        <is>
          <t>A</t>
        </is>
      </c>
      <c r="Y161" s="7" t="inlineStr">
        <is>
          <t>A</t>
        </is>
      </c>
      <c r="Z161" s="11" t="b">
        <v>0</v>
      </c>
      <c r="AA161" s="8" t="inlineStr">
        <is>
          <t>CURRENT EVIDENCE / STATUS</t>
        </is>
      </c>
    </row>
    <row r="162" ht="15.75" customHeight="1" s="29">
      <c r="A162" s="7" t="inlineStr">
        <is>
          <t>Q-157</t>
        </is>
      </c>
      <c r="B162" s="7" t="inlineStr">
        <is>
          <t>RNR-H20</t>
        </is>
      </c>
      <c r="C162" s="7" t="inlineStr">
        <is>
          <t>Glorious</t>
        </is>
      </c>
      <c r="D162" s="7" t="inlineStr">
        <is>
          <t>A</t>
        </is>
      </c>
      <c r="E162" s="7" t="inlineStr">
        <is>
          <t>Anglican</t>
        </is>
      </c>
      <c r="F162" s="7" t="inlineStr">
        <is>
          <t>SINGLE</t>
        </is>
      </c>
      <c r="G162" s="7" t="inlineStr">
        <is>
          <t>TO RECOVER FROM SESSION 9 LEDGER</t>
        </is>
      </c>
      <c r="H162" s="7" t="inlineStr">
        <is>
          <t>NO PUBLIC TILE</t>
        </is>
      </c>
      <c r="I162" s="7" t="n"/>
      <c r="J162" s="7" t="n"/>
      <c r="K162" s="7" t="n"/>
      <c r="L162" s="7" t="n"/>
      <c r="M162" s="7" t="n"/>
      <c r="N162" s="7" t="n"/>
      <c r="O162" s="7" t="n"/>
      <c r="P162" s="7" t="n"/>
      <c r="Q162" s="7" t="inlineStr">
        <is>
          <t>NOT-ASSESSED</t>
        </is>
      </c>
      <c r="R162" s="7" t="n"/>
      <c r="S162" s="7" t="n"/>
      <c r="T162" s="7" t="n"/>
      <c r="U162" s="7" t="n"/>
      <c r="V162" s="7" t="n"/>
      <c r="W162" s="7" t="n"/>
      <c r="X162" s="7" t="inlineStr">
        <is>
          <t>NOT LOCATED — NOT YET RECOVERED</t>
        </is>
      </c>
      <c r="Y162" s="7" t="inlineStr">
        <is>
          <t>EXCLUDED</t>
        </is>
      </c>
      <c r="Z162" s="11" t="b">
        <v>0</v>
      </c>
      <c r="AA162" s="8" t="inlineStr">
        <is>
          <t>CURRENT EVIDENCE / STATUS</t>
        </is>
      </c>
    </row>
    <row r="163" ht="15.75" customHeight="1" s="29">
      <c r="A163" s="7" t="inlineStr">
        <is>
          <t>Q-158</t>
        </is>
      </c>
      <c r="B163" s="7" t="inlineStr">
        <is>
          <t>RNR-H20</t>
        </is>
      </c>
      <c r="C163" s="7" t="inlineStr">
        <is>
          <t>Glorious</t>
        </is>
      </c>
      <c r="D163" s="7" t="inlineStr">
        <is>
          <t>A</t>
        </is>
      </c>
      <c r="E163" s="7" t="inlineStr">
        <is>
          <t>Baptist</t>
        </is>
      </c>
      <c r="F163" s="7" t="inlineStr">
        <is>
          <t>SINGLE</t>
        </is>
      </c>
      <c r="G163" s="7" t="inlineStr">
        <is>
          <t>TO RECOVER FROM SESSION 9 LEDGER</t>
        </is>
      </c>
      <c r="H163" s="7" t="inlineStr">
        <is>
          <t>NO PUBLIC TILE</t>
        </is>
      </c>
      <c r="I163" s="7" t="n"/>
      <c r="J163" s="7" t="n"/>
      <c r="K163" s="7" t="n"/>
      <c r="L163" s="7" t="n"/>
      <c r="M163" s="7" t="n"/>
      <c r="N163" s="7" t="n"/>
      <c r="O163" s="7" t="n"/>
      <c r="P163" s="7" t="n"/>
      <c r="Q163" s="7" t="inlineStr">
        <is>
          <t>NOT-ASSESSED</t>
        </is>
      </c>
      <c r="R163" s="7" t="n"/>
      <c r="S163" s="7" t="n"/>
      <c r="T163" s="7" t="n"/>
      <c r="U163" s="7" t="n"/>
      <c r="V163" s="7" t="n"/>
      <c r="W163" s="7" t="n"/>
      <c r="X163" s="7" t="inlineStr">
        <is>
          <t>NOT LOCATED — NOT YET RECOVERED</t>
        </is>
      </c>
      <c r="Y163" s="7" t="inlineStr">
        <is>
          <t>EXCLUDED</t>
        </is>
      </c>
      <c r="Z163" s="11" t="b">
        <v>0</v>
      </c>
      <c r="AA163" s="8" t="inlineStr">
        <is>
          <t>CURRENT EVIDENCE / STATUS</t>
        </is>
      </c>
    </row>
    <row r="164" ht="15.75" customHeight="1" s="29">
      <c r="A164" s="7" t="inlineStr">
        <is>
          <t>Q-159</t>
        </is>
      </c>
      <c r="B164" s="7" t="inlineStr">
        <is>
          <t>RNR-H20</t>
        </is>
      </c>
      <c r="C164" s="7" t="inlineStr">
        <is>
          <t>Glorious</t>
        </is>
      </c>
      <c r="D164" s="7" t="inlineStr">
        <is>
          <t>A</t>
        </is>
      </c>
      <c r="E164" s="7" t="inlineStr">
        <is>
          <t>Methodist / Wesleyan</t>
        </is>
      </c>
      <c r="F164" s="7" t="inlineStr">
        <is>
          <t>SINGLE</t>
        </is>
      </c>
      <c r="G164" s="7" t="inlineStr">
        <is>
          <t>TO RECOVER FROM SESSION 9 LEDGER</t>
        </is>
      </c>
      <c r="H164" s="7" t="inlineStr">
        <is>
          <t>NO PUBLIC TILE</t>
        </is>
      </c>
      <c r="I164" s="7" t="n"/>
      <c r="J164" s="7" t="n"/>
      <c r="K164" s="7" t="n"/>
      <c r="L164" s="7" t="n"/>
      <c r="M164" s="7" t="n"/>
      <c r="N164" s="7" t="n"/>
      <c r="O164" s="7" t="n"/>
      <c r="P164" s="7" t="n"/>
      <c r="Q164" s="7" t="inlineStr">
        <is>
          <t>NOT-ASSESSED</t>
        </is>
      </c>
      <c r="R164" s="7" t="n"/>
      <c r="S164" s="7" t="n"/>
      <c r="T164" s="7" t="n"/>
      <c r="U164" s="7" t="n"/>
      <c r="V164" s="7" t="n"/>
      <c r="W164" s="7" t="n"/>
      <c r="X164" s="7" t="inlineStr">
        <is>
          <t>NOT LOCATED — NOT YET RECOVERED</t>
        </is>
      </c>
      <c r="Y164" s="7" t="inlineStr">
        <is>
          <t>EXCLUDED</t>
        </is>
      </c>
      <c r="Z164" s="11" t="b">
        <v>0</v>
      </c>
      <c r="AA164" s="8" t="inlineStr">
        <is>
          <t>CURRENT EVIDENCE / STATUS</t>
        </is>
      </c>
    </row>
    <row r="165" ht="15.75" customHeight="1" s="29">
      <c r="A165" s="7" t="inlineStr">
        <is>
          <t>Q-160</t>
        </is>
      </c>
      <c r="B165" s="7" t="inlineStr">
        <is>
          <t>RNR-H20</t>
        </is>
      </c>
      <c r="C165" s="7" t="inlineStr">
        <is>
          <t>Glorious</t>
        </is>
      </c>
      <c r="D165" s="7" t="inlineStr">
        <is>
          <t>A</t>
        </is>
      </c>
      <c r="E165" s="7" t="inlineStr">
        <is>
          <t>Mennonite / Anabaptist</t>
        </is>
      </c>
      <c r="F165" s="7" t="inlineStr">
        <is>
          <t>SINGLE</t>
        </is>
      </c>
      <c r="G165" s="7" t="inlineStr">
        <is>
          <t>TO RECOVER FROM SESSION 9 LEDGER</t>
        </is>
      </c>
      <c r="H165" s="7" t="inlineStr">
        <is>
          <t>NO PUBLIC TILE</t>
        </is>
      </c>
      <c r="I165" s="7" t="n"/>
      <c r="J165" s="7" t="n"/>
      <c r="K165" s="7" t="n"/>
      <c r="L165" s="7" t="n"/>
      <c r="M165" s="7" t="n"/>
      <c r="N165" s="7" t="n"/>
      <c r="O165" s="7" t="n"/>
      <c r="P165" s="7" t="n"/>
      <c r="Q165" s="7" t="inlineStr">
        <is>
          <t>NOT-ASSESSED</t>
        </is>
      </c>
      <c r="R165" s="7" t="n"/>
      <c r="S165" s="7" t="n"/>
      <c r="T165" s="7" t="n"/>
      <c r="U165" s="7" t="n"/>
      <c r="V165" s="7" t="n"/>
      <c r="W165" s="7" t="n"/>
      <c r="X165" s="7" t="inlineStr">
        <is>
          <t>NOT LOCATED — NOT YET RECOVERED</t>
        </is>
      </c>
      <c r="Y165" s="7" t="inlineStr">
        <is>
          <t>EXCLUDED</t>
        </is>
      </c>
      <c r="Z165" s="11" t="b">
        <v>0</v>
      </c>
      <c r="AA165" s="8" t="inlineStr">
        <is>
          <t>CURRENT EVIDENCE / STATUS</t>
        </is>
      </c>
    </row>
    <row r="166" ht="15.75" customHeight="1" s="29">
      <c r="A166" s="7" t="inlineStr">
        <is>
          <t>Q-161</t>
        </is>
      </c>
      <c r="B166" s="7" t="inlineStr">
        <is>
          <t>RNR-H21</t>
        </is>
      </c>
      <c r="C166" s="7" t="inlineStr">
        <is>
          <t>Life-giving</t>
        </is>
      </c>
      <c r="D166" s="7" t="inlineStr">
        <is>
          <t>A</t>
        </is>
      </c>
      <c r="E166" s="7" t="inlineStr">
        <is>
          <t>Roman Catholic</t>
        </is>
      </c>
      <c r="F166" s="7" t="inlineStr">
        <is>
          <t>SINGLE</t>
        </is>
      </c>
      <c r="G166" s="7" t="inlineStr">
        <is>
          <t>TO RECOVER FROM SESSION 9 LEDGER</t>
        </is>
      </c>
      <c r="H166" s="7" t="inlineStr">
        <is>
          <t>NO PUBLIC TILE</t>
        </is>
      </c>
      <c r="I166" s="7" t="n"/>
      <c r="J166" s="7" t="n"/>
      <c r="K166" s="7" t="n"/>
      <c r="L166" s="7" t="n"/>
      <c r="M166" s="7" t="n"/>
      <c r="N166" s="7" t="n"/>
      <c r="O166" s="7" t="n"/>
      <c r="P166" s="7" t="n"/>
      <c r="Q166" s="7" t="inlineStr">
        <is>
          <t>NOT-ASSESSED</t>
        </is>
      </c>
      <c r="R166" s="7" t="n"/>
      <c r="S166" s="7" t="n"/>
      <c r="T166" s="7" t="n"/>
      <c r="U166" s="7" t="n"/>
      <c r="V166" s="7" t="n"/>
      <c r="W166" s="7" t="n"/>
      <c r="X166" s="7" t="inlineStr">
        <is>
          <t>NOT LOCATED — NOT YET RECOVERED</t>
        </is>
      </c>
      <c r="Y166" s="7" t="inlineStr">
        <is>
          <t>EXCLUDED</t>
        </is>
      </c>
      <c r="Z166" s="11" t="b">
        <v>0</v>
      </c>
      <c r="AA166" s="8" t="inlineStr">
        <is>
          <t>CURRENT EVIDENCE / STATUS</t>
        </is>
      </c>
    </row>
    <row r="167" ht="15.75" customHeight="1" s="29">
      <c r="A167" s="7" t="inlineStr">
        <is>
          <t>Q-162</t>
        </is>
      </c>
      <c r="B167" s="7" t="inlineStr">
        <is>
          <t>RNR-H21</t>
        </is>
      </c>
      <c r="C167" s="7" t="inlineStr">
        <is>
          <t>Life-giving</t>
        </is>
      </c>
      <c r="D167" s="7" t="inlineStr">
        <is>
          <t>A</t>
        </is>
      </c>
      <c r="E167" s="7" t="inlineStr">
        <is>
          <t>Eastern Orthodox</t>
        </is>
      </c>
      <c r="F167" s="7" t="inlineStr">
        <is>
          <t>SINGLE</t>
        </is>
      </c>
      <c r="G167" s="7" t="inlineStr">
        <is>
          <t>TO RECOVER FROM SESSION 9 LEDGER</t>
        </is>
      </c>
      <c r="H167" s="7" t="inlineStr">
        <is>
          <t>NO PUBLIC TILE</t>
        </is>
      </c>
      <c r="I167" s="7" t="n"/>
      <c r="J167" s="7" t="n"/>
      <c r="K167" s="7" t="n"/>
      <c r="L167" s="7" t="n"/>
      <c r="M167" s="7" t="n"/>
      <c r="N167" s="7" t="n"/>
      <c r="O167" s="7" t="n"/>
      <c r="P167" s="7" t="n"/>
      <c r="Q167" s="7" t="inlineStr">
        <is>
          <t>NOT-ASSESSED</t>
        </is>
      </c>
      <c r="R167" s="7" t="n"/>
      <c r="S167" s="7" t="n"/>
      <c r="T167" s="7" t="n"/>
      <c r="U167" s="7" t="n"/>
      <c r="V167" s="7" t="n"/>
      <c r="W167" s="7" t="n"/>
      <c r="X167" s="7" t="inlineStr">
        <is>
          <t>NOT LOCATED — NOT YET RECOVERED</t>
        </is>
      </c>
      <c r="Y167" s="7" t="inlineStr">
        <is>
          <t>EXCLUDED</t>
        </is>
      </c>
      <c r="Z167" s="11" t="b">
        <v>0</v>
      </c>
      <c r="AA167" s="8" t="inlineStr">
        <is>
          <t>CURRENT EVIDENCE / STATUS</t>
        </is>
      </c>
    </row>
    <row r="168" ht="15.75" customHeight="1" s="29">
      <c r="A168" s="7" t="inlineStr">
        <is>
          <t>Q-163</t>
        </is>
      </c>
      <c r="B168" s="7" t="inlineStr">
        <is>
          <t>RNR-H21</t>
        </is>
      </c>
      <c r="C168" s="7" t="inlineStr">
        <is>
          <t>Life-giving</t>
        </is>
      </c>
      <c r="D168" s="7" t="inlineStr">
        <is>
          <t>A</t>
        </is>
      </c>
      <c r="E168" s="7" t="inlineStr">
        <is>
          <t>Lutheran</t>
        </is>
      </c>
      <c r="F168" s="7" t="inlineStr">
        <is>
          <t>SINGLE</t>
        </is>
      </c>
      <c r="G168" s="7" t="inlineStr">
        <is>
          <t>TO RECOVER FROM SESSION 9 LEDGER</t>
        </is>
      </c>
      <c r="H168" s="7" t="inlineStr">
        <is>
          <t>NO PUBLIC TILE</t>
        </is>
      </c>
      <c r="I168" s="7" t="n"/>
      <c r="J168" s="7" t="n"/>
      <c r="K168" s="7" t="n"/>
      <c r="L168" s="7" t="n"/>
      <c r="M168" s="7" t="n"/>
      <c r="N168" s="7" t="n"/>
      <c r="O168" s="7" t="n"/>
      <c r="P168" s="7" t="n"/>
      <c r="Q168" s="7" t="inlineStr">
        <is>
          <t>NOT-ASSESSED</t>
        </is>
      </c>
      <c r="R168" s="7" t="n"/>
      <c r="S168" s="7" t="n"/>
      <c r="T168" s="7" t="n"/>
      <c r="U168" s="7" t="n"/>
      <c r="V168" s="7" t="n"/>
      <c r="W168" s="7" t="n"/>
      <c r="X168" s="7" t="inlineStr">
        <is>
          <t>NOT LOCATED — NOT YET RECOVERED</t>
        </is>
      </c>
      <c r="Y168" s="7" t="inlineStr">
        <is>
          <t>EXCLUDED</t>
        </is>
      </c>
      <c r="Z168" s="11" t="b">
        <v>0</v>
      </c>
      <c r="AA168" s="8" t="inlineStr">
        <is>
          <t>CURRENT EVIDENCE / STATUS</t>
        </is>
      </c>
    </row>
    <row r="169" ht="15.75" customHeight="1" s="29">
      <c r="A169" s="7" t="inlineStr">
        <is>
          <t>Q-164</t>
        </is>
      </c>
      <c r="B169" s="7" t="inlineStr">
        <is>
          <t>RNR-H21</t>
        </is>
      </c>
      <c r="C169" s="7" t="inlineStr">
        <is>
          <t>Life-giving</t>
        </is>
      </c>
      <c r="D169" s="7" t="inlineStr">
        <is>
          <t>A</t>
        </is>
      </c>
      <c r="E169" s="7" t="inlineStr">
        <is>
          <t>Reformed / Presbyterian</t>
        </is>
      </c>
      <c r="F169" s="7" t="inlineStr">
        <is>
          <t>SINGLE</t>
        </is>
      </c>
      <c r="G169" s="7" t="inlineStr">
        <is>
          <t>SESSION 9 SOURCE ROW RECOVERED</t>
        </is>
      </c>
      <c r="H169" s="7" t="inlineStr">
        <is>
          <t>PUBLIC-CERTIFIED</t>
        </is>
      </c>
      <c r="I169" s="7" t="inlineStr">
        <is>
          <t>RNR-H21a</t>
        </is>
      </c>
      <c r="J169" s="7" t="inlineStr">
        <is>
          <t>A</t>
        </is>
      </c>
      <c r="K169" s="7" t="inlineStr">
        <is>
          <t>Presbyterian Church (U.S.A.)</t>
        </is>
      </c>
      <c r="L169" s="7" t="inlineStr">
        <is>
          <t>Second Helvetic Confession</t>
        </is>
      </c>
      <c r="M169" s="7" t="inlineStr">
        <is>
          <t>5.001 onward; chapter III</t>
        </is>
      </c>
      <c r="N169" s="7" t="inlineStr">
        <is>
          <t>https://pcusa.org/about-pcusa/agencies-entities/life-witness/ministry-areas/constitutional-interpretation/constitution</t>
        </is>
      </c>
      <c r="O169" s="7" t="inlineStr">
        <is>
          <t>https://pcusa.org/sites/default/files/boc2016.pdf</t>
        </is>
      </c>
      <c r="P169" s="7" t="inlineStr">
        <is>
          <t>S9-IA-0174 / S8-IA-0174.</t>
        </is>
      </c>
      <c r="Q169" s="7" t="inlineStr">
        <is>
          <t>HIGH</t>
        </is>
      </c>
      <c r="R169" s="7" t="inlineStr">
        <is>
          <t>PC(USA) constitutional edition.</t>
        </is>
      </c>
      <c r="S169" s="7" t="inlineStr">
        <is>
          <t>NO</t>
        </is>
      </c>
      <c r="T169" s="7" t="inlineStr">
        <is>
          <t>A</t>
        </is>
      </c>
      <c r="U169" s="7" t="inlineStr">
        <is>
          <t>Life-giving. | PC(USA) authority page and direct Book of Confessions PDF repaired in v2.9. | PC(USA) Text URL repaired to live Book of Confessions PDF in v2.10.</t>
        </is>
      </c>
      <c r="V169" s="7" t="inlineStr">
        <is>
          <t>CERTIFIED</t>
        </is>
      </c>
      <c r="W169" s="7" t="n"/>
      <c r="X169" s="7" t="inlineStr">
        <is>
          <t>A</t>
        </is>
      </c>
      <c r="Y169" s="7" t="inlineStr">
        <is>
          <t>A</t>
        </is>
      </c>
      <c r="Z169" s="11" t="b">
        <v>0</v>
      </c>
      <c r="AA169" s="8" t="inlineStr">
        <is>
          <t>CURRENT EVIDENCE / STATUS</t>
        </is>
      </c>
    </row>
    <row r="170" ht="15.75" customHeight="1" s="29">
      <c r="A170" s="7" t="inlineStr">
        <is>
          <t>Q-165</t>
        </is>
      </c>
      <c r="B170" s="7" t="inlineStr">
        <is>
          <t>RNR-H21</t>
        </is>
      </c>
      <c r="C170" s="7" t="inlineStr">
        <is>
          <t>Life-giving</t>
        </is>
      </c>
      <c r="D170" s="7" t="inlineStr">
        <is>
          <t>A</t>
        </is>
      </c>
      <c r="E170" s="7" t="inlineStr">
        <is>
          <t>Anglican</t>
        </is>
      </c>
      <c r="F170" s="7" t="inlineStr">
        <is>
          <t>SINGLE</t>
        </is>
      </c>
      <c r="G170" s="7" t="inlineStr">
        <is>
          <t>TO RECOVER FROM SESSION 9 LEDGER</t>
        </is>
      </c>
      <c r="H170" s="7" t="inlineStr">
        <is>
          <t>NO PUBLIC TILE</t>
        </is>
      </c>
      <c r="I170" s="7" t="n"/>
      <c r="J170" s="7" t="n"/>
      <c r="K170" s="7" t="n"/>
      <c r="L170" s="7" t="n"/>
      <c r="M170" s="7" t="n"/>
      <c r="N170" s="7" t="n"/>
      <c r="O170" s="7" t="n"/>
      <c r="P170" s="7" t="n"/>
      <c r="Q170" s="7" t="inlineStr">
        <is>
          <t>NOT-ASSESSED</t>
        </is>
      </c>
      <c r="R170" s="7" t="n"/>
      <c r="S170" s="7" t="n"/>
      <c r="T170" s="7" t="n"/>
      <c r="U170" s="7" t="n"/>
      <c r="V170" s="7" t="n"/>
      <c r="W170" s="7" t="n"/>
      <c r="X170" s="7" t="inlineStr">
        <is>
          <t>NOT LOCATED — NOT YET RECOVERED</t>
        </is>
      </c>
      <c r="Y170" s="7" t="inlineStr">
        <is>
          <t>EXCLUDED</t>
        </is>
      </c>
      <c r="Z170" s="11" t="b">
        <v>0</v>
      </c>
      <c r="AA170" s="8" t="inlineStr">
        <is>
          <t>CURRENT EVIDENCE / STATUS</t>
        </is>
      </c>
    </row>
    <row r="171" ht="15.75" customHeight="1" s="29">
      <c r="A171" s="7" t="inlineStr">
        <is>
          <t>Q-166</t>
        </is>
      </c>
      <c r="B171" s="7" t="inlineStr">
        <is>
          <t>RNR-H21</t>
        </is>
      </c>
      <c r="C171" s="7" t="inlineStr">
        <is>
          <t>Life-giving</t>
        </is>
      </c>
      <c r="D171" s="7" t="inlineStr">
        <is>
          <t>A</t>
        </is>
      </c>
      <c r="E171" s="7" t="inlineStr">
        <is>
          <t>Baptist</t>
        </is>
      </c>
      <c r="F171" s="7" t="inlineStr">
        <is>
          <t>SINGLE</t>
        </is>
      </c>
      <c r="G171" s="7" t="inlineStr">
        <is>
          <t>TO RECOVER FROM SESSION 9 LEDGER</t>
        </is>
      </c>
      <c r="H171" s="7" t="inlineStr">
        <is>
          <t>NO PUBLIC TILE</t>
        </is>
      </c>
      <c r="I171" s="7" t="n"/>
      <c r="J171" s="7" t="n"/>
      <c r="K171" s="7" t="n"/>
      <c r="L171" s="7" t="n"/>
      <c r="M171" s="7" t="n"/>
      <c r="N171" s="7" t="n"/>
      <c r="O171" s="7" t="n"/>
      <c r="P171" s="7" t="n"/>
      <c r="Q171" s="7" t="inlineStr">
        <is>
          <t>NOT-ASSESSED</t>
        </is>
      </c>
      <c r="R171" s="7" t="n"/>
      <c r="S171" s="7" t="n"/>
      <c r="T171" s="7" t="n"/>
      <c r="U171" s="7" t="n"/>
      <c r="V171" s="7" t="n"/>
      <c r="W171" s="7" t="n"/>
      <c r="X171" s="7" t="inlineStr">
        <is>
          <t>NOT LOCATED — NOT YET RECOVERED</t>
        </is>
      </c>
      <c r="Y171" s="7" t="inlineStr">
        <is>
          <t>EXCLUDED</t>
        </is>
      </c>
      <c r="Z171" s="11" t="b">
        <v>0</v>
      </c>
      <c r="AA171" s="8" t="inlineStr">
        <is>
          <t>CURRENT EVIDENCE / STATUS</t>
        </is>
      </c>
    </row>
    <row r="172" ht="15.75" customHeight="1" s="29">
      <c r="A172" s="7" t="inlineStr">
        <is>
          <t>Q-167</t>
        </is>
      </c>
      <c r="B172" s="7" t="inlineStr">
        <is>
          <t>RNR-H21</t>
        </is>
      </c>
      <c r="C172" s="7" t="inlineStr">
        <is>
          <t>Life-giving</t>
        </is>
      </c>
      <c r="D172" s="7" t="inlineStr">
        <is>
          <t>A</t>
        </is>
      </c>
      <c r="E172" s="7" t="inlineStr">
        <is>
          <t>Methodist / Wesleyan</t>
        </is>
      </c>
      <c r="F172" s="7" t="inlineStr">
        <is>
          <t>SINGLE</t>
        </is>
      </c>
      <c r="G172" s="7" t="inlineStr">
        <is>
          <t>TO RECOVER FROM SESSION 9 LEDGER</t>
        </is>
      </c>
      <c r="H172" s="7" t="inlineStr">
        <is>
          <t>NO PUBLIC TILE</t>
        </is>
      </c>
      <c r="I172" s="7" t="n"/>
      <c r="J172" s="7" t="n"/>
      <c r="K172" s="7" t="n"/>
      <c r="L172" s="7" t="n"/>
      <c r="M172" s="7" t="n"/>
      <c r="N172" s="7" t="n"/>
      <c r="O172" s="7" t="n"/>
      <c r="P172" s="7" t="n"/>
      <c r="Q172" s="7" t="inlineStr">
        <is>
          <t>NOT-ASSESSED</t>
        </is>
      </c>
      <c r="R172" s="7" t="n"/>
      <c r="S172" s="7" t="n"/>
      <c r="T172" s="7" t="n"/>
      <c r="U172" s="7" t="n"/>
      <c r="V172" s="7" t="n"/>
      <c r="W172" s="7" t="n"/>
      <c r="X172" s="7" t="inlineStr">
        <is>
          <t>NOT LOCATED — NOT YET RECOVERED</t>
        </is>
      </c>
      <c r="Y172" s="7" t="inlineStr">
        <is>
          <t>EXCLUDED</t>
        </is>
      </c>
      <c r="Z172" s="11" t="b">
        <v>0</v>
      </c>
      <c r="AA172" s="8" t="inlineStr">
        <is>
          <t>CURRENT EVIDENCE / STATUS</t>
        </is>
      </c>
    </row>
    <row r="173" ht="15.75" customHeight="1" s="29">
      <c r="A173" s="7" t="inlineStr">
        <is>
          <t>Q-168</t>
        </is>
      </c>
      <c r="B173" s="7" t="inlineStr">
        <is>
          <t>RNR-H21</t>
        </is>
      </c>
      <c r="C173" s="7" t="inlineStr">
        <is>
          <t>Life-giving</t>
        </is>
      </c>
      <c r="D173" s="7" t="inlineStr">
        <is>
          <t>A</t>
        </is>
      </c>
      <c r="E173" s="7" t="inlineStr">
        <is>
          <t>Mennonite / Anabaptist</t>
        </is>
      </c>
      <c r="F173" s="7" t="inlineStr">
        <is>
          <t>SINGLE</t>
        </is>
      </c>
      <c r="G173" s="7" t="inlineStr">
        <is>
          <t>TO RECOVER FROM SESSION 9 LEDGER</t>
        </is>
      </c>
      <c r="H173" s="7" t="inlineStr">
        <is>
          <t>NO PUBLIC TILE</t>
        </is>
      </c>
      <c r="I173" s="7" t="n"/>
      <c r="J173" s="7" t="n"/>
      <c r="K173" s="7" t="n"/>
      <c r="L173" s="7" t="n"/>
      <c r="M173" s="7" t="n"/>
      <c r="N173" s="7" t="n"/>
      <c r="O173" s="7" t="n"/>
      <c r="P173" s="7" t="n"/>
      <c r="Q173" s="7" t="inlineStr">
        <is>
          <t>NOT-ASSESSED</t>
        </is>
      </c>
      <c r="R173" s="7" t="n"/>
      <c r="S173" s="7" t="n"/>
      <c r="T173" s="7" t="n"/>
      <c r="U173" s="7" t="n"/>
      <c r="V173" s="7" t="n"/>
      <c r="W173" s="7" t="n"/>
      <c r="X173" s="7" t="inlineStr">
        <is>
          <t>NOT LOCATED — NOT YET RECOVERED</t>
        </is>
      </c>
      <c r="Y173" s="7" t="inlineStr">
        <is>
          <t>EXCLUDED</t>
        </is>
      </c>
      <c r="Z173" s="11" t="b">
        <v>0</v>
      </c>
      <c r="AA173" s="8" t="inlineStr">
        <is>
          <t>CURRENT EVIDENCE / STATUS</t>
        </is>
      </c>
    </row>
    <row r="174" ht="15.75" customHeight="1" s="29">
      <c r="A174" s="7" t="inlineStr">
        <is>
          <t>Q-169</t>
        </is>
      </c>
      <c r="B174" s="7" t="inlineStr">
        <is>
          <t>RNR-H22</t>
        </is>
      </c>
      <c r="C174" s="7" t="inlineStr">
        <is>
          <t>Creator / Maker</t>
        </is>
      </c>
      <c r="D174" s="7" t="inlineStr">
        <is>
          <t>Q</t>
        </is>
      </c>
      <c r="E174" s="7" t="inlineStr">
        <is>
          <t>Roman Catholic</t>
        </is>
      </c>
      <c r="F174" s="7" t="inlineStr">
        <is>
          <t>SINGLE</t>
        </is>
      </c>
      <c r="G174" s="7" t="inlineStr">
        <is>
          <t>SOURCE ROW RECOVERED</t>
        </is>
      </c>
      <c r="H174" s="7" t="inlineStr">
        <is>
          <t>PUBLIC-CERTIFIED</t>
        </is>
      </c>
      <c r="I174" s="7" t="inlineStr">
        <is>
          <t>RNR-H22a</t>
        </is>
      </c>
      <c r="J174" s="7" t="inlineStr">
        <is>
          <t>Q</t>
        </is>
      </c>
      <c r="K174" s="7" t="inlineStr">
        <is>
          <t>Roman Catholic Church</t>
        </is>
      </c>
      <c r="L174" s="7" t="inlineStr">
        <is>
          <t>Niceno-Constantinopolitan Creed (Vatican-hosted Credo)</t>
        </is>
      </c>
      <c r="M174" s="7" t="inlineStr">
        <is>
          <t>Maker/Creator clause</t>
        </is>
      </c>
      <c r="N174" s="7" t="inlineStr">
        <is>
          <t>https://www.vatican.va/content/catechism/en/part_one/section_one/chapter_three/article_2/the_credo.html</t>
        </is>
      </c>
      <c r="O174" s="7" t="inlineStr">
        <is>
          <t>https://www.vaticannews.va/en/prayers/the-apostles_-creed.html</t>
        </is>
      </c>
      <c r="P174" s="7" t="inlineStr">
        <is>
          <t>Recovered institution ledger/source report; Baptist and Mennonite creation clauses independently rechecked</t>
        </is>
      </c>
      <c r="Q174" s="7" t="inlineStr">
        <is>
          <t>HIGH</t>
        </is>
      </c>
      <c r="R174" s="7" t="inlineStr">
        <is>
          <t>Q applies to the Latter-day Saint comparison at the controlled creation semantic floor, not to every branch's complete creation theology.</t>
        </is>
      </c>
      <c r="S174" s="7" t="inlineStr">
        <is>
          <t>NO</t>
        </is>
      </c>
      <c r="T174" s="7" t="inlineStr">
        <is>
          <t>Q</t>
        </is>
      </c>
      <c r="U174" s="7" t="inlineStr">
        <is>
          <t>Corrects SR-R Baptist NL artifact; H22 is now source-attested in all eight initial case-study branches. | v2.12 assertion witness: server-rendered Vatican News Nicene Creed text used for content validation.</t>
        </is>
      </c>
      <c r="V174" s="7" t="inlineStr">
        <is>
          <t>CERTIFIED</t>
        </is>
      </c>
      <c r="W174" s="7" t="n"/>
      <c r="X174" s="7" t="inlineStr">
        <is>
          <t>Q</t>
        </is>
      </c>
      <c r="Y174" s="7" t="inlineStr">
        <is>
          <t>Q</t>
        </is>
      </c>
      <c r="Z174" s="11" t="b">
        <v>0</v>
      </c>
      <c r="AA174" s="8" t="inlineStr">
        <is>
          <t>CURRENT EVIDENCE / STATUS</t>
        </is>
      </c>
    </row>
    <row r="175" ht="15.75" customHeight="1" s="29">
      <c r="A175" s="7" t="inlineStr">
        <is>
          <t>Q-170</t>
        </is>
      </c>
      <c r="B175" s="7" t="inlineStr">
        <is>
          <t>RNR-H22</t>
        </is>
      </c>
      <c r="C175" s="7" t="inlineStr">
        <is>
          <t>Creator / Maker</t>
        </is>
      </c>
      <c r="D175" s="7" t="inlineStr">
        <is>
          <t>Q</t>
        </is>
      </c>
      <c r="E175" s="7" t="inlineStr">
        <is>
          <t>Eastern Orthodox</t>
        </is>
      </c>
      <c r="F175" s="7" t="inlineStr">
        <is>
          <t>SINGLE</t>
        </is>
      </c>
      <c r="G175" s="7" t="inlineStr">
        <is>
          <t>SOURCE ROW RECOVERED</t>
        </is>
      </c>
      <c r="H175" s="7" t="inlineStr">
        <is>
          <t>PUBLIC-CERTIFIED</t>
        </is>
      </c>
      <c r="I175" s="7" t="inlineStr">
        <is>
          <t>RNR-H22a</t>
        </is>
      </c>
      <c r="J175" s="7" t="inlineStr">
        <is>
          <t>Q</t>
        </is>
      </c>
      <c r="K175" s="7" t="inlineStr">
        <is>
          <t>Orthodox Church in America (jurisdictional witness)</t>
        </is>
      </c>
      <c r="L175" s="7" t="inlineStr">
        <is>
          <t>Nicene Creed / Symbol of Faith</t>
        </is>
      </c>
      <c r="M175" s="7" t="inlineStr">
        <is>
          <t>Maker of heaven and earth</t>
        </is>
      </c>
      <c r="N175" s="7" t="inlineStr">
        <is>
          <t>https://www.oca.org/orthodoxy/the-orthodox-faith/doctrine-scripture/symbol-of-faith/nicene-creed</t>
        </is>
      </c>
      <c r="O175" s="7" t="inlineStr">
        <is>
          <t>https://www.oca.org/orthodoxy/the-orthodox-faith/doctrine-scripture/symbol-of-faith/nicene-creed</t>
        </is>
      </c>
      <c r="P175" s="7" t="inlineStr">
        <is>
          <t>Recovered institution ledger/source report; Baptist and Mennonite creation clauses independently rechecked</t>
        </is>
      </c>
      <c r="Q175" s="7" t="inlineStr">
        <is>
          <t>HIGH</t>
        </is>
      </c>
      <c r="R175" s="7" t="inlineStr">
        <is>
          <t>Q applies to the Latter-day Saint comparison at the controlled creation semantic floor, not to every branch's complete creation theology.</t>
        </is>
      </c>
      <c r="S175" s="7" t="inlineStr">
        <is>
          <t>NO</t>
        </is>
      </c>
      <c r="T175" s="7" t="inlineStr">
        <is>
          <t>Q</t>
        </is>
      </c>
      <c r="U175" s="7" t="inlineStr">
        <is>
          <t>Corrects SR-R Baptist NL artifact; H22 is now source-attested in all eight initial case-study branches.</t>
        </is>
      </c>
      <c r="V175" s="7" t="inlineStr">
        <is>
          <t>CERTIFIED</t>
        </is>
      </c>
      <c r="W175" s="7" t="n"/>
      <c r="X175" s="7" t="inlineStr">
        <is>
          <t>Q</t>
        </is>
      </c>
      <c r="Y175" s="7" t="inlineStr">
        <is>
          <t>Q</t>
        </is>
      </c>
      <c r="Z175" s="11" t="b">
        <v>0</v>
      </c>
      <c r="AA175" s="8" t="inlineStr">
        <is>
          <t>CURRENT EVIDENCE / STATUS</t>
        </is>
      </c>
    </row>
    <row r="176" ht="15.75" customHeight="1" s="29">
      <c r="A176" s="7" t="inlineStr">
        <is>
          <t>Q-171</t>
        </is>
      </c>
      <c r="B176" s="7" t="inlineStr">
        <is>
          <t>RNR-H22</t>
        </is>
      </c>
      <c r="C176" s="7" t="inlineStr">
        <is>
          <t>Creator / Maker</t>
        </is>
      </c>
      <c r="D176" s="7" t="inlineStr">
        <is>
          <t>Q</t>
        </is>
      </c>
      <c r="E176" s="7" t="inlineStr">
        <is>
          <t>Lutheran</t>
        </is>
      </c>
      <c r="F176" s="7" t="inlineStr">
        <is>
          <t>SINGLE</t>
        </is>
      </c>
      <c r="G176" s="7" t="inlineStr">
        <is>
          <t>SOURCE ROW RECOVERED</t>
        </is>
      </c>
      <c r="H176" s="7" t="inlineStr">
        <is>
          <t>PUBLIC-CERTIFIED</t>
        </is>
      </c>
      <c r="I176" s="7" t="inlineStr">
        <is>
          <t>RNR-H22a</t>
        </is>
      </c>
      <c r="J176" s="7" t="inlineStr">
        <is>
          <t>Q</t>
        </is>
      </c>
      <c r="K176" s="7" t="inlineStr">
        <is>
          <t>Lutheran Church—Missouri Synod / Book of Concord</t>
        </is>
      </c>
      <c r="L176" s="7" t="inlineStr">
        <is>
          <t>Augsburg Confession</t>
        </is>
      </c>
      <c r="M176" s="7" t="inlineStr">
        <is>
          <t>Article I, Of God</t>
        </is>
      </c>
      <c r="N176" s="7" t="inlineStr">
        <is>
          <t>https://bookofconcord.org/augsburg-confession/of-god/</t>
        </is>
      </c>
      <c r="O176" s="7" t="inlineStr">
        <is>
          <t>https://bookofconcord.org/augsburg-confession/of-god/</t>
        </is>
      </c>
      <c r="P176" s="7" t="inlineStr">
        <is>
          <t>Recovered institution ledger/source report; Baptist and Mennonite creation clauses independently rechecked</t>
        </is>
      </c>
      <c r="Q176" s="7" t="inlineStr">
        <is>
          <t>HIGH</t>
        </is>
      </c>
      <c r="R176" s="7" t="inlineStr">
        <is>
          <t>Q applies to the Latter-day Saint comparison at the controlled creation semantic floor, not to every branch's complete creation theology.</t>
        </is>
      </c>
      <c r="S176" s="7" t="inlineStr">
        <is>
          <t>NO</t>
        </is>
      </c>
      <c r="T176" s="7" t="inlineStr">
        <is>
          <t>Q</t>
        </is>
      </c>
      <c r="U176" s="7" t="inlineStr">
        <is>
          <t>Corrects SR-R Baptist NL artifact; H22 is now source-attested in all eight initial case-study branches.</t>
        </is>
      </c>
      <c r="V176" s="7" t="inlineStr">
        <is>
          <t>CERTIFIED</t>
        </is>
      </c>
      <c r="W176" s="7" t="n"/>
      <c r="X176" s="7" t="inlineStr">
        <is>
          <t>Q</t>
        </is>
      </c>
      <c r="Y176" s="7" t="inlineStr">
        <is>
          <t>Q</t>
        </is>
      </c>
      <c r="Z176" s="11" t="b">
        <v>0</v>
      </c>
      <c r="AA176" s="8" t="inlineStr">
        <is>
          <t>CURRENT EVIDENCE / STATUS</t>
        </is>
      </c>
    </row>
    <row r="177" ht="15.75" customHeight="1" s="29">
      <c r="A177" s="7" t="inlineStr">
        <is>
          <t>Q-172</t>
        </is>
      </c>
      <c r="B177" s="7" t="inlineStr">
        <is>
          <t>RNR-H22</t>
        </is>
      </c>
      <c r="C177" s="7" t="inlineStr">
        <is>
          <t>Creator / Maker</t>
        </is>
      </c>
      <c r="D177" s="7" t="inlineStr">
        <is>
          <t>Q</t>
        </is>
      </c>
      <c r="E177" s="7" t="inlineStr">
        <is>
          <t>Reformed / Presbyterian</t>
        </is>
      </c>
      <c r="F177" s="7" t="inlineStr">
        <is>
          <t>SINGLE</t>
        </is>
      </c>
      <c r="G177" s="7" t="inlineStr">
        <is>
          <t>SOURCE ROW RECOVERED</t>
        </is>
      </c>
      <c r="H177" s="7" t="inlineStr">
        <is>
          <t>PUBLIC-CERTIFIED</t>
        </is>
      </c>
      <c r="I177" s="7" t="inlineStr">
        <is>
          <t>RNR-H22a</t>
        </is>
      </c>
      <c r="J177" s="7" t="inlineStr">
        <is>
          <t>Q</t>
        </is>
      </c>
      <c r="K177" s="7" t="inlineStr">
        <is>
          <t>Orthodox Presbyterian Church</t>
        </is>
      </c>
      <c r="L177" s="7" t="inlineStr">
        <is>
          <t>Westminster Confession of Faith</t>
        </is>
      </c>
      <c r="M177" s="7" t="inlineStr">
        <is>
          <t>Chapter IV, Of Creation</t>
        </is>
      </c>
      <c r="N177" s="7" t="inlineStr">
        <is>
          <t>https://opc.org/wcf.html</t>
        </is>
      </c>
      <c r="O177" s="7" t="inlineStr">
        <is>
          <t>https://opc.org/wcf.html</t>
        </is>
      </c>
      <c r="P177" s="7" t="inlineStr">
        <is>
          <t>Recovered institution ledger/source report; Baptist and Mennonite creation clauses independently rechecked</t>
        </is>
      </c>
      <c r="Q177" s="7" t="inlineStr">
        <is>
          <t>HIGH</t>
        </is>
      </c>
      <c r="R177" s="7" t="inlineStr">
        <is>
          <t>Q applies to the Latter-day Saint comparison at the controlled creation semantic floor, not to every branch's complete creation theology.</t>
        </is>
      </c>
      <c r="S177" s="7" t="inlineStr">
        <is>
          <t>NO</t>
        </is>
      </c>
      <c r="T177" s="7" t="inlineStr">
        <is>
          <t>Q</t>
        </is>
      </c>
      <c r="U177" s="7" t="inlineStr">
        <is>
          <t>Corrects SR-R Baptist NL artifact; H22 is now source-attested in all eight initial case-study branches.</t>
        </is>
      </c>
      <c r="V177" s="7" t="inlineStr">
        <is>
          <t>CERTIFIED</t>
        </is>
      </c>
      <c r="W177" s="7" t="n"/>
      <c r="X177" s="7" t="inlineStr">
        <is>
          <t>Q</t>
        </is>
      </c>
      <c r="Y177" s="7" t="inlineStr">
        <is>
          <t>Q</t>
        </is>
      </c>
      <c r="Z177" s="11" t="b">
        <v>0</v>
      </c>
      <c r="AA177" s="8" t="inlineStr">
        <is>
          <t>CURRENT EVIDENCE / STATUS</t>
        </is>
      </c>
    </row>
    <row r="178" ht="15.75" customHeight="1" s="29">
      <c r="A178" s="7" t="inlineStr">
        <is>
          <t>Q-173</t>
        </is>
      </c>
      <c r="B178" s="7" t="inlineStr">
        <is>
          <t>RNR-H22</t>
        </is>
      </c>
      <c r="C178" s="7" t="inlineStr">
        <is>
          <t>Creator / Maker</t>
        </is>
      </c>
      <c r="D178" s="7" t="inlineStr">
        <is>
          <t>Q</t>
        </is>
      </c>
      <c r="E178" s="7" t="inlineStr">
        <is>
          <t>Anglican</t>
        </is>
      </c>
      <c r="F178" s="7" t="inlineStr">
        <is>
          <t>SINGLE</t>
        </is>
      </c>
      <c r="G178" s="7" t="inlineStr">
        <is>
          <t>SOURCE ROW RECOVERED</t>
        </is>
      </c>
      <c r="H178" s="7" t="inlineStr">
        <is>
          <t>PUBLIC-CERTIFIED</t>
        </is>
      </c>
      <c r="I178" s="7" t="inlineStr">
        <is>
          <t>RNR-H22a</t>
        </is>
      </c>
      <c r="J178" s="7" t="inlineStr">
        <is>
          <t>Q</t>
        </is>
      </c>
      <c r="K178" s="7" t="inlineStr">
        <is>
          <t>Church of England</t>
        </is>
      </c>
      <c r="L178" s="7" t="inlineStr">
        <is>
          <t>Thirty-Nine Articles</t>
        </is>
      </c>
      <c r="M178" s="7" t="inlineStr">
        <is>
          <t>Article I</t>
        </is>
      </c>
      <c r="N178" s="7" t="inlineStr">
        <is>
          <t>https://www.churchofengland.org/prayer-and-worship/worship-texts-and-resources/book-common-prayer/articles-religion</t>
        </is>
      </c>
      <c r="O178" s="7" t="inlineStr">
        <is>
          <t>https://www.churchofengland.org/prayer-and-worship/worship-texts-and-resources/book-common-prayer/articles-religion</t>
        </is>
      </c>
      <c r="P178" s="7" t="inlineStr">
        <is>
          <t>Recovered institution ledger/source report; Baptist and Mennonite creation clauses independently rechecked</t>
        </is>
      </c>
      <c r="Q178" s="7" t="inlineStr">
        <is>
          <t>HIGH</t>
        </is>
      </c>
      <c r="R178" s="7" t="inlineStr">
        <is>
          <t>Q applies to the Latter-day Saint comparison at the controlled creation semantic floor, not to every branch's complete creation theology.</t>
        </is>
      </c>
      <c r="S178" s="7" t="inlineStr">
        <is>
          <t>NO</t>
        </is>
      </c>
      <c r="T178" s="7" t="inlineStr">
        <is>
          <t>Q</t>
        </is>
      </c>
      <c r="U178" s="7" t="inlineStr">
        <is>
          <t>Corrects SR-R Baptist NL artifact; H22 is now source-attested in all eight initial case-study branches.</t>
        </is>
      </c>
      <c r="V178" s="7" t="inlineStr">
        <is>
          <t>CERTIFIED</t>
        </is>
      </c>
      <c r="W178" s="7" t="n"/>
      <c r="X178" s="7" t="inlineStr">
        <is>
          <t>Q</t>
        </is>
      </c>
      <c r="Y178" s="7" t="inlineStr">
        <is>
          <t>Q</t>
        </is>
      </c>
      <c r="Z178" s="11" t="b">
        <v>0</v>
      </c>
      <c r="AA178" s="8" t="inlineStr">
        <is>
          <t>CURRENT EVIDENCE / STATUS</t>
        </is>
      </c>
    </row>
    <row r="179" ht="15.75" customHeight="1" s="29">
      <c r="A179" s="7" t="inlineStr">
        <is>
          <t>Q-174</t>
        </is>
      </c>
      <c r="B179" s="7" t="inlineStr">
        <is>
          <t>RNR-H22</t>
        </is>
      </c>
      <c r="C179" s="7" t="inlineStr">
        <is>
          <t>Creator / Maker</t>
        </is>
      </c>
      <c r="D179" s="7" t="inlineStr">
        <is>
          <t>Q</t>
        </is>
      </c>
      <c r="E179" s="7" t="inlineStr">
        <is>
          <t>Baptist</t>
        </is>
      </c>
      <c r="F179" s="7" t="inlineStr">
        <is>
          <t>SINGLE</t>
        </is>
      </c>
      <c r="G179" s="7" t="inlineStr">
        <is>
          <t>CURRENT OFFICIAL SOURCE RECOVERED — WEB VERIFIED</t>
        </is>
      </c>
      <c r="H179" s="7" t="inlineStr">
        <is>
          <t>PUBLIC-CERTIFIED</t>
        </is>
      </c>
      <c r="I179" s="7" t="inlineStr">
        <is>
          <t>RNR-H22a</t>
        </is>
      </c>
      <c r="J179" s="7" t="inlineStr">
        <is>
          <t>Q</t>
        </is>
      </c>
      <c r="K179" s="7" t="inlineStr">
        <is>
          <t>Southern Baptist Convention</t>
        </is>
      </c>
      <c r="L179" s="7" t="inlineStr">
        <is>
          <t>Baptist Faith and Message 2000</t>
        </is>
      </c>
      <c r="M179" s="7" t="inlineStr">
        <is>
          <t>II. God — Creator of the universe</t>
        </is>
      </c>
      <c r="N179" s="7" t="inlineStr">
        <is>
          <t>https://bfm.sbc.net/bfm2000/</t>
        </is>
      </c>
      <c r="O179" s="7" t="inlineStr">
        <is>
          <t>https://bfm.sbc.net/bfm2000/</t>
        </is>
      </c>
      <c r="P179" s="7" t="inlineStr">
        <is>
          <t>Current official-source recovery, web-verified against Baptist Faith &amp; Message 2000; source role N2 per project institutional authority roster.</t>
        </is>
      </c>
      <c r="Q179" s="7" t="inlineStr">
        <is>
          <t>HIGH</t>
        </is>
      </c>
      <c r="R179" s="7" t="inlineStr">
        <is>
          <t>Southern Baptist Convention cooperative identity under BF&amp;M 2000; not all Baptist churches or Baptist traditions.</t>
        </is>
      </c>
      <c r="S179" s="7" t="inlineStr">
        <is>
          <t>NO</t>
        </is>
      </c>
      <c r="T179" s="7" t="inlineStr">
        <is>
          <t>Q</t>
        </is>
      </c>
      <c r="U179" s="7" t="inlineStr">
        <is>
          <t>Current SBC Creator confession is source-attested; current Latter-day Saint comparison remains Q because creation ontology is materially redefined.</t>
        </is>
      </c>
      <c r="V179" s="7" t="inlineStr">
        <is>
          <t>CERTIFIED</t>
        </is>
      </c>
      <c r="W179" s="7" t="n"/>
      <c r="X179" s="7" t="inlineStr">
        <is>
          <t>Q</t>
        </is>
      </c>
      <c r="Y179" s="7" t="inlineStr">
        <is>
          <t>Q</t>
        </is>
      </c>
      <c r="Z179" s="11" t="b">
        <v>0</v>
      </c>
      <c r="AA179" s="8" t="inlineStr">
        <is>
          <t>CURRENT EVIDENCE / STATUS</t>
        </is>
      </c>
    </row>
    <row r="180" ht="15.75" customHeight="1" s="29">
      <c r="A180" s="7" t="inlineStr">
        <is>
          <t>Q-175</t>
        </is>
      </c>
      <c r="B180" s="7" t="inlineStr">
        <is>
          <t>RNR-H22</t>
        </is>
      </c>
      <c r="C180" s="7" t="inlineStr">
        <is>
          <t>Creator / Maker</t>
        </is>
      </c>
      <c r="D180" s="7" t="inlineStr">
        <is>
          <t>Q</t>
        </is>
      </c>
      <c r="E180" s="7" t="inlineStr">
        <is>
          <t>Methodist / Wesleyan</t>
        </is>
      </c>
      <c r="F180" s="7" t="inlineStr">
        <is>
          <t>SINGLE</t>
        </is>
      </c>
      <c r="G180" s="7" t="inlineStr">
        <is>
          <t>SOURCE ROW RECOVERED</t>
        </is>
      </c>
      <c r="H180" s="7" t="inlineStr">
        <is>
          <t>PUBLIC-CERTIFIED</t>
        </is>
      </c>
      <c r="I180" s="7" t="inlineStr">
        <is>
          <t>RNR-H22a</t>
        </is>
      </c>
      <c r="J180" s="7" t="inlineStr">
        <is>
          <t>Q</t>
        </is>
      </c>
      <c r="K180" s="7" t="inlineStr">
        <is>
          <t>The United Methodist Church</t>
        </is>
      </c>
      <c r="L180" s="7" t="inlineStr">
        <is>
          <t>Articles of Religion</t>
        </is>
      </c>
      <c r="M180" s="7" t="inlineStr">
        <is>
          <t>Article I</t>
        </is>
      </c>
      <c r="N180" s="7" t="inlineStr">
        <is>
          <t>https://www.umc.org/en/content/articles-of-religion</t>
        </is>
      </c>
      <c r="O180" s="7" t="inlineStr">
        <is>
          <t>https://www.umc.org/en/content/articles-of-religion</t>
        </is>
      </c>
      <c r="P180" s="7" t="inlineStr">
        <is>
          <t>Recovered institution ledger/source report; Baptist and Mennonite creation clauses independently rechecked</t>
        </is>
      </c>
      <c r="Q180" s="7" t="inlineStr">
        <is>
          <t>HIGH</t>
        </is>
      </c>
      <c r="R180" s="7" t="inlineStr">
        <is>
          <t>Q applies to the Latter-day Saint comparison at the controlled creation semantic floor, not to every branch's complete creation theology.</t>
        </is>
      </c>
      <c r="S180" s="7" t="inlineStr">
        <is>
          <t>NO</t>
        </is>
      </c>
      <c r="T180" s="7" t="inlineStr">
        <is>
          <t>Q</t>
        </is>
      </c>
      <c r="U180" s="7" t="inlineStr">
        <is>
          <t>Corrects SR-R Baptist NL artifact; H22 is now source-attested in all eight initial case-study branches.</t>
        </is>
      </c>
      <c r="V180" s="7" t="inlineStr">
        <is>
          <t>CERTIFIED</t>
        </is>
      </c>
      <c r="W180" s="7" t="n"/>
      <c r="X180" s="7" t="inlineStr">
        <is>
          <t>Q</t>
        </is>
      </c>
      <c r="Y180" s="7" t="inlineStr">
        <is>
          <t>Q</t>
        </is>
      </c>
      <c r="Z180" s="11" t="b">
        <v>0</v>
      </c>
      <c r="AA180" s="8" t="inlineStr">
        <is>
          <t>CURRENT EVIDENCE / STATUS</t>
        </is>
      </c>
    </row>
    <row r="181" ht="15.75" customHeight="1" s="29">
      <c r="A181" s="7" t="inlineStr">
        <is>
          <t>Q-176</t>
        </is>
      </c>
      <c r="B181" s="7" t="inlineStr">
        <is>
          <t>RNR-H22</t>
        </is>
      </c>
      <c r="C181" s="7" t="inlineStr">
        <is>
          <t>Creator / Maker</t>
        </is>
      </c>
      <c r="D181" s="7" t="inlineStr">
        <is>
          <t>Q</t>
        </is>
      </c>
      <c r="E181" s="7" t="inlineStr">
        <is>
          <t>Mennonite / Anabaptist</t>
        </is>
      </c>
      <c r="F181" s="7" t="inlineStr">
        <is>
          <t>SINGLE</t>
        </is>
      </c>
      <c r="G181" s="7" t="inlineStr">
        <is>
          <t>CURRENT OFFICIAL SOURCE RECOVERED — WEB VERIFIED</t>
        </is>
      </c>
      <c r="H181" s="7" t="inlineStr">
        <is>
          <t>PUBLIC-CERTIFIED</t>
        </is>
      </c>
      <c r="I181" s="7" t="inlineStr">
        <is>
          <t>RNR-H22a</t>
        </is>
      </c>
      <c r="J181" s="7" t="inlineStr">
        <is>
          <t>Q</t>
        </is>
      </c>
      <c r="K181" s="7" t="inlineStr">
        <is>
          <t>Mennonite Church USA</t>
        </is>
      </c>
      <c r="L181" s="7" t="inlineStr">
        <is>
          <t>Confession of Faith in a Mennonite Perspective (1995), Article 5: Creation and Divine Providence</t>
        </is>
      </c>
      <c r="M181" s="7" t="inlineStr">
        <is>
          <t>Article 5 — God has created the heavens and the earth and all that is in them</t>
        </is>
      </c>
      <c r="N181" s="7" t="inlineStr">
        <is>
          <t>https://www.mennoniteusa.org/who-are-mennonites/what-we-believe/confession-of-faith/creation-and-divine-providence/</t>
        </is>
      </c>
      <c r="O181" s="7" t="inlineStr">
        <is>
          <t>https://www.mennoniteusa.org/who-are-mennonites/what-we-believe/confession-of-faith/creation-and-divine-providence/</t>
        </is>
      </c>
      <c r="P181" s="7" t="inlineStr">
        <is>
          <t>Current official-source recovery, web-verified against Mennonite Church USA Confession of Faith in a Mennonite Perspective (1995); N2 role per project roster.</t>
        </is>
      </c>
      <c r="Q181" s="7" t="inlineStr">
        <is>
          <t>HIGH</t>
        </is>
      </c>
      <c r="R181" s="7" t="inlineStr">
        <is>
          <t>Mennonite Church USA / adopting-body scope for the 1995 Confession; not all Mennonite or Anabaptist bodies.</t>
        </is>
      </c>
      <c r="S181" s="7" t="inlineStr">
        <is>
          <t>NO</t>
        </is>
      </c>
      <c r="T181" s="7" t="inlineStr">
        <is>
          <t>Q</t>
        </is>
      </c>
      <c r="U181" s="7" t="inlineStr">
        <is>
          <t>Current Mennonite Creator confession is source-attested; current Latter-day Saint comparison remains Q because creation ontology differs.</t>
        </is>
      </c>
      <c r="V181" s="7" t="inlineStr">
        <is>
          <t>CERTIFIED</t>
        </is>
      </c>
      <c r="W181" s="7" t="n"/>
      <c r="X181" s="7" t="inlineStr">
        <is>
          <t>Q</t>
        </is>
      </c>
      <c r="Y181" s="7" t="inlineStr">
        <is>
          <t>Q</t>
        </is>
      </c>
      <c r="Z181" s="11" t="b">
        <v>0</v>
      </c>
      <c r="AA181" s="8" t="inlineStr">
        <is>
          <t>CURRENT EVIDENCE / STATUS</t>
        </is>
      </c>
    </row>
    <row r="182" ht="15.75" customHeight="1" s="29">
      <c r="A182" s="7" t="inlineStr">
        <is>
          <t>Q-177</t>
        </is>
      </c>
      <c r="B182" s="7" t="inlineStr">
        <is>
          <t>RNR-H23</t>
        </is>
      </c>
      <c r="C182" s="7" t="inlineStr">
        <is>
          <t>Preserver / Sustainer</t>
        </is>
      </c>
      <c r="D182" s="7" t="inlineStr">
        <is>
          <t>A</t>
        </is>
      </c>
      <c r="E182" s="7" t="inlineStr">
        <is>
          <t>Roman Catholic</t>
        </is>
      </c>
      <c r="F182" s="7" t="inlineStr">
        <is>
          <t>SINGLE</t>
        </is>
      </c>
      <c r="G182" s="7" t="inlineStr">
        <is>
          <t>TO RECOVER FROM SESSION 9 LEDGER</t>
        </is>
      </c>
      <c r="H182" s="7" t="inlineStr">
        <is>
          <t>NO PUBLIC TILE</t>
        </is>
      </c>
      <c r="I182" s="7" t="n"/>
      <c r="J182" s="7" t="n"/>
      <c r="K182" s="7" t="n"/>
      <c r="L182" s="7" t="n"/>
      <c r="M182" s="7" t="n"/>
      <c r="N182" s="7" t="n"/>
      <c r="O182" s="7" t="n"/>
      <c r="P182" s="7" t="n"/>
      <c r="Q182" s="7" t="inlineStr">
        <is>
          <t>NOT-ASSESSED</t>
        </is>
      </c>
      <c r="R182" s="7" t="n"/>
      <c r="S182" s="7" t="n"/>
      <c r="T182" s="7" t="n"/>
      <c r="U182" s="7" t="n"/>
      <c r="V182" s="7" t="n"/>
      <c r="W182" s="7" t="n"/>
      <c r="X182" s="7" t="inlineStr">
        <is>
          <t>NOT LOCATED — NOT YET RECOVERED</t>
        </is>
      </c>
      <c r="Y182" s="7" t="inlineStr">
        <is>
          <t>EXCLUDED</t>
        </is>
      </c>
      <c r="Z182" s="11" t="b">
        <v>0</v>
      </c>
      <c r="AA182" s="8" t="inlineStr">
        <is>
          <t>CURRENT EVIDENCE / STATUS</t>
        </is>
      </c>
    </row>
    <row r="183" ht="15.75" customHeight="1" s="29">
      <c r="A183" s="7" t="inlineStr">
        <is>
          <t>Q-178</t>
        </is>
      </c>
      <c r="B183" s="7" t="inlineStr">
        <is>
          <t>RNR-H23</t>
        </is>
      </c>
      <c r="C183" s="7" t="inlineStr">
        <is>
          <t>Preserver / Sustainer</t>
        </is>
      </c>
      <c r="D183" s="7" t="inlineStr">
        <is>
          <t>A</t>
        </is>
      </c>
      <c r="E183" s="7" t="inlineStr">
        <is>
          <t>Eastern Orthodox</t>
        </is>
      </c>
      <c r="F183" s="7" t="inlineStr">
        <is>
          <t>SINGLE</t>
        </is>
      </c>
      <c r="G183" s="7" t="inlineStr">
        <is>
          <t>TO RECOVER FROM SESSION 9 LEDGER</t>
        </is>
      </c>
      <c r="H183" s="7" t="inlineStr">
        <is>
          <t>NO PUBLIC TILE</t>
        </is>
      </c>
      <c r="I183" s="7" t="n"/>
      <c r="J183" s="7" t="n"/>
      <c r="K183" s="7" t="n"/>
      <c r="L183" s="7" t="n"/>
      <c r="M183" s="7" t="n"/>
      <c r="N183" s="7" t="n"/>
      <c r="O183" s="7" t="n"/>
      <c r="P183" s="7" t="n"/>
      <c r="Q183" s="7" t="inlineStr">
        <is>
          <t>NOT-ASSESSED</t>
        </is>
      </c>
      <c r="R183" s="7" t="n"/>
      <c r="S183" s="7" t="n"/>
      <c r="T183" s="7" t="n"/>
      <c r="U183" s="7" t="n"/>
      <c r="V183" s="7" t="n"/>
      <c r="W183" s="7" t="n"/>
      <c r="X183" s="7" t="inlineStr">
        <is>
          <t>NOT LOCATED — NOT YET RECOVERED</t>
        </is>
      </c>
      <c r="Y183" s="7" t="inlineStr">
        <is>
          <t>EXCLUDED</t>
        </is>
      </c>
      <c r="Z183" s="11" t="b">
        <v>0</v>
      </c>
      <c r="AA183" s="8" t="inlineStr">
        <is>
          <t>CURRENT EVIDENCE / STATUS</t>
        </is>
      </c>
    </row>
    <row r="184" ht="15.75" customHeight="1" s="29">
      <c r="A184" s="7" t="inlineStr">
        <is>
          <t>Q-179</t>
        </is>
      </c>
      <c r="B184" s="7" t="inlineStr">
        <is>
          <t>RNR-H23</t>
        </is>
      </c>
      <c r="C184" s="7" t="inlineStr">
        <is>
          <t>Preserver / Sustainer</t>
        </is>
      </c>
      <c r="D184" s="7" t="inlineStr">
        <is>
          <t>A</t>
        </is>
      </c>
      <c r="E184" s="7" t="inlineStr">
        <is>
          <t>Lutheran</t>
        </is>
      </c>
      <c r="F184" s="7" t="inlineStr">
        <is>
          <t>SINGLE</t>
        </is>
      </c>
      <c r="G184" s="7" t="inlineStr">
        <is>
          <t>TO RECOVER FROM SESSION 9 LEDGER</t>
        </is>
      </c>
      <c r="H184" s="7" t="inlineStr">
        <is>
          <t>NO PUBLIC TILE</t>
        </is>
      </c>
      <c r="I184" s="7" t="n"/>
      <c r="J184" s="7" t="n"/>
      <c r="K184" s="7" t="n"/>
      <c r="L184" s="7" t="n"/>
      <c r="M184" s="7" t="n"/>
      <c r="N184" s="7" t="n"/>
      <c r="O184" s="7" t="n"/>
      <c r="P184" s="7" t="n"/>
      <c r="Q184" s="7" t="inlineStr">
        <is>
          <t>NOT-ASSESSED</t>
        </is>
      </c>
      <c r="R184" s="7" t="n"/>
      <c r="S184" s="7" t="n"/>
      <c r="T184" s="7" t="n"/>
      <c r="U184" s="7" t="n"/>
      <c r="V184" s="7" t="n"/>
      <c r="W184" s="7" t="n"/>
      <c r="X184" s="7" t="inlineStr">
        <is>
          <t>NOT LOCATED — NOT YET RECOVERED</t>
        </is>
      </c>
      <c r="Y184" s="7" t="inlineStr">
        <is>
          <t>EXCLUDED</t>
        </is>
      </c>
      <c r="Z184" s="11" t="b">
        <v>0</v>
      </c>
      <c r="AA184" s="8" t="inlineStr">
        <is>
          <t>CURRENT EVIDENCE / STATUS</t>
        </is>
      </c>
    </row>
    <row r="185" ht="15.75" customHeight="1" s="29">
      <c r="A185" s="7" t="inlineStr">
        <is>
          <t>Q-180</t>
        </is>
      </c>
      <c r="B185" s="7" t="inlineStr">
        <is>
          <t>RNR-H23</t>
        </is>
      </c>
      <c r="C185" s="7" t="inlineStr">
        <is>
          <t>Preserver / Sustainer</t>
        </is>
      </c>
      <c r="D185" s="7" t="inlineStr">
        <is>
          <t>A</t>
        </is>
      </c>
      <c r="E185" s="7" t="inlineStr">
        <is>
          <t>Reformed / Presbyterian</t>
        </is>
      </c>
      <c r="F185" s="7" t="inlineStr">
        <is>
          <t>SINGLE</t>
        </is>
      </c>
      <c r="G185" s="7" t="inlineStr">
        <is>
          <t>SESSION 9 SOURCE ROW RECOVERED</t>
        </is>
      </c>
      <c r="H185" s="7" t="inlineStr">
        <is>
          <t>PUBLIC-CERTIFIED</t>
        </is>
      </c>
      <c r="I185" s="7" t="inlineStr">
        <is>
          <t>RNR-H23a</t>
        </is>
      </c>
      <c r="J185" s="7" t="inlineStr">
        <is>
          <t>A</t>
        </is>
      </c>
      <c r="K185" s="7" t="inlineStr">
        <is>
          <t>Presbyterian Church (U.S.A.)</t>
        </is>
      </c>
      <c r="L185" s="7" t="inlineStr">
        <is>
          <t>Scots Confession</t>
        </is>
      </c>
      <c r="M185" s="7" t="inlineStr">
        <is>
          <t>Chapter 1</t>
        </is>
      </c>
      <c r="N185" s="7" t="inlineStr">
        <is>
          <t>https://pcusa.org/about-pcusa/agencies-entities/life-witness/ministry-areas/constitutional-interpretation/constitution</t>
        </is>
      </c>
      <c r="O185" s="7" t="inlineStr">
        <is>
          <t>https://pcusa.org/sites/default/files/boc2016.pdf</t>
        </is>
      </c>
      <c r="P185" s="7" t="inlineStr">
        <is>
          <t>Session 9 row exposed in source-ledger recovery</t>
        </is>
      </c>
      <c r="Q185" s="7" t="inlineStr">
        <is>
          <t>HIGH</t>
        </is>
      </c>
      <c r="R185" s="7" t="inlineStr">
        <is>
          <t>PC(USA) constitutional scope.</t>
        </is>
      </c>
      <c r="S185" s="7" t="inlineStr">
        <is>
          <t>NO</t>
        </is>
      </c>
      <c r="T185" s="7" t="inlineStr">
        <is>
          <t>A</t>
        </is>
      </c>
      <c r="U185" s="7" t="inlineStr">
        <is>
          <t>PC(USA) authority page and direct Book of Confessions PDF repaired in v2.9. | PC(USA) Text URL repaired to live Book of Confessions PDF in v2.10.</t>
        </is>
      </c>
      <c r="V185" s="7" t="inlineStr">
        <is>
          <t>CERTIFIED</t>
        </is>
      </c>
      <c r="W185" s="7" t="n"/>
      <c r="X185" s="7" t="inlineStr">
        <is>
          <t>A</t>
        </is>
      </c>
      <c r="Y185" s="7" t="inlineStr">
        <is>
          <t>A</t>
        </is>
      </c>
      <c r="Z185" s="11" t="b">
        <v>0</v>
      </c>
      <c r="AA185" s="8" t="inlineStr">
        <is>
          <t>CURRENT EVIDENCE / STATUS</t>
        </is>
      </c>
    </row>
    <row r="186" ht="15.75" customHeight="1" s="29">
      <c r="A186" s="7" t="inlineStr">
        <is>
          <t>Q-181</t>
        </is>
      </c>
      <c r="B186" s="7" t="inlineStr">
        <is>
          <t>RNR-H23</t>
        </is>
      </c>
      <c r="C186" s="7" t="inlineStr">
        <is>
          <t>Preserver / Sustainer</t>
        </is>
      </c>
      <c r="D186" s="7" t="inlineStr">
        <is>
          <t>A</t>
        </is>
      </c>
      <c r="E186" s="7" t="inlineStr">
        <is>
          <t>Anglican</t>
        </is>
      </c>
      <c r="F186" s="7" t="inlineStr">
        <is>
          <t>SINGLE</t>
        </is>
      </c>
      <c r="G186" s="7" t="inlineStr">
        <is>
          <t>SESSION 9 SOURCE ROW RECOVERED</t>
        </is>
      </c>
      <c r="H186" s="7" t="inlineStr">
        <is>
          <t>PUBLIC-CERTIFIED</t>
        </is>
      </c>
      <c r="I186" s="7" t="inlineStr">
        <is>
          <t>RNR-H23a</t>
        </is>
      </c>
      <c r="J186" s="7" t="inlineStr">
        <is>
          <t>A</t>
        </is>
      </c>
      <c r="K186" s="7" t="inlineStr">
        <is>
          <t>Church of England</t>
        </is>
      </c>
      <c r="L186" s="7" t="inlineStr">
        <is>
          <t>Thirty-Nine Articles</t>
        </is>
      </c>
      <c r="M186" s="7" t="inlineStr">
        <is>
          <t>Article I</t>
        </is>
      </c>
      <c r="N186" s="7" t="inlineStr">
        <is>
          <t>https://www.churchofengland.org/prayer-and-worship/worship-texts-and-resources/book-common-prayer/articles-religion</t>
        </is>
      </c>
      <c r="O186" s="7" t="inlineStr">
        <is>
          <t>https://www.churchofengland.org/prayer-and-worship/worship-texts-and-resources/book-common-prayer/articles-religion</t>
        </is>
      </c>
      <c r="P186" s="7" t="inlineStr">
        <is>
          <t>Session 9 row exposed in source-ledger recovery</t>
        </is>
      </c>
      <c r="Q186" s="7" t="inlineStr">
        <is>
          <t>HIGH</t>
        </is>
      </c>
      <c r="R186" s="7" t="inlineStr">
        <is>
          <t>Church of England only.</t>
        </is>
      </c>
      <c r="S186" s="7" t="inlineStr">
        <is>
          <t>NO</t>
        </is>
      </c>
      <c r="T186" s="7" t="inlineStr">
        <is>
          <t>A</t>
        </is>
      </c>
      <c r="U186" s="7" t="n"/>
      <c r="V186" s="7" t="inlineStr">
        <is>
          <t>CERTIFIED</t>
        </is>
      </c>
      <c r="W186" s="7" t="n"/>
      <c r="X186" s="7" t="inlineStr">
        <is>
          <t>A</t>
        </is>
      </c>
      <c r="Y186" s="7" t="inlineStr">
        <is>
          <t>A</t>
        </is>
      </c>
      <c r="Z186" s="11" t="b">
        <v>0</v>
      </c>
      <c r="AA186" s="8" t="inlineStr">
        <is>
          <t>CURRENT EVIDENCE / STATUS</t>
        </is>
      </c>
    </row>
    <row r="187" ht="15.75" customHeight="1" s="29">
      <c r="A187" s="7" t="inlineStr">
        <is>
          <t>Q-182</t>
        </is>
      </c>
      <c r="B187" s="7" t="inlineStr">
        <is>
          <t>RNR-H23</t>
        </is>
      </c>
      <c r="C187" s="7" t="inlineStr">
        <is>
          <t>Preserver / Sustainer</t>
        </is>
      </c>
      <c r="D187" s="7" t="inlineStr">
        <is>
          <t>A</t>
        </is>
      </c>
      <c r="E187" s="7" t="inlineStr">
        <is>
          <t>Baptist</t>
        </is>
      </c>
      <c r="F187" s="7" t="inlineStr">
        <is>
          <t>SINGLE</t>
        </is>
      </c>
      <c r="G187" s="7" t="inlineStr">
        <is>
          <t>CURRENT OFFICIAL SOURCE RECOVERED — WEB VERIFIED</t>
        </is>
      </c>
      <c r="H187" s="7" t="inlineStr">
        <is>
          <t>PUBLIC-CERTIFIED</t>
        </is>
      </c>
      <c r="I187" s="7" t="inlineStr">
        <is>
          <t>RNR-H23a</t>
        </is>
      </c>
      <c r="J187" s="7" t="inlineStr">
        <is>
          <t>A</t>
        </is>
      </c>
      <c r="K187" s="7" t="inlineStr">
        <is>
          <t>Southern Baptist Convention</t>
        </is>
      </c>
      <c r="L187" s="7" t="inlineStr">
        <is>
          <t>Baptist Faith and Message 2000</t>
        </is>
      </c>
      <c r="M187" s="7" t="inlineStr">
        <is>
          <t>II. God — Preserver of the universe</t>
        </is>
      </c>
      <c r="N187" s="7" t="inlineStr">
        <is>
          <t>https://bfm.sbc.net/bfm2000/</t>
        </is>
      </c>
      <c r="O187" s="7" t="inlineStr">
        <is>
          <t>https://bfm.sbc.net/bfm2000/</t>
        </is>
      </c>
      <c r="P187" s="7" t="inlineStr">
        <is>
          <t>Current official-source recovery, web-verified against Baptist Faith &amp; Message 2000; source role N2 per project institutional authority roster.</t>
        </is>
      </c>
      <c r="Q187" s="7" t="inlineStr">
        <is>
          <t>HIGH</t>
        </is>
      </c>
      <c r="R187" s="7" t="inlineStr">
        <is>
          <t>Southern Baptist Convention cooperative identity under BF&amp;M 2000; not all Baptist churches or Baptist traditions.</t>
        </is>
      </c>
      <c r="S187" s="7" t="inlineStr">
        <is>
          <t>NO</t>
        </is>
      </c>
      <c r="T187" s="7" t="inlineStr">
        <is>
          <t>A</t>
        </is>
      </c>
      <c r="U187" s="7" t="inlineStr">
        <is>
          <t>Current SBC source explicitly attests Preserver.</t>
        </is>
      </c>
      <c r="V187" s="7" t="inlineStr">
        <is>
          <t>CERTIFIED</t>
        </is>
      </c>
      <c r="W187" s="7" t="n"/>
      <c r="X187" s="7" t="inlineStr">
        <is>
          <t>A</t>
        </is>
      </c>
      <c r="Y187" s="7" t="inlineStr">
        <is>
          <t>A</t>
        </is>
      </c>
      <c r="Z187" s="11" t="b">
        <v>0</v>
      </c>
      <c r="AA187" s="8" t="inlineStr">
        <is>
          <t>CURRENT EVIDENCE / STATUS</t>
        </is>
      </c>
    </row>
    <row r="188" ht="15.75" customHeight="1" s="29">
      <c r="A188" s="7" t="inlineStr">
        <is>
          <t>Q-183</t>
        </is>
      </c>
      <c r="B188" s="7" t="inlineStr">
        <is>
          <t>RNR-H23</t>
        </is>
      </c>
      <c r="C188" s="7" t="inlineStr">
        <is>
          <t>Preserver / Sustainer</t>
        </is>
      </c>
      <c r="D188" s="7" t="inlineStr">
        <is>
          <t>A</t>
        </is>
      </c>
      <c r="E188" s="7" t="inlineStr">
        <is>
          <t>Methodist / Wesleyan</t>
        </is>
      </c>
      <c r="F188" s="7" t="inlineStr">
        <is>
          <t>SINGLE</t>
        </is>
      </c>
      <c r="G188" s="7" t="inlineStr">
        <is>
          <t>SESSION 9 SOURCE ROW RECOVERED</t>
        </is>
      </c>
      <c r="H188" s="7" t="inlineStr">
        <is>
          <t>PUBLIC-CERTIFIED</t>
        </is>
      </c>
      <c r="I188" s="7" t="inlineStr">
        <is>
          <t>RNR-H23a</t>
        </is>
      </c>
      <c r="J188" s="7" t="inlineStr">
        <is>
          <t>A</t>
        </is>
      </c>
      <c r="K188" s="7" t="inlineStr">
        <is>
          <t>The United Methodist Church</t>
        </is>
      </c>
      <c r="L188" s="7" t="inlineStr">
        <is>
          <t>Articles of Religion of the Methodist Church</t>
        </is>
      </c>
      <c r="M188" s="7" t="inlineStr">
        <is>
          <t>Article I</t>
        </is>
      </c>
      <c r="N188" s="7" t="inlineStr">
        <is>
          <t>https://www.umc.org/en/content/articles-of-religion</t>
        </is>
      </c>
      <c r="O188" s="7" t="inlineStr">
        <is>
          <t>https://www.umc.org/en/content/articles-of-religion</t>
        </is>
      </c>
      <c r="P188" s="7" t="inlineStr">
        <is>
          <t>S9-IA-0198 / S8-IA-0198; EUB S9-IA-0199 corroborates.</t>
        </is>
      </c>
      <c r="Q188" s="7" t="inlineStr">
        <is>
          <t>HIGH</t>
        </is>
      </c>
      <c r="R188" s="7" t="inlineStr">
        <is>
          <t>UMC institutional scope.</t>
        </is>
      </c>
      <c r="S188" s="7" t="inlineStr">
        <is>
          <t>NO</t>
        </is>
      </c>
      <c r="T188" s="7" t="inlineStr">
        <is>
          <t>A</t>
        </is>
      </c>
      <c r="U188" s="7" t="inlineStr">
        <is>
          <t>Preserver / Sustainer.</t>
        </is>
      </c>
      <c r="V188" s="7" t="inlineStr">
        <is>
          <t>CERTIFIED</t>
        </is>
      </c>
      <c r="W188" s="7" t="n"/>
      <c r="X188" s="7" t="inlineStr">
        <is>
          <t>A</t>
        </is>
      </c>
      <c r="Y188" s="7" t="inlineStr">
        <is>
          <t>A</t>
        </is>
      </c>
      <c r="Z188" s="11" t="b">
        <v>0</v>
      </c>
      <c r="AA188" s="8" t="inlineStr">
        <is>
          <t>CURRENT EVIDENCE / STATUS</t>
        </is>
      </c>
    </row>
    <row r="189" ht="15.75" customHeight="1" s="29">
      <c r="A189" s="7" t="inlineStr">
        <is>
          <t>Q-184</t>
        </is>
      </c>
      <c r="B189" s="7" t="inlineStr">
        <is>
          <t>RNR-H23</t>
        </is>
      </c>
      <c r="C189" s="7" t="inlineStr">
        <is>
          <t>Preserver / Sustainer</t>
        </is>
      </c>
      <c r="D189" s="7" t="inlineStr">
        <is>
          <t>A</t>
        </is>
      </c>
      <c r="E189" s="7" t="inlineStr">
        <is>
          <t>Mennonite / Anabaptist</t>
        </is>
      </c>
      <c r="F189" s="7" t="inlineStr">
        <is>
          <t>SINGLE</t>
        </is>
      </c>
      <c r="G189" s="7" t="inlineStr">
        <is>
          <t>CURRENT OFFICIAL SOURCE RECOVERED — WEB VERIFIED</t>
        </is>
      </c>
      <c r="H189" s="7" t="inlineStr">
        <is>
          <t>PUBLIC-CERTIFIED</t>
        </is>
      </c>
      <c r="I189" s="7" t="inlineStr">
        <is>
          <t>RNR-H23a</t>
        </is>
      </c>
      <c r="J189" s="7" t="inlineStr">
        <is>
          <t>A</t>
        </is>
      </c>
      <c r="K189" s="7" t="inlineStr">
        <is>
          <t>Mennonite Church USA</t>
        </is>
      </c>
      <c r="L189" s="7" t="inlineStr">
        <is>
          <t>Confession of Faith in a Mennonite Perspective (1995), Article 5: Creation and Divine Providence</t>
        </is>
      </c>
      <c r="M189" s="7" t="inlineStr">
        <is>
          <t>Article 5 — God preserves and renews what has been made; sustains creation</t>
        </is>
      </c>
      <c r="N189" s="7" t="inlineStr">
        <is>
          <t>https://www.mennoniteusa.org/who-are-mennonites/what-we-believe/confession-of-faith/creation-and-divine-providence/</t>
        </is>
      </c>
      <c r="O189" s="7" t="inlineStr">
        <is>
          <t>https://www.mennoniteusa.org/who-are-mennonites/what-we-believe/confession-of-faith/creation-and-divine-providence/</t>
        </is>
      </c>
      <c r="P189" s="7" t="inlineStr">
        <is>
          <t>Current official-source recovery, web-verified against Mennonite Church USA Confession of Faith in a Mennonite Perspective (1995); N2 role per project roster.</t>
        </is>
      </c>
      <c r="Q189" s="7" t="inlineStr">
        <is>
          <t>HIGH</t>
        </is>
      </c>
      <c r="R189" s="7" t="inlineStr">
        <is>
          <t>Mennonite Church USA / adopting-body scope for the 1995 Confession; not all Mennonite or Anabaptist bodies.</t>
        </is>
      </c>
      <c r="S189" s="7" t="inlineStr">
        <is>
          <t>NO</t>
        </is>
      </c>
      <c r="T189" s="7" t="inlineStr">
        <is>
          <t>A</t>
        </is>
      </c>
      <c r="U189" s="7" t="inlineStr">
        <is>
          <t>Current Mennonite source explicitly attests preservation/sustaining.</t>
        </is>
      </c>
      <c r="V189" s="7" t="inlineStr">
        <is>
          <t>CERTIFIED</t>
        </is>
      </c>
      <c r="W189" s="7" t="n"/>
      <c r="X189" s="7" t="inlineStr">
        <is>
          <t>A</t>
        </is>
      </c>
      <c r="Y189" s="7" t="inlineStr">
        <is>
          <t>A</t>
        </is>
      </c>
      <c r="Z189" s="11" t="b">
        <v>0</v>
      </c>
      <c r="AA189" s="8" t="inlineStr">
        <is>
          <t>CURRENT EVIDENCE / STATUS</t>
        </is>
      </c>
    </row>
    <row r="190" ht="15.75" customHeight="1" s="29">
      <c r="A190" s="7" t="inlineStr">
        <is>
          <t>Q-185</t>
        </is>
      </c>
      <c r="B190" s="7" t="inlineStr">
        <is>
          <t>RNR-H24</t>
        </is>
      </c>
      <c r="C190" s="7" t="inlineStr">
        <is>
          <t>Governor / Ruler</t>
        </is>
      </c>
      <c r="D190" s="7" t="inlineStr">
        <is>
          <t>A</t>
        </is>
      </c>
      <c r="E190" s="7" t="inlineStr">
        <is>
          <t>Roman Catholic</t>
        </is>
      </c>
      <c r="F190" s="7" t="inlineStr">
        <is>
          <t>SINGLE</t>
        </is>
      </c>
      <c r="G190" s="7" t="inlineStr">
        <is>
          <t>SESSION 9 SOURCE ROW RECOVERED</t>
        </is>
      </c>
      <c r="H190" s="7" t="inlineStr">
        <is>
          <t>PUBLIC-CERTIFIED</t>
        </is>
      </c>
      <c r="I190" s="7" t="inlineStr">
        <is>
          <t>RNR-H24a</t>
        </is>
      </c>
      <c r="J190" s="7" t="inlineStr">
        <is>
          <t>A</t>
        </is>
      </c>
      <c r="K190" s="7" t="inlineStr">
        <is>
          <t>Roman Catholic Church</t>
        </is>
      </c>
      <c r="L190" s="7" t="inlineStr">
        <is>
          <t>First Vatican Council, Dei Filius</t>
        </is>
      </c>
      <c r="M190" s="7" t="inlineStr">
        <is>
          <t>Chapter I, God the Creator of All Things</t>
        </is>
      </c>
      <c r="N190" s="7" t="inlineStr">
        <is>
          <t>https://www.vatican.va/archive/hist_councils/i-vatican-council/documents/vat-i_const_18700424_dei-filius_la.html</t>
        </is>
      </c>
      <c r="O190" s="7" t="inlineStr">
        <is>
          <t>https://www.ewtn.com/catholicism/teachings/vatican-i-dogmatic-constitution-dei-filius-on-the-catholic-faith-241</t>
        </is>
      </c>
      <c r="P190" s="7" t="inlineStr">
        <is>
          <t>S9-IA-0204 / S8-IA-0204.</t>
        </is>
      </c>
      <c r="Q190" s="7" t="inlineStr">
        <is>
          <t>HIGH</t>
        </is>
      </c>
      <c r="R190" s="7" t="inlineStr">
        <is>
          <t>Universal Catholic Church; official Latin controls.</t>
        </is>
      </c>
      <c r="S190" s="7" t="inlineStr">
        <is>
          <t>NO</t>
        </is>
      </c>
      <c r="T190" s="7" t="inlineStr">
        <is>
          <t>A</t>
        </is>
      </c>
      <c r="U190" s="7" t="inlineStr">
        <is>
          <t>Governor / Ruler.</t>
        </is>
      </c>
      <c r="V190" s="7" t="inlineStr">
        <is>
          <t>CERTIFIED</t>
        </is>
      </c>
      <c r="W190" s="7" t="n"/>
      <c r="X190" s="7" t="inlineStr">
        <is>
          <t>A</t>
        </is>
      </c>
      <c r="Y190" s="7" t="inlineStr">
        <is>
          <t>A</t>
        </is>
      </c>
      <c r="Z190" s="11" t="b">
        <v>0</v>
      </c>
      <c r="AA190" s="8" t="inlineStr">
        <is>
          <t>CURRENT EVIDENCE / STATUS</t>
        </is>
      </c>
    </row>
    <row r="191" ht="15.75" customHeight="1" s="29">
      <c r="A191" s="7" t="inlineStr">
        <is>
          <t>Q-186</t>
        </is>
      </c>
      <c r="B191" s="7" t="inlineStr">
        <is>
          <t>RNR-H24</t>
        </is>
      </c>
      <c r="C191" s="7" t="inlineStr">
        <is>
          <t>Governor / Ruler</t>
        </is>
      </c>
      <c r="D191" s="7" t="inlineStr">
        <is>
          <t>A</t>
        </is>
      </c>
      <c r="E191" s="7" t="inlineStr">
        <is>
          <t>Eastern Orthodox</t>
        </is>
      </c>
      <c r="F191" s="7" t="inlineStr">
        <is>
          <t>SINGLE</t>
        </is>
      </c>
      <c r="G191" s="7" t="inlineStr">
        <is>
          <t>TO RECOVER FROM SESSION 9 LEDGER</t>
        </is>
      </c>
      <c r="H191" s="7" t="inlineStr">
        <is>
          <t>NO PUBLIC TILE</t>
        </is>
      </c>
      <c r="I191" s="7" t="n"/>
      <c r="J191" s="7" t="n"/>
      <c r="K191" s="7" t="n"/>
      <c r="L191" s="7" t="n"/>
      <c r="M191" s="7" t="n"/>
      <c r="N191" s="7" t="n"/>
      <c r="O191" s="7" t="n"/>
      <c r="P191" s="7" t="n"/>
      <c r="Q191" s="7" t="inlineStr">
        <is>
          <t>NOT-ASSESSED</t>
        </is>
      </c>
      <c r="R191" s="7" t="n"/>
      <c r="S191" s="7" t="n"/>
      <c r="T191" s="7" t="n"/>
      <c r="U191" s="7" t="n"/>
      <c r="V191" s="7" t="n"/>
      <c r="W191" s="7" t="n"/>
      <c r="X191" s="7" t="inlineStr">
        <is>
          <t>NOT LOCATED — NOT YET RECOVERED</t>
        </is>
      </c>
      <c r="Y191" s="7" t="inlineStr">
        <is>
          <t>EXCLUDED</t>
        </is>
      </c>
      <c r="Z191" s="11" t="b">
        <v>0</v>
      </c>
      <c r="AA191" s="8" t="inlineStr">
        <is>
          <t>CURRENT EVIDENCE / STATUS</t>
        </is>
      </c>
    </row>
    <row r="192" ht="15.75" customHeight="1" s="29">
      <c r="A192" s="7" t="inlineStr">
        <is>
          <t>Q-187</t>
        </is>
      </c>
      <c r="B192" s="7" t="inlineStr">
        <is>
          <t>RNR-H24</t>
        </is>
      </c>
      <c r="C192" s="7" t="inlineStr">
        <is>
          <t>Governor / Ruler</t>
        </is>
      </c>
      <c r="D192" s="7" t="inlineStr">
        <is>
          <t>A</t>
        </is>
      </c>
      <c r="E192" s="7" t="inlineStr">
        <is>
          <t>Lutheran</t>
        </is>
      </c>
      <c r="F192" s="7" t="inlineStr">
        <is>
          <t>SINGLE</t>
        </is>
      </c>
      <c r="G192" s="7" t="inlineStr">
        <is>
          <t>TO RECOVER FROM SESSION 9 LEDGER</t>
        </is>
      </c>
      <c r="H192" s="7" t="inlineStr">
        <is>
          <t>NO PUBLIC TILE</t>
        </is>
      </c>
      <c r="I192" s="7" t="n"/>
      <c r="J192" s="7" t="n"/>
      <c r="K192" s="7" t="n"/>
      <c r="L192" s="7" t="n"/>
      <c r="M192" s="7" t="n"/>
      <c r="N192" s="7" t="n"/>
      <c r="O192" s="7" t="n"/>
      <c r="P192" s="7" t="n"/>
      <c r="Q192" s="7" t="inlineStr">
        <is>
          <t>NOT-ASSESSED</t>
        </is>
      </c>
      <c r="R192" s="7" t="n"/>
      <c r="S192" s="7" t="n"/>
      <c r="T192" s="7" t="n"/>
      <c r="U192" s="7" t="n"/>
      <c r="V192" s="7" t="n"/>
      <c r="W192" s="7" t="n"/>
      <c r="X192" s="7" t="inlineStr">
        <is>
          <t>NOT LOCATED — NOT YET RECOVERED</t>
        </is>
      </c>
      <c r="Y192" s="7" t="inlineStr">
        <is>
          <t>EXCLUDED</t>
        </is>
      </c>
      <c r="Z192" s="11" t="b">
        <v>0</v>
      </c>
      <c r="AA192" s="8" t="inlineStr">
        <is>
          <t>CURRENT EVIDENCE / STATUS</t>
        </is>
      </c>
    </row>
    <row r="193" ht="15.75" customHeight="1" s="29">
      <c r="A193" s="7" t="inlineStr">
        <is>
          <t>Q-188</t>
        </is>
      </c>
      <c r="B193" s="7" t="inlineStr">
        <is>
          <t>RNR-H24</t>
        </is>
      </c>
      <c r="C193" s="7" t="inlineStr">
        <is>
          <t>Governor / Ruler</t>
        </is>
      </c>
      <c r="D193" s="7" t="inlineStr">
        <is>
          <t>A</t>
        </is>
      </c>
      <c r="E193" s="7" t="inlineStr">
        <is>
          <t>Reformed / Presbyterian</t>
        </is>
      </c>
      <c r="F193" s="7" t="inlineStr">
        <is>
          <t>SINGLE</t>
        </is>
      </c>
      <c r="G193" s="7" t="inlineStr">
        <is>
          <t>SESSION 9 SOURCE ROW RECOVERED</t>
        </is>
      </c>
      <c r="H193" s="7" t="inlineStr">
        <is>
          <t>PUBLIC-CERTIFIED</t>
        </is>
      </c>
      <c r="I193" s="7" t="inlineStr">
        <is>
          <t>RNR-H24a</t>
        </is>
      </c>
      <c r="J193" s="7" t="inlineStr">
        <is>
          <t>A</t>
        </is>
      </c>
      <c r="K193" s="7" t="inlineStr">
        <is>
          <t>Christian Reformed Church in North America</t>
        </is>
      </c>
      <c r="L193" s="7" t="inlineStr">
        <is>
          <t>Heidelberg Catechism</t>
        </is>
      </c>
      <c r="M193" s="7" t="inlineStr">
        <is>
          <t>Lord's Days 9–10, Q&amp;A 26–28</t>
        </is>
      </c>
      <c r="N193" s="7" t="inlineStr">
        <is>
          <t>https://www.crcna.org/welcome/beliefs/confessions/heidelberg-catechism</t>
        </is>
      </c>
      <c r="O193" s="7" t="inlineStr">
        <is>
          <t>https://www.crcna.org/welcome/beliefs/confessions/heidelberg-catechism</t>
        </is>
      </c>
      <c r="P193" s="7" t="inlineStr">
        <is>
          <t>S9-IA-0201 / S8-IA-0201; RCA and PC(USA) Heidelberg rows corroborate.</t>
        </is>
      </c>
      <c r="Q193" s="7" t="inlineStr">
        <is>
          <t>HIGH</t>
        </is>
      </c>
      <c r="R193" s="7" t="inlineStr">
        <is>
          <t>CRCNA primary; related Heidelberg witnesses are not counted as separate votes.</t>
        </is>
      </c>
      <c r="S193" s="7" t="inlineStr">
        <is>
          <t>NO</t>
        </is>
      </c>
      <c r="T193" s="7" t="inlineStr">
        <is>
          <t>A</t>
        </is>
      </c>
      <c r="U193" s="7" t="inlineStr">
        <is>
          <t>Governor / Ruler.</t>
        </is>
      </c>
      <c r="V193" s="7" t="inlineStr">
        <is>
          <t>CERTIFIED</t>
        </is>
      </c>
      <c r="W193" s="7" t="n"/>
      <c r="X193" s="7" t="inlineStr">
        <is>
          <t>A</t>
        </is>
      </c>
      <c r="Y193" s="7" t="inlineStr">
        <is>
          <t>A</t>
        </is>
      </c>
      <c r="Z193" s="11" t="b">
        <v>0</v>
      </c>
      <c r="AA193" s="8" t="inlineStr">
        <is>
          <t>CURRENT EVIDENCE / STATUS</t>
        </is>
      </c>
    </row>
    <row r="194" ht="15.75" customHeight="1" s="29">
      <c r="A194" s="7" t="inlineStr">
        <is>
          <t>Q-189</t>
        </is>
      </c>
      <c r="B194" s="7" t="inlineStr">
        <is>
          <t>RNR-H24</t>
        </is>
      </c>
      <c r="C194" s="7" t="inlineStr">
        <is>
          <t>Governor / Ruler</t>
        </is>
      </c>
      <c r="D194" s="7" t="inlineStr">
        <is>
          <t>A</t>
        </is>
      </c>
      <c r="E194" s="7" t="inlineStr">
        <is>
          <t>Anglican</t>
        </is>
      </c>
      <c r="F194" s="7" t="inlineStr">
        <is>
          <t>SINGLE</t>
        </is>
      </c>
      <c r="G194" s="7" t="inlineStr">
        <is>
          <t>TO RECOVER FROM SESSION 9 LEDGER</t>
        </is>
      </c>
      <c r="H194" s="7" t="inlineStr">
        <is>
          <t>NO PUBLIC TILE</t>
        </is>
      </c>
      <c r="I194" s="7" t="n"/>
      <c r="J194" s="7" t="n"/>
      <c r="K194" s="7" t="n"/>
      <c r="L194" s="7" t="n"/>
      <c r="M194" s="7" t="n"/>
      <c r="N194" s="7" t="n"/>
      <c r="O194" s="7" t="n"/>
      <c r="P194" s="7" t="n"/>
      <c r="Q194" s="7" t="inlineStr">
        <is>
          <t>NOT-ASSESSED</t>
        </is>
      </c>
      <c r="R194" s="7" t="n"/>
      <c r="S194" s="7" t="n"/>
      <c r="T194" s="7" t="n"/>
      <c r="U194" s="7" t="n"/>
      <c r="V194" s="7" t="n"/>
      <c r="W194" s="7" t="n"/>
      <c r="X194" s="7" t="inlineStr">
        <is>
          <t>NOT LOCATED — NOT YET RECOVERED</t>
        </is>
      </c>
      <c r="Y194" s="7" t="inlineStr">
        <is>
          <t>EXCLUDED</t>
        </is>
      </c>
      <c r="Z194" s="11" t="b">
        <v>0</v>
      </c>
      <c r="AA194" s="8" t="inlineStr">
        <is>
          <t>CURRENT EVIDENCE / STATUS</t>
        </is>
      </c>
    </row>
    <row r="195" ht="15.75" customHeight="1" s="29">
      <c r="A195" s="7" t="inlineStr">
        <is>
          <t>Q-190</t>
        </is>
      </c>
      <c r="B195" s="7" t="inlineStr">
        <is>
          <t>RNR-H24</t>
        </is>
      </c>
      <c r="C195" s="7" t="inlineStr">
        <is>
          <t>Governor / Ruler</t>
        </is>
      </c>
      <c r="D195" s="7" t="inlineStr">
        <is>
          <t>A</t>
        </is>
      </c>
      <c r="E195" s="7" t="inlineStr">
        <is>
          <t>Baptist</t>
        </is>
      </c>
      <c r="F195" s="7" t="inlineStr">
        <is>
          <t>SINGLE</t>
        </is>
      </c>
      <c r="G195" s="7" t="inlineStr">
        <is>
          <t>CURRENT OFFICIAL SOURCE RECOVERED — WEB VERIFIED</t>
        </is>
      </c>
      <c r="H195" s="7" t="inlineStr">
        <is>
          <t>PUBLIC-CERTIFIED</t>
        </is>
      </c>
      <c r="I195" s="7" t="inlineStr">
        <is>
          <t>RNR-H24a</t>
        </is>
      </c>
      <c r="J195" s="7" t="inlineStr">
        <is>
          <t>A</t>
        </is>
      </c>
      <c r="K195" s="7" t="inlineStr">
        <is>
          <t>Southern Baptist Convention</t>
        </is>
      </c>
      <c r="L195" s="7" t="inlineStr">
        <is>
          <t>Baptist Faith and Message 2000</t>
        </is>
      </c>
      <c r="M195" s="7" t="inlineStr">
        <is>
          <t>II. God — Ruler of the universe</t>
        </is>
      </c>
      <c r="N195" s="7" t="inlineStr">
        <is>
          <t>https://bfm.sbc.net/bfm2000/</t>
        </is>
      </c>
      <c r="O195" s="7" t="inlineStr">
        <is>
          <t>https://bfm.sbc.net/bfm2000/</t>
        </is>
      </c>
      <c r="P195" s="7" t="inlineStr">
        <is>
          <t>Current official-source recovery, web-verified against Baptist Faith &amp; Message 2000; source role N2 per project institutional authority roster.</t>
        </is>
      </c>
      <c r="Q195" s="7" t="inlineStr">
        <is>
          <t>HIGH</t>
        </is>
      </c>
      <c r="R195" s="7" t="inlineStr">
        <is>
          <t>Southern Baptist Convention cooperative identity under BF&amp;M 2000; not all Baptist churches or Baptist traditions.</t>
        </is>
      </c>
      <c r="S195" s="7" t="inlineStr">
        <is>
          <t>NO</t>
        </is>
      </c>
      <c r="T195" s="7" t="inlineStr">
        <is>
          <t>A</t>
        </is>
      </c>
      <c r="U195" s="7" t="inlineStr">
        <is>
          <t>Current SBC source explicitly attests Ruler.</t>
        </is>
      </c>
      <c r="V195" s="7" t="inlineStr">
        <is>
          <t>CERTIFIED</t>
        </is>
      </c>
      <c r="W195" s="7" t="n"/>
      <c r="X195" s="7" t="inlineStr">
        <is>
          <t>A</t>
        </is>
      </c>
      <c r="Y195" s="7" t="inlineStr">
        <is>
          <t>A</t>
        </is>
      </c>
      <c r="Z195" s="11" t="b">
        <v>0</v>
      </c>
      <c r="AA195" s="8" t="inlineStr">
        <is>
          <t>CURRENT EVIDENCE / STATUS</t>
        </is>
      </c>
    </row>
    <row r="196" ht="15.75" customHeight="1" s="29">
      <c r="A196" s="7" t="inlineStr">
        <is>
          <t>Q-191</t>
        </is>
      </c>
      <c r="B196" s="7" t="inlineStr">
        <is>
          <t>RNR-H24</t>
        </is>
      </c>
      <c r="C196" s="7" t="inlineStr">
        <is>
          <t>Governor / Ruler</t>
        </is>
      </c>
      <c r="D196" s="7" t="inlineStr">
        <is>
          <t>A</t>
        </is>
      </c>
      <c r="E196" s="7" t="inlineStr">
        <is>
          <t>Methodist / Wesleyan</t>
        </is>
      </c>
      <c r="F196" s="7" t="inlineStr">
        <is>
          <t>SINGLE</t>
        </is>
      </c>
      <c r="G196" s="7" t="inlineStr">
        <is>
          <t>SESSION 9 SOURCE ROW RECOVERED</t>
        </is>
      </c>
      <c r="H196" s="7" t="inlineStr">
        <is>
          <t>PUBLIC-CERTIFIED</t>
        </is>
      </c>
      <c r="I196" s="7" t="inlineStr">
        <is>
          <t>RNR-H24a</t>
        </is>
      </c>
      <c r="J196" s="7" t="inlineStr">
        <is>
          <t>A</t>
        </is>
      </c>
      <c r="K196" s="7" t="inlineStr">
        <is>
          <t>The United Methodist Church</t>
        </is>
      </c>
      <c r="L196" s="7" t="inlineStr">
        <is>
          <t>Confession of Faith of the Evangelical United Brethren Church</t>
        </is>
      </c>
      <c r="M196" s="7" t="inlineStr">
        <is>
          <t>Article I</t>
        </is>
      </c>
      <c r="N196" s="7" t="inlineStr">
        <is>
          <t>https://www.umc.org/en/content/confession-of-faith</t>
        </is>
      </c>
      <c r="O196" s="7" t="inlineStr">
        <is>
          <t>https://www.umc.org/en/content/confession-of-faith</t>
        </is>
      </c>
      <c r="P196" s="7" t="inlineStr">
        <is>
          <t>S9-IA-0205 / S8-IA-0205.</t>
        </is>
      </c>
      <c r="Q196" s="7" t="inlineStr">
        <is>
          <t>HIGH</t>
        </is>
      </c>
      <c r="R196" s="7" t="inlineStr">
        <is>
          <t>UMC institutional scope.</t>
        </is>
      </c>
      <c r="S196" s="7" t="inlineStr">
        <is>
          <t>NO</t>
        </is>
      </c>
      <c r="T196" s="7" t="inlineStr">
        <is>
          <t>A</t>
        </is>
      </c>
      <c r="U196" s="7" t="inlineStr">
        <is>
          <t>Governor / Ruler.</t>
        </is>
      </c>
      <c r="V196" s="7" t="inlineStr">
        <is>
          <t>CERTIFIED</t>
        </is>
      </c>
      <c r="W196" s="7" t="n"/>
      <c r="X196" s="7" t="inlineStr">
        <is>
          <t>A</t>
        </is>
      </c>
      <c r="Y196" s="7" t="inlineStr">
        <is>
          <t>A</t>
        </is>
      </c>
      <c r="Z196" s="11" t="b">
        <v>0</v>
      </c>
      <c r="AA196" s="8" t="inlineStr">
        <is>
          <t>CURRENT EVIDENCE / STATUS</t>
        </is>
      </c>
    </row>
    <row r="197" ht="15.75" customHeight="1" s="29">
      <c r="A197" s="7" t="inlineStr">
        <is>
          <t>Q-192</t>
        </is>
      </c>
      <c r="B197" s="7" t="inlineStr">
        <is>
          <t>RNR-H24</t>
        </is>
      </c>
      <c r="C197" s="7" t="inlineStr">
        <is>
          <t>Governor / Ruler</t>
        </is>
      </c>
      <c r="D197" s="7" t="inlineStr">
        <is>
          <t>A</t>
        </is>
      </c>
      <c r="E197" s="7" t="inlineStr">
        <is>
          <t>Mennonite / Anabaptist</t>
        </is>
      </c>
      <c r="F197" s="7" t="inlineStr">
        <is>
          <t>SINGLE</t>
        </is>
      </c>
      <c r="G197" s="7" t="inlineStr">
        <is>
          <t>TO RECOVER FROM SESSION 9 LEDGER</t>
        </is>
      </c>
      <c r="H197" s="7" t="inlineStr">
        <is>
          <t>NO PUBLIC TILE</t>
        </is>
      </c>
      <c r="I197" s="7" t="n"/>
      <c r="J197" s="7" t="n"/>
      <c r="K197" s="7" t="n"/>
      <c r="L197" s="7" t="n"/>
      <c r="M197" s="7" t="n"/>
      <c r="N197" s="7" t="n"/>
      <c r="O197" s="7" t="n"/>
      <c r="P197" s="7" t="n"/>
      <c r="Q197" s="7" t="inlineStr">
        <is>
          <t>NOT-ASSESSED</t>
        </is>
      </c>
      <c r="R197" s="7" t="n"/>
      <c r="S197" s="7" t="n"/>
      <c r="T197" s="7" t="n"/>
      <c r="U197" s="7" t="n"/>
      <c r="V197" s="7" t="n"/>
      <c r="W197" s="7" t="n"/>
      <c r="X197" s="7" t="inlineStr">
        <is>
          <t>NOT LOCATED — NOT YET RECOVERED</t>
        </is>
      </c>
      <c r="Y197" s="7" t="inlineStr">
        <is>
          <t>EXCLUDED</t>
        </is>
      </c>
      <c r="Z197" s="11" t="b">
        <v>0</v>
      </c>
      <c r="AA197" s="8" t="inlineStr">
        <is>
          <t>CURRENT EVIDENCE / STATUS</t>
        </is>
      </c>
    </row>
    <row r="198" ht="15.75" customHeight="1" s="29">
      <c r="A198" s="7" t="inlineStr">
        <is>
          <t>Q-193</t>
        </is>
      </c>
      <c r="B198" s="7" t="inlineStr">
        <is>
          <t>RNR-H25</t>
        </is>
      </c>
      <c r="C198" s="7" t="inlineStr">
        <is>
          <t>Sovereign</t>
        </is>
      </c>
      <c r="D198" s="7" t="inlineStr">
        <is>
          <t>A</t>
        </is>
      </c>
      <c r="E198" s="7" t="inlineStr">
        <is>
          <t>Roman Catholic</t>
        </is>
      </c>
      <c r="F198" s="7" t="inlineStr">
        <is>
          <t>SINGLE</t>
        </is>
      </c>
      <c r="G198" s="7" t="inlineStr">
        <is>
          <t>TO RECOVER FROM SESSION 9 LEDGER</t>
        </is>
      </c>
      <c r="H198" s="7" t="inlineStr">
        <is>
          <t>NO PUBLIC TILE</t>
        </is>
      </c>
      <c r="I198" s="7" t="n"/>
      <c r="J198" s="7" t="n"/>
      <c r="K198" s="7" t="n"/>
      <c r="L198" s="7" t="n"/>
      <c r="M198" s="7" t="n"/>
      <c r="N198" s="7" t="n"/>
      <c r="O198" s="7" t="n"/>
      <c r="P198" s="7" t="n"/>
      <c r="Q198" s="7" t="inlineStr">
        <is>
          <t>NOT-ASSESSED</t>
        </is>
      </c>
      <c r="R198" s="7" t="n"/>
      <c r="S198" s="7" t="n"/>
      <c r="T198" s="7" t="n"/>
      <c r="U198" s="7" t="n"/>
      <c r="V198" s="7" t="n"/>
      <c r="W198" s="7" t="n"/>
      <c r="X198" s="7" t="inlineStr">
        <is>
          <t>NOT LOCATED — NOT YET RECOVERED</t>
        </is>
      </c>
      <c r="Y198" s="7" t="inlineStr">
        <is>
          <t>EXCLUDED</t>
        </is>
      </c>
      <c r="Z198" s="11" t="b">
        <v>0</v>
      </c>
      <c r="AA198" s="8" t="inlineStr">
        <is>
          <t>CURRENT EVIDENCE / STATUS</t>
        </is>
      </c>
    </row>
    <row r="199" ht="15.75" customHeight="1" s="29">
      <c r="A199" s="7" t="inlineStr">
        <is>
          <t>Q-194</t>
        </is>
      </c>
      <c r="B199" s="7" t="inlineStr">
        <is>
          <t>RNR-H25</t>
        </is>
      </c>
      <c r="C199" s="7" t="inlineStr">
        <is>
          <t>Sovereign</t>
        </is>
      </c>
      <c r="D199" s="7" t="inlineStr">
        <is>
          <t>A</t>
        </is>
      </c>
      <c r="E199" s="7" t="inlineStr">
        <is>
          <t>Eastern Orthodox</t>
        </is>
      </c>
      <c r="F199" s="7" t="inlineStr">
        <is>
          <t>SINGLE</t>
        </is>
      </c>
      <c r="G199" s="7" t="inlineStr">
        <is>
          <t>TO RECOVER FROM SESSION 9 LEDGER</t>
        </is>
      </c>
      <c r="H199" s="7" t="inlineStr">
        <is>
          <t>NO PUBLIC TILE</t>
        </is>
      </c>
      <c r="I199" s="7" t="n"/>
      <c r="J199" s="7" t="n"/>
      <c r="K199" s="7" t="n"/>
      <c r="L199" s="7" t="n"/>
      <c r="M199" s="7" t="n"/>
      <c r="N199" s="7" t="n"/>
      <c r="O199" s="7" t="n"/>
      <c r="P199" s="7" t="n"/>
      <c r="Q199" s="7" t="inlineStr">
        <is>
          <t>NOT-ASSESSED</t>
        </is>
      </c>
      <c r="R199" s="7" t="n"/>
      <c r="S199" s="7" t="n"/>
      <c r="T199" s="7" t="n"/>
      <c r="U199" s="7" t="n"/>
      <c r="V199" s="7" t="n"/>
      <c r="W199" s="7" t="n"/>
      <c r="X199" s="7" t="inlineStr">
        <is>
          <t>NOT LOCATED — NOT YET RECOVERED</t>
        </is>
      </c>
      <c r="Y199" s="7" t="inlineStr">
        <is>
          <t>EXCLUDED</t>
        </is>
      </c>
      <c r="Z199" s="11" t="b">
        <v>0</v>
      </c>
      <c r="AA199" s="8" t="inlineStr">
        <is>
          <t>CURRENT EVIDENCE / STATUS</t>
        </is>
      </c>
    </row>
    <row r="200" ht="15.75" customHeight="1" s="29">
      <c r="A200" s="7" t="inlineStr">
        <is>
          <t>Q-195</t>
        </is>
      </c>
      <c r="B200" s="7" t="inlineStr">
        <is>
          <t>RNR-H25</t>
        </is>
      </c>
      <c r="C200" s="7" t="inlineStr">
        <is>
          <t>Sovereign</t>
        </is>
      </c>
      <c r="D200" s="7" t="inlineStr">
        <is>
          <t>A</t>
        </is>
      </c>
      <c r="E200" s="7" t="inlineStr">
        <is>
          <t>Lutheran</t>
        </is>
      </c>
      <c r="F200" s="7" t="inlineStr">
        <is>
          <t>SINGLE</t>
        </is>
      </c>
      <c r="G200" s="7" t="inlineStr">
        <is>
          <t>TO RECOVER FROM SESSION 9 LEDGER</t>
        </is>
      </c>
      <c r="H200" s="7" t="inlineStr">
        <is>
          <t>NO PUBLIC TILE</t>
        </is>
      </c>
      <c r="I200" s="7" t="n"/>
      <c r="J200" s="7" t="n"/>
      <c r="K200" s="7" t="n"/>
      <c r="L200" s="7" t="n"/>
      <c r="M200" s="7" t="n"/>
      <c r="N200" s="7" t="n"/>
      <c r="O200" s="7" t="n"/>
      <c r="P200" s="7" t="n"/>
      <c r="Q200" s="7" t="inlineStr">
        <is>
          <t>NOT-ASSESSED</t>
        </is>
      </c>
      <c r="R200" s="7" t="n"/>
      <c r="S200" s="7" t="n"/>
      <c r="T200" s="7" t="n"/>
      <c r="U200" s="7" t="n"/>
      <c r="V200" s="7" t="n"/>
      <c r="W200" s="7" t="n"/>
      <c r="X200" s="7" t="inlineStr">
        <is>
          <t>NOT LOCATED — NOT YET RECOVERED</t>
        </is>
      </c>
      <c r="Y200" s="7" t="inlineStr">
        <is>
          <t>EXCLUDED</t>
        </is>
      </c>
      <c r="Z200" s="11" t="b">
        <v>0</v>
      </c>
      <c r="AA200" s="8" t="inlineStr">
        <is>
          <t>CURRENT EVIDENCE / STATUS</t>
        </is>
      </c>
    </row>
    <row r="201" ht="15.75" customHeight="1" s="29">
      <c r="A201" s="7" t="inlineStr">
        <is>
          <t>Q-196</t>
        </is>
      </c>
      <c r="B201" s="7" t="inlineStr">
        <is>
          <t>RNR-H25</t>
        </is>
      </c>
      <c r="C201" s="7" t="inlineStr">
        <is>
          <t>Sovereign</t>
        </is>
      </c>
      <c r="D201" s="7" t="inlineStr">
        <is>
          <t>A</t>
        </is>
      </c>
      <c r="E201" s="7" t="inlineStr">
        <is>
          <t>Reformed / Presbyterian</t>
        </is>
      </c>
      <c r="F201" s="7" t="inlineStr">
        <is>
          <t>SINGLE</t>
        </is>
      </c>
      <c r="G201" s="7" t="inlineStr">
        <is>
          <t>SESSION 9 SOURCE ROW RECOVERED</t>
        </is>
      </c>
      <c r="H201" s="7" t="inlineStr">
        <is>
          <t>PUBLIC-CERTIFIED</t>
        </is>
      </c>
      <c r="I201" s="7" t="inlineStr">
        <is>
          <t>RNR-H25a</t>
        </is>
      </c>
      <c r="J201" s="7" t="inlineStr">
        <is>
          <t>A</t>
        </is>
      </c>
      <c r="K201" s="7" t="inlineStr">
        <is>
          <t>Orthodox Presbyterian Church</t>
        </is>
      </c>
      <c r="L201" s="7" t="inlineStr">
        <is>
          <t>Westminster Confession of Faith</t>
        </is>
      </c>
      <c r="M201" s="7" t="inlineStr">
        <is>
          <t>Chapters II.1–3; III; V; VI; IX; XIII as applicable</t>
        </is>
      </c>
      <c r="N201" s="7" t="inlineStr">
        <is>
          <t>https://opc.org/wcf.html</t>
        </is>
      </c>
      <c r="O201" s="7" t="inlineStr">
        <is>
          <t>https://opc.org/wcf.html</t>
        </is>
      </c>
      <c r="P201" s="7" t="inlineStr">
        <is>
          <t>S9-IA-0206 / S8-IA-0206; PC(USA) S9-IA-0207 corroborates.</t>
        </is>
      </c>
      <c r="Q201" s="7" t="inlineStr">
        <is>
          <t>HIGH</t>
        </is>
      </c>
      <c r="R201" s="7" t="inlineStr">
        <is>
          <t>OPC primary; PC(USA) corroboration.</t>
        </is>
      </c>
      <c r="S201" s="7" t="inlineStr">
        <is>
          <t>NO</t>
        </is>
      </c>
      <c r="T201" s="7" t="inlineStr">
        <is>
          <t>A</t>
        </is>
      </c>
      <c r="U201" s="7" t="inlineStr">
        <is>
          <t>Sovereign.</t>
        </is>
      </c>
      <c r="V201" s="7" t="inlineStr">
        <is>
          <t>CERTIFIED</t>
        </is>
      </c>
      <c r="W201" s="7" t="n"/>
      <c r="X201" s="7" t="inlineStr">
        <is>
          <t>A</t>
        </is>
      </c>
      <c r="Y201" s="7" t="inlineStr">
        <is>
          <t>A</t>
        </is>
      </c>
      <c r="Z201" s="11" t="b">
        <v>0</v>
      </c>
      <c r="AA201" s="8" t="inlineStr">
        <is>
          <t>CURRENT EVIDENCE / STATUS</t>
        </is>
      </c>
    </row>
    <row r="202" ht="15.75" customHeight="1" s="29">
      <c r="A202" s="7" t="inlineStr">
        <is>
          <t>Q-197</t>
        </is>
      </c>
      <c r="B202" s="7" t="inlineStr">
        <is>
          <t>RNR-H25</t>
        </is>
      </c>
      <c r="C202" s="7" t="inlineStr">
        <is>
          <t>Sovereign</t>
        </is>
      </c>
      <c r="D202" s="7" t="inlineStr">
        <is>
          <t>A</t>
        </is>
      </c>
      <c r="E202" s="7" t="inlineStr">
        <is>
          <t>Anglican</t>
        </is>
      </c>
      <c r="F202" s="7" t="inlineStr">
        <is>
          <t>SINGLE</t>
        </is>
      </c>
      <c r="G202" s="7" t="inlineStr">
        <is>
          <t>TO RECOVER FROM SESSION 9 LEDGER</t>
        </is>
      </c>
      <c r="H202" s="7" t="inlineStr">
        <is>
          <t>NO PUBLIC TILE</t>
        </is>
      </c>
      <c r="I202" s="7" t="n"/>
      <c r="J202" s="7" t="n"/>
      <c r="K202" s="7" t="n"/>
      <c r="L202" s="7" t="n"/>
      <c r="M202" s="7" t="n"/>
      <c r="N202" s="7" t="n"/>
      <c r="O202" s="7" t="n"/>
      <c r="P202" s="7" t="n"/>
      <c r="Q202" s="7" t="inlineStr">
        <is>
          <t>NOT-ASSESSED</t>
        </is>
      </c>
      <c r="R202" s="7" t="n"/>
      <c r="S202" s="7" t="n"/>
      <c r="T202" s="7" t="n"/>
      <c r="U202" s="7" t="n"/>
      <c r="V202" s="7" t="n"/>
      <c r="W202" s="7" t="n"/>
      <c r="X202" s="7" t="inlineStr">
        <is>
          <t>NOT LOCATED — NOT YET RECOVERED</t>
        </is>
      </c>
      <c r="Y202" s="7" t="inlineStr">
        <is>
          <t>EXCLUDED</t>
        </is>
      </c>
      <c r="Z202" s="11" t="b">
        <v>0</v>
      </c>
      <c r="AA202" s="8" t="inlineStr">
        <is>
          <t>CURRENT EVIDENCE / STATUS</t>
        </is>
      </c>
    </row>
    <row r="203" ht="15.75" customHeight="1" s="29">
      <c r="A203" s="7" t="inlineStr">
        <is>
          <t>Q-198</t>
        </is>
      </c>
      <c r="B203" s="7" t="inlineStr">
        <is>
          <t>RNR-H25</t>
        </is>
      </c>
      <c r="C203" s="7" t="inlineStr">
        <is>
          <t>Sovereign</t>
        </is>
      </c>
      <c r="D203" s="7" t="inlineStr">
        <is>
          <t>A</t>
        </is>
      </c>
      <c r="E203" s="7" t="inlineStr">
        <is>
          <t>Baptist</t>
        </is>
      </c>
      <c r="F203" s="7" t="inlineStr">
        <is>
          <t>SINGLE</t>
        </is>
      </c>
      <c r="G203" s="7" t="inlineStr">
        <is>
          <t>TO RECOVER FROM SESSION 9 LEDGER</t>
        </is>
      </c>
      <c r="H203" s="7" t="inlineStr">
        <is>
          <t>NO PUBLIC TILE</t>
        </is>
      </c>
      <c r="I203" s="7" t="n"/>
      <c r="J203" s="7" t="n"/>
      <c r="K203" s="7" t="n"/>
      <c r="L203" s="7" t="n"/>
      <c r="M203" s="7" t="n"/>
      <c r="N203" s="7" t="n"/>
      <c r="O203" s="7" t="n"/>
      <c r="P203" s="7" t="n"/>
      <c r="Q203" s="7" t="inlineStr">
        <is>
          <t>NOT-ASSESSED</t>
        </is>
      </c>
      <c r="R203" s="7" t="n"/>
      <c r="S203" s="7" t="n"/>
      <c r="T203" s="7" t="n"/>
      <c r="U203" s="7" t="n"/>
      <c r="V203" s="7" t="n"/>
      <c r="W203" s="7" t="n"/>
      <c r="X203" s="7" t="inlineStr">
        <is>
          <t>NOT LOCATED — NOT YET RECOVERED</t>
        </is>
      </c>
      <c r="Y203" s="7" t="inlineStr">
        <is>
          <t>EXCLUDED</t>
        </is>
      </c>
      <c r="Z203" s="11" t="b">
        <v>0</v>
      </c>
      <c r="AA203" s="8" t="inlineStr">
        <is>
          <t>CURRENT EVIDENCE / STATUS</t>
        </is>
      </c>
    </row>
    <row r="204" ht="15.75" customHeight="1" s="29">
      <c r="A204" s="7" t="inlineStr">
        <is>
          <t>Q-199</t>
        </is>
      </c>
      <c r="B204" s="7" t="inlineStr">
        <is>
          <t>RNR-H25</t>
        </is>
      </c>
      <c r="C204" s="7" t="inlineStr">
        <is>
          <t>Sovereign</t>
        </is>
      </c>
      <c r="D204" s="7" t="inlineStr">
        <is>
          <t>A</t>
        </is>
      </c>
      <c r="E204" s="7" t="inlineStr">
        <is>
          <t>Methodist / Wesleyan</t>
        </is>
      </c>
      <c r="F204" s="7" t="inlineStr">
        <is>
          <t>SINGLE</t>
        </is>
      </c>
      <c r="G204" s="7" t="inlineStr">
        <is>
          <t>SESSION 9 SOURCE ROW RECOVERED</t>
        </is>
      </c>
      <c r="H204" s="7" t="inlineStr">
        <is>
          <t>PUBLIC-CERTIFIED</t>
        </is>
      </c>
      <c r="I204" s="7" t="inlineStr">
        <is>
          <t>RNR-H25a</t>
        </is>
      </c>
      <c r="J204" s="7" t="inlineStr">
        <is>
          <t>A</t>
        </is>
      </c>
      <c r="K204" s="7" t="inlineStr">
        <is>
          <t>The United Methodist Church</t>
        </is>
      </c>
      <c r="L204" s="7" t="inlineStr">
        <is>
          <t>Confession of Faith of the Evangelical United Brethren Church</t>
        </is>
      </c>
      <c r="M204" s="7" t="inlineStr">
        <is>
          <t>Article I</t>
        </is>
      </c>
      <c r="N204" s="7" t="inlineStr">
        <is>
          <t>https://www.umc.org/en/content/confession-of-faith</t>
        </is>
      </c>
      <c r="O204" s="7" t="inlineStr">
        <is>
          <t>https://www.umc.org/en/content/confession-of-faith</t>
        </is>
      </c>
      <c r="P204" s="7" t="inlineStr">
        <is>
          <t>S9-IA-0208 / S8-IA-0208.</t>
        </is>
      </c>
      <c r="Q204" s="7" t="inlineStr">
        <is>
          <t>HIGH</t>
        </is>
      </c>
      <c r="R204" s="7" t="inlineStr">
        <is>
          <t>UMC institutional scope.</t>
        </is>
      </c>
      <c r="S204" s="7" t="inlineStr">
        <is>
          <t>NO</t>
        </is>
      </c>
      <c r="T204" s="7" t="inlineStr">
        <is>
          <t>A</t>
        </is>
      </c>
      <c r="U204" s="7" t="inlineStr">
        <is>
          <t>Sovereign.</t>
        </is>
      </c>
      <c r="V204" s="7" t="inlineStr">
        <is>
          <t>CERTIFIED</t>
        </is>
      </c>
      <c r="W204" s="7" t="n"/>
      <c r="X204" s="7" t="inlineStr">
        <is>
          <t>A</t>
        </is>
      </c>
      <c r="Y204" s="7" t="inlineStr">
        <is>
          <t>A</t>
        </is>
      </c>
      <c r="Z204" s="11" t="b">
        <v>0</v>
      </c>
      <c r="AA204" s="8" t="inlineStr">
        <is>
          <t>CURRENT EVIDENCE / STATUS</t>
        </is>
      </c>
    </row>
    <row r="205" ht="15.75" customHeight="1" s="29">
      <c r="A205" s="7" t="inlineStr">
        <is>
          <t>Q-200</t>
        </is>
      </c>
      <c r="B205" s="7" t="inlineStr">
        <is>
          <t>RNR-H25</t>
        </is>
      </c>
      <c r="C205" s="7" t="inlineStr">
        <is>
          <t>Sovereign</t>
        </is>
      </c>
      <c r="D205" s="7" t="inlineStr">
        <is>
          <t>A</t>
        </is>
      </c>
      <c r="E205" s="7" t="inlineStr">
        <is>
          <t>Mennonite / Anabaptist</t>
        </is>
      </c>
      <c r="F205" s="7" t="inlineStr">
        <is>
          <t>SINGLE</t>
        </is>
      </c>
      <c r="G205" s="7" t="inlineStr">
        <is>
          <t>TO RECOVER FROM SESSION 9 LEDGER</t>
        </is>
      </c>
      <c r="H205" s="7" t="inlineStr">
        <is>
          <t>NO PUBLIC TILE</t>
        </is>
      </c>
      <c r="I205" s="7" t="n"/>
      <c r="J205" s="7" t="n"/>
      <c r="K205" s="7" t="n"/>
      <c r="L205" s="7" t="n"/>
      <c r="M205" s="7" t="n"/>
      <c r="N205" s="7" t="n"/>
      <c r="O205" s="7" t="n"/>
      <c r="P205" s="7" t="n"/>
      <c r="Q205" s="7" t="inlineStr">
        <is>
          <t>NOT-ASSESSED</t>
        </is>
      </c>
      <c r="R205" s="7" t="n"/>
      <c r="S205" s="7" t="n"/>
      <c r="T205" s="7" t="n"/>
      <c r="U205" s="7" t="n"/>
      <c r="V205" s="7" t="n"/>
      <c r="W205" s="7" t="n"/>
      <c r="X205" s="7" t="inlineStr">
        <is>
          <t>NOT LOCATED — NOT YET RECOVERED</t>
        </is>
      </c>
      <c r="Y205" s="7" t="inlineStr">
        <is>
          <t>EXCLUDED</t>
        </is>
      </c>
      <c r="Z205" s="11" t="b">
        <v>0</v>
      </c>
      <c r="AA205" s="8" t="inlineStr">
        <is>
          <t>CURRENT EVIDENCE / STATUS</t>
        </is>
      </c>
    </row>
    <row r="206" ht="15.75" customHeight="1" s="29">
      <c r="A206" s="7" t="inlineStr">
        <is>
          <t>Q-201</t>
        </is>
      </c>
      <c r="B206" s="7" t="inlineStr">
        <is>
          <t>RNR-H26</t>
        </is>
      </c>
      <c r="C206" s="7" t="inlineStr">
        <is>
          <t>Judge</t>
        </is>
      </c>
      <c r="D206" s="7" t="inlineStr">
        <is>
          <t>A</t>
        </is>
      </c>
      <c r="E206" s="7" t="inlineStr">
        <is>
          <t>Roman Catholic</t>
        </is>
      </c>
      <c r="F206" s="7" t="inlineStr">
        <is>
          <t>SINGLE</t>
        </is>
      </c>
      <c r="G206" s="7" t="inlineStr">
        <is>
          <t>SOURCE ROW RECOVERED</t>
        </is>
      </c>
      <c r="H206" s="7" t="inlineStr">
        <is>
          <t>PUBLIC-CERTIFIED</t>
        </is>
      </c>
      <c r="I206" s="7" t="inlineStr">
        <is>
          <t>RNR-H26a</t>
        </is>
      </c>
      <c r="J206" s="7" t="inlineStr">
        <is>
          <t>A</t>
        </is>
      </c>
      <c r="K206" s="7" t="inlineStr">
        <is>
          <t>Roman Catholic Church</t>
        </is>
      </c>
      <c r="L206" s="7" t="inlineStr">
        <is>
          <t>Apostles' Creed (Vatican Credo)</t>
        </is>
      </c>
      <c r="M206" s="7" t="inlineStr">
        <is>
          <t>He will come to judge the living and the dead</t>
        </is>
      </c>
      <c r="N206" s="7" t="inlineStr">
        <is>
          <t>https://www.vatican.va/content/catechism/en/part_one/section_one/chapter_three/article_2/the_credo.html</t>
        </is>
      </c>
      <c r="O206" s="7" t="inlineStr">
        <is>
          <t>https://www.vatican.va/content/catechism/en/part_one/section_one/chapter_three/article_2/the_credo.html</t>
        </is>
      </c>
      <c r="P206" s="7" t="inlineStr">
        <is>
          <t>Recovered institution-specific ledger</t>
        </is>
      </c>
      <c r="Q206" s="7" t="inlineStr">
        <is>
          <t>HIGH</t>
        </is>
      </c>
      <c r="R206" s="7" t="inlineStr">
        <is>
          <t>Catholic evidence only; other branch cells not yet recertified here.</t>
        </is>
      </c>
      <c r="S206" s="7" t="inlineStr">
        <is>
          <t>NO</t>
        </is>
      </c>
      <c r="T206" s="7" t="inlineStr">
        <is>
          <t>A</t>
        </is>
      </c>
      <c r="U206" s="7" t="inlineStr">
        <is>
          <t>Corrects prior SR-R zero-attestation artifact for Judge.</t>
        </is>
      </c>
      <c r="V206" s="7" t="inlineStr">
        <is>
          <t>CERTIFIED</t>
        </is>
      </c>
      <c r="W206" s="7" t="n"/>
      <c r="X206" s="7" t="inlineStr">
        <is>
          <t>A</t>
        </is>
      </c>
      <c r="Y206" s="7" t="inlineStr">
        <is>
          <t>A</t>
        </is>
      </c>
      <c r="Z206" s="11" t="b">
        <v>0</v>
      </c>
      <c r="AA206" s="8" t="inlineStr">
        <is>
          <t>CURRENT EVIDENCE / STATUS</t>
        </is>
      </c>
    </row>
    <row r="207" ht="15.75" customHeight="1" s="29">
      <c r="A207" s="7" t="inlineStr">
        <is>
          <t>Q-202</t>
        </is>
      </c>
      <c r="B207" s="7" t="inlineStr">
        <is>
          <t>RNR-H26</t>
        </is>
      </c>
      <c r="C207" s="7" t="inlineStr">
        <is>
          <t>Judge</t>
        </is>
      </c>
      <c r="D207" s="7" t="inlineStr">
        <is>
          <t>A</t>
        </is>
      </c>
      <c r="E207" s="7" t="inlineStr">
        <is>
          <t>Eastern Orthodox</t>
        </is>
      </c>
      <c r="F207" s="7" t="inlineStr">
        <is>
          <t>SINGLE</t>
        </is>
      </c>
      <c r="G207" s="7" t="inlineStr">
        <is>
          <t>TO RECOVER FROM SESSION 9 LEDGER</t>
        </is>
      </c>
      <c r="H207" s="7" t="inlineStr">
        <is>
          <t>NO PUBLIC TILE</t>
        </is>
      </c>
      <c r="I207" s="7" t="n"/>
      <c r="J207" s="7" t="n"/>
      <c r="K207" s="7" t="n"/>
      <c r="L207" s="7" t="n"/>
      <c r="M207" s="7" t="n"/>
      <c r="N207" s="7" t="n"/>
      <c r="O207" s="7" t="n"/>
      <c r="P207" s="7" t="n"/>
      <c r="Q207" s="7" t="inlineStr">
        <is>
          <t>NOT-ASSESSED</t>
        </is>
      </c>
      <c r="R207" s="7" t="n"/>
      <c r="S207" s="7" t="n"/>
      <c r="T207" s="7" t="n"/>
      <c r="U207" s="7" t="n"/>
      <c r="V207" s="7" t="n"/>
      <c r="W207" s="7" t="n"/>
      <c r="X207" s="7" t="inlineStr">
        <is>
          <t>NOT LOCATED — NOT YET RECOVERED</t>
        </is>
      </c>
      <c r="Y207" s="7" t="inlineStr">
        <is>
          <t>EXCLUDED</t>
        </is>
      </c>
      <c r="Z207" s="11" t="b">
        <v>0</v>
      </c>
      <c r="AA207" s="8" t="inlineStr">
        <is>
          <t>CURRENT EVIDENCE / STATUS</t>
        </is>
      </c>
    </row>
    <row r="208" ht="15.75" customHeight="1" s="29">
      <c r="A208" s="7" t="inlineStr">
        <is>
          <t>Q-203</t>
        </is>
      </c>
      <c r="B208" s="7" t="inlineStr">
        <is>
          <t>RNR-H26</t>
        </is>
      </c>
      <c r="C208" s="7" t="inlineStr">
        <is>
          <t>Judge</t>
        </is>
      </c>
      <c r="D208" s="7" t="inlineStr">
        <is>
          <t>A</t>
        </is>
      </c>
      <c r="E208" s="7" t="inlineStr">
        <is>
          <t>Lutheran</t>
        </is>
      </c>
      <c r="F208" s="7" t="inlineStr">
        <is>
          <t>SINGLE</t>
        </is>
      </c>
      <c r="G208" s="7" t="inlineStr">
        <is>
          <t>TO RECOVER FROM SESSION 9 LEDGER</t>
        </is>
      </c>
      <c r="H208" s="7" t="inlineStr">
        <is>
          <t>NO PUBLIC TILE</t>
        </is>
      </c>
      <c r="I208" s="7" t="n"/>
      <c r="J208" s="7" t="n"/>
      <c r="K208" s="7" t="n"/>
      <c r="L208" s="7" t="n"/>
      <c r="M208" s="7" t="n"/>
      <c r="N208" s="7" t="n"/>
      <c r="O208" s="7" t="n"/>
      <c r="P208" s="7" t="n"/>
      <c r="Q208" s="7" t="inlineStr">
        <is>
          <t>NOT-ASSESSED</t>
        </is>
      </c>
      <c r="R208" s="7" t="n"/>
      <c r="S208" s="7" t="n"/>
      <c r="T208" s="7" t="n"/>
      <c r="U208" s="7" t="n"/>
      <c r="V208" s="7" t="n"/>
      <c r="W208" s="7" t="n"/>
      <c r="X208" s="7" t="inlineStr">
        <is>
          <t>NOT LOCATED — NOT YET RECOVERED</t>
        </is>
      </c>
      <c r="Y208" s="7" t="inlineStr">
        <is>
          <t>EXCLUDED</t>
        </is>
      </c>
      <c r="Z208" s="11" t="b">
        <v>0</v>
      </c>
      <c r="AA208" s="8" t="inlineStr">
        <is>
          <t>CURRENT EVIDENCE / STATUS</t>
        </is>
      </c>
    </row>
    <row r="209" ht="15.75" customHeight="1" s="29">
      <c r="A209" s="7" t="inlineStr">
        <is>
          <t>Q-204</t>
        </is>
      </c>
      <c r="B209" s="7" t="inlineStr">
        <is>
          <t>RNR-H26</t>
        </is>
      </c>
      <c r="C209" s="7" t="inlineStr">
        <is>
          <t>Judge</t>
        </is>
      </c>
      <c r="D209" s="7" t="inlineStr">
        <is>
          <t>A</t>
        </is>
      </c>
      <c r="E209" s="7" t="inlineStr">
        <is>
          <t>Reformed / Presbyterian</t>
        </is>
      </c>
      <c r="F209" s="7" t="inlineStr">
        <is>
          <t>SINGLE</t>
        </is>
      </c>
      <c r="G209" s="7" t="inlineStr">
        <is>
          <t>TO RECOVER FROM SESSION 9 LEDGER</t>
        </is>
      </c>
      <c r="H209" s="7" t="inlineStr">
        <is>
          <t>NO PUBLIC TILE</t>
        </is>
      </c>
      <c r="I209" s="7" t="n"/>
      <c r="J209" s="7" t="n"/>
      <c r="K209" s="7" t="n"/>
      <c r="L209" s="7" t="n"/>
      <c r="M209" s="7" t="n"/>
      <c r="N209" s="7" t="n"/>
      <c r="O209" s="7" t="n"/>
      <c r="P209" s="7" t="n"/>
      <c r="Q209" s="7" t="inlineStr">
        <is>
          <t>NOT-ASSESSED</t>
        </is>
      </c>
      <c r="R209" s="7" t="n"/>
      <c r="S209" s="7" t="n"/>
      <c r="T209" s="7" t="n"/>
      <c r="U209" s="7" t="n"/>
      <c r="V209" s="7" t="n"/>
      <c r="W209" s="7" t="n"/>
      <c r="X209" s="7" t="inlineStr">
        <is>
          <t>NOT LOCATED — NOT YET RECOVERED</t>
        </is>
      </c>
      <c r="Y209" s="7" t="inlineStr">
        <is>
          <t>EXCLUDED</t>
        </is>
      </c>
      <c r="Z209" s="11" t="b">
        <v>0</v>
      </c>
      <c r="AA209" s="8" t="inlineStr">
        <is>
          <t>CURRENT EVIDENCE / STATUS</t>
        </is>
      </c>
    </row>
    <row r="210" ht="15.75" customHeight="1" s="29">
      <c r="A210" s="7" t="inlineStr">
        <is>
          <t>Q-205</t>
        </is>
      </c>
      <c r="B210" s="7" t="inlineStr">
        <is>
          <t>RNR-H26</t>
        </is>
      </c>
      <c r="C210" s="7" t="inlineStr">
        <is>
          <t>Judge</t>
        </is>
      </c>
      <c r="D210" s="7" t="inlineStr">
        <is>
          <t>A</t>
        </is>
      </c>
      <c r="E210" s="7" t="inlineStr">
        <is>
          <t>Anglican</t>
        </is>
      </c>
      <c r="F210" s="7" t="inlineStr">
        <is>
          <t>SINGLE</t>
        </is>
      </c>
      <c r="G210" s="7" t="inlineStr">
        <is>
          <t>TO RECOVER FROM SESSION 9 LEDGER</t>
        </is>
      </c>
      <c r="H210" s="7" t="inlineStr">
        <is>
          <t>NO PUBLIC TILE</t>
        </is>
      </c>
      <c r="I210" s="7" t="n"/>
      <c r="J210" s="7" t="n"/>
      <c r="K210" s="7" t="n"/>
      <c r="L210" s="7" t="n"/>
      <c r="M210" s="7" t="n"/>
      <c r="N210" s="7" t="n"/>
      <c r="O210" s="7" t="n"/>
      <c r="P210" s="7" t="n"/>
      <c r="Q210" s="7" t="inlineStr">
        <is>
          <t>NOT-ASSESSED</t>
        </is>
      </c>
      <c r="R210" s="7" t="n"/>
      <c r="S210" s="7" t="n"/>
      <c r="T210" s="7" t="n"/>
      <c r="U210" s="7" t="n"/>
      <c r="V210" s="7" t="n"/>
      <c r="W210" s="7" t="n"/>
      <c r="X210" s="7" t="inlineStr">
        <is>
          <t>NOT LOCATED — NOT YET RECOVERED</t>
        </is>
      </c>
      <c r="Y210" s="7" t="inlineStr">
        <is>
          <t>EXCLUDED</t>
        </is>
      </c>
      <c r="Z210" s="11" t="b">
        <v>0</v>
      </c>
      <c r="AA210" s="8" t="inlineStr">
        <is>
          <t>CURRENT EVIDENCE / STATUS</t>
        </is>
      </c>
    </row>
    <row r="211" ht="15.75" customHeight="1" s="29">
      <c r="A211" s="7" t="inlineStr">
        <is>
          <t>Q-206</t>
        </is>
      </c>
      <c r="B211" s="7" t="inlineStr">
        <is>
          <t>RNR-H26</t>
        </is>
      </c>
      <c r="C211" s="7" t="inlineStr">
        <is>
          <t>Judge</t>
        </is>
      </c>
      <c r="D211" s="7" t="inlineStr">
        <is>
          <t>A</t>
        </is>
      </c>
      <c r="E211" s="7" t="inlineStr">
        <is>
          <t>Baptist</t>
        </is>
      </c>
      <c r="F211" s="7" t="inlineStr">
        <is>
          <t>SINGLE</t>
        </is>
      </c>
      <c r="G211" s="7" t="inlineStr">
        <is>
          <t>CURRENT OFFICIAL SOURCE RECOVERED — WEB VERIFIED</t>
        </is>
      </c>
      <c r="H211" s="7" t="inlineStr">
        <is>
          <t>PUBLIC-CERTIFIED</t>
        </is>
      </c>
      <c r="I211" s="7" t="inlineStr">
        <is>
          <t>RNR-H26a</t>
        </is>
      </c>
      <c r="J211" s="7" t="inlineStr">
        <is>
          <t>A</t>
        </is>
      </c>
      <c r="K211" s="7" t="inlineStr">
        <is>
          <t>Southern Baptist Convention</t>
        </is>
      </c>
      <c r="L211" s="7" t="inlineStr">
        <is>
          <t>Baptist Faith and Message 2000</t>
        </is>
      </c>
      <c r="M211" s="7" t="inlineStr">
        <is>
          <t>II.B. God the Son — will return to judge the world</t>
        </is>
      </c>
      <c r="N211" s="7" t="inlineStr">
        <is>
          <t>https://bfm.sbc.net/bfm2000/</t>
        </is>
      </c>
      <c r="O211" s="7" t="inlineStr">
        <is>
          <t>https://bfm.sbc.net/bfm2000/</t>
        </is>
      </c>
      <c r="P211" s="7" t="inlineStr">
        <is>
          <t>Current official-source recovery, web-verified against Baptist Faith &amp; Message 2000; source role N2 per project institutional authority roster.</t>
        </is>
      </c>
      <c r="Q211" s="7" t="inlineStr">
        <is>
          <t>HIGH</t>
        </is>
      </c>
      <c r="R211" s="7" t="inlineStr">
        <is>
          <t>Southern Baptist Convention cooperative identity under BF&amp;M 2000; not all Baptist churches or Baptist traditions.</t>
        </is>
      </c>
      <c r="S211" s="7" t="inlineStr">
        <is>
          <t>NO</t>
        </is>
      </c>
      <c r="T211" s="7" t="inlineStr">
        <is>
          <t>A</t>
        </is>
      </c>
      <c r="U211" s="7" t="inlineStr">
        <is>
          <t>Current SBC source explicitly attests divine judgment.</t>
        </is>
      </c>
      <c r="V211" s="7" t="inlineStr">
        <is>
          <t>CERTIFIED</t>
        </is>
      </c>
      <c r="W211" s="7" t="n"/>
      <c r="X211" s="7" t="inlineStr">
        <is>
          <t>A</t>
        </is>
      </c>
      <c r="Y211" s="7" t="inlineStr">
        <is>
          <t>A</t>
        </is>
      </c>
      <c r="Z211" s="11" t="b">
        <v>0</v>
      </c>
      <c r="AA211" s="8" t="inlineStr">
        <is>
          <t>CURRENT EVIDENCE / STATUS</t>
        </is>
      </c>
    </row>
    <row r="212" ht="15.75" customHeight="1" s="29">
      <c r="A212" s="7" t="inlineStr">
        <is>
          <t>Q-207</t>
        </is>
      </c>
      <c r="B212" s="7" t="inlineStr">
        <is>
          <t>RNR-H26</t>
        </is>
      </c>
      <c r="C212" s="7" t="inlineStr">
        <is>
          <t>Judge</t>
        </is>
      </c>
      <c r="D212" s="7" t="inlineStr">
        <is>
          <t>A</t>
        </is>
      </c>
      <c r="E212" s="7" t="inlineStr">
        <is>
          <t>Methodist / Wesleyan</t>
        </is>
      </c>
      <c r="F212" s="7" t="inlineStr">
        <is>
          <t>SINGLE</t>
        </is>
      </c>
      <c r="G212" s="7" t="inlineStr">
        <is>
          <t>TO RECOVER FROM SESSION 9 LEDGER</t>
        </is>
      </c>
      <c r="H212" s="7" t="inlineStr">
        <is>
          <t>NO PUBLIC TILE</t>
        </is>
      </c>
      <c r="I212" s="7" t="n"/>
      <c r="J212" s="7" t="n"/>
      <c r="K212" s="7" t="n"/>
      <c r="L212" s="7" t="n"/>
      <c r="M212" s="7" t="n"/>
      <c r="N212" s="7" t="n"/>
      <c r="O212" s="7" t="n"/>
      <c r="P212" s="7" t="n"/>
      <c r="Q212" s="7" t="inlineStr">
        <is>
          <t>NOT-ASSESSED</t>
        </is>
      </c>
      <c r="R212" s="7" t="n"/>
      <c r="S212" s="7" t="n"/>
      <c r="T212" s="7" t="n"/>
      <c r="U212" s="7" t="n"/>
      <c r="V212" s="7" t="n"/>
      <c r="W212" s="7" t="n"/>
      <c r="X212" s="7" t="inlineStr">
        <is>
          <t>NOT LOCATED — NOT YET RECOVERED</t>
        </is>
      </c>
      <c r="Y212" s="7" t="inlineStr">
        <is>
          <t>EXCLUDED</t>
        </is>
      </c>
      <c r="Z212" s="11" t="b">
        <v>0</v>
      </c>
      <c r="AA212" s="8" t="inlineStr">
        <is>
          <t>CURRENT EVIDENCE / STATUS</t>
        </is>
      </c>
    </row>
    <row r="213" ht="15.75" customHeight="1" s="29">
      <c r="A213" s="7" t="inlineStr">
        <is>
          <t>Q-208</t>
        </is>
      </c>
      <c r="B213" s="7" t="inlineStr">
        <is>
          <t>RNR-H26</t>
        </is>
      </c>
      <c r="C213" s="7" t="inlineStr">
        <is>
          <t>Judge</t>
        </is>
      </c>
      <c r="D213" s="7" t="inlineStr">
        <is>
          <t>A</t>
        </is>
      </c>
      <c r="E213" s="7" t="inlineStr">
        <is>
          <t>Mennonite / Anabaptist</t>
        </is>
      </c>
      <c r="F213" s="7" t="inlineStr">
        <is>
          <t>SINGLE</t>
        </is>
      </c>
      <c r="G213" s="7" t="inlineStr">
        <is>
          <t>TO RECOVER FROM SESSION 9 LEDGER</t>
        </is>
      </c>
      <c r="H213" s="7" t="inlineStr">
        <is>
          <t>NO PUBLIC TILE</t>
        </is>
      </c>
      <c r="I213" s="7" t="n"/>
      <c r="J213" s="7" t="n"/>
      <c r="K213" s="7" t="n"/>
      <c r="L213" s="7" t="n"/>
      <c r="M213" s="7" t="n"/>
      <c r="N213" s="7" t="n"/>
      <c r="O213" s="7" t="n"/>
      <c r="P213" s="7" t="n"/>
      <c r="Q213" s="7" t="inlineStr">
        <is>
          <t>NOT-ASSESSED</t>
        </is>
      </c>
      <c r="R213" s="7" t="n"/>
      <c r="S213" s="7" t="n"/>
      <c r="T213" s="7" t="n"/>
      <c r="U213" s="7" t="n"/>
      <c r="V213" s="7" t="n"/>
      <c r="W213" s="7" t="n"/>
      <c r="X213" s="7" t="inlineStr">
        <is>
          <t>NOT LOCATED — NOT YET RECOVERED</t>
        </is>
      </c>
      <c r="Y213" s="7" t="inlineStr">
        <is>
          <t>EXCLUDED</t>
        </is>
      </c>
      <c r="Z213" s="11" t="b">
        <v>0</v>
      </c>
      <c r="AA213" s="8" t="inlineStr">
        <is>
          <t>CURRENT EVIDENCE / STATUS</t>
        </is>
      </c>
    </row>
    <row r="214" ht="15.75" customHeight="1" s="29">
      <c r="A214" s="7" t="inlineStr">
        <is>
          <t>Q-209</t>
        </is>
      </c>
      <c r="B214" s="7" t="inlineStr">
        <is>
          <t>RNR-H27</t>
        </is>
      </c>
      <c r="C214" s="7" t="inlineStr">
        <is>
          <t>Savior</t>
        </is>
      </c>
      <c r="D214" s="7" t="inlineStr">
        <is>
          <t>A</t>
        </is>
      </c>
      <c r="E214" s="7" t="inlineStr">
        <is>
          <t>Roman Catholic</t>
        </is>
      </c>
      <c r="F214" s="7" t="inlineStr">
        <is>
          <t>SINGLE</t>
        </is>
      </c>
      <c r="G214" s="7" t="inlineStr">
        <is>
          <t>SOURCE ROW RECOVERED</t>
        </is>
      </c>
      <c r="H214" s="7" t="inlineStr">
        <is>
          <t>PUBLIC-CERTIFIED</t>
        </is>
      </c>
      <c r="I214" s="7" t="inlineStr">
        <is>
          <t>RNR-H27a</t>
        </is>
      </c>
      <c r="J214" s="7" t="inlineStr">
        <is>
          <t>A</t>
        </is>
      </c>
      <c r="K214" s="7" t="inlineStr">
        <is>
          <t>Roman Catholic Church</t>
        </is>
      </c>
      <c r="L214" s="7" t="inlineStr">
        <is>
          <t>Apostles' Creed / Credo</t>
        </is>
      </c>
      <c r="M214" s="7" t="inlineStr">
        <is>
          <t>Jesus Christ, salvific confession</t>
        </is>
      </c>
      <c r="N214" s="7" t="inlineStr">
        <is>
          <t>https://www.vatican.va/content/catechism/en/part_one/section_one/chapter_three/article_2/the_credo.html</t>
        </is>
      </c>
      <c r="O214" s="7" t="inlineStr">
        <is>
          <t>https://www.vatican.va/content/catechism/en/part_one/section_one/chapter_three/article_2/the_credo.html</t>
        </is>
      </c>
      <c r="P214" s="7" t="inlineStr">
        <is>
          <t>Recovered institution-specific ledger</t>
        </is>
      </c>
      <c r="Q214" s="7" t="inlineStr">
        <is>
          <t>HIGH</t>
        </is>
      </c>
      <c r="R214" s="7" t="inlineStr">
        <is>
          <t>Catholic cell only.</t>
        </is>
      </c>
      <c r="S214" s="7" t="inlineStr">
        <is>
          <t>NO</t>
        </is>
      </c>
      <c r="T214" s="7" t="inlineStr">
        <is>
          <t>A</t>
        </is>
      </c>
      <c r="U214" s="7" t="inlineStr">
        <is>
          <t>Corrects prior SR-R zero-attestation artifact for Savior.</t>
        </is>
      </c>
      <c r="V214" s="7" t="inlineStr">
        <is>
          <t>CERTIFIED</t>
        </is>
      </c>
      <c r="W214" s="7" t="n"/>
      <c r="X214" s="7" t="inlineStr">
        <is>
          <t>A</t>
        </is>
      </c>
      <c r="Y214" s="7" t="inlineStr">
        <is>
          <t>A</t>
        </is>
      </c>
      <c r="Z214" s="11" t="b">
        <v>0</v>
      </c>
      <c r="AA214" s="8" t="inlineStr">
        <is>
          <t>CURRENT EVIDENCE / STATUS</t>
        </is>
      </c>
    </row>
    <row r="215" ht="15.75" customHeight="1" s="29">
      <c r="A215" s="7" t="inlineStr">
        <is>
          <t>Q-210</t>
        </is>
      </c>
      <c r="B215" s="7" t="inlineStr">
        <is>
          <t>RNR-H27</t>
        </is>
      </c>
      <c r="C215" s="7" t="inlineStr">
        <is>
          <t>Savior</t>
        </is>
      </c>
      <c r="D215" s="7" t="inlineStr">
        <is>
          <t>A</t>
        </is>
      </c>
      <c r="E215" s="7" t="inlineStr">
        <is>
          <t>Eastern Orthodox</t>
        </is>
      </c>
      <c r="F215" s="7" t="inlineStr">
        <is>
          <t>SINGLE</t>
        </is>
      </c>
      <c r="G215" s="7" t="inlineStr">
        <is>
          <t>TO RECOVER FROM SESSION 9 LEDGER</t>
        </is>
      </c>
      <c r="H215" s="7" t="inlineStr">
        <is>
          <t>NO PUBLIC TILE</t>
        </is>
      </c>
      <c r="I215" s="7" t="n"/>
      <c r="J215" s="7" t="n"/>
      <c r="K215" s="7" t="n"/>
      <c r="L215" s="7" t="n"/>
      <c r="M215" s="7" t="n"/>
      <c r="N215" s="7" t="n"/>
      <c r="O215" s="7" t="n"/>
      <c r="P215" s="7" t="n"/>
      <c r="Q215" s="7" t="inlineStr">
        <is>
          <t>NOT-ASSESSED</t>
        </is>
      </c>
      <c r="R215" s="7" t="n"/>
      <c r="S215" s="7" t="n"/>
      <c r="T215" s="7" t="n"/>
      <c r="U215" s="7" t="n"/>
      <c r="V215" s="7" t="n"/>
      <c r="W215" s="7" t="n"/>
      <c r="X215" s="7" t="inlineStr">
        <is>
          <t>NOT LOCATED — NOT YET RECOVERED</t>
        </is>
      </c>
      <c r="Y215" s="7" t="inlineStr">
        <is>
          <t>EXCLUDED</t>
        </is>
      </c>
      <c r="Z215" s="11" t="b">
        <v>0</v>
      </c>
      <c r="AA215" s="8" t="inlineStr">
        <is>
          <t>CURRENT EVIDENCE / STATUS</t>
        </is>
      </c>
    </row>
    <row r="216" ht="15.75" customHeight="1" s="29">
      <c r="A216" s="7" t="inlineStr">
        <is>
          <t>Q-211</t>
        </is>
      </c>
      <c r="B216" s="7" t="inlineStr">
        <is>
          <t>RNR-H27</t>
        </is>
      </c>
      <c r="C216" s="7" t="inlineStr">
        <is>
          <t>Savior</t>
        </is>
      </c>
      <c r="D216" s="7" t="inlineStr">
        <is>
          <t>A</t>
        </is>
      </c>
      <c r="E216" s="7" t="inlineStr">
        <is>
          <t>Lutheran</t>
        </is>
      </c>
      <c r="F216" s="7" t="inlineStr">
        <is>
          <t>SINGLE</t>
        </is>
      </c>
      <c r="G216" s="7" t="inlineStr">
        <is>
          <t>TO RECOVER FROM SESSION 9 LEDGER</t>
        </is>
      </c>
      <c r="H216" s="7" t="inlineStr">
        <is>
          <t>NO PUBLIC TILE</t>
        </is>
      </c>
      <c r="I216" s="7" t="n"/>
      <c r="J216" s="7" t="n"/>
      <c r="K216" s="7" t="n"/>
      <c r="L216" s="7" t="n"/>
      <c r="M216" s="7" t="n"/>
      <c r="N216" s="7" t="n"/>
      <c r="O216" s="7" t="n"/>
      <c r="P216" s="7" t="n"/>
      <c r="Q216" s="7" t="inlineStr">
        <is>
          <t>NOT-ASSESSED</t>
        </is>
      </c>
      <c r="R216" s="7" t="n"/>
      <c r="S216" s="7" t="n"/>
      <c r="T216" s="7" t="n"/>
      <c r="U216" s="7" t="n"/>
      <c r="V216" s="7" t="n"/>
      <c r="W216" s="7" t="n"/>
      <c r="X216" s="7" t="inlineStr">
        <is>
          <t>NOT LOCATED — NOT YET RECOVERED</t>
        </is>
      </c>
      <c r="Y216" s="7" t="inlineStr">
        <is>
          <t>EXCLUDED</t>
        </is>
      </c>
      <c r="Z216" s="11" t="b">
        <v>0</v>
      </c>
      <c r="AA216" s="8" t="inlineStr">
        <is>
          <t>CURRENT EVIDENCE / STATUS</t>
        </is>
      </c>
    </row>
    <row r="217" ht="15.75" customHeight="1" s="29">
      <c r="A217" s="7" t="inlineStr">
        <is>
          <t>Q-212</t>
        </is>
      </c>
      <c r="B217" s="7" t="inlineStr">
        <is>
          <t>RNR-H27</t>
        </is>
      </c>
      <c r="C217" s="7" t="inlineStr">
        <is>
          <t>Savior</t>
        </is>
      </c>
      <c r="D217" s="7" t="inlineStr">
        <is>
          <t>A</t>
        </is>
      </c>
      <c r="E217" s="7" t="inlineStr">
        <is>
          <t>Reformed / Presbyterian</t>
        </is>
      </c>
      <c r="F217" s="7" t="inlineStr">
        <is>
          <t>SINGLE</t>
        </is>
      </c>
      <c r="G217" s="7" t="inlineStr">
        <is>
          <t>TO RECOVER FROM SESSION 9 LEDGER</t>
        </is>
      </c>
      <c r="H217" s="7" t="inlineStr">
        <is>
          <t>NO PUBLIC TILE</t>
        </is>
      </c>
      <c r="I217" s="7" t="n"/>
      <c r="J217" s="7" t="n"/>
      <c r="K217" s="7" t="n"/>
      <c r="L217" s="7" t="n"/>
      <c r="M217" s="7" t="n"/>
      <c r="N217" s="7" t="n"/>
      <c r="O217" s="7" t="n"/>
      <c r="P217" s="7" t="n"/>
      <c r="Q217" s="7" t="inlineStr">
        <is>
          <t>NOT-ASSESSED</t>
        </is>
      </c>
      <c r="R217" s="7" t="n"/>
      <c r="S217" s="7" t="n"/>
      <c r="T217" s="7" t="n"/>
      <c r="U217" s="7" t="n"/>
      <c r="V217" s="7" t="n"/>
      <c r="W217" s="7" t="n"/>
      <c r="X217" s="7" t="inlineStr">
        <is>
          <t>NOT LOCATED — NOT YET RECOVERED</t>
        </is>
      </c>
      <c r="Y217" s="7" t="inlineStr">
        <is>
          <t>EXCLUDED</t>
        </is>
      </c>
      <c r="Z217" s="11" t="b">
        <v>0</v>
      </c>
      <c r="AA217" s="8" t="inlineStr">
        <is>
          <t>CURRENT EVIDENCE / STATUS</t>
        </is>
      </c>
    </row>
    <row r="218" ht="15.75" customHeight="1" s="29">
      <c r="A218" s="7" t="inlineStr">
        <is>
          <t>Q-213</t>
        </is>
      </c>
      <c r="B218" s="7" t="inlineStr">
        <is>
          <t>RNR-H27</t>
        </is>
      </c>
      <c r="C218" s="7" t="inlineStr">
        <is>
          <t>Savior</t>
        </is>
      </c>
      <c r="D218" s="7" t="inlineStr">
        <is>
          <t>A</t>
        </is>
      </c>
      <c r="E218" s="7" t="inlineStr">
        <is>
          <t>Anglican</t>
        </is>
      </c>
      <c r="F218" s="7" t="inlineStr">
        <is>
          <t>SINGLE</t>
        </is>
      </c>
      <c r="G218" s="7" t="inlineStr">
        <is>
          <t>TO RECOVER FROM SESSION 9 LEDGER</t>
        </is>
      </c>
      <c r="H218" s="7" t="inlineStr">
        <is>
          <t>NO PUBLIC TILE</t>
        </is>
      </c>
      <c r="I218" s="7" t="n"/>
      <c r="J218" s="7" t="n"/>
      <c r="K218" s="7" t="n"/>
      <c r="L218" s="7" t="n"/>
      <c r="M218" s="7" t="n"/>
      <c r="N218" s="7" t="n"/>
      <c r="O218" s="7" t="n"/>
      <c r="P218" s="7" t="n"/>
      <c r="Q218" s="7" t="inlineStr">
        <is>
          <t>NOT-ASSESSED</t>
        </is>
      </c>
      <c r="R218" s="7" t="n"/>
      <c r="S218" s="7" t="n"/>
      <c r="T218" s="7" t="n"/>
      <c r="U218" s="7" t="n"/>
      <c r="V218" s="7" t="n"/>
      <c r="W218" s="7" t="n"/>
      <c r="X218" s="7" t="inlineStr">
        <is>
          <t>NOT LOCATED — NOT YET RECOVERED</t>
        </is>
      </c>
      <c r="Y218" s="7" t="inlineStr">
        <is>
          <t>EXCLUDED</t>
        </is>
      </c>
      <c r="Z218" s="11" t="b">
        <v>0</v>
      </c>
      <c r="AA218" s="8" t="inlineStr">
        <is>
          <t>CURRENT EVIDENCE / STATUS</t>
        </is>
      </c>
    </row>
    <row r="219" ht="15.75" customHeight="1" s="29">
      <c r="A219" s="7" t="inlineStr">
        <is>
          <t>Q-214</t>
        </is>
      </c>
      <c r="B219" s="7" t="inlineStr">
        <is>
          <t>RNR-H27</t>
        </is>
      </c>
      <c r="C219" s="7" t="inlineStr">
        <is>
          <t>Savior</t>
        </is>
      </c>
      <c r="D219" s="7" t="inlineStr">
        <is>
          <t>A</t>
        </is>
      </c>
      <c r="E219" s="7" t="inlineStr">
        <is>
          <t>Baptist</t>
        </is>
      </c>
      <c r="F219" s="7" t="inlineStr">
        <is>
          <t>SINGLE</t>
        </is>
      </c>
      <c r="G219" s="7" t="inlineStr">
        <is>
          <t>CURRENT OFFICIAL SOURCE RECOVERED — WEB VERIFIED</t>
        </is>
      </c>
      <c r="H219" s="7" t="inlineStr">
        <is>
          <t>PUBLIC-CERTIFIED</t>
        </is>
      </c>
      <c r="I219" s="7" t="inlineStr">
        <is>
          <t>RNR-H27a</t>
        </is>
      </c>
      <c r="J219" s="7" t="inlineStr">
        <is>
          <t>A</t>
        </is>
      </c>
      <c r="K219" s="7" t="inlineStr">
        <is>
          <t>Southern Baptist Convention</t>
        </is>
      </c>
      <c r="L219" s="7" t="inlineStr">
        <is>
          <t>Baptist Faith and Message 2000</t>
        </is>
      </c>
      <c r="M219" s="7" t="inlineStr">
        <is>
          <t>II. God — Redeemer; II.B redemptive mission</t>
        </is>
      </c>
      <c r="N219" s="7" t="inlineStr">
        <is>
          <t>https://bfm.sbc.net/bfm2000/</t>
        </is>
      </c>
      <c r="O219" s="7" t="inlineStr">
        <is>
          <t>https://bfm.sbc.net/bfm2000/</t>
        </is>
      </c>
      <c r="P219" s="7" t="inlineStr">
        <is>
          <t>Current official-source recovery, web-verified against Baptist Faith &amp; Message 2000; source role N2 per project institutional authority roster.</t>
        </is>
      </c>
      <c r="Q219" s="7" t="inlineStr">
        <is>
          <t>HIGH</t>
        </is>
      </c>
      <c r="R219" s="7" t="inlineStr">
        <is>
          <t>Southern Baptist Convention cooperative identity under BF&amp;M 2000; not all Baptist churches or Baptist traditions.</t>
        </is>
      </c>
      <c r="S219" s="7" t="inlineStr">
        <is>
          <t>NO</t>
        </is>
      </c>
      <c r="T219" s="7" t="inlineStr">
        <is>
          <t>A</t>
        </is>
      </c>
      <c r="U219" s="7" t="inlineStr">
        <is>
          <t>Current SBC source explicitly attests Redeemer/Savior function.</t>
        </is>
      </c>
      <c r="V219" s="7" t="inlineStr">
        <is>
          <t>CERTIFIED</t>
        </is>
      </c>
      <c r="W219" s="7" t="n"/>
      <c r="X219" s="7" t="inlineStr">
        <is>
          <t>A</t>
        </is>
      </c>
      <c r="Y219" s="7" t="inlineStr">
        <is>
          <t>A</t>
        </is>
      </c>
      <c r="Z219" s="11" t="b">
        <v>0</v>
      </c>
      <c r="AA219" s="8" t="inlineStr">
        <is>
          <t>CURRENT EVIDENCE / STATUS</t>
        </is>
      </c>
    </row>
    <row r="220" ht="15.75" customHeight="1" s="29">
      <c r="A220" s="7" t="inlineStr">
        <is>
          <t>Q-215</t>
        </is>
      </c>
      <c r="B220" s="7" t="inlineStr">
        <is>
          <t>RNR-H27</t>
        </is>
      </c>
      <c r="C220" s="7" t="inlineStr">
        <is>
          <t>Savior</t>
        </is>
      </c>
      <c r="D220" s="7" t="inlineStr">
        <is>
          <t>A</t>
        </is>
      </c>
      <c r="E220" s="7" t="inlineStr">
        <is>
          <t>Methodist / Wesleyan</t>
        </is>
      </c>
      <c r="F220" s="7" t="inlineStr">
        <is>
          <t>SINGLE</t>
        </is>
      </c>
      <c r="G220" s="7" t="inlineStr">
        <is>
          <t>SOURCE ROW RECOVERED</t>
        </is>
      </c>
      <c r="H220" s="7" t="inlineStr">
        <is>
          <t>PUBLIC-CERTIFIED</t>
        </is>
      </c>
      <c r="I220" s="7" t="inlineStr">
        <is>
          <t>RNR-H27a</t>
        </is>
      </c>
      <c r="J220" s="7" t="inlineStr">
        <is>
          <t>A</t>
        </is>
      </c>
      <c r="K220" s="7" t="inlineStr">
        <is>
          <t>The United Methodist Church</t>
        </is>
      </c>
      <c r="L220" s="7" t="inlineStr">
        <is>
          <t>EUB Confession of Faith</t>
        </is>
      </c>
      <c r="M220" s="7" t="inlineStr">
        <is>
          <t>Article I</t>
        </is>
      </c>
      <c r="N220" s="7" t="inlineStr">
        <is>
          <t>https://www.umc.org/en/content/confession-of-faith</t>
        </is>
      </c>
      <c r="O220" s="7" t="inlineStr">
        <is>
          <t>https://www.umc.org/en/content/confession-of-faith</t>
        </is>
      </c>
      <c r="P220" s="7" t="inlineStr">
        <is>
          <t>Recovered institution-specific ledger</t>
        </is>
      </c>
      <c r="Q220" s="7" t="inlineStr">
        <is>
          <t>HIGH</t>
        </is>
      </c>
      <c r="R220" s="7" t="inlineStr">
        <is>
          <t>UMC institutional scope.</t>
        </is>
      </c>
      <c r="S220" s="7" t="inlineStr">
        <is>
          <t>NO</t>
        </is>
      </c>
      <c r="T220" s="7" t="inlineStr">
        <is>
          <t>A</t>
        </is>
      </c>
      <c r="U220" s="7" t="inlineStr">
        <is>
          <t>Corrects prior SR-R zero-attestation artifact for Savior.</t>
        </is>
      </c>
      <c r="V220" s="7" t="inlineStr">
        <is>
          <t>CERTIFIED</t>
        </is>
      </c>
      <c r="W220" s="7" t="n"/>
      <c r="X220" s="7" t="inlineStr">
        <is>
          <t>A</t>
        </is>
      </c>
      <c r="Y220" s="7" t="inlineStr">
        <is>
          <t>A</t>
        </is>
      </c>
      <c r="Z220" s="11" t="b">
        <v>0</v>
      </c>
      <c r="AA220" s="8" t="inlineStr">
        <is>
          <t>CURRENT EVIDENCE / STATUS</t>
        </is>
      </c>
    </row>
    <row r="221" ht="15.75" customHeight="1" s="29">
      <c r="A221" s="7" t="inlineStr">
        <is>
          <t>Q-216</t>
        </is>
      </c>
      <c r="B221" s="7" t="inlineStr">
        <is>
          <t>RNR-H27</t>
        </is>
      </c>
      <c r="C221" s="7" t="inlineStr">
        <is>
          <t>Savior</t>
        </is>
      </c>
      <c r="D221" s="7" t="inlineStr">
        <is>
          <t>A</t>
        </is>
      </c>
      <c r="E221" s="7" t="inlineStr">
        <is>
          <t>Mennonite / Anabaptist</t>
        </is>
      </c>
      <c r="F221" s="7" t="inlineStr">
        <is>
          <t>SINGLE</t>
        </is>
      </c>
      <c r="G221" s="7" t="inlineStr">
        <is>
          <t>CURRENT OFFICIAL SOURCE RECOVERED — WEB VERIFIED</t>
        </is>
      </c>
      <c r="H221" s="7" t="inlineStr">
        <is>
          <t>PUBLIC-CERTIFIED</t>
        </is>
      </c>
      <c r="I221" s="7" t="inlineStr">
        <is>
          <t>RNR-H27a</t>
        </is>
      </c>
      <c r="J221" s="7" t="inlineStr">
        <is>
          <t>A</t>
        </is>
      </c>
      <c r="K221" s="7" t="inlineStr">
        <is>
          <t>Mennonite Church USA</t>
        </is>
      </c>
      <c r="L221" s="7" t="inlineStr">
        <is>
          <t>Confession of Faith in a Mennonite Perspective (1995), Article 1: God</t>
        </is>
      </c>
      <c r="M221" s="7" t="inlineStr">
        <is>
          <t>Article 1 — confessing Jesus Christ to be Savior and Lord</t>
        </is>
      </c>
      <c r="N221" s="7" t="inlineStr">
        <is>
          <t>https://www.mennoniteusa.org/who-are-mennonites/what-we-believe/confession-of-faith/god/</t>
        </is>
      </c>
      <c r="O221" s="7" t="inlineStr">
        <is>
          <t>https://www.mennoniteusa.org/who-are-mennonites/what-we-believe/confession-of-faith/god/</t>
        </is>
      </c>
      <c r="P221" s="7" t="inlineStr">
        <is>
          <t>Current official-source recovery, web-verified against Mennonite Church USA Confession of Faith in a Mennonite Perspective (1995); N2 role per project roster.</t>
        </is>
      </c>
      <c r="Q221" s="7" t="inlineStr">
        <is>
          <t>HIGH</t>
        </is>
      </c>
      <c r="R221" s="7" t="inlineStr">
        <is>
          <t>Mennonite Church USA / adopting-body scope for the 1995 Confession; not all Mennonite or Anabaptist bodies.</t>
        </is>
      </c>
      <c r="S221" s="7" t="inlineStr">
        <is>
          <t>NO</t>
        </is>
      </c>
      <c r="T221" s="7" t="inlineStr">
        <is>
          <t>A</t>
        </is>
      </c>
      <c r="U221" s="7" t="inlineStr">
        <is>
          <t>Current Mennonite source explicitly attests Savior.</t>
        </is>
      </c>
      <c r="V221" s="7" t="inlineStr">
        <is>
          <t>CERTIFIED</t>
        </is>
      </c>
      <c r="W221" s="7" t="n"/>
      <c r="X221" s="7" t="inlineStr">
        <is>
          <t>A</t>
        </is>
      </c>
      <c r="Y221" s="7" t="inlineStr">
        <is>
          <t>A</t>
        </is>
      </c>
      <c r="Z221" s="11" t="b">
        <v>0</v>
      </c>
      <c r="AA221" s="8" t="inlineStr">
        <is>
          <t>CURRENT EVIDENCE / STATUS</t>
        </is>
      </c>
    </row>
    <row r="222" ht="15.75" customHeight="1" s="29">
      <c r="A222" s="7" t="inlineStr">
        <is>
          <t>Q-217</t>
        </is>
      </c>
      <c r="B222" s="7" t="inlineStr">
        <is>
          <t>RNR-H28</t>
        </is>
      </c>
      <c r="C222" s="7" t="inlineStr">
        <is>
          <t>Revealer</t>
        </is>
      </c>
      <c r="D222" s="7" t="inlineStr">
        <is>
          <t>A</t>
        </is>
      </c>
      <c r="E222" s="7" t="inlineStr">
        <is>
          <t>Roman Catholic</t>
        </is>
      </c>
      <c r="F222" s="7" t="inlineStr">
        <is>
          <t>SINGLE</t>
        </is>
      </c>
      <c r="G222" s="7" t="inlineStr">
        <is>
          <t>TO RECOVER FROM SESSION 9 LEDGER</t>
        </is>
      </c>
      <c r="H222" s="7" t="inlineStr">
        <is>
          <t>NO PUBLIC TILE</t>
        </is>
      </c>
      <c r="I222" s="7" t="n"/>
      <c r="J222" s="7" t="n"/>
      <c r="K222" s="7" t="n"/>
      <c r="L222" s="7" t="n"/>
      <c r="M222" s="7" t="n"/>
      <c r="N222" s="7" t="n"/>
      <c r="O222" s="7" t="n"/>
      <c r="P222" s="7" t="n"/>
      <c r="Q222" s="7" t="inlineStr">
        <is>
          <t>NOT-ASSESSED</t>
        </is>
      </c>
      <c r="R222" s="7" t="n"/>
      <c r="S222" s="7" t="n"/>
      <c r="T222" s="7" t="n"/>
      <c r="U222" s="7" t="n"/>
      <c r="V222" s="7" t="n"/>
      <c r="W222" s="7" t="n"/>
      <c r="X222" s="7" t="inlineStr">
        <is>
          <t>NOT LOCATED — NOT YET RECOVERED</t>
        </is>
      </c>
      <c r="Y222" s="7" t="inlineStr">
        <is>
          <t>EXCLUDED</t>
        </is>
      </c>
      <c r="Z222" s="11" t="b">
        <v>0</v>
      </c>
      <c r="AA222" s="8" t="inlineStr">
        <is>
          <t>CURRENT EVIDENCE / STATUS</t>
        </is>
      </c>
    </row>
    <row r="223" ht="15.75" customHeight="1" s="29">
      <c r="A223" s="7" t="inlineStr">
        <is>
          <t>Q-218</t>
        </is>
      </c>
      <c r="B223" s="7" t="inlineStr">
        <is>
          <t>RNR-H28</t>
        </is>
      </c>
      <c r="C223" s="7" t="inlineStr">
        <is>
          <t>Revealer</t>
        </is>
      </c>
      <c r="D223" s="7" t="inlineStr">
        <is>
          <t>A</t>
        </is>
      </c>
      <c r="E223" s="7" t="inlineStr">
        <is>
          <t>Eastern Orthodox</t>
        </is>
      </c>
      <c r="F223" s="7" t="inlineStr">
        <is>
          <t>SINGLE</t>
        </is>
      </c>
      <c r="G223" s="7" t="inlineStr">
        <is>
          <t>TO RECOVER FROM SESSION 9 LEDGER</t>
        </is>
      </c>
      <c r="H223" s="7" t="inlineStr">
        <is>
          <t>NO PUBLIC TILE</t>
        </is>
      </c>
      <c r="I223" s="7" t="n"/>
      <c r="J223" s="7" t="n"/>
      <c r="K223" s="7" t="n"/>
      <c r="L223" s="7" t="n"/>
      <c r="M223" s="7" t="n"/>
      <c r="N223" s="7" t="n"/>
      <c r="O223" s="7" t="n"/>
      <c r="P223" s="7" t="n"/>
      <c r="Q223" s="7" t="inlineStr">
        <is>
          <t>NOT-ASSESSED</t>
        </is>
      </c>
      <c r="R223" s="7" t="n"/>
      <c r="S223" s="7" t="n"/>
      <c r="T223" s="7" t="n"/>
      <c r="U223" s="7" t="n"/>
      <c r="V223" s="7" t="n"/>
      <c r="W223" s="7" t="n"/>
      <c r="X223" s="7" t="inlineStr">
        <is>
          <t>NOT LOCATED — NOT YET RECOVERED</t>
        </is>
      </c>
      <c r="Y223" s="7" t="inlineStr">
        <is>
          <t>EXCLUDED</t>
        </is>
      </c>
      <c r="Z223" s="11" t="b">
        <v>0</v>
      </c>
      <c r="AA223" s="8" t="inlineStr">
        <is>
          <t>CURRENT EVIDENCE / STATUS</t>
        </is>
      </c>
    </row>
    <row r="224" ht="15.75" customHeight="1" s="29">
      <c r="A224" s="7" t="inlineStr">
        <is>
          <t>Q-219</t>
        </is>
      </c>
      <c r="B224" s="7" t="inlineStr">
        <is>
          <t>RNR-H28</t>
        </is>
      </c>
      <c r="C224" s="7" t="inlineStr">
        <is>
          <t>Revealer</t>
        </is>
      </c>
      <c r="D224" s="7" t="inlineStr">
        <is>
          <t>A</t>
        </is>
      </c>
      <c r="E224" s="7" t="inlineStr">
        <is>
          <t>Lutheran</t>
        </is>
      </c>
      <c r="F224" s="7" t="inlineStr">
        <is>
          <t>SINGLE</t>
        </is>
      </c>
      <c r="G224" s="7" t="inlineStr">
        <is>
          <t>TO RECOVER FROM SESSION 9 LEDGER</t>
        </is>
      </c>
      <c r="H224" s="7" t="inlineStr">
        <is>
          <t>NO PUBLIC TILE</t>
        </is>
      </c>
      <c r="I224" s="7" t="n"/>
      <c r="J224" s="7" t="n"/>
      <c r="K224" s="7" t="n"/>
      <c r="L224" s="7" t="n"/>
      <c r="M224" s="7" t="n"/>
      <c r="N224" s="7" t="n"/>
      <c r="O224" s="7" t="n"/>
      <c r="P224" s="7" t="n"/>
      <c r="Q224" s="7" t="inlineStr">
        <is>
          <t>NOT-ASSESSED</t>
        </is>
      </c>
      <c r="R224" s="7" t="n"/>
      <c r="S224" s="7" t="n"/>
      <c r="T224" s="7" t="n"/>
      <c r="U224" s="7" t="n"/>
      <c r="V224" s="7" t="n"/>
      <c r="W224" s="7" t="n"/>
      <c r="X224" s="7" t="inlineStr">
        <is>
          <t>NOT LOCATED — NOT YET RECOVERED</t>
        </is>
      </c>
      <c r="Y224" s="7" t="inlineStr">
        <is>
          <t>EXCLUDED</t>
        </is>
      </c>
      <c r="Z224" s="11" t="b">
        <v>0</v>
      </c>
      <c r="AA224" s="8" t="inlineStr">
        <is>
          <t>CURRENT EVIDENCE / STATUS</t>
        </is>
      </c>
    </row>
    <row r="225" ht="15.75" customHeight="1" s="29">
      <c r="A225" s="7" t="inlineStr">
        <is>
          <t>Q-220</t>
        </is>
      </c>
      <c r="B225" s="7" t="inlineStr">
        <is>
          <t>RNR-H28</t>
        </is>
      </c>
      <c r="C225" s="7" t="inlineStr">
        <is>
          <t>Revealer</t>
        </is>
      </c>
      <c r="D225" s="7" t="inlineStr">
        <is>
          <t>A</t>
        </is>
      </c>
      <c r="E225" s="7" t="inlineStr">
        <is>
          <t>Reformed / Presbyterian</t>
        </is>
      </c>
      <c r="F225" s="7" t="inlineStr">
        <is>
          <t>SINGLE</t>
        </is>
      </c>
      <c r="G225" s="7" t="inlineStr">
        <is>
          <t>SESSION 9 SOURCE ROW RECOVERED</t>
        </is>
      </c>
      <c r="H225" s="7" t="inlineStr">
        <is>
          <t>PUBLIC-CERTIFIED</t>
        </is>
      </c>
      <c r="I225" s="7" t="inlineStr">
        <is>
          <t>RNR-H28a</t>
        </is>
      </c>
      <c r="J225" s="7" t="inlineStr">
        <is>
          <t>A</t>
        </is>
      </c>
      <c r="K225" s="7" t="inlineStr">
        <is>
          <t>Christian Reformed Church in North America</t>
        </is>
      </c>
      <c r="L225" s="7" t="inlineStr">
        <is>
          <t>Belgic Confession</t>
        </is>
      </c>
      <c r="M225" s="7" t="inlineStr">
        <is>
          <t>Articles 1–2 and 8</t>
        </is>
      </c>
      <c r="N225" s="7" t="inlineStr">
        <is>
          <t>https://www.crcna.org/welcome/beliefs/confessions/belgic-confession</t>
        </is>
      </c>
      <c r="O225" s="7" t="inlineStr">
        <is>
          <t>https://www.crcna.org/welcome/beliefs/confessions/belgic-confession</t>
        </is>
      </c>
      <c r="P225" s="7" t="inlineStr">
        <is>
          <t>S9-IA-0216 / S8-IA-0216; RCA S9-IA-0217 and PC(USA) Nicene row corroborate.</t>
        </is>
      </c>
      <c r="Q225" s="7" t="inlineStr">
        <is>
          <t>HIGH</t>
        </is>
      </c>
      <c r="R225" s="7" t="inlineStr">
        <is>
          <t>CRCNA primary; related Reformed/Presbyterian evidence corroborates.</t>
        </is>
      </c>
      <c r="S225" s="7" t="inlineStr">
        <is>
          <t>NO</t>
        </is>
      </c>
      <c r="T225" s="7" t="inlineStr">
        <is>
          <t>A</t>
        </is>
      </c>
      <c r="U225" s="7" t="inlineStr">
        <is>
          <t>Revealer.</t>
        </is>
      </c>
      <c r="V225" s="7" t="inlineStr">
        <is>
          <t>CERTIFIED</t>
        </is>
      </c>
      <c r="W225" s="7" t="n"/>
      <c r="X225" s="7" t="inlineStr">
        <is>
          <t>A</t>
        </is>
      </c>
      <c r="Y225" s="7" t="inlineStr">
        <is>
          <t>A</t>
        </is>
      </c>
      <c r="Z225" s="11" t="b">
        <v>0</v>
      </c>
      <c r="AA225" s="8" t="inlineStr">
        <is>
          <t>CURRENT EVIDENCE / STATUS</t>
        </is>
      </c>
    </row>
    <row r="226" ht="15.75" customHeight="1" s="29">
      <c r="A226" s="7" t="inlineStr">
        <is>
          <t>Q-221</t>
        </is>
      </c>
      <c r="B226" s="7" t="inlineStr">
        <is>
          <t>RNR-H28</t>
        </is>
      </c>
      <c r="C226" s="7" t="inlineStr">
        <is>
          <t>Revealer</t>
        </is>
      </c>
      <c r="D226" s="7" t="inlineStr">
        <is>
          <t>A</t>
        </is>
      </c>
      <c r="E226" s="7" t="inlineStr">
        <is>
          <t>Anglican</t>
        </is>
      </c>
      <c r="F226" s="7" t="inlineStr">
        <is>
          <t>SINGLE</t>
        </is>
      </c>
      <c r="G226" s="7" t="inlineStr">
        <is>
          <t>TO RECOVER FROM SESSION 9 LEDGER</t>
        </is>
      </c>
      <c r="H226" s="7" t="inlineStr">
        <is>
          <t>NO PUBLIC TILE</t>
        </is>
      </c>
      <c r="I226" s="7" t="n"/>
      <c r="J226" s="7" t="n"/>
      <c r="K226" s="7" t="n"/>
      <c r="L226" s="7" t="n"/>
      <c r="M226" s="7" t="n"/>
      <c r="N226" s="7" t="n"/>
      <c r="O226" s="7" t="n"/>
      <c r="P226" s="7" t="n"/>
      <c r="Q226" s="7" t="inlineStr">
        <is>
          <t>NOT-ASSESSED</t>
        </is>
      </c>
      <c r="R226" s="7" t="n"/>
      <c r="S226" s="7" t="n"/>
      <c r="T226" s="7" t="n"/>
      <c r="U226" s="7" t="n"/>
      <c r="V226" s="7" t="n"/>
      <c r="W226" s="7" t="n"/>
      <c r="X226" s="7" t="inlineStr">
        <is>
          <t>NOT LOCATED — NOT YET RECOVERED</t>
        </is>
      </c>
      <c r="Y226" s="7" t="inlineStr">
        <is>
          <t>EXCLUDED</t>
        </is>
      </c>
      <c r="Z226" s="11" t="b">
        <v>0</v>
      </c>
      <c r="AA226" s="8" t="inlineStr">
        <is>
          <t>CURRENT EVIDENCE / STATUS</t>
        </is>
      </c>
    </row>
    <row r="227" ht="15.75" customHeight="1" s="29">
      <c r="A227" s="7" t="inlineStr">
        <is>
          <t>Q-222</t>
        </is>
      </c>
      <c r="B227" s="7" t="inlineStr">
        <is>
          <t>RNR-H28</t>
        </is>
      </c>
      <c r="C227" s="7" t="inlineStr">
        <is>
          <t>Revealer</t>
        </is>
      </c>
      <c r="D227" s="7" t="inlineStr">
        <is>
          <t>A</t>
        </is>
      </c>
      <c r="E227" s="7" t="inlineStr">
        <is>
          <t>Baptist</t>
        </is>
      </c>
      <c r="F227" s="7" t="inlineStr">
        <is>
          <t>SINGLE</t>
        </is>
      </c>
      <c r="G227" s="7" t="inlineStr">
        <is>
          <t>CURRENT OFFICIAL SOURCE RECOVERED — WEB VERIFIED</t>
        </is>
      </c>
      <c r="H227" s="7" t="inlineStr">
        <is>
          <t>PUBLIC-CERTIFIED</t>
        </is>
      </c>
      <c r="I227" s="7" t="inlineStr">
        <is>
          <t>RNR-H28a</t>
        </is>
      </c>
      <c r="J227" s="7" t="inlineStr">
        <is>
          <t>A</t>
        </is>
      </c>
      <c r="K227" s="7" t="inlineStr">
        <is>
          <t>Southern Baptist Convention</t>
        </is>
      </c>
      <c r="L227" s="7" t="inlineStr">
        <is>
          <t>Baptist Faith and Message 2000</t>
        </is>
      </c>
      <c r="M227" s="7" t="inlineStr">
        <is>
          <t>II. God — eternal triune God reveals Himself</t>
        </is>
      </c>
      <c r="N227" s="7" t="inlineStr">
        <is>
          <t>https://bfm.sbc.net/bfm2000/</t>
        </is>
      </c>
      <c r="O227" s="7" t="inlineStr">
        <is>
          <t>https://bfm.sbc.net/bfm2000/</t>
        </is>
      </c>
      <c r="P227" s="7" t="inlineStr">
        <is>
          <t>Current official-source recovery, web-verified against Baptist Faith &amp; Message 2000; source role N2 per project institutional authority roster.</t>
        </is>
      </c>
      <c r="Q227" s="7" t="inlineStr">
        <is>
          <t>HIGH</t>
        </is>
      </c>
      <c r="R227" s="7" t="inlineStr">
        <is>
          <t>Southern Baptist Convention cooperative identity under BF&amp;M 2000; not all Baptist churches or Baptist traditions.</t>
        </is>
      </c>
      <c r="S227" s="7" t="inlineStr">
        <is>
          <t>NO</t>
        </is>
      </c>
      <c r="T227" s="7" t="inlineStr">
        <is>
          <t>A</t>
        </is>
      </c>
      <c r="U227" s="7" t="inlineStr">
        <is>
          <t>Current SBC source explicitly attests divine revelation/self-disclosure.</t>
        </is>
      </c>
      <c r="V227" s="7" t="inlineStr">
        <is>
          <t>CERTIFIED</t>
        </is>
      </c>
      <c r="W227" s="7" t="n"/>
      <c r="X227" s="7" t="inlineStr">
        <is>
          <t>A</t>
        </is>
      </c>
      <c r="Y227" s="7" t="inlineStr">
        <is>
          <t>A</t>
        </is>
      </c>
      <c r="Z227" s="11" t="b">
        <v>0</v>
      </c>
      <c r="AA227" s="8" t="inlineStr">
        <is>
          <t>CURRENT EVIDENCE / STATUS</t>
        </is>
      </c>
    </row>
    <row r="228" ht="15.75" customHeight="1" s="29">
      <c r="A228" s="7" t="inlineStr">
        <is>
          <t>Q-223</t>
        </is>
      </c>
      <c r="B228" s="7" t="inlineStr">
        <is>
          <t>RNR-H28</t>
        </is>
      </c>
      <c r="C228" s="7" t="inlineStr">
        <is>
          <t>Revealer</t>
        </is>
      </c>
      <c r="D228" s="7" t="inlineStr">
        <is>
          <t>A</t>
        </is>
      </c>
      <c r="E228" s="7" t="inlineStr">
        <is>
          <t>Methodist / Wesleyan</t>
        </is>
      </c>
      <c r="F228" s="7" t="inlineStr">
        <is>
          <t>SINGLE</t>
        </is>
      </c>
      <c r="G228" s="7" t="inlineStr">
        <is>
          <t>TO RECOVER FROM SESSION 9 LEDGER</t>
        </is>
      </c>
      <c r="H228" s="7" t="inlineStr">
        <is>
          <t>NO PUBLIC TILE</t>
        </is>
      </c>
      <c r="I228" s="7" t="n"/>
      <c r="J228" s="7" t="n"/>
      <c r="K228" s="7" t="n"/>
      <c r="L228" s="7" t="n"/>
      <c r="M228" s="7" t="n"/>
      <c r="N228" s="7" t="n"/>
      <c r="O228" s="7" t="n"/>
      <c r="P228" s="7" t="n"/>
      <c r="Q228" s="7" t="inlineStr">
        <is>
          <t>NOT-ASSESSED</t>
        </is>
      </c>
      <c r="R228" s="7" t="n"/>
      <c r="S228" s="7" t="n"/>
      <c r="T228" s="7" t="n"/>
      <c r="U228" s="7" t="n"/>
      <c r="V228" s="7" t="n"/>
      <c r="W228" s="7" t="n"/>
      <c r="X228" s="7" t="inlineStr">
        <is>
          <t>NOT LOCATED — NOT YET RECOVERED</t>
        </is>
      </c>
      <c r="Y228" s="7" t="inlineStr">
        <is>
          <t>EXCLUDED</t>
        </is>
      </c>
      <c r="Z228" s="11" t="b">
        <v>0</v>
      </c>
      <c r="AA228" s="8" t="inlineStr">
        <is>
          <t>CURRENT EVIDENCE / STATUS</t>
        </is>
      </c>
    </row>
    <row r="229" ht="15.75" customHeight="1" s="29">
      <c r="A229" s="7" t="inlineStr">
        <is>
          <t>Q-224</t>
        </is>
      </c>
      <c r="B229" s="7" t="inlineStr">
        <is>
          <t>RNR-H28</t>
        </is>
      </c>
      <c r="C229" s="7" t="inlineStr">
        <is>
          <t>Revealer</t>
        </is>
      </c>
      <c r="D229" s="7" t="inlineStr">
        <is>
          <t>A</t>
        </is>
      </c>
      <c r="E229" s="7" t="inlineStr">
        <is>
          <t>Mennonite / Anabaptist</t>
        </is>
      </c>
      <c r="F229" s="7" t="inlineStr">
        <is>
          <t>SINGLE</t>
        </is>
      </c>
      <c r="G229" s="7" t="inlineStr">
        <is>
          <t>CURRENT OFFICIAL SOURCE RECOVERED — WEB VERIFIED</t>
        </is>
      </c>
      <c r="H229" s="7" t="inlineStr">
        <is>
          <t>PUBLIC-CERTIFIED</t>
        </is>
      </c>
      <c r="I229" s="7" t="inlineStr">
        <is>
          <t>RNR-H28a</t>
        </is>
      </c>
      <c r="J229" s="7" t="inlineStr">
        <is>
          <t>A</t>
        </is>
      </c>
      <c r="K229" s="7" t="inlineStr">
        <is>
          <t>Mennonite Church USA</t>
        </is>
      </c>
      <c r="L229" s="7" t="inlineStr">
        <is>
          <t>Confession of Faith in a Mennonite Perspective (1995), Article 1: God</t>
        </is>
      </c>
      <c r="M229" s="7" t="inlineStr">
        <is>
          <t>Article 1 — God has spoken; the Son/Word revealed the divine being and character</t>
        </is>
      </c>
      <c r="N229" s="7" t="inlineStr">
        <is>
          <t>https://www.mennoniteusa.org/who-are-mennonites/what-we-believe/confession-of-faith/god/</t>
        </is>
      </c>
      <c r="O229" s="7" t="inlineStr">
        <is>
          <t>https://www.mennoniteusa.org/who-are-mennonites/what-we-believe/confession-of-faith/god/</t>
        </is>
      </c>
      <c r="P229" s="7" t="inlineStr">
        <is>
          <t>Current official-source recovery, web-verified against Mennonite Church USA Confession of Faith in a Mennonite Perspective (1995); N2 role per project roster.</t>
        </is>
      </c>
      <c r="Q229" s="7" t="inlineStr">
        <is>
          <t>HIGH</t>
        </is>
      </c>
      <c r="R229" s="7" t="inlineStr">
        <is>
          <t>Mennonite Church USA / adopting-body scope for the 1995 Confession; not all Mennonite or Anabaptist bodies.</t>
        </is>
      </c>
      <c r="S229" s="7" t="inlineStr">
        <is>
          <t>NO</t>
        </is>
      </c>
      <c r="T229" s="7" t="inlineStr">
        <is>
          <t>A</t>
        </is>
      </c>
      <c r="U229" s="7" t="inlineStr">
        <is>
          <t>Current Mennonite source explicitly attests divine self-revelation.</t>
        </is>
      </c>
      <c r="V229" s="7" t="inlineStr">
        <is>
          <t>CERTIFIED</t>
        </is>
      </c>
      <c r="W229" s="7" t="n"/>
      <c r="X229" s="7" t="inlineStr">
        <is>
          <t>A</t>
        </is>
      </c>
      <c r="Y229" s="7" t="inlineStr">
        <is>
          <t>A</t>
        </is>
      </c>
      <c r="Z229" s="11" t="b">
        <v>0</v>
      </c>
      <c r="AA229" s="8" t="inlineStr">
        <is>
          <t>CURRENT EVIDENCE / STATUS</t>
        </is>
      </c>
    </row>
    <row r="230" ht="15.75" customHeight="1" s="29">
      <c r="A230" s="7" t="inlineStr">
        <is>
          <t>Q-225</t>
        </is>
      </c>
      <c r="B230" s="7" t="inlineStr">
        <is>
          <t>RNR-H29</t>
        </is>
      </c>
      <c r="C230" s="7" t="inlineStr">
        <is>
          <t>Fountain of being</t>
        </is>
      </c>
      <c r="D230" s="7" t="inlineStr">
        <is>
          <t>Q</t>
        </is>
      </c>
      <c r="E230" s="7" t="inlineStr">
        <is>
          <t>Roman Catholic</t>
        </is>
      </c>
      <c r="F230" s="7" t="inlineStr">
        <is>
          <t>SINGLE</t>
        </is>
      </c>
      <c r="G230" s="7" t="inlineStr">
        <is>
          <t>TO RECOVER FROM SESSION 9 LEDGER</t>
        </is>
      </c>
      <c r="H230" s="7" t="inlineStr">
        <is>
          <t>NO PUBLIC TILE</t>
        </is>
      </c>
      <c r="I230" s="7" t="n"/>
      <c r="J230" s="7" t="n"/>
      <c r="K230" s="7" t="n"/>
      <c r="L230" s="7" t="n"/>
      <c r="M230" s="7" t="n"/>
      <c r="N230" s="7" t="n"/>
      <c r="O230" s="7" t="n"/>
      <c r="P230" s="7" t="n"/>
      <c r="Q230" s="7" t="inlineStr">
        <is>
          <t>NOT-ASSESSED</t>
        </is>
      </c>
      <c r="R230" s="7" t="n"/>
      <c r="S230" s="7" t="n"/>
      <c r="T230" s="7" t="n"/>
      <c r="U230" s="7" t="n"/>
      <c r="V230" s="7" t="n"/>
      <c r="W230" s="7" t="n"/>
      <c r="X230" s="7" t="inlineStr">
        <is>
          <t>NOT LOCATED — NOT YET RECOVERED</t>
        </is>
      </c>
      <c r="Y230" s="7" t="inlineStr">
        <is>
          <t>EXCLUDED</t>
        </is>
      </c>
      <c r="Z230" s="11" t="b">
        <v>0</v>
      </c>
      <c r="AA230" s="8" t="inlineStr">
        <is>
          <t>CURRENT EVIDENCE / STATUS</t>
        </is>
      </c>
    </row>
    <row r="231" ht="15.75" customHeight="1" s="29">
      <c r="A231" s="7" t="inlineStr">
        <is>
          <t>Q-226</t>
        </is>
      </c>
      <c r="B231" s="7" t="inlineStr">
        <is>
          <t>RNR-H29</t>
        </is>
      </c>
      <c r="C231" s="7" t="inlineStr">
        <is>
          <t>Fountain of being</t>
        </is>
      </c>
      <c r="D231" s="7" t="inlineStr">
        <is>
          <t>Q</t>
        </is>
      </c>
      <c r="E231" s="7" t="inlineStr">
        <is>
          <t>Eastern Orthodox</t>
        </is>
      </c>
      <c r="F231" s="7" t="inlineStr">
        <is>
          <t>SINGLE</t>
        </is>
      </c>
      <c r="G231" s="7" t="inlineStr">
        <is>
          <t>TO RECOVER FROM SESSION 9 LEDGER</t>
        </is>
      </c>
      <c r="H231" s="7" t="inlineStr">
        <is>
          <t>NO PUBLIC TILE</t>
        </is>
      </c>
      <c r="I231" s="7" t="n"/>
      <c r="J231" s="7" t="n"/>
      <c r="K231" s="7" t="n"/>
      <c r="L231" s="7" t="n"/>
      <c r="M231" s="7" t="n"/>
      <c r="N231" s="7" t="n"/>
      <c r="O231" s="7" t="n"/>
      <c r="P231" s="7" t="n"/>
      <c r="Q231" s="7" t="inlineStr">
        <is>
          <t>NOT-ASSESSED</t>
        </is>
      </c>
      <c r="R231" s="7" t="n"/>
      <c r="S231" s="7" t="n"/>
      <c r="T231" s="7" t="n"/>
      <c r="U231" s="7" t="n"/>
      <c r="V231" s="7" t="n"/>
      <c r="W231" s="7" t="n"/>
      <c r="X231" s="7" t="inlineStr">
        <is>
          <t>NOT LOCATED — NOT YET RECOVERED</t>
        </is>
      </c>
      <c r="Y231" s="7" t="inlineStr">
        <is>
          <t>EXCLUDED</t>
        </is>
      </c>
      <c r="Z231" s="11" t="b">
        <v>0</v>
      </c>
      <c r="AA231" s="8" t="inlineStr">
        <is>
          <t>CURRENT EVIDENCE / STATUS</t>
        </is>
      </c>
    </row>
    <row r="232" ht="15.75" customHeight="1" s="29">
      <c r="A232" s="7" t="inlineStr">
        <is>
          <t>Q-227</t>
        </is>
      </c>
      <c r="B232" s="7" t="inlineStr">
        <is>
          <t>RNR-H29</t>
        </is>
      </c>
      <c r="C232" s="7" t="inlineStr">
        <is>
          <t>Fountain of being</t>
        </is>
      </c>
      <c r="D232" s="7" t="inlineStr">
        <is>
          <t>Q</t>
        </is>
      </c>
      <c r="E232" s="7" t="inlineStr">
        <is>
          <t>Lutheran</t>
        </is>
      </c>
      <c r="F232" s="7" t="inlineStr">
        <is>
          <t>SINGLE</t>
        </is>
      </c>
      <c r="G232" s="7" t="inlineStr">
        <is>
          <t>TO RECOVER FROM SESSION 9 LEDGER</t>
        </is>
      </c>
      <c r="H232" s="7" t="inlineStr">
        <is>
          <t>NO PUBLIC TILE</t>
        </is>
      </c>
      <c r="I232" s="7" t="n"/>
      <c r="J232" s="7" t="n"/>
      <c r="K232" s="7" t="n"/>
      <c r="L232" s="7" t="n"/>
      <c r="M232" s="7" t="n"/>
      <c r="N232" s="7" t="n"/>
      <c r="O232" s="7" t="n"/>
      <c r="P232" s="7" t="n"/>
      <c r="Q232" s="7" t="inlineStr">
        <is>
          <t>NOT-ASSESSED</t>
        </is>
      </c>
      <c r="R232" s="7" t="n"/>
      <c r="S232" s="7" t="n"/>
      <c r="T232" s="7" t="n"/>
      <c r="U232" s="7" t="n"/>
      <c r="V232" s="7" t="n"/>
      <c r="W232" s="7" t="n"/>
      <c r="X232" s="7" t="inlineStr">
        <is>
          <t>NOT LOCATED — NOT YET RECOVERED</t>
        </is>
      </c>
      <c r="Y232" s="7" t="inlineStr">
        <is>
          <t>EXCLUDED</t>
        </is>
      </c>
      <c r="Z232" s="11" t="b">
        <v>0</v>
      </c>
      <c r="AA232" s="8" t="inlineStr">
        <is>
          <t>CURRENT EVIDENCE / STATUS</t>
        </is>
      </c>
    </row>
    <row r="233" ht="15.75" customHeight="1" s="29">
      <c r="A233" s="7" t="inlineStr">
        <is>
          <t>Q-228</t>
        </is>
      </c>
      <c r="B233" s="7" t="inlineStr">
        <is>
          <t>RNR-H29</t>
        </is>
      </c>
      <c r="C233" s="7" t="inlineStr">
        <is>
          <t>Fountain of being</t>
        </is>
      </c>
      <c r="D233" s="7" t="inlineStr">
        <is>
          <t>Q</t>
        </is>
      </c>
      <c r="E233" s="7" t="inlineStr">
        <is>
          <t>Reformed / Presbyterian</t>
        </is>
      </c>
      <c r="F233" s="7" t="inlineStr">
        <is>
          <t>SINGLE</t>
        </is>
      </c>
      <c r="G233" s="7" t="inlineStr">
        <is>
          <t>SESSION 9 SOURCE ROW RECOVERED</t>
        </is>
      </c>
      <c r="H233" s="7" t="inlineStr">
        <is>
          <t>PUBLIC-CERTIFIED</t>
        </is>
      </c>
      <c r="I233" s="7" t="inlineStr">
        <is>
          <t>RNR-H29a</t>
        </is>
      </c>
      <c r="J233" s="7" t="inlineStr">
        <is>
          <t>Q</t>
        </is>
      </c>
      <c r="K233" s="7" t="inlineStr">
        <is>
          <t>Orthodox Presbyterian Church</t>
        </is>
      </c>
      <c r="L233" s="7" t="inlineStr">
        <is>
          <t>Westminster Confession of Faith</t>
        </is>
      </c>
      <c r="M233" s="7" t="inlineStr">
        <is>
          <t>Chapters II.1–3; III; V; VI; IX; XIII as applicable</t>
        </is>
      </c>
      <c r="N233" s="7" t="inlineStr">
        <is>
          <t>https://opc.org/wcf.html</t>
        </is>
      </c>
      <c r="O233" s="7" t="inlineStr">
        <is>
          <t>https://opc.org/wcf.html</t>
        </is>
      </c>
      <c r="P233" s="7" t="inlineStr">
        <is>
          <t>S9-IA-0218 / S8-IA-0218; PC(USA) S9-IA-0219 corroborates.</t>
        </is>
      </c>
      <c r="Q233" s="7" t="inlineStr">
        <is>
          <t>MEDIUM</t>
        </is>
      </c>
      <c r="R233" s="7" t="inlineStr">
        <is>
          <t>OPC primary; Q is the current family comparison at the shared-concern/differentiated-ontology layer.</t>
        </is>
      </c>
      <c r="S233" s="7" t="inlineStr">
        <is>
          <t>NO</t>
        </is>
      </c>
      <c r="T233" s="7" t="inlineStr">
        <is>
          <t>Q</t>
        </is>
      </c>
      <c r="U233" s="7" t="inlineStr">
        <is>
          <t>Fountain of being.</t>
        </is>
      </c>
      <c r="V233" s="7" t="inlineStr">
        <is>
          <t>CERTIFIED</t>
        </is>
      </c>
      <c r="W233" s="7" t="n"/>
      <c r="X233" s="7" t="inlineStr">
        <is>
          <t>Q</t>
        </is>
      </c>
      <c r="Y233" s="7" t="inlineStr">
        <is>
          <t>Q</t>
        </is>
      </c>
      <c r="Z233" s="11" t="b">
        <v>0</v>
      </c>
      <c r="AA233" s="8" t="inlineStr">
        <is>
          <t>CURRENT EVIDENCE / STATUS</t>
        </is>
      </c>
    </row>
    <row r="234" ht="15.75" customHeight="1" s="29">
      <c r="A234" s="7" t="inlineStr">
        <is>
          <t>Q-229</t>
        </is>
      </c>
      <c r="B234" s="7" t="inlineStr">
        <is>
          <t>RNR-H29</t>
        </is>
      </c>
      <c r="C234" s="7" t="inlineStr">
        <is>
          <t>Fountain of being</t>
        </is>
      </c>
      <c r="D234" s="7" t="inlineStr">
        <is>
          <t>Q</t>
        </is>
      </c>
      <c r="E234" s="7" t="inlineStr">
        <is>
          <t>Anglican</t>
        </is>
      </c>
      <c r="F234" s="7" t="inlineStr">
        <is>
          <t>SINGLE</t>
        </is>
      </c>
      <c r="G234" s="7" t="inlineStr">
        <is>
          <t>TO RECOVER FROM SESSION 9 LEDGER</t>
        </is>
      </c>
      <c r="H234" s="7" t="inlineStr">
        <is>
          <t>NO PUBLIC TILE</t>
        </is>
      </c>
      <c r="I234" s="7" t="n"/>
      <c r="J234" s="7" t="n"/>
      <c r="K234" s="7" t="n"/>
      <c r="L234" s="7" t="n"/>
      <c r="M234" s="7" t="n"/>
      <c r="N234" s="7" t="n"/>
      <c r="O234" s="7" t="n"/>
      <c r="P234" s="7" t="n"/>
      <c r="Q234" s="7" t="inlineStr">
        <is>
          <t>NOT-ASSESSED</t>
        </is>
      </c>
      <c r="R234" s="7" t="n"/>
      <c r="S234" s="7" t="n"/>
      <c r="T234" s="7" t="n"/>
      <c r="U234" s="7" t="n"/>
      <c r="V234" s="7" t="n"/>
      <c r="W234" s="7" t="n"/>
      <c r="X234" s="7" t="inlineStr">
        <is>
          <t>NOT LOCATED — NOT YET RECOVERED</t>
        </is>
      </c>
      <c r="Y234" s="7" t="inlineStr">
        <is>
          <t>EXCLUDED</t>
        </is>
      </c>
      <c r="Z234" s="11" t="b">
        <v>0</v>
      </c>
      <c r="AA234" s="8" t="inlineStr">
        <is>
          <t>CURRENT EVIDENCE / STATUS</t>
        </is>
      </c>
    </row>
    <row r="235" ht="15.75" customHeight="1" s="29">
      <c r="A235" s="7" t="inlineStr">
        <is>
          <t>Q-230</t>
        </is>
      </c>
      <c r="B235" s="7" t="inlineStr">
        <is>
          <t>RNR-H29</t>
        </is>
      </c>
      <c r="C235" s="7" t="inlineStr">
        <is>
          <t>Fountain of being</t>
        </is>
      </c>
      <c r="D235" s="7" t="inlineStr">
        <is>
          <t>Q</t>
        </is>
      </c>
      <c r="E235" s="7" t="inlineStr">
        <is>
          <t>Baptist</t>
        </is>
      </c>
      <c r="F235" s="7" t="inlineStr">
        <is>
          <t>SINGLE</t>
        </is>
      </c>
      <c r="G235" s="7" t="inlineStr">
        <is>
          <t>TO RECOVER FROM SESSION 9 LEDGER</t>
        </is>
      </c>
      <c r="H235" s="7" t="inlineStr">
        <is>
          <t>NO PUBLIC TILE</t>
        </is>
      </c>
      <c r="I235" s="7" t="n"/>
      <c r="J235" s="7" t="n"/>
      <c r="K235" s="7" t="n"/>
      <c r="L235" s="7" t="n"/>
      <c r="M235" s="7" t="n"/>
      <c r="N235" s="7" t="n"/>
      <c r="O235" s="7" t="n"/>
      <c r="P235" s="7" t="n"/>
      <c r="Q235" s="7" t="inlineStr">
        <is>
          <t>NOT-ASSESSED</t>
        </is>
      </c>
      <c r="R235" s="7" t="n"/>
      <c r="S235" s="7" t="n"/>
      <c r="T235" s="7" t="n"/>
      <c r="U235" s="7" t="n"/>
      <c r="V235" s="7" t="n"/>
      <c r="W235" s="7" t="n"/>
      <c r="X235" s="7" t="inlineStr">
        <is>
          <t>NOT LOCATED — NOT YET RECOVERED</t>
        </is>
      </c>
      <c r="Y235" s="7" t="inlineStr">
        <is>
          <t>EXCLUDED</t>
        </is>
      </c>
      <c r="Z235" s="11" t="b">
        <v>0</v>
      </c>
      <c r="AA235" s="8" t="inlineStr">
        <is>
          <t>CURRENT EVIDENCE / STATUS</t>
        </is>
      </c>
    </row>
    <row r="236" ht="15.75" customHeight="1" s="29">
      <c r="A236" s="7" t="inlineStr">
        <is>
          <t>Q-231</t>
        </is>
      </c>
      <c r="B236" s="7" t="inlineStr">
        <is>
          <t>RNR-H29</t>
        </is>
      </c>
      <c r="C236" s="7" t="inlineStr">
        <is>
          <t>Fountain of being</t>
        </is>
      </c>
      <c r="D236" s="7" t="inlineStr">
        <is>
          <t>Q</t>
        </is>
      </c>
      <c r="E236" s="7" t="inlineStr">
        <is>
          <t>Methodist / Wesleyan</t>
        </is>
      </c>
      <c r="F236" s="7" t="inlineStr">
        <is>
          <t>SINGLE</t>
        </is>
      </c>
      <c r="G236" s="7" t="inlineStr">
        <is>
          <t>TO RECOVER FROM SESSION 9 LEDGER</t>
        </is>
      </c>
      <c r="H236" s="7" t="inlineStr">
        <is>
          <t>NO PUBLIC TILE</t>
        </is>
      </c>
      <c r="I236" s="7" t="n"/>
      <c r="J236" s="7" t="n"/>
      <c r="K236" s="7" t="n"/>
      <c r="L236" s="7" t="n"/>
      <c r="M236" s="7" t="n"/>
      <c r="N236" s="7" t="n"/>
      <c r="O236" s="7" t="n"/>
      <c r="P236" s="7" t="n"/>
      <c r="Q236" s="7" t="inlineStr">
        <is>
          <t>NOT-ASSESSED</t>
        </is>
      </c>
      <c r="R236" s="7" t="n"/>
      <c r="S236" s="7" t="n"/>
      <c r="T236" s="7" t="n"/>
      <c r="U236" s="7" t="n"/>
      <c r="V236" s="7" t="n"/>
      <c r="W236" s="7" t="n"/>
      <c r="X236" s="7" t="inlineStr">
        <is>
          <t>NOT LOCATED — NOT YET RECOVERED</t>
        </is>
      </c>
      <c r="Y236" s="7" t="inlineStr">
        <is>
          <t>EXCLUDED</t>
        </is>
      </c>
      <c r="Z236" s="11" t="b">
        <v>0</v>
      </c>
      <c r="AA236" s="8" t="inlineStr">
        <is>
          <t>CURRENT EVIDENCE / STATUS</t>
        </is>
      </c>
    </row>
    <row r="237" ht="15.75" customHeight="1" s="29">
      <c r="A237" s="7" t="inlineStr">
        <is>
          <t>Q-232</t>
        </is>
      </c>
      <c r="B237" s="7" t="inlineStr">
        <is>
          <t>RNR-H29</t>
        </is>
      </c>
      <c r="C237" s="7" t="inlineStr">
        <is>
          <t>Fountain of being</t>
        </is>
      </c>
      <c r="D237" s="7" t="inlineStr">
        <is>
          <t>Q</t>
        </is>
      </c>
      <c r="E237" s="7" t="inlineStr">
        <is>
          <t>Mennonite / Anabaptist</t>
        </is>
      </c>
      <c r="F237" s="7" t="inlineStr">
        <is>
          <t>SINGLE</t>
        </is>
      </c>
      <c r="G237" s="7" t="inlineStr">
        <is>
          <t>TO RECOVER FROM SESSION 9 LEDGER</t>
        </is>
      </c>
      <c r="H237" s="7" t="inlineStr">
        <is>
          <t>NO PUBLIC TILE</t>
        </is>
      </c>
      <c r="I237" s="7" t="n"/>
      <c r="J237" s="7" t="n"/>
      <c r="K237" s="7" t="n"/>
      <c r="L237" s="7" t="n"/>
      <c r="M237" s="7" t="n"/>
      <c r="N237" s="7" t="n"/>
      <c r="O237" s="7" t="n"/>
      <c r="P237" s="7" t="n"/>
      <c r="Q237" s="7" t="inlineStr">
        <is>
          <t>NOT-ASSESSED</t>
        </is>
      </c>
      <c r="R237" s="7" t="n"/>
      <c r="S237" s="7" t="n"/>
      <c r="T237" s="7" t="n"/>
      <c r="U237" s="7" t="n"/>
      <c r="V237" s="7" t="n"/>
      <c r="W237" s="7" t="n"/>
      <c r="X237" s="7" t="inlineStr">
        <is>
          <t>NOT LOCATED — NOT YET RECOVERED</t>
        </is>
      </c>
      <c r="Y237" s="7" t="inlineStr">
        <is>
          <t>EXCLUDED</t>
        </is>
      </c>
      <c r="Z237" s="11" t="b">
        <v>0</v>
      </c>
      <c r="AA237" s="8" t="inlineStr">
        <is>
          <t>CURRENT EVIDENCE / STATUS</t>
        </is>
      </c>
    </row>
    <row r="238" ht="15.75" customHeight="1" s="29">
      <c r="A238" s="7" t="inlineStr">
        <is>
          <t>Q-233</t>
        </is>
      </c>
      <c r="B238" s="7" t="inlineStr">
        <is>
          <t>RNR-H30</t>
        </is>
      </c>
      <c r="C238" s="7" t="inlineStr">
        <is>
          <t>Word / Logos</t>
        </is>
      </c>
      <c r="D238" s="7" t="inlineStr">
        <is>
          <t>A</t>
        </is>
      </c>
      <c r="E238" s="7" t="inlineStr">
        <is>
          <t>Roman Catholic</t>
        </is>
      </c>
      <c r="F238" s="7" t="inlineStr">
        <is>
          <t>SINGLE</t>
        </is>
      </c>
      <c r="G238" s="7" t="inlineStr">
        <is>
          <t>TO RECOVER FROM SESSION 9 LEDGER</t>
        </is>
      </c>
      <c r="H238" s="7" t="inlineStr">
        <is>
          <t>NO PUBLIC TILE</t>
        </is>
      </c>
      <c r="I238" s="7" t="n"/>
      <c r="J238" s="7" t="n"/>
      <c r="K238" s="7" t="n"/>
      <c r="L238" s="7" t="n"/>
      <c r="M238" s="7" t="n"/>
      <c r="N238" s="7" t="n"/>
      <c r="O238" s="7" t="n"/>
      <c r="P238" s="7" t="n"/>
      <c r="Q238" s="7" t="inlineStr">
        <is>
          <t>NOT-ASSESSED</t>
        </is>
      </c>
      <c r="R238" s="7" t="n"/>
      <c r="S238" s="7" t="n"/>
      <c r="T238" s="7" t="n"/>
      <c r="U238" s="7" t="n"/>
      <c r="V238" s="7" t="n"/>
      <c r="W238" s="7" t="n"/>
      <c r="X238" s="7" t="inlineStr">
        <is>
          <t>NOT LOCATED — NOT YET RECOVERED</t>
        </is>
      </c>
      <c r="Y238" s="7" t="inlineStr">
        <is>
          <t>EXCLUDED</t>
        </is>
      </c>
      <c r="Z238" s="11" t="b">
        <v>0</v>
      </c>
      <c r="AA238" s="8" t="inlineStr">
        <is>
          <t>CURRENT EVIDENCE / STATUS</t>
        </is>
      </c>
    </row>
    <row r="239" ht="15.75" customHeight="1" s="29">
      <c r="A239" s="7" t="inlineStr">
        <is>
          <t>Q-234</t>
        </is>
      </c>
      <c r="B239" s="7" t="inlineStr">
        <is>
          <t>RNR-H30</t>
        </is>
      </c>
      <c r="C239" s="7" t="inlineStr">
        <is>
          <t>Word / Logos</t>
        </is>
      </c>
      <c r="D239" s="7" t="inlineStr">
        <is>
          <t>A</t>
        </is>
      </c>
      <c r="E239" s="7" t="inlineStr">
        <is>
          <t>Eastern Orthodox</t>
        </is>
      </c>
      <c r="F239" s="7" t="inlineStr">
        <is>
          <t>SINGLE</t>
        </is>
      </c>
      <c r="G239" s="7" t="inlineStr">
        <is>
          <t>TO RECOVER FROM SESSION 9 LEDGER</t>
        </is>
      </c>
      <c r="H239" s="7" t="inlineStr">
        <is>
          <t>NO PUBLIC TILE</t>
        </is>
      </c>
      <c r="I239" s="7" t="n"/>
      <c r="J239" s="7" t="n"/>
      <c r="K239" s="7" t="n"/>
      <c r="L239" s="7" t="n"/>
      <c r="M239" s="7" t="n"/>
      <c r="N239" s="7" t="n"/>
      <c r="O239" s="7" t="n"/>
      <c r="P239" s="7" t="n"/>
      <c r="Q239" s="7" t="inlineStr">
        <is>
          <t>NOT-ASSESSED</t>
        </is>
      </c>
      <c r="R239" s="7" t="n"/>
      <c r="S239" s="7" t="n"/>
      <c r="T239" s="7" t="n"/>
      <c r="U239" s="7" t="n"/>
      <c r="V239" s="7" t="n"/>
      <c r="W239" s="7" t="n"/>
      <c r="X239" s="7" t="inlineStr">
        <is>
          <t>NOT LOCATED — NOT YET RECOVERED</t>
        </is>
      </c>
      <c r="Y239" s="7" t="inlineStr">
        <is>
          <t>EXCLUDED</t>
        </is>
      </c>
      <c r="Z239" s="11" t="b">
        <v>0</v>
      </c>
      <c r="AA239" s="8" t="inlineStr">
        <is>
          <t>CURRENT EVIDENCE / STATUS</t>
        </is>
      </c>
    </row>
    <row r="240" ht="15.75" customHeight="1" s="29">
      <c r="A240" s="7" t="inlineStr">
        <is>
          <t>Q-235</t>
        </is>
      </c>
      <c r="B240" s="7" t="inlineStr">
        <is>
          <t>RNR-H30</t>
        </is>
      </c>
      <c r="C240" s="7" t="inlineStr">
        <is>
          <t>Word / Logos</t>
        </is>
      </c>
      <c r="D240" s="7" t="inlineStr">
        <is>
          <t>A</t>
        </is>
      </c>
      <c r="E240" s="7" t="inlineStr">
        <is>
          <t>Lutheran</t>
        </is>
      </c>
      <c r="F240" s="7" t="inlineStr">
        <is>
          <t>SINGLE</t>
        </is>
      </c>
      <c r="G240" s="7" t="inlineStr">
        <is>
          <t>TO RECOVER FROM SESSION 9 LEDGER</t>
        </is>
      </c>
      <c r="H240" s="7" t="inlineStr">
        <is>
          <t>NO PUBLIC TILE</t>
        </is>
      </c>
      <c r="I240" s="7" t="n"/>
      <c r="J240" s="7" t="n"/>
      <c r="K240" s="7" t="n"/>
      <c r="L240" s="7" t="n"/>
      <c r="M240" s="7" t="n"/>
      <c r="N240" s="7" t="n"/>
      <c r="O240" s="7" t="n"/>
      <c r="P240" s="7" t="n"/>
      <c r="Q240" s="7" t="inlineStr">
        <is>
          <t>NOT-ASSESSED</t>
        </is>
      </c>
      <c r="R240" s="7" t="n"/>
      <c r="S240" s="7" t="n"/>
      <c r="T240" s="7" t="n"/>
      <c r="U240" s="7" t="n"/>
      <c r="V240" s="7" t="n"/>
      <c r="W240" s="7" t="n"/>
      <c r="X240" s="7" t="inlineStr">
        <is>
          <t>NOT LOCATED — NOT YET RECOVERED</t>
        </is>
      </c>
      <c r="Y240" s="7" t="inlineStr">
        <is>
          <t>EXCLUDED</t>
        </is>
      </c>
      <c r="Z240" s="11" t="b">
        <v>0</v>
      </c>
      <c r="AA240" s="8" t="inlineStr">
        <is>
          <t>CURRENT EVIDENCE / STATUS</t>
        </is>
      </c>
    </row>
    <row r="241" ht="15.75" customHeight="1" s="29">
      <c r="A241" s="7" t="inlineStr">
        <is>
          <t>Q-236</t>
        </is>
      </c>
      <c r="B241" s="7" t="inlineStr">
        <is>
          <t>RNR-H30</t>
        </is>
      </c>
      <c r="C241" s="7" t="inlineStr">
        <is>
          <t>Word / Logos</t>
        </is>
      </c>
      <c r="D241" s="7" t="inlineStr">
        <is>
          <t>A</t>
        </is>
      </c>
      <c r="E241" s="7" t="inlineStr">
        <is>
          <t>Reformed / Presbyterian</t>
        </is>
      </c>
      <c r="F241" s="7" t="inlineStr">
        <is>
          <t>SINGLE</t>
        </is>
      </c>
      <c r="G241" s="7" t="inlineStr">
        <is>
          <t>SESSION 9 SOURCE ROW RECOVERED</t>
        </is>
      </c>
      <c r="H241" s="7" t="inlineStr">
        <is>
          <t>PUBLIC-CERTIFIED</t>
        </is>
      </c>
      <c r="I241" s="7" t="inlineStr">
        <is>
          <t>RNR-H30a</t>
        </is>
      </c>
      <c r="J241" s="7" t="inlineStr">
        <is>
          <t>A</t>
        </is>
      </c>
      <c r="K241" s="7" t="inlineStr">
        <is>
          <t>Christian Reformed Church in North America</t>
        </is>
      </c>
      <c r="L241" s="7" t="inlineStr">
        <is>
          <t>Belgic Confession</t>
        </is>
      </c>
      <c r="M241" s="7" t="inlineStr">
        <is>
          <t>Articles 1–2 and 8</t>
        </is>
      </c>
      <c r="N241" s="7" t="inlineStr">
        <is>
          <t>https://www.crcna.org/welcome/beliefs/confessions/belgic-confession</t>
        </is>
      </c>
      <c r="O241" s="7" t="inlineStr">
        <is>
          <t>https://www.crcna.org/welcome/beliefs/confessions/belgic-confession</t>
        </is>
      </c>
      <c r="P241" s="7" t="inlineStr">
        <is>
          <t>S9-IA-0220 / S8-IA-0220; RCA S9-IA-0221 corroborates.</t>
        </is>
      </c>
      <c r="Q241" s="7" t="inlineStr">
        <is>
          <t>HIGH</t>
        </is>
      </c>
      <c r="R241" s="7" t="inlineStr">
        <is>
          <t>CRCNA primary; RCA corroboration.</t>
        </is>
      </c>
      <c r="S241" s="7" t="inlineStr">
        <is>
          <t>NO</t>
        </is>
      </c>
      <c r="T241" s="7" t="inlineStr">
        <is>
          <t>A</t>
        </is>
      </c>
      <c r="U241" s="7" t="inlineStr">
        <is>
          <t>Word / Logos.</t>
        </is>
      </c>
      <c r="V241" s="7" t="inlineStr">
        <is>
          <t>CERTIFIED</t>
        </is>
      </c>
      <c r="W241" s="7" t="n"/>
      <c r="X241" s="7" t="inlineStr">
        <is>
          <t>A</t>
        </is>
      </c>
      <c r="Y241" s="7" t="inlineStr">
        <is>
          <t>A</t>
        </is>
      </c>
      <c r="Z241" s="11" t="b">
        <v>0</v>
      </c>
      <c r="AA241" s="8" t="inlineStr">
        <is>
          <t>CURRENT EVIDENCE / STATUS</t>
        </is>
      </c>
    </row>
    <row r="242" ht="15.75" customHeight="1" s="29">
      <c r="A242" s="7" t="inlineStr">
        <is>
          <t>Q-237</t>
        </is>
      </c>
      <c r="B242" s="7" t="inlineStr">
        <is>
          <t>RNR-H30</t>
        </is>
      </c>
      <c r="C242" s="7" t="inlineStr">
        <is>
          <t>Word / Logos</t>
        </is>
      </c>
      <c r="D242" s="7" t="inlineStr">
        <is>
          <t>A</t>
        </is>
      </c>
      <c r="E242" s="7" t="inlineStr">
        <is>
          <t>Anglican</t>
        </is>
      </c>
      <c r="F242" s="7" t="inlineStr">
        <is>
          <t>SINGLE</t>
        </is>
      </c>
      <c r="G242" s="7" t="inlineStr">
        <is>
          <t>TO RECOVER FROM SESSION 9 LEDGER</t>
        </is>
      </c>
      <c r="H242" s="7" t="inlineStr">
        <is>
          <t>NO PUBLIC TILE</t>
        </is>
      </c>
      <c r="I242" s="7" t="n"/>
      <c r="J242" s="7" t="n"/>
      <c r="K242" s="7" t="n"/>
      <c r="L242" s="7" t="n"/>
      <c r="M242" s="7" t="n"/>
      <c r="N242" s="7" t="n"/>
      <c r="O242" s="7" t="n"/>
      <c r="P242" s="7" t="n"/>
      <c r="Q242" s="7" t="inlineStr">
        <is>
          <t>NOT-ASSESSED</t>
        </is>
      </c>
      <c r="R242" s="7" t="n"/>
      <c r="S242" s="7" t="n"/>
      <c r="T242" s="7" t="n"/>
      <c r="U242" s="7" t="n"/>
      <c r="V242" s="7" t="n"/>
      <c r="W242" s="7" t="n"/>
      <c r="X242" s="7" t="inlineStr">
        <is>
          <t>NOT LOCATED — NOT YET RECOVERED</t>
        </is>
      </c>
      <c r="Y242" s="7" t="inlineStr">
        <is>
          <t>EXCLUDED</t>
        </is>
      </c>
      <c r="Z242" s="11" t="b">
        <v>0</v>
      </c>
      <c r="AA242" s="8" t="inlineStr">
        <is>
          <t>CURRENT EVIDENCE / STATUS</t>
        </is>
      </c>
    </row>
    <row r="243" ht="15.75" customHeight="1" s="29">
      <c r="A243" s="7" t="inlineStr">
        <is>
          <t>Q-238</t>
        </is>
      </c>
      <c r="B243" s="7" t="inlineStr">
        <is>
          <t>RNR-H30</t>
        </is>
      </c>
      <c r="C243" s="7" t="inlineStr">
        <is>
          <t>Word / Logos</t>
        </is>
      </c>
      <c r="D243" s="7" t="inlineStr">
        <is>
          <t>A</t>
        </is>
      </c>
      <c r="E243" s="7" t="inlineStr">
        <is>
          <t>Baptist</t>
        </is>
      </c>
      <c r="F243" s="7" t="inlineStr">
        <is>
          <t>SINGLE</t>
        </is>
      </c>
      <c r="G243" s="7" t="inlineStr">
        <is>
          <t>TO RECOVER FROM SESSION 9 LEDGER</t>
        </is>
      </c>
      <c r="H243" s="7" t="inlineStr">
        <is>
          <t>NO PUBLIC TILE</t>
        </is>
      </c>
      <c r="I243" s="7" t="n"/>
      <c r="J243" s="7" t="n"/>
      <c r="K243" s="7" t="n"/>
      <c r="L243" s="7" t="n"/>
      <c r="M243" s="7" t="n"/>
      <c r="N243" s="7" t="n"/>
      <c r="O243" s="7" t="n"/>
      <c r="P243" s="7" t="n"/>
      <c r="Q243" s="7" t="inlineStr">
        <is>
          <t>NOT-ASSESSED</t>
        </is>
      </c>
      <c r="R243" s="7" t="n"/>
      <c r="S243" s="7" t="n"/>
      <c r="T243" s="7" t="n"/>
      <c r="U243" s="7" t="n"/>
      <c r="V243" s="7" t="n"/>
      <c r="W243" s="7" t="n"/>
      <c r="X243" s="7" t="inlineStr">
        <is>
          <t>NOT LOCATED — NOT YET RECOVERED</t>
        </is>
      </c>
      <c r="Y243" s="7" t="inlineStr">
        <is>
          <t>EXCLUDED</t>
        </is>
      </c>
      <c r="Z243" s="11" t="b">
        <v>0</v>
      </c>
      <c r="AA243" s="8" t="inlineStr">
        <is>
          <t>CURRENT EVIDENCE / STATUS</t>
        </is>
      </c>
    </row>
    <row r="244" ht="15.75" customHeight="1" s="29">
      <c r="A244" s="7" t="inlineStr">
        <is>
          <t>Q-239</t>
        </is>
      </c>
      <c r="B244" s="7" t="inlineStr">
        <is>
          <t>RNR-H30</t>
        </is>
      </c>
      <c r="C244" s="7" t="inlineStr">
        <is>
          <t>Word / Logos</t>
        </is>
      </c>
      <c r="D244" s="7" t="inlineStr">
        <is>
          <t>A</t>
        </is>
      </c>
      <c r="E244" s="7" t="inlineStr">
        <is>
          <t>Methodist / Wesleyan</t>
        </is>
      </c>
      <c r="F244" s="7" t="inlineStr">
        <is>
          <t>SINGLE</t>
        </is>
      </c>
      <c r="G244" s="7" t="inlineStr">
        <is>
          <t>TO RECOVER FROM SESSION 9 LEDGER</t>
        </is>
      </c>
      <c r="H244" s="7" t="inlineStr">
        <is>
          <t>NO PUBLIC TILE</t>
        </is>
      </c>
      <c r="I244" s="7" t="n"/>
      <c r="J244" s="7" t="n"/>
      <c r="K244" s="7" t="n"/>
      <c r="L244" s="7" t="n"/>
      <c r="M244" s="7" t="n"/>
      <c r="N244" s="7" t="n"/>
      <c r="O244" s="7" t="n"/>
      <c r="P244" s="7" t="n"/>
      <c r="Q244" s="7" t="inlineStr">
        <is>
          <t>NOT-ASSESSED</t>
        </is>
      </c>
      <c r="R244" s="7" t="n"/>
      <c r="S244" s="7" t="n"/>
      <c r="T244" s="7" t="n"/>
      <c r="U244" s="7" t="n"/>
      <c r="V244" s="7" t="n"/>
      <c r="W244" s="7" t="n"/>
      <c r="X244" s="7" t="inlineStr">
        <is>
          <t>NOT LOCATED — NOT YET RECOVERED</t>
        </is>
      </c>
      <c r="Y244" s="7" t="inlineStr">
        <is>
          <t>EXCLUDED</t>
        </is>
      </c>
      <c r="Z244" s="11" t="b">
        <v>0</v>
      </c>
      <c r="AA244" s="8" t="inlineStr">
        <is>
          <t>CURRENT EVIDENCE / STATUS</t>
        </is>
      </c>
    </row>
    <row r="245" ht="15.75" customHeight="1" s="29">
      <c r="A245" s="7" t="inlineStr">
        <is>
          <t>Q-240</t>
        </is>
      </c>
      <c r="B245" s="7" t="inlineStr">
        <is>
          <t>RNR-H30</t>
        </is>
      </c>
      <c r="C245" s="7" t="inlineStr">
        <is>
          <t>Word / Logos</t>
        </is>
      </c>
      <c r="D245" s="7" t="inlineStr">
        <is>
          <t>A</t>
        </is>
      </c>
      <c r="E245" s="7" t="inlineStr">
        <is>
          <t>Mennonite / Anabaptist</t>
        </is>
      </c>
      <c r="F245" s="7" t="inlineStr">
        <is>
          <t>SINGLE</t>
        </is>
      </c>
      <c r="G245" s="7" t="inlineStr">
        <is>
          <t>CURRENT OFFICIAL SOURCE RECOVERED — WEB VERIFIED</t>
        </is>
      </c>
      <c r="H245" s="7" t="inlineStr">
        <is>
          <t>PUBLIC-CERTIFIED</t>
        </is>
      </c>
      <c r="I245" s="7" t="inlineStr">
        <is>
          <t>RNR-H30a</t>
        </is>
      </c>
      <c r="J245" s="7" t="inlineStr">
        <is>
          <t>A</t>
        </is>
      </c>
      <c r="K245" s="7" t="inlineStr">
        <is>
          <t>Mennonite Church USA</t>
        </is>
      </c>
      <c r="L245" s="7" t="inlineStr">
        <is>
          <t>Confession of Faith in a Mennonite Perspective (1995), Article 1: God</t>
        </is>
      </c>
      <c r="M245" s="7" t="inlineStr">
        <is>
          <t>Article 1 — the only Son, the Word who became flesh</t>
        </is>
      </c>
      <c r="N245" s="7" t="inlineStr">
        <is>
          <t>https://www.mennoniteusa.org/who-are-mennonites/what-we-believe/confession-of-faith/god/</t>
        </is>
      </c>
      <c r="O245" s="7" t="inlineStr">
        <is>
          <t>https://www.mennoniteusa.org/who-are-mennonites/what-we-believe/confession-of-faith/god/</t>
        </is>
      </c>
      <c r="P245" s="7" t="inlineStr">
        <is>
          <t>Current official-source recovery, web-verified against Mennonite Church USA Confession of Faith in a Mennonite Perspective (1995); N2 role per project roster.</t>
        </is>
      </c>
      <c r="Q245" s="7" t="inlineStr">
        <is>
          <t>HIGH</t>
        </is>
      </c>
      <c r="R245" s="7" t="inlineStr">
        <is>
          <t>Mennonite Church USA / adopting-body scope for the 1995 Confession; not all Mennonite or Anabaptist bodies.</t>
        </is>
      </c>
      <c r="S245" s="7" t="inlineStr">
        <is>
          <t>NO</t>
        </is>
      </c>
      <c r="T245" s="7" t="inlineStr">
        <is>
          <t>A</t>
        </is>
      </c>
      <c r="U245" s="7" t="inlineStr">
        <is>
          <t>Current Mennonite source explicitly attests Word/Logos title.</t>
        </is>
      </c>
      <c r="V245" s="7" t="inlineStr">
        <is>
          <t>CERTIFIED</t>
        </is>
      </c>
      <c r="W245" s="7" t="n"/>
      <c r="X245" s="7" t="inlineStr">
        <is>
          <t>A</t>
        </is>
      </c>
      <c r="Y245" s="7" t="inlineStr">
        <is>
          <t>A</t>
        </is>
      </c>
      <c r="Z245" s="11" t="b">
        <v>0</v>
      </c>
      <c r="AA245" s="8" t="inlineStr">
        <is>
          <t>CURRENT EVIDENCE / STATUS</t>
        </is>
      </c>
    </row>
    <row r="246" ht="15.75" customHeight="1" s="29">
      <c r="A246" s="7" t="inlineStr">
        <is>
          <t>Q-241</t>
        </is>
      </c>
      <c r="B246" s="7" t="inlineStr">
        <is>
          <t>RNR-H31</t>
        </is>
      </c>
      <c r="C246" s="7" t="inlineStr">
        <is>
          <t>Wisdom</t>
        </is>
      </c>
      <c r="D246" s="7" t="inlineStr">
        <is>
          <t>A</t>
        </is>
      </c>
      <c r="E246" s="7" t="inlineStr">
        <is>
          <t>Roman Catholic</t>
        </is>
      </c>
      <c r="F246" s="7" t="inlineStr">
        <is>
          <t>SINGLE</t>
        </is>
      </c>
      <c r="G246" s="7" t="inlineStr">
        <is>
          <t>TO RECOVER FROM SESSION 9 LEDGER</t>
        </is>
      </c>
      <c r="H246" s="7" t="inlineStr">
        <is>
          <t>NO PUBLIC TILE</t>
        </is>
      </c>
      <c r="I246" s="7" t="n"/>
      <c r="J246" s="7" t="n"/>
      <c r="K246" s="7" t="n"/>
      <c r="L246" s="7" t="n"/>
      <c r="M246" s="7" t="n"/>
      <c r="N246" s="7" t="n"/>
      <c r="O246" s="7" t="n"/>
      <c r="P246" s="7" t="n"/>
      <c r="Q246" s="7" t="inlineStr">
        <is>
          <t>NOT-ASSESSED</t>
        </is>
      </c>
      <c r="R246" s="7" t="n"/>
      <c r="S246" s="7" t="n"/>
      <c r="T246" s="7" t="n"/>
      <c r="U246" s="7" t="n"/>
      <c r="V246" s="7" t="n"/>
      <c r="W246" s="7" t="n"/>
      <c r="X246" s="7" t="inlineStr">
        <is>
          <t>NOT LOCATED — NOT YET RECOVERED</t>
        </is>
      </c>
      <c r="Y246" s="7" t="inlineStr">
        <is>
          <t>EXCLUDED</t>
        </is>
      </c>
      <c r="Z246" s="11" t="b">
        <v>0</v>
      </c>
      <c r="AA246" s="8" t="inlineStr">
        <is>
          <t>CURRENT EVIDENCE / STATUS</t>
        </is>
      </c>
    </row>
    <row r="247" ht="15.75" customHeight="1" s="29">
      <c r="A247" s="7" t="inlineStr">
        <is>
          <t>Q-242</t>
        </is>
      </c>
      <c r="B247" s="7" t="inlineStr">
        <is>
          <t>RNR-H31</t>
        </is>
      </c>
      <c r="C247" s="7" t="inlineStr">
        <is>
          <t>Wisdom</t>
        </is>
      </c>
      <c r="D247" s="7" t="inlineStr">
        <is>
          <t>A</t>
        </is>
      </c>
      <c r="E247" s="7" t="inlineStr">
        <is>
          <t>Eastern Orthodox</t>
        </is>
      </c>
      <c r="F247" s="7" t="inlineStr">
        <is>
          <t>SINGLE</t>
        </is>
      </c>
      <c r="G247" s="7" t="inlineStr">
        <is>
          <t>TO RECOVER FROM SESSION 9 LEDGER</t>
        </is>
      </c>
      <c r="H247" s="7" t="inlineStr">
        <is>
          <t>NO PUBLIC TILE</t>
        </is>
      </c>
      <c r="I247" s="7" t="n"/>
      <c r="J247" s="7" t="n"/>
      <c r="K247" s="7" t="n"/>
      <c r="L247" s="7" t="n"/>
      <c r="M247" s="7" t="n"/>
      <c r="N247" s="7" t="n"/>
      <c r="O247" s="7" t="n"/>
      <c r="P247" s="7" t="n"/>
      <c r="Q247" s="7" t="inlineStr">
        <is>
          <t>NOT-ASSESSED</t>
        </is>
      </c>
      <c r="R247" s="7" t="n"/>
      <c r="S247" s="7" t="n"/>
      <c r="T247" s="7" t="n"/>
      <c r="U247" s="7" t="n"/>
      <c r="V247" s="7" t="n"/>
      <c r="W247" s="7" t="n"/>
      <c r="X247" s="7" t="inlineStr">
        <is>
          <t>NOT LOCATED — NOT YET RECOVERED</t>
        </is>
      </c>
      <c r="Y247" s="7" t="inlineStr">
        <is>
          <t>EXCLUDED</t>
        </is>
      </c>
      <c r="Z247" s="11" t="b">
        <v>0</v>
      </c>
      <c r="AA247" s="8" t="inlineStr">
        <is>
          <t>CURRENT EVIDENCE / STATUS</t>
        </is>
      </c>
    </row>
    <row r="248" ht="15.75" customHeight="1" s="29">
      <c r="A248" s="7" t="inlineStr">
        <is>
          <t>Q-243</t>
        </is>
      </c>
      <c r="B248" s="7" t="inlineStr">
        <is>
          <t>RNR-H31</t>
        </is>
      </c>
      <c r="C248" s="7" t="inlineStr">
        <is>
          <t>Wisdom</t>
        </is>
      </c>
      <c r="D248" s="7" t="inlineStr">
        <is>
          <t>A</t>
        </is>
      </c>
      <c r="E248" s="7" t="inlineStr">
        <is>
          <t>Lutheran</t>
        </is>
      </c>
      <c r="F248" s="7" t="inlineStr">
        <is>
          <t>SINGLE</t>
        </is>
      </c>
      <c r="G248" s="7" t="inlineStr">
        <is>
          <t>TO RECOVER FROM SESSION 9 LEDGER</t>
        </is>
      </c>
      <c r="H248" s="7" t="inlineStr">
        <is>
          <t>NO PUBLIC TILE</t>
        </is>
      </c>
      <c r="I248" s="7" t="n"/>
      <c r="J248" s="7" t="n"/>
      <c r="K248" s="7" t="n"/>
      <c r="L248" s="7" t="n"/>
      <c r="M248" s="7" t="n"/>
      <c r="N248" s="7" t="n"/>
      <c r="O248" s="7" t="n"/>
      <c r="P248" s="7" t="n"/>
      <c r="Q248" s="7" t="inlineStr">
        <is>
          <t>NOT-ASSESSED</t>
        </is>
      </c>
      <c r="R248" s="7" t="n"/>
      <c r="S248" s="7" t="n"/>
      <c r="T248" s="7" t="n"/>
      <c r="U248" s="7" t="n"/>
      <c r="V248" s="7" t="n"/>
      <c r="W248" s="7" t="n"/>
      <c r="X248" s="7" t="inlineStr">
        <is>
          <t>NOT LOCATED — NOT YET RECOVERED</t>
        </is>
      </c>
      <c r="Y248" s="7" t="inlineStr">
        <is>
          <t>EXCLUDED</t>
        </is>
      </c>
      <c r="Z248" s="11" t="b">
        <v>0</v>
      </c>
      <c r="AA248" s="8" t="inlineStr">
        <is>
          <t>CURRENT EVIDENCE / STATUS</t>
        </is>
      </c>
    </row>
    <row r="249" ht="15.75" customHeight="1" s="29">
      <c r="A249" s="7" t="inlineStr">
        <is>
          <t>Q-244</t>
        </is>
      </c>
      <c r="B249" s="7" t="inlineStr">
        <is>
          <t>RNR-H31</t>
        </is>
      </c>
      <c r="C249" s="7" t="inlineStr">
        <is>
          <t>Wisdom</t>
        </is>
      </c>
      <c r="D249" s="7" t="inlineStr">
        <is>
          <t>A</t>
        </is>
      </c>
      <c r="E249" s="7" t="inlineStr">
        <is>
          <t>Reformed / Presbyterian</t>
        </is>
      </c>
      <c r="F249" s="7" t="inlineStr">
        <is>
          <t>SINGLE</t>
        </is>
      </c>
      <c r="G249" s="7" t="inlineStr">
        <is>
          <t>SESSION 9 SOURCE ROW RECOVERED</t>
        </is>
      </c>
      <c r="H249" s="7" t="inlineStr">
        <is>
          <t>PUBLIC-CERTIFIED</t>
        </is>
      </c>
      <c r="I249" s="7" t="inlineStr">
        <is>
          <t>RNR-H31a</t>
        </is>
      </c>
      <c r="J249" s="7" t="inlineStr">
        <is>
          <t>A</t>
        </is>
      </c>
      <c r="K249" s="7" t="inlineStr">
        <is>
          <t>Christian Reformed Church in North America</t>
        </is>
      </c>
      <c r="L249" s="7" t="inlineStr">
        <is>
          <t>Belgic Confession</t>
        </is>
      </c>
      <c r="M249" s="7" t="inlineStr">
        <is>
          <t>Articles 1–2 and 8</t>
        </is>
      </c>
      <c r="N249" s="7" t="inlineStr">
        <is>
          <t>https://www.crcna.org/welcome/beliefs/confessions/belgic-confession</t>
        </is>
      </c>
      <c r="O249" s="7" t="inlineStr">
        <is>
          <t>https://www.crcna.org/welcome/beliefs/confessions/belgic-confession</t>
        </is>
      </c>
      <c r="P249" s="7" t="inlineStr">
        <is>
          <t>S9-IA-0222 / S8-IA-0222; RCA S9-IA-0223 corroborates.</t>
        </is>
      </c>
      <c r="Q249" s="7" t="inlineStr">
        <is>
          <t>HIGH</t>
        </is>
      </c>
      <c r="R249" s="7" t="inlineStr">
        <is>
          <t>CRCNA primary; RCA corroboration.</t>
        </is>
      </c>
      <c r="S249" s="7" t="inlineStr">
        <is>
          <t>NO</t>
        </is>
      </c>
      <c r="T249" s="7" t="inlineStr">
        <is>
          <t>A</t>
        </is>
      </c>
      <c r="U249" s="7" t="inlineStr">
        <is>
          <t>Wisdom.</t>
        </is>
      </c>
      <c r="V249" s="7" t="inlineStr">
        <is>
          <t>CERTIFIED</t>
        </is>
      </c>
      <c r="W249" s="7" t="n"/>
      <c r="X249" s="7" t="inlineStr">
        <is>
          <t>A</t>
        </is>
      </c>
      <c r="Y249" s="7" t="inlineStr">
        <is>
          <t>A</t>
        </is>
      </c>
      <c r="Z249" s="11" t="b">
        <v>0</v>
      </c>
      <c r="AA249" s="8" t="inlineStr">
        <is>
          <t>CURRENT EVIDENCE / STATUS</t>
        </is>
      </c>
    </row>
    <row r="250" ht="15.75" customHeight="1" s="29">
      <c r="A250" s="7" t="inlineStr">
        <is>
          <t>Q-245</t>
        </is>
      </c>
      <c r="B250" s="7" t="inlineStr">
        <is>
          <t>RNR-H31</t>
        </is>
      </c>
      <c r="C250" s="7" t="inlineStr">
        <is>
          <t>Wisdom</t>
        </is>
      </c>
      <c r="D250" s="7" t="inlineStr">
        <is>
          <t>A</t>
        </is>
      </c>
      <c r="E250" s="7" t="inlineStr">
        <is>
          <t>Anglican</t>
        </is>
      </c>
      <c r="F250" s="7" t="inlineStr">
        <is>
          <t>SINGLE</t>
        </is>
      </c>
      <c r="G250" s="7" t="inlineStr">
        <is>
          <t>TO RECOVER FROM SESSION 9 LEDGER</t>
        </is>
      </c>
      <c r="H250" s="7" t="inlineStr">
        <is>
          <t>NO PUBLIC TILE</t>
        </is>
      </c>
      <c r="I250" s="7" t="n"/>
      <c r="J250" s="7" t="n"/>
      <c r="K250" s="7" t="n"/>
      <c r="L250" s="7" t="n"/>
      <c r="M250" s="7" t="n"/>
      <c r="N250" s="7" t="n"/>
      <c r="O250" s="7" t="n"/>
      <c r="P250" s="7" t="n"/>
      <c r="Q250" s="7" t="inlineStr">
        <is>
          <t>NOT-ASSESSED</t>
        </is>
      </c>
      <c r="R250" s="7" t="n"/>
      <c r="S250" s="7" t="n"/>
      <c r="T250" s="7" t="n"/>
      <c r="U250" s="7" t="n"/>
      <c r="V250" s="7" t="n"/>
      <c r="W250" s="7" t="n"/>
      <c r="X250" s="7" t="inlineStr">
        <is>
          <t>NOT LOCATED — NOT YET RECOVERED</t>
        </is>
      </c>
      <c r="Y250" s="7" t="inlineStr">
        <is>
          <t>EXCLUDED</t>
        </is>
      </c>
      <c r="Z250" s="11" t="b">
        <v>0</v>
      </c>
      <c r="AA250" s="8" t="inlineStr">
        <is>
          <t>CURRENT EVIDENCE / STATUS</t>
        </is>
      </c>
    </row>
    <row r="251" ht="15.75" customHeight="1" s="29">
      <c r="A251" s="7" t="inlineStr">
        <is>
          <t>Q-246</t>
        </is>
      </c>
      <c r="B251" s="7" t="inlineStr">
        <is>
          <t>RNR-H31</t>
        </is>
      </c>
      <c r="C251" s="7" t="inlineStr">
        <is>
          <t>Wisdom</t>
        </is>
      </c>
      <c r="D251" s="7" t="inlineStr">
        <is>
          <t>A</t>
        </is>
      </c>
      <c r="E251" s="7" t="inlineStr">
        <is>
          <t>Baptist</t>
        </is>
      </c>
      <c r="F251" s="7" t="inlineStr">
        <is>
          <t>SINGLE</t>
        </is>
      </c>
      <c r="G251" s="7" t="inlineStr">
        <is>
          <t>TO RECOVER FROM SESSION 9 LEDGER</t>
        </is>
      </c>
      <c r="H251" s="7" t="inlineStr">
        <is>
          <t>NO PUBLIC TILE</t>
        </is>
      </c>
      <c r="I251" s="7" t="n"/>
      <c r="J251" s="7" t="n"/>
      <c r="K251" s="7" t="n"/>
      <c r="L251" s="7" t="n"/>
      <c r="M251" s="7" t="n"/>
      <c r="N251" s="7" t="n"/>
      <c r="O251" s="7" t="n"/>
      <c r="P251" s="7" t="n"/>
      <c r="Q251" s="7" t="inlineStr">
        <is>
          <t>NOT-ASSESSED</t>
        </is>
      </c>
      <c r="R251" s="7" t="n"/>
      <c r="S251" s="7" t="n"/>
      <c r="T251" s="7" t="n"/>
      <c r="U251" s="7" t="n"/>
      <c r="V251" s="7" t="n"/>
      <c r="W251" s="7" t="n"/>
      <c r="X251" s="7" t="inlineStr">
        <is>
          <t>NOT LOCATED — NOT YET RECOVERED</t>
        </is>
      </c>
      <c r="Y251" s="7" t="inlineStr">
        <is>
          <t>EXCLUDED</t>
        </is>
      </c>
      <c r="Z251" s="11" t="b">
        <v>0</v>
      </c>
      <c r="AA251" s="8" t="inlineStr">
        <is>
          <t>CURRENT EVIDENCE / STATUS</t>
        </is>
      </c>
    </row>
    <row r="252" ht="15.75" customHeight="1" s="29">
      <c r="A252" s="7" t="inlineStr">
        <is>
          <t>Q-247</t>
        </is>
      </c>
      <c r="B252" s="7" t="inlineStr">
        <is>
          <t>RNR-H31</t>
        </is>
      </c>
      <c r="C252" s="7" t="inlineStr">
        <is>
          <t>Wisdom</t>
        </is>
      </c>
      <c r="D252" s="7" t="inlineStr">
        <is>
          <t>A</t>
        </is>
      </c>
      <c r="E252" s="7" t="inlineStr">
        <is>
          <t>Methodist / Wesleyan</t>
        </is>
      </c>
      <c r="F252" s="7" t="inlineStr">
        <is>
          <t>SINGLE</t>
        </is>
      </c>
      <c r="G252" s="7" t="inlineStr">
        <is>
          <t>TO RECOVER FROM SESSION 9 LEDGER</t>
        </is>
      </c>
      <c r="H252" s="7" t="inlineStr">
        <is>
          <t>NO PUBLIC TILE</t>
        </is>
      </c>
      <c r="I252" s="7" t="n"/>
      <c r="J252" s="7" t="n"/>
      <c r="K252" s="7" t="n"/>
      <c r="L252" s="7" t="n"/>
      <c r="M252" s="7" t="n"/>
      <c r="N252" s="7" t="n"/>
      <c r="O252" s="7" t="n"/>
      <c r="P252" s="7" t="n"/>
      <c r="Q252" s="7" t="inlineStr">
        <is>
          <t>NOT-ASSESSED</t>
        </is>
      </c>
      <c r="R252" s="7" t="n"/>
      <c r="S252" s="7" t="n"/>
      <c r="T252" s="7" t="n"/>
      <c r="U252" s="7" t="n"/>
      <c r="V252" s="7" t="n"/>
      <c r="W252" s="7" t="n"/>
      <c r="X252" s="7" t="inlineStr">
        <is>
          <t>NOT LOCATED — NOT YET RECOVERED</t>
        </is>
      </c>
      <c r="Y252" s="7" t="inlineStr">
        <is>
          <t>EXCLUDED</t>
        </is>
      </c>
      <c r="Z252" s="11" t="b">
        <v>0</v>
      </c>
      <c r="AA252" s="8" t="inlineStr">
        <is>
          <t>CURRENT EVIDENCE / STATUS</t>
        </is>
      </c>
    </row>
    <row r="253" ht="15.75" customHeight="1" s="29">
      <c r="A253" s="7" t="inlineStr">
        <is>
          <t>Q-248</t>
        </is>
      </c>
      <c r="B253" s="7" t="inlineStr">
        <is>
          <t>RNR-H31</t>
        </is>
      </c>
      <c r="C253" s="7" t="inlineStr">
        <is>
          <t>Wisdom</t>
        </is>
      </c>
      <c r="D253" s="7" t="inlineStr">
        <is>
          <t>A</t>
        </is>
      </c>
      <c r="E253" s="7" t="inlineStr">
        <is>
          <t>Mennonite / Anabaptist</t>
        </is>
      </c>
      <c r="F253" s="7" t="inlineStr">
        <is>
          <t>SINGLE</t>
        </is>
      </c>
      <c r="G253" s="7" t="inlineStr">
        <is>
          <t>TO RECOVER FROM SESSION 9 LEDGER</t>
        </is>
      </c>
      <c r="H253" s="7" t="inlineStr">
        <is>
          <t>NO PUBLIC TILE</t>
        </is>
      </c>
      <c r="I253" s="7" t="n"/>
      <c r="J253" s="7" t="n"/>
      <c r="K253" s="7" t="n"/>
      <c r="L253" s="7" t="n"/>
      <c r="M253" s="7" t="n"/>
      <c r="N253" s="7" t="n"/>
      <c r="O253" s="7" t="n"/>
      <c r="P253" s="7" t="n"/>
      <c r="Q253" s="7" t="inlineStr">
        <is>
          <t>NOT-ASSESSED</t>
        </is>
      </c>
      <c r="R253" s="7" t="n"/>
      <c r="S253" s="7" t="n"/>
      <c r="T253" s="7" t="n"/>
      <c r="U253" s="7" t="n"/>
      <c r="V253" s="7" t="n"/>
      <c r="W253" s="7" t="n"/>
      <c r="X253" s="7" t="inlineStr">
        <is>
          <t>NOT LOCATED — NOT YET RECOVERED</t>
        </is>
      </c>
      <c r="Y253" s="7" t="inlineStr">
        <is>
          <t>EXCLUDED</t>
        </is>
      </c>
      <c r="Z253" s="11" t="b">
        <v>0</v>
      </c>
      <c r="AA253" s="8" t="inlineStr">
        <is>
          <t>CURRENT EVIDENCE / STATUS</t>
        </is>
      </c>
    </row>
    <row r="254" ht="15.75" customHeight="1" s="29">
      <c r="A254" s="7" t="inlineStr">
        <is>
          <t>Q-249</t>
        </is>
      </c>
      <c r="B254" s="7" t="inlineStr">
        <is>
          <t>RNR-H32</t>
        </is>
      </c>
      <c r="C254" s="7" t="inlineStr">
        <is>
          <t>Light</t>
        </is>
      </c>
      <c r="D254" s="7" t="inlineStr">
        <is>
          <t>A</t>
        </is>
      </c>
      <c r="E254" s="7" t="inlineStr">
        <is>
          <t>Roman Catholic</t>
        </is>
      </c>
      <c r="F254" s="7" t="inlineStr">
        <is>
          <t>VECTOR REQUIRED</t>
        </is>
      </c>
      <c r="G254" s="7" t="inlineStr">
        <is>
          <t>SESSION 9 SOURCE ROW RECOVERED</t>
        </is>
      </c>
      <c r="H254" s="7" t="inlineStr">
        <is>
          <t>ATOMIC VECTOR — COMPLETE</t>
        </is>
      </c>
      <c r="I254" s="7" t="inlineStr">
        <is>
          <t>RNR-H32a + RNR-H32b</t>
        </is>
      </c>
      <c r="J254" s="7" t="inlineStr">
        <is>
          <t>A + Q</t>
        </is>
      </c>
      <c r="K254" s="7" t="inlineStr">
        <is>
          <t>Roman Catholic Church</t>
        </is>
      </c>
      <c r="L254" s="7" t="inlineStr">
        <is>
          <t>Nicene / Niceno-Constantinopolitan Creed</t>
        </is>
      </c>
      <c r="M254" s="7" t="inlineStr">
        <is>
          <t>Creed, Godhead and Christological clauses</t>
        </is>
      </c>
      <c r="N254" s="7" t="inlineStr">
        <is>
          <t>https://www.vatican.va/content/catechism/en/part_one/section_one/chapter_three/article_2/the_credo.html</t>
        </is>
      </c>
      <c r="O254" s="7" t="inlineStr">
        <is>
          <t>https://www.vatican.va/content/catechism/en/part_one/section_one/chapter_three/article_2/the_credo.html</t>
        </is>
      </c>
      <c r="P254" s="7" t="inlineStr">
        <is>
          <t>H32a S9-IA-0224 / S8-IA-0224; H32b S9-IA-0228 / S8-IA-0228.</t>
        </is>
      </c>
      <c r="Q254" s="7" t="inlineStr">
        <is>
          <t>HIGH</t>
        </is>
      </c>
      <c r="R254" s="7" t="inlineStr">
        <is>
          <t>Universal Catholic Church.</t>
        </is>
      </c>
      <c r="S254" s="7" t="inlineStr">
        <is>
          <t>VECTOR</t>
        </is>
      </c>
      <c r="T254" s="7" t="n"/>
      <c r="U254" s="7" t="inlineStr">
        <is>
          <t>H32a Christ is Light = A; H32b Light-from-Light relational formula = Q. Do not flatten to one family tile.</t>
        </is>
      </c>
      <c r="V254" s="7" t="inlineStr">
        <is>
          <t>PENDING REVIEW</t>
        </is>
      </c>
      <c r="W254" s="7" t="n"/>
      <c r="X254" s="7" t="inlineStr">
        <is>
          <t>VECTOR COMPLETE</t>
        </is>
      </c>
      <c r="Y254" s="7" t="inlineStr">
        <is>
          <t>EXCLUDED</t>
        </is>
      </c>
      <c r="Z254" s="11" t="b">
        <v>0</v>
      </c>
      <c r="AA254" s="8" t="inlineStr">
        <is>
          <t>CURRENT EVIDENCE / STATUS</t>
        </is>
      </c>
    </row>
    <row r="255" ht="15.75" customHeight="1" s="29">
      <c r="A255" s="7" t="inlineStr">
        <is>
          <t>Q-250</t>
        </is>
      </c>
      <c r="B255" s="7" t="inlineStr">
        <is>
          <t>RNR-H32</t>
        </is>
      </c>
      <c r="C255" s="7" t="inlineStr">
        <is>
          <t>Light</t>
        </is>
      </c>
      <c r="D255" s="7" t="inlineStr">
        <is>
          <t>A</t>
        </is>
      </c>
      <c r="E255" s="7" t="inlineStr">
        <is>
          <t>Eastern Orthodox</t>
        </is>
      </c>
      <c r="F255" s="7" t="inlineStr">
        <is>
          <t>VECTOR REQUIRED</t>
        </is>
      </c>
      <c r="G255" s="7" t="inlineStr">
        <is>
          <t>TO RECOVER FROM SESSION 9 LEDGER</t>
        </is>
      </c>
      <c r="H255" s="7" t="inlineStr">
        <is>
          <t>NO PUBLIC TILE</t>
        </is>
      </c>
      <c r="I255" s="7" t="n"/>
      <c r="J255" s="7" t="n"/>
      <c r="K255" s="7" t="n"/>
      <c r="L255" s="7" t="n"/>
      <c r="M255" s="7" t="n"/>
      <c r="N255" s="7" t="n"/>
      <c r="O255" s="7" t="n"/>
      <c r="P255" s="7" t="n"/>
      <c r="Q255" s="7" t="inlineStr">
        <is>
          <t>NOT-ASSESSED</t>
        </is>
      </c>
      <c r="R255" s="7" t="n"/>
      <c r="S255" s="7" t="n"/>
      <c r="T255" s="7" t="n"/>
      <c r="U255" s="7" t="n"/>
      <c r="V255" s="7" t="n"/>
      <c r="W255" s="7" t="n"/>
      <c r="X255" s="7" t="inlineStr">
        <is>
          <t>NOT LOCATED — NOT YET RECOVERED</t>
        </is>
      </c>
      <c r="Y255" s="7" t="inlineStr">
        <is>
          <t>EXCLUDED</t>
        </is>
      </c>
      <c r="Z255" s="11" t="b">
        <v>0</v>
      </c>
      <c r="AA255" s="8" t="inlineStr">
        <is>
          <t>CURRENT EVIDENCE / STATUS</t>
        </is>
      </c>
    </row>
    <row r="256" ht="15.75" customHeight="1" s="29">
      <c r="A256" s="7" t="inlineStr">
        <is>
          <t>Q-251</t>
        </is>
      </c>
      <c r="B256" s="7" t="inlineStr">
        <is>
          <t>RNR-H32</t>
        </is>
      </c>
      <c r="C256" s="7" t="inlineStr">
        <is>
          <t>Light</t>
        </is>
      </c>
      <c r="D256" s="7" t="inlineStr">
        <is>
          <t>A</t>
        </is>
      </c>
      <c r="E256" s="7" t="inlineStr">
        <is>
          <t>Lutheran</t>
        </is>
      </c>
      <c r="F256" s="7" t="inlineStr">
        <is>
          <t>VECTOR REQUIRED</t>
        </is>
      </c>
      <c r="G256" s="7" t="inlineStr">
        <is>
          <t>TO RECOVER FROM SESSION 9 LEDGER</t>
        </is>
      </c>
      <c r="H256" s="7" t="inlineStr">
        <is>
          <t>NO PUBLIC TILE</t>
        </is>
      </c>
      <c r="I256" s="7" t="n"/>
      <c r="J256" s="7" t="n"/>
      <c r="K256" s="7" t="n"/>
      <c r="L256" s="7" t="n"/>
      <c r="M256" s="7" t="n"/>
      <c r="N256" s="7" t="n"/>
      <c r="O256" s="7" t="n"/>
      <c r="P256" s="7" t="n"/>
      <c r="Q256" s="7" t="inlineStr">
        <is>
          <t>NOT-ASSESSED</t>
        </is>
      </c>
      <c r="R256" s="7" t="n"/>
      <c r="S256" s="7" t="n"/>
      <c r="T256" s="7" t="n"/>
      <c r="U256" s="7" t="n"/>
      <c r="V256" s="7" t="n"/>
      <c r="W256" s="7" t="n"/>
      <c r="X256" s="7" t="inlineStr">
        <is>
          <t>NOT LOCATED — NOT YET RECOVERED</t>
        </is>
      </c>
      <c r="Y256" s="7" t="inlineStr">
        <is>
          <t>EXCLUDED</t>
        </is>
      </c>
      <c r="Z256" s="11" t="b">
        <v>0</v>
      </c>
      <c r="AA256" s="8" t="inlineStr">
        <is>
          <t>CURRENT EVIDENCE / STATUS</t>
        </is>
      </c>
    </row>
    <row r="257" ht="15.75" customHeight="1" s="29">
      <c r="A257" s="7" t="inlineStr">
        <is>
          <t>Q-252</t>
        </is>
      </c>
      <c r="B257" s="7" t="inlineStr">
        <is>
          <t>RNR-H32</t>
        </is>
      </c>
      <c r="C257" s="7" t="inlineStr">
        <is>
          <t>Light</t>
        </is>
      </c>
      <c r="D257" s="7" t="inlineStr">
        <is>
          <t>A</t>
        </is>
      </c>
      <c r="E257" s="7" t="inlineStr">
        <is>
          <t>Reformed / Presbyterian</t>
        </is>
      </c>
      <c r="F257" s="7" t="inlineStr">
        <is>
          <t>VECTOR REQUIRED</t>
        </is>
      </c>
      <c r="G257" s="7" t="inlineStr">
        <is>
          <t>SESSION 9 SOURCE ROW RECOVERED</t>
        </is>
      </c>
      <c r="H257" s="7" t="inlineStr">
        <is>
          <t>ATOMIC VECTOR — COMPLETE</t>
        </is>
      </c>
      <c r="I257" s="7" t="inlineStr">
        <is>
          <t>RNR-H32a + RNR-H32b</t>
        </is>
      </c>
      <c r="J257" s="7" t="inlineStr">
        <is>
          <t>A + Q</t>
        </is>
      </c>
      <c r="K257" s="7" t="inlineStr">
        <is>
          <t>Presbyterian Church (U.S.A.)</t>
        </is>
      </c>
      <c r="L257" s="7" t="inlineStr">
        <is>
          <t>Nicene / Niceno-Constantinopolitan Creed</t>
        </is>
      </c>
      <c r="M257" s="7" t="inlineStr">
        <is>
          <t>1.1–3, Nicene Creed</t>
        </is>
      </c>
      <c r="N257" s="7" t="inlineStr">
        <is>
          <t>https://pcusa.org/about-pcusa/agencies-entities/life-witness/ministry-areas/constitutional-interpretation/constitution</t>
        </is>
      </c>
      <c r="O257" s="7" t="inlineStr">
        <is>
          <t>https://pcusa.org/sites/default/files/boc2016.pdf</t>
        </is>
      </c>
      <c r="P257" s="7" t="inlineStr">
        <is>
          <t>H32a S9-IA-0227 / S8-IA-0227; H32b Session 9 PC(USA) Nicene row recovered, numeric ID truncated in File Library snippet.</t>
        </is>
      </c>
      <c r="Q257" s="7" t="inlineStr">
        <is>
          <t>HIGH</t>
        </is>
      </c>
      <c r="R257" s="7" t="inlineStr">
        <is>
          <t>PC(USA) constitutional edition.</t>
        </is>
      </c>
      <c r="S257" s="7" t="inlineStr">
        <is>
          <t>VECTOR</t>
        </is>
      </c>
      <c r="T257" s="7" t="n"/>
      <c r="U257" s="7" t="inlineStr">
        <is>
          <t>H32a = A; H32b = Q. Vector complete at the two semantic layers, not a single A/Q/D tile. | PC(USA) authority page and direct Book of Confessions PDF repaired in v2.9. | PC(USA) Text URL repaired to live Book of Confessions PDF in v2.10.</t>
        </is>
      </c>
      <c r="V257" s="7" t="inlineStr">
        <is>
          <t>PENDING REVIEW</t>
        </is>
      </c>
      <c r="W257" s="7" t="n"/>
      <c r="X257" s="7" t="inlineStr">
        <is>
          <t>VECTOR COMPLETE</t>
        </is>
      </c>
      <c r="Y257" s="7" t="inlineStr">
        <is>
          <t>EXCLUDED</t>
        </is>
      </c>
      <c r="Z257" s="11" t="b">
        <v>0</v>
      </c>
      <c r="AA257" s="8" t="inlineStr">
        <is>
          <t>CURRENT EVIDENCE / STATUS</t>
        </is>
      </c>
    </row>
    <row r="258" ht="15.75" customHeight="1" s="29">
      <c r="A258" s="7" t="inlineStr">
        <is>
          <t>Q-253</t>
        </is>
      </c>
      <c r="B258" s="7" t="inlineStr">
        <is>
          <t>RNR-H32</t>
        </is>
      </c>
      <c r="C258" s="7" t="inlineStr">
        <is>
          <t>Light</t>
        </is>
      </c>
      <c r="D258" s="7" t="inlineStr">
        <is>
          <t>A</t>
        </is>
      </c>
      <c r="E258" s="7" t="inlineStr">
        <is>
          <t>Anglican</t>
        </is>
      </c>
      <c r="F258" s="7" t="inlineStr">
        <is>
          <t>VECTOR REQUIRED</t>
        </is>
      </c>
      <c r="G258" s="7" t="inlineStr">
        <is>
          <t>TO RECOVER FROM SESSION 9 LEDGER</t>
        </is>
      </c>
      <c r="H258" s="7" t="inlineStr">
        <is>
          <t>NO PUBLIC TILE</t>
        </is>
      </c>
      <c r="I258" s="7" t="n"/>
      <c r="J258" s="7" t="n"/>
      <c r="K258" s="7" t="n"/>
      <c r="L258" s="7" t="n"/>
      <c r="M258" s="7" t="n"/>
      <c r="N258" s="7" t="n"/>
      <c r="O258" s="7" t="n"/>
      <c r="P258" s="7" t="n"/>
      <c r="Q258" s="7" t="inlineStr">
        <is>
          <t>NOT-ASSESSED</t>
        </is>
      </c>
      <c r="R258" s="7" t="n"/>
      <c r="S258" s="7" t="n"/>
      <c r="T258" s="7" t="n"/>
      <c r="U258" s="7" t="n"/>
      <c r="V258" s="7" t="n"/>
      <c r="W258" s="7" t="n"/>
      <c r="X258" s="7" t="inlineStr">
        <is>
          <t>NOT LOCATED — NOT YET RECOVERED</t>
        </is>
      </c>
      <c r="Y258" s="7" t="inlineStr">
        <is>
          <t>EXCLUDED</t>
        </is>
      </c>
      <c r="Z258" s="11" t="b">
        <v>0</v>
      </c>
      <c r="AA258" s="8" t="inlineStr">
        <is>
          <t>CURRENT EVIDENCE / STATUS</t>
        </is>
      </c>
    </row>
    <row r="259" ht="15.75" customHeight="1" s="29">
      <c r="A259" s="7" t="inlineStr">
        <is>
          <t>Q-254</t>
        </is>
      </c>
      <c r="B259" s="7" t="inlineStr">
        <is>
          <t>RNR-H32</t>
        </is>
      </c>
      <c r="C259" s="7" t="inlineStr">
        <is>
          <t>Light</t>
        </is>
      </c>
      <c r="D259" s="7" t="inlineStr">
        <is>
          <t>A</t>
        </is>
      </c>
      <c r="E259" s="7" t="inlineStr">
        <is>
          <t>Baptist</t>
        </is>
      </c>
      <c r="F259" s="7" t="inlineStr">
        <is>
          <t>VECTOR REQUIRED</t>
        </is>
      </c>
      <c r="G259" s="7" t="inlineStr">
        <is>
          <t>TO RECOVER FROM SESSION 9 LEDGER</t>
        </is>
      </c>
      <c r="H259" s="7" t="inlineStr">
        <is>
          <t>NO PUBLIC TILE</t>
        </is>
      </c>
      <c r="I259" s="7" t="n"/>
      <c r="J259" s="7" t="n"/>
      <c r="K259" s="7" t="n"/>
      <c r="L259" s="7" t="n"/>
      <c r="M259" s="7" t="n"/>
      <c r="N259" s="7" t="n"/>
      <c r="O259" s="7" t="n"/>
      <c r="P259" s="7" t="n"/>
      <c r="Q259" s="7" t="inlineStr">
        <is>
          <t>NOT-ASSESSED</t>
        </is>
      </c>
      <c r="R259" s="7" t="n"/>
      <c r="S259" s="7" t="n"/>
      <c r="T259" s="7" t="n"/>
      <c r="U259" s="7" t="n"/>
      <c r="V259" s="7" t="n"/>
      <c r="W259" s="7" t="n"/>
      <c r="X259" s="7" t="inlineStr">
        <is>
          <t>NOT LOCATED — NOT YET RECOVERED</t>
        </is>
      </c>
      <c r="Y259" s="7" t="inlineStr">
        <is>
          <t>EXCLUDED</t>
        </is>
      </c>
      <c r="Z259" s="11" t="b">
        <v>0</v>
      </c>
      <c r="AA259" s="8" t="inlineStr">
        <is>
          <t>CURRENT EVIDENCE / STATUS</t>
        </is>
      </c>
    </row>
    <row r="260" ht="15.75" customHeight="1" s="29">
      <c r="A260" s="7" t="inlineStr">
        <is>
          <t>Q-255</t>
        </is>
      </c>
      <c r="B260" s="7" t="inlineStr">
        <is>
          <t>RNR-H32</t>
        </is>
      </c>
      <c r="C260" s="7" t="inlineStr">
        <is>
          <t>Light</t>
        </is>
      </c>
      <c r="D260" s="7" t="inlineStr">
        <is>
          <t>A</t>
        </is>
      </c>
      <c r="E260" s="7" t="inlineStr">
        <is>
          <t>Methodist / Wesleyan</t>
        </is>
      </c>
      <c r="F260" s="7" t="inlineStr">
        <is>
          <t>VECTOR REQUIRED</t>
        </is>
      </c>
      <c r="G260" s="7" t="inlineStr">
        <is>
          <t>TO RECOVER FROM SESSION 9 LEDGER</t>
        </is>
      </c>
      <c r="H260" s="7" t="inlineStr">
        <is>
          <t>NO PUBLIC TILE</t>
        </is>
      </c>
      <c r="I260" s="7" t="n"/>
      <c r="J260" s="7" t="n"/>
      <c r="K260" s="7" t="n"/>
      <c r="L260" s="7" t="n"/>
      <c r="M260" s="7" t="n"/>
      <c r="N260" s="7" t="n"/>
      <c r="O260" s="7" t="n"/>
      <c r="P260" s="7" t="n"/>
      <c r="Q260" s="7" t="inlineStr">
        <is>
          <t>NOT-ASSESSED</t>
        </is>
      </c>
      <c r="R260" s="7" t="n"/>
      <c r="S260" s="7" t="n"/>
      <c r="T260" s="7" t="n"/>
      <c r="U260" s="7" t="n"/>
      <c r="V260" s="7" t="n"/>
      <c r="W260" s="7" t="n"/>
      <c r="X260" s="7" t="inlineStr">
        <is>
          <t>NOT LOCATED — NOT YET RECOVERED</t>
        </is>
      </c>
      <c r="Y260" s="7" t="inlineStr">
        <is>
          <t>EXCLUDED</t>
        </is>
      </c>
      <c r="Z260" s="11" t="b">
        <v>0</v>
      </c>
      <c r="AA260" s="8" t="inlineStr">
        <is>
          <t>CURRENT EVIDENCE / STATUS</t>
        </is>
      </c>
    </row>
    <row r="261" ht="15.75" customHeight="1" s="29">
      <c r="A261" s="7" t="inlineStr">
        <is>
          <t>Q-256</t>
        </is>
      </c>
      <c r="B261" s="7" t="inlineStr">
        <is>
          <t>RNR-H32</t>
        </is>
      </c>
      <c r="C261" s="7" t="inlineStr">
        <is>
          <t>Light</t>
        </is>
      </c>
      <c r="D261" s="7" t="inlineStr">
        <is>
          <t>A</t>
        </is>
      </c>
      <c r="E261" s="7" t="inlineStr">
        <is>
          <t>Mennonite / Anabaptist</t>
        </is>
      </c>
      <c r="F261" s="7" t="inlineStr">
        <is>
          <t>VECTOR REQUIRED</t>
        </is>
      </c>
      <c r="G261" s="7" t="inlineStr">
        <is>
          <t>TO RECOVER FROM SESSION 9 LEDGER</t>
        </is>
      </c>
      <c r="H261" s="7" t="inlineStr">
        <is>
          <t>NO PUBLIC TILE</t>
        </is>
      </c>
      <c r="I261" s="7" t="n"/>
      <c r="J261" s="7" t="n"/>
      <c r="K261" s="7" t="n"/>
      <c r="L261" s="7" t="n"/>
      <c r="M261" s="7" t="n"/>
      <c r="N261" s="7" t="n"/>
      <c r="O261" s="7" t="n"/>
      <c r="P261" s="7" t="n"/>
      <c r="Q261" s="7" t="inlineStr">
        <is>
          <t>NOT-ASSESSED</t>
        </is>
      </c>
      <c r="R261" s="7" t="n"/>
      <c r="S261" s="7" t="n"/>
      <c r="T261" s="7" t="n"/>
      <c r="U261" s="7" t="n"/>
      <c r="V261" s="7" t="n"/>
      <c r="W261" s="7" t="n"/>
      <c r="X261" s="7" t="inlineStr">
        <is>
          <t>NOT LOCATED — NOT YET RECOVERED</t>
        </is>
      </c>
      <c r="Y261" s="7" t="inlineStr">
        <is>
          <t>EXCLUDED</t>
        </is>
      </c>
      <c r="Z261" s="11" t="b">
        <v>0</v>
      </c>
      <c r="AA261" s="8" t="inlineStr">
        <is>
          <t>CURRENT EVIDENCE / STATUS</t>
        </is>
      </c>
    </row>
    <row r="262" ht="15.75" customHeight="1" s="29">
      <c r="A262" s="7" t="inlineStr">
        <is>
          <t>Q-257</t>
        </is>
      </c>
      <c r="B262" s="7" t="inlineStr">
        <is>
          <t>RNR-H33</t>
        </is>
      </c>
      <c r="C262" s="7" t="inlineStr">
        <is>
          <t>Image of the Father</t>
        </is>
      </c>
      <c r="D262" s="7" t="inlineStr">
        <is>
          <t>A</t>
        </is>
      </c>
      <c r="E262" s="7" t="inlineStr">
        <is>
          <t>Roman Catholic</t>
        </is>
      </c>
      <c r="F262" s="7" t="inlineStr">
        <is>
          <t>SINGLE</t>
        </is>
      </c>
      <c r="G262" s="7" t="inlineStr">
        <is>
          <t>TO RECOVER FROM SESSION 9 LEDGER</t>
        </is>
      </c>
      <c r="H262" s="7" t="inlineStr">
        <is>
          <t>NO PUBLIC TILE</t>
        </is>
      </c>
      <c r="I262" s="7" t="n"/>
      <c r="J262" s="7" t="n"/>
      <c r="K262" s="7" t="n"/>
      <c r="L262" s="7" t="n"/>
      <c r="M262" s="7" t="n"/>
      <c r="N262" s="7" t="n"/>
      <c r="O262" s="7" t="n"/>
      <c r="P262" s="7" t="n"/>
      <c r="Q262" s="7" t="inlineStr">
        <is>
          <t>NOT-ASSESSED</t>
        </is>
      </c>
      <c r="R262" s="7" t="n"/>
      <c r="S262" s="7" t="n"/>
      <c r="T262" s="7" t="n"/>
      <c r="U262" s="7" t="n"/>
      <c r="V262" s="7" t="n"/>
      <c r="W262" s="7" t="n"/>
      <c r="X262" s="7" t="inlineStr">
        <is>
          <t>NOT LOCATED — NOT YET RECOVERED</t>
        </is>
      </c>
      <c r="Y262" s="7" t="inlineStr">
        <is>
          <t>EXCLUDED</t>
        </is>
      </c>
      <c r="Z262" s="11" t="b">
        <v>0</v>
      </c>
      <c r="AA262" s="8" t="inlineStr">
        <is>
          <t>CURRENT EVIDENCE / STATUS</t>
        </is>
      </c>
    </row>
    <row r="263" ht="15.75" customHeight="1" s="29">
      <c r="A263" s="7" t="inlineStr">
        <is>
          <t>Q-258</t>
        </is>
      </c>
      <c r="B263" s="7" t="inlineStr">
        <is>
          <t>RNR-H33</t>
        </is>
      </c>
      <c r="C263" s="7" t="inlineStr">
        <is>
          <t>Image of the Father</t>
        </is>
      </c>
      <c r="D263" s="7" t="inlineStr">
        <is>
          <t>A</t>
        </is>
      </c>
      <c r="E263" s="7" t="inlineStr">
        <is>
          <t>Eastern Orthodox</t>
        </is>
      </c>
      <c r="F263" s="7" t="inlineStr">
        <is>
          <t>SINGLE</t>
        </is>
      </c>
      <c r="G263" s="7" t="inlineStr">
        <is>
          <t>TO RECOVER FROM SESSION 9 LEDGER</t>
        </is>
      </c>
      <c r="H263" s="7" t="inlineStr">
        <is>
          <t>NO PUBLIC TILE</t>
        </is>
      </c>
      <c r="I263" s="7" t="n"/>
      <c r="J263" s="7" t="n"/>
      <c r="K263" s="7" t="n"/>
      <c r="L263" s="7" t="n"/>
      <c r="M263" s="7" t="n"/>
      <c r="N263" s="7" t="n"/>
      <c r="O263" s="7" t="n"/>
      <c r="P263" s="7" t="n"/>
      <c r="Q263" s="7" t="inlineStr">
        <is>
          <t>NOT-ASSESSED</t>
        </is>
      </c>
      <c r="R263" s="7" t="n"/>
      <c r="S263" s="7" t="n"/>
      <c r="T263" s="7" t="n"/>
      <c r="U263" s="7" t="n"/>
      <c r="V263" s="7" t="n"/>
      <c r="W263" s="7" t="n"/>
      <c r="X263" s="7" t="inlineStr">
        <is>
          <t>NOT LOCATED — NOT YET RECOVERED</t>
        </is>
      </c>
      <c r="Y263" s="7" t="inlineStr">
        <is>
          <t>EXCLUDED</t>
        </is>
      </c>
      <c r="Z263" s="11" t="b">
        <v>0</v>
      </c>
      <c r="AA263" s="8" t="inlineStr">
        <is>
          <t>CURRENT EVIDENCE / STATUS</t>
        </is>
      </c>
    </row>
    <row r="264" ht="15.75" customHeight="1" s="29">
      <c r="A264" s="7" t="inlineStr">
        <is>
          <t>Q-259</t>
        </is>
      </c>
      <c r="B264" s="7" t="inlineStr">
        <is>
          <t>RNR-H33</t>
        </is>
      </c>
      <c r="C264" s="7" t="inlineStr">
        <is>
          <t>Image of the Father</t>
        </is>
      </c>
      <c r="D264" s="7" t="inlineStr">
        <is>
          <t>A</t>
        </is>
      </c>
      <c r="E264" s="7" t="inlineStr">
        <is>
          <t>Lutheran</t>
        </is>
      </c>
      <c r="F264" s="7" t="inlineStr">
        <is>
          <t>SINGLE</t>
        </is>
      </c>
      <c r="G264" s="7" t="inlineStr">
        <is>
          <t>TO RECOVER FROM SESSION 9 LEDGER</t>
        </is>
      </c>
      <c r="H264" s="7" t="inlineStr">
        <is>
          <t>NO PUBLIC TILE</t>
        </is>
      </c>
      <c r="I264" s="7" t="n"/>
      <c r="J264" s="7" t="n"/>
      <c r="K264" s="7" t="n"/>
      <c r="L264" s="7" t="n"/>
      <c r="M264" s="7" t="n"/>
      <c r="N264" s="7" t="n"/>
      <c r="O264" s="7" t="n"/>
      <c r="P264" s="7" t="n"/>
      <c r="Q264" s="7" t="inlineStr">
        <is>
          <t>NOT-ASSESSED</t>
        </is>
      </c>
      <c r="R264" s="7" t="n"/>
      <c r="S264" s="7" t="n"/>
      <c r="T264" s="7" t="n"/>
      <c r="U264" s="7" t="n"/>
      <c r="V264" s="7" t="n"/>
      <c r="W264" s="7" t="n"/>
      <c r="X264" s="7" t="inlineStr">
        <is>
          <t>NOT LOCATED — NOT YET RECOVERED</t>
        </is>
      </c>
      <c r="Y264" s="7" t="inlineStr">
        <is>
          <t>EXCLUDED</t>
        </is>
      </c>
      <c r="Z264" s="11" t="b">
        <v>0</v>
      </c>
      <c r="AA264" s="8" t="inlineStr">
        <is>
          <t>CURRENT EVIDENCE / STATUS</t>
        </is>
      </c>
    </row>
    <row r="265" ht="15.75" customHeight="1" s="29">
      <c r="A265" s="7" t="inlineStr">
        <is>
          <t>Q-260</t>
        </is>
      </c>
      <c r="B265" s="7" t="inlineStr">
        <is>
          <t>RNR-H33</t>
        </is>
      </c>
      <c r="C265" s="7" t="inlineStr">
        <is>
          <t>Image of the Father</t>
        </is>
      </c>
      <c r="D265" s="7" t="inlineStr">
        <is>
          <t>A</t>
        </is>
      </c>
      <c r="E265" s="7" t="inlineStr">
        <is>
          <t>Reformed / Presbyterian</t>
        </is>
      </c>
      <c r="F265" s="7" t="inlineStr">
        <is>
          <t>SINGLE</t>
        </is>
      </c>
      <c r="G265" s="7" t="inlineStr">
        <is>
          <t>SESSION 9 SOURCE ROW RECOVERED</t>
        </is>
      </c>
      <c r="H265" s="7" t="inlineStr">
        <is>
          <t>PUBLIC-CERTIFIED</t>
        </is>
      </c>
      <c r="I265" s="7" t="inlineStr">
        <is>
          <t>RNR-H33a</t>
        </is>
      </c>
      <c r="J265" s="7" t="inlineStr">
        <is>
          <t>A</t>
        </is>
      </c>
      <c r="K265" s="7" t="inlineStr">
        <is>
          <t>Christian Reformed Church in North America</t>
        </is>
      </c>
      <c r="L265" s="7" t="inlineStr">
        <is>
          <t>Belgic Confession</t>
        </is>
      </c>
      <c r="M265" s="7" t="inlineStr">
        <is>
          <t>Articles 1–2 and 8</t>
        </is>
      </c>
      <c r="N265" s="7" t="inlineStr">
        <is>
          <t>https://www.crcna.org/welcome/beliefs/confessions/belgic-confession</t>
        </is>
      </c>
      <c r="O265" s="7" t="inlineStr">
        <is>
          <t>https://www.crcna.org/welcome/beliefs/confessions/belgic-confession</t>
        </is>
      </c>
      <c r="P265" s="7" t="inlineStr">
        <is>
          <t>S9-IA-0232 / S8-IA-0232; RCA S9-IA-0233 corroborates.</t>
        </is>
      </c>
      <c r="Q265" s="7" t="inlineStr">
        <is>
          <t>HIGH</t>
        </is>
      </c>
      <c r="R265" s="7" t="inlineStr">
        <is>
          <t>CRCNA primary; RCA corroboration.</t>
        </is>
      </c>
      <c r="S265" s="7" t="inlineStr">
        <is>
          <t>NO</t>
        </is>
      </c>
      <c r="T265" s="7" t="inlineStr">
        <is>
          <t>A</t>
        </is>
      </c>
      <c r="U265" s="7" t="inlineStr">
        <is>
          <t>Image of the Father.</t>
        </is>
      </c>
      <c r="V265" s="7" t="inlineStr">
        <is>
          <t>CERTIFIED</t>
        </is>
      </c>
      <c r="W265" s="7" t="n"/>
      <c r="X265" s="7" t="inlineStr">
        <is>
          <t>A</t>
        </is>
      </c>
      <c r="Y265" s="7" t="inlineStr">
        <is>
          <t>A</t>
        </is>
      </c>
      <c r="Z265" s="11" t="b">
        <v>0</v>
      </c>
      <c r="AA265" s="8" t="inlineStr">
        <is>
          <t>CURRENT EVIDENCE / STATUS</t>
        </is>
      </c>
    </row>
    <row r="266" ht="15.75" customHeight="1" s="29">
      <c r="A266" s="7" t="inlineStr">
        <is>
          <t>Q-261</t>
        </is>
      </c>
      <c r="B266" s="7" t="inlineStr">
        <is>
          <t>RNR-H33</t>
        </is>
      </c>
      <c r="C266" s="7" t="inlineStr">
        <is>
          <t>Image of the Father</t>
        </is>
      </c>
      <c r="D266" s="7" t="inlineStr">
        <is>
          <t>A</t>
        </is>
      </c>
      <c r="E266" s="7" t="inlineStr">
        <is>
          <t>Anglican</t>
        </is>
      </c>
      <c r="F266" s="7" t="inlineStr">
        <is>
          <t>SINGLE</t>
        </is>
      </c>
      <c r="G266" s="7" t="inlineStr">
        <is>
          <t>TO RECOVER FROM SESSION 9 LEDGER</t>
        </is>
      </c>
      <c r="H266" s="7" t="inlineStr">
        <is>
          <t>NO PUBLIC TILE</t>
        </is>
      </c>
      <c r="I266" s="7" t="n"/>
      <c r="J266" s="7" t="n"/>
      <c r="K266" s="7" t="n"/>
      <c r="L266" s="7" t="n"/>
      <c r="M266" s="7" t="n"/>
      <c r="N266" s="7" t="n"/>
      <c r="O266" s="7" t="n"/>
      <c r="P266" s="7" t="n"/>
      <c r="Q266" s="7" t="inlineStr">
        <is>
          <t>NOT-ASSESSED</t>
        </is>
      </c>
      <c r="R266" s="7" t="n"/>
      <c r="S266" s="7" t="n"/>
      <c r="T266" s="7" t="n"/>
      <c r="U266" s="7" t="n"/>
      <c r="V266" s="7" t="n"/>
      <c r="W266" s="7" t="n"/>
      <c r="X266" s="7" t="inlineStr">
        <is>
          <t>NOT LOCATED — NOT YET RECOVERED</t>
        </is>
      </c>
      <c r="Y266" s="7" t="inlineStr">
        <is>
          <t>EXCLUDED</t>
        </is>
      </c>
      <c r="Z266" s="11" t="b">
        <v>0</v>
      </c>
      <c r="AA266" s="8" t="inlineStr">
        <is>
          <t>CURRENT EVIDENCE / STATUS</t>
        </is>
      </c>
    </row>
    <row r="267" ht="15.75" customHeight="1" s="29">
      <c r="A267" s="7" t="inlineStr">
        <is>
          <t>Q-262</t>
        </is>
      </c>
      <c r="B267" s="7" t="inlineStr">
        <is>
          <t>RNR-H33</t>
        </is>
      </c>
      <c r="C267" s="7" t="inlineStr">
        <is>
          <t>Image of the Father</t>
        </is>
      </c>
      <c r="D267" s="7" t="inlineStr">
        <is>
          <t>A</t>
        </is>
      </c>
      <c r="E267" s="7" t="inlineStr">
        <is>
          <t>Baptist</t>
        </is>
      </c>
      <c r="F267" s="7" t="inlineStr">
        <is>
          <t>SINGLE</t>
        </is>
      </c>
      <c r="G267" s="7" t="inlineStr">
        <is>
          <t>TO RECOVER FROM SESSION 9 LEDGER</t>
        </is>
      </c>
      <c r="H267" s="7" t="inlineStr">
        <is>
          <t>NO PUBLIC TILE</t>
        </is>
      </c>
      <c r="I267" s="7" t="n"/>
      <c r="J267" s="7" t="n"/>
      <c r="K267" s="7" t="n"/>
      <c r="L267" s="7" t="n"/>
      <c r="M267" s="7" t="n"/>
      <c r="N267" s="7" t="n"/>
      <c r="O267" s="7" t="n"/>
      <c r="P267" s="7" t="n"/>
      <c r="Q267" s="7" t="inlineStr">
        <is>
          <t>NOT-ASSESSED</t>
        </is>
      </c>
      <c r="R267" s="7" t="n"/>
      <c r="S267" s="7" t="n"/>
      <c r="T267" s="7" t="n"/>
      <c r="U267" s="7" t="n"/>
      <c r="V267" s="7" t="n"/>
      <c r="W267" s="7" t="n"/>
      <c r="X267" s="7" t="inlineStr">
        <is>
          <t>NOT LOCATED — NOT YET RECOVERED</t>
        </is>
      </c>
      <c r="Y267" s="7" t="inlineStr">
        <is>
          <t>EXCLUDED</t>
        </is>
      </c>
      <c r="Z267" s="11" t="b">
        <v>0</v>
      </c>
      <c r="AA267" s="8" t="inlineStr">
        <is>
          <t>CURRENT EVIDENCE / STATUS</t>
        </is>
      </c>
    </row>
    <row r="268" ht="15.75" customHeight="1" s="29">
      <c r="A268" s="7" t="inlineStr">
        <is>
          <t>Q-263</t>
        </is>
      </c>
      <c r="B268" s="7" t="inlineStr">
        <is>
          <t>RNR-H33</t>
        </is>
      </c>
      <c r="C268" s="7" t="inlineStr">
        <is>
          <t>Image of the Father</t>
        </is>
      </c>
      <c r="D268" s="7" t="inlineStr">
        <is>
          <t>A</t>
        </is>
      </c>
      <c r="E268" s="7" t="inlineStr">
        <is>
          <t>Methodist / Wesleyan</t>
        </is>
      </c>
      <c r="F268" s="7" t="inlineStr">
        <is>
          <t>SINGLE</t>
        </is>
      </c>
      <c r="G268" s="7" t="inlineStr">
        <is>
          <t>TO RECOVER FROM SESSION 9 LEDGER</t>
        </is>
      </c>
      <c r="H268" s="7" t="inlineStr">
        <is>
          <t>NO PUBLIC TILE</t>
        </is>
      </c>
      <c r="I268" s="7" t="n"/>
      <c r="J268" s="7" t="n"/>
      <c r="K268" s="7" t="n"/>
      <c r="L268" s="7" t="n"/>
      <c r="M268" s="7" t="n"/>
      <c r="N268" s="7" t="n"/>
      <c r="O268" s="7" t="n"/>
      <c r="P268" s="7" t="n"/>
      <c r="Q268" s="7" t="inlineStr">
        <is>
          <t>NOT-ASSESSED</t>
        </is>
      </c>
      <c r="R268" s="7" t="n"/>
      <c r="S268" s="7" t="n"/>
      <c r="T268" s="7" t="n"/>
      <c r="U268" s="7" t="n"/>
      <c r="V268" s="7" t="n"/>
      <c r="W268" s="7" t="n"/>
      <c r="X268" s="7" t="inlineStr">
        <is>
          <t>NOT LOCATED — NOT YET RECOVERED</t>
        </is>
      </c>
      <c r="Y268" s="7" t="inlineStr">
        <is>
          <t>EXCLUDED</t>
        </is>
      </c>
      <c r="Z268" s="11" t="b">
        <v>0</v>
      </c>
      <c r="AA268" s="8" t="inlineStr">
        <is>
          <t>CURRENT EVIDENCE / STATUS</t>
        </is>
      </c>
    </row>
    <row r="269" ht="15.75" customHeight="1" s="29">
      <c r="A269" s="7" t="inlineStr">
        <is>
          <t>Q-264</t>
        </is>
      </c>
      <c r="B269" s="7" t="inlineStr">
        <is>
          <t>RNR-H33</t>
        </is>
      </c>
      <c r="C269" s="7" t="inlineStr">
        <is>
          <t>Image of the Father</t>
        </is>
      </c>
      <c r="D269" s="7" t="inlineStr">
        <is>
          <t>A</t>
        </is>
      </c>
      <c r="E269" s="7" t="inlineStr">
        <is>
          <t>Mennonite / Anabaptist</t>
        </is>
      </c>
      <c r="F269" s="7" t="inlineStr">
        <is>
          <t>SINGLE</t>
        </is>
      </c>
      <c r="G269" s="7" t="inlineStr">
        <is>
          <t>TO RECOVER FROM SESSION 9 LEDGER</t>
        </is>
      </c>
      <c r="H269" s="7" t="inlineStr">
        <is>
          <t>NO PUBLIC TILE</t>
        </is>
      </c>
      <c r="I269" s="7" t="n"/>
      <c r="J269" s="7" t="n"/>
      <c r="K269" s="7" t="n"/>
      <c r="L269" s="7" t="n"/>
      <c r="M269" s="7" t="n"/>
      <c r="N269" s="7" t="n"/>
      <c r="O269" s="7" t="n"/>
      <c r="P269" s="7" t="n"/>
      <c r="Q269" s="7" t="inlineStr">
        <is>
          <t>NOT-ASSESSED</t>
        </is>
      </c>
      <c r="R269" s="7" t="n"/>
      <c r="S269" s="7" t="n"/>
      <c r="T269" s="7" t="n"/>
      <c r="U269" s="7" t="n"/>
      <c r="V269" s="7" t="n"/>
      <c r="W269" s="7" t="n"/>
      <c r="X269" s="7" t="inlineStr">
        <is>
          <t>NOT LOCATED — NOT YET RECOVERED</t>
        </is>
      </c>
      <c r="Y269" s="7" t="inlineStr">
        <is>
          <t>EXCLUDED</t>
        </is>
      </c>
      <c r="Z269" s="11" t="b">
        <v>0</v>
      </c>
      <c r="AA269" s="8" t="inlineStr">
        <is>
          <t>CURRENT EVIDENCE / STATUS</t>
        </is>
      </c>
    </row>
    <row r="270" ht="15.75" customHeight="1" s="29">
      <c r="A270" s="7" t="inlineStr">
        <is>
          <t>Q-265</t>
        </is>
      </c>
      <c r="B270" s="7" t="inlineStr">
        <is>
          <t>RNR-H34</t>
        </is>
      </c>
      <c r="C270" s="7" t="inlineStr">
        <is>
          <t>Giver of life</t>
        </is>
      </c>
      <c r="D270" s="7" t="inlineStr">
        <is>
          <t>A</t>
        </is>
      </c>
      <c r="E270" s="7" t="inlineStr">
        <is>
          <t>Roman Catholic</t>
        </is>
      </c>
      <c r="F270" s="7" t="inlineStr">
        <is>
          <t>SINGLE</t>
        </is>
      </c>
      <c r="G270" s="7" t="inlineStr">
        <is>
          <t>SESSION 9 SOURCE ROW RECOVERED</t>
        </is>
      </c>
      <c r="H270" s="7" t="inlineStr">
        <is>
          <t>PUBLIC-CERTIFIED</t>
        </is>
      </c>
      <c r="I270" s="7" t="inlineStr">
        <is>
          <t>RNR-H34a</t>
        </is>
      </c>
      <c r="J270" s="7" t="inlineStr">
        <is>
          <t>A</t>
        </is>
      </c>
      <c r="K270" s="7" t="inlineStr">
        <is>
          <t>Roman Catholic Church</t>
        </is>
      </c>
      <c r="L270" s="7" t="inlineStr">
        <is>
          <t>Nicene / Niceno-Constantinopolitan Creed</t>
        </is>
      </c>
      <c r="M270" s="7" t="inlineStr">
        <is>
          <t>Creed, Godhead and Christological clauses</t>
        </is>
      </c>
      <c r="N270" s="7" t="inlineStr">
        <is>
          <t>https://www.vatican.va/content/catechism/en/part_one/section_one/chapter_three/article_2/the_credo.html</t>
        </is>
      </c>
      <c r="O270" s="7" t="inlineStr">
        <is>
          <t>https://www.vatican.va/content/catechism/en/part_one/section_one/chapter_three/article_2/the_credo.html</t>
        </is>
      </c>
      <c r="P270" s="7" t="inlineStr">
        <is>
          <t>S9-IA-0234 / S8-IA-0234.</t>
        </is>
      </c>
      <c r="Q270" s="7" t="inlineStr">
        <is>
          <t>HIGH</t>
        </is>
      </c>
      <c r="R270" s="7" t="inlineStr">
        <is>
          <t>Universal Catholic Church.</t>
        </is>
      </c>
      <c r="S270" s="7" t="inlineStr">
        <is>
          <t>NO</t>
        </is>
      </c>
      <c r="T270" s="7" t="inlineStr">
        <is>
          <t>A</t>
        </is>
      </c>
      <c r="U270" s="7" t="inlineStr">
        <is>
          <t>Giver of life.</t>
        </is>
      </c>
      <c r="V270" s="7" t="inlineStr">
        <is>
          <t>CERTIFIED</t>
        </is>
      </c>
      <c r="W270" s="7" t="n"/>
      <c r="X270" s="7" t="inlineStr">
        <is>
          <t>A</t>
        </is>
      </c>
      <c r="Y270" s="7" t="inlineStr">
        <is>
          <t>A</t>
        </is>
      </c>
      <c r="Z270" s="11" t="b">
        <v>0</v>
      </c>
      <c r="AA270" s="8" t="inlineStr">
        <is>
          <t>CURRENT EVIDENCE / STATUS</t>
        </is>
      </c>
    </row>
    <row r="271" ht="15.75" customHeight="1" s="29">
      <c r="A271" s="7" t="inlineStr">
        <is>
          <t>Q-266</t>
        </is>
      </c>
      <c r="B271" s="7" t="inlineStr">
        <is>
          <t>RNR-H34</t>
        </is>
      </c>
      <c r="C271" s="7" t="inlineStr">
        <is>
          <t>Giver of life</t>
        </is>
      </c>
      <c r="D271" s="7" t="inlineStr">
        <is>
          <t>A</t>
        </is>
      </c>
      <c r="E271" s="7" t="inlineStr">
        <is>
          <t>Eastern Orthodox</t>
        </is>
      </c>
      <c r="F271" s="7" t="inlineStr">
        <is>
          <t>SINGLE</t>
        </is>
      </c>
      <c r="G271" s="7" t="inlineStr">
        <is>
          <t>SESSION 9 SOURCE ROW RECOVERED</t>
        </is>
      </c>
      <c r="H271" s="7" t="inlineStr">
        <is>
          <t>PUBLIC-CERTIFIED</t>
        </is>
      </c>
      <c r="I271" s="7" t="inlineStr">
        <is>
          <t>RNR-H34a</t>
        </is>
      </c>
      <c r="J271" s="7" t="inlineStr">
        <is>
          <t>A</t>
        </is>
      </c>
      <c r="K271" s="7" t="inlineStr">
        <is>
          <t>Orthodox Church in America</t>
        </is>
      </c>
      <c r="L271" s="7" t="inlineStr">
        <is>
          <t>Nicene / Niceno-Constantinopolitan Creed</t>
        </is>
      </c>
      <c r="M271" s="7" t="inlineStr">
        <is>
          <t>Nicene Creed, Godhead and Christological clauses</t>
        </is>
      </c>
      <c r="N271" s="7" t="inlineStr">
        <is>
          <t>https://www.oca.org/orthodoxy/the-orthodox-faith/doctrine-scripture/symbol-of-faith/nicene-creed</t>
        </is>
      </c>
      <c r="O271" s="7" t="inlineStr">
        <is>
          <t>https://www.oca.org/orthodoxy/the-orthodox-faith/doctrine-scripture/symbol-of-faith/nicene-creed</t>
        </is>
      </c>
      <c r="P271" s="7" t="inlineStr">
        <is>
          <t>S9-IA-0235 / S8-IA-0235.</t>
        </is>
      </c>
      <c r="Q271" s="7" t="inlineStr">
        <is>
          <t>HIGH</t>
        </is>
      </c>
      <c r="R271" s="7" t="inlineStr">
        <is>
          <t>OCA witness to Orthodox conciliar reception; not proxy for every autocephalous church.</t>
        </is>
      </c>
      <c r="S271" s="7" t="inlineStr">
        <is>
          <t>NO</t>
        </is>
      </c>
      <c r="T271" s="7" t="inlineStr">
        <is>
          <t>A</t>
        </is>
      </c>
      <c r="U271" s="7" t="inlineStr">
        <is>
          <t>Giver of life.</t>
        </is>
      </c>
      <c r="V271" s="7" t="inlineStr">
        <is>
          <t>CERTIFIED</t>
        </is>
      </c>
      <c r="W271" s="7" t="n"/>
      <c r="X271" s="7" t="inlineStr">
        <is>
          <t>A</t>
        </is>
      </c>
      <c r="Y271" s="7" t="inlineStr">
        <is>
          <t>A</t>
        </is>
      </c>
      <c r="Z271" s="11" t="b">
        <v>0</v>
      </c>
      <c r="AA271" s="8" t="inlineStr">
        <is>
          <t>CURRENT EVIDENCE / STATUS</t>
        </is>
      </c>
    </row>
    <row r="272" ht="15.75" customHeight="1" s="29">
      <c r="A272" s="7" t="inlineStr">
        <is>
          <t>Q-267</t>
        </is>
      </c>
      <c r="B272" s="7" t="inlineStr">
        <is>
          <t>RNR-H34</t>
        </is>
      </c>
      <c r="C272" s="7" t="inlineStr">
        <is>
          <t>Giver of life</t>
        </is>
      </c>
      <c r="D272" s="7" t="inlineStr">
        <is>
          <t>A</t>
        </is>
      </c>
      <c r="E272" s="7" t="inlineStr">
        <is>
          <t>Lutheran</t>
        </is>
      </c>
      <c r="F272" s="7" t="inlineStr">
        <is>
          <t>SINGLE</t>
        </is>
      </c>
      <c r="G272" s="7" t="inlineStr">
        <is>
          <t>SESSION 9 SOURCE ROW RECOVERED</t>
        </is>
      </c>
      <c r="H272" s="7" t="inlineStr">
        <is>
          <t>PUBLIC-CERTIFIED</t>
        </is>
      </c>
      <c r="I272" s="7" t="inlineStr">
        <is>
          <t>RNR-H34a</t>
        </is>
      </c>
      <c r="J272" s="7" t="inlineStr">
        <is>
          <t>A</t>
        </is>
      </c>
      <c r="K272" s="7" t="inlineStr">
        <is>
          <t>Lutheran Church—Missouri Synod</t>
        </is>
      </c>
      <c r="L272" s="7" t="inlineStr">
        <is>
          <t>Nicene Creed</t>
        </is>
      </c>
      <c r="M272" s="7" t="inlineStr">
        <is>
          <t>Nicene Creed</t>
        </is>
      </c>
      <c r="N272" s="7" t="inlineStr">
        <is>
          <t>https://www.lcms.org/about/beliefs/lutheran-confessions</t>
        </is>
      </c>
      <c r="O272" s="7" t="inlineStr">
        <is>
          <t>https://bookofconcord.org/ecumenical-creeds/nicene-creed/</t>
        </is>
      </c>
      <c r="P272" s="7" t="inlineStr">
        <is>
          <t>S9-IA-0236 / S8-IA-0236.</t>
        </is>
      </c>
      <c r="Q272" s="7" t="inlineStr">
        <is>
          <t>HIGH</t>
        </is>
      </c>
      <c r="R272" s="7" t="inlineStr">
        <is>
          <t>LCMS adoption page controls institutional scope.</t>
        </is>
      </c>
      <c r="S272" s="7" t="inlineStr">
        <is>
          <t>NO</t>
        </is>
      </c>
      <c r="T272" s="7" t="inlineStr">
        <is>
          <t>A</t>
        </is>
      </c>
      <c r="U272" s="7" t="inlineStr">
        <is>
          <t>Giver of life.</t>
        </is>
      </c>
      <c r="V272" s="7" t="inlineStr">
        <is>
          <t>CERTIFIED</t>
        </is>
      </c>
      <c r="W272" s="7" t="n"/>
      <c r="X272" s="7" t="inlineStr">
        <is>
          <t>A</t>
        </is>
      </c>
      <c r="Y272" s="7" t="inlineStr">
        <is>
          <t>A</t>
        </is>
      </c>
      <c r="Z272" s="11" t="b">
        <v>0</v>
      </c>
      <c r="AA272" s="8" t="inlineStr">
        <is>
          <t>CURRENT EVIDENCE / STATUS</t>
        </is>
      </c>
    </row>
    <row r="273" ht="15.75" customHeight="1" s="29">
      <c r="A273" s="7" t="inlineStr">
        <is>
          <t>Q-268</t>
        </is>
      </c>
      <c r="B273" s="7" t="inlineStr">
        <is>
          <t>RNR-H34</t>
        </is>
      </c>
      <c r="C273" s="7" t="inlineStr">
        <is>
          <t>Giver of life</t>
        </is>
      </c>
      <c r="D273" s="7" t="inlineStr">
        <is>
          <t>A</t>
        </is>
      </c>
      <c r="E273" s="7" t="inlineStr">
        <is>
          <t>Reformed / Presbyterian</t>
        </is>
      </c>
      <c r="F273" s="7" t="inlineStr">
        <is>
          <t>SINGLE</t>
        </is>
      </c>
      <c r="G273" s="7" t="inlineStr">
        <is>
          <t>TO RECOVER FROM SESSION 9 LEDGER</t>
        </is>
      </c>
      <c r="H273" s="7" t="inlineStr">
        <is>
          <t>NO PUBLIC TILE</t>
        </is>
      </c>
      <c r="I273" s="7" t="n"/>
      <c r="J273" s="7" t="n"/>
      <c r="K273" s="7" t="n"/>
      <c r="L273" s="7" t="n"/>
      <c r="M273" s="7" t="n"/>
      <c r="N273" s="7" t="n"/>
      <c r="O273" s="7" t="n"/>
      <c r="P273" s="7" t="n"/>
      <c r="Q273" s="7" t="inlineStr">
        <is>
          <t>NOT-ASSESSED</t>
        </is>
      </c>
      <c r="R273" s="7" t="n"/>
      <c r="S273" s="7" t="n"/>
      <c r="T273" s="7" t="n"/>
      <c r="U273" s="7" t="n"/>
      <c r="V273" s="7" t="n"/>
      <c r="W273" s="7" t="n"/>
      <c r="X273" s="7" t="inlineStr">
        <is>
          <t>NOT LOCATED — NOT YET RECOVERED</t>
        </is>
      </c>
      <c r="Y273" s="7" t="inlineStr">
        <is>
          <t>EXCLUDED</t>
        </is>
      </c>
      <c r="Z273" s="11" t="b">
        <v>0</v>
      </c>
      <c r="AA273" s="8" t="inlineStr">
        <is>
          <t>CURRENT EVIDENCE / STATUS</t>
        </is>
      </c>
    </row>
    <row r="274" ht="15.75" customHeight="1" s="29">
      <c r="A274" s="7" t="inlineStr">
        <is>
          <t>Q-269</t>
        </is>
      </c>
      <c r="B274" s="7" t="inlineStr">
        <is>
          <t>RNR-H34</t>
        </is>
      </c>
      <c r="C274" s="7" t="inlineStr">
        <is>
          <t>Giver of life</t>
        </is>
      </c>
      <c r="D274" s="7" t="inlineStr">
        <is>
          <t>A</t>
        </is>
      </c>
      <c r="E274" s="7" t="inlineStr">
        <is>
          <t>Anglican</t>
        </is>
      </c>
      <c r="F274" s="7" t="inlineStr">
        <is>
          <t>SINGLE</t>
        </is>
      </c>
      <c r="G274" s="7" t="inlineStr">
        <is>
          <t>TO RECOVER FROM SESSION 9 LEDGER</t>
        </is>
      </c>
      <c r="H274" s="7" t="inlineStr">
        <is>
          <t>NO PUBLIC TILE</t>
        </is>
      </c>
      <c r="I274" s="7" t="n"/>
      <c r="J274" s="7" t="n"/>
      <c r="K274" s="7" t="n"/>
      <c r="L274" s="7" t="n"/>
      <c r="M274" s="7" t="n"/>
      <c r="N274" s="7" t="n"/>
      <c r="O274" s="7" t="n"/>
      <c r="P274" s="7" t="n"/>
      <c r="Q274" s="7" t="inlineStr">
        <is>
          <t>NOT-ASSESSED</t>
        </is>
      </c>
      <c r="R274" s="7" t="n"/>
      <c r="S274" s="7" t="n"/>
      <c r="T274" s="7" t="n"/>
      <c r="U274" s="7" t="n"/>
      <c r="V274" s="7" t="n"/>
      <c r="W274" s="7" t="n"/>
      <c r="X274" s="7" t="inlineStr">
        <is>
          <t>NOT LOCATED — NOT YET RECOVERED</t>
        </is>
      </c>
      <c r="Y274" s="7" t="inlineStr">
        <is>
          <t>EXCLUDED</t>
        </is>
      </c>
      <c r="Z274" s="11" t="b">
        <v>0</v>
      </c>
      <c r="AA274" s="8" t="inlineStr">
        <is>
          <t>CURRENT EVIDENCE / STATUS</t>
        </is>
      </c>
    </row>
    <row r="275" ht="15.75" customHeight="1" s="29">
      <c r="A275" s="7" t="inlineStr">
        <is>
          <t>Q-270</t>
        </is>
      </c>
      <c r="B275" s="7" t="inlineStr">
        <is>
          <t>RNR-H34</t>
        </is>
      </c>
      <c r="C275" s="7" t="inlineStr">
        <is>
          <t>Giver of life</t>
        </is>
      </c>
      <c r="D275" s="7" t="inlineStr">
        <is>
          <t>A</t>
        </is>
      </c>
      <c r="E275" s="7" t="inlineStr">
        <is>
          <t>Baptist</t>
        </is>
      </c>
      <c r="F275" s="7" t="inlineStr">
        <is>
          <t>SINGLE</t>
        </is>
      </c>
      <c r="G275" s="7" t="inlineStr">
        <is>
          <t>TO RECOVER FROM SESSION 9 LEDGER</t>
        </is>
      </c>
      <c r="H275" s="7" t="inlineStr">
        <is>
          <t>NO PUBLIC TILE</t>
        </is>
      </c>
      <c r="I275" s="7" t="n"/>
      <c r="J275" s="7" t="n"/>
      <c r="K275" s="7" t="n"/>
      <c r="L275" s="7" t="n"/>
      <c r="M275" s="7" t="n"/>
      <c r="N275" s="7" t="n"/>
      <c r="O275" s="7" t="n"/>
      <c r="P275" s="7" t="n"/>
      <c r="Q275" s="7" t="inlineStr">
        <is>
          <t>NOT-ASSESSED</t>
        </is>
      </c>
      <c r="R275" s="7" t="n"/>
      <c r="S275" s="7" t="n"/>
      <c r="T275" s="7" t="n"/>
      <c r="U275" s="7" t="n"/>
      <c r="V275" s="7" t="n"/>
      <c r="W275" s="7" t="n"/>
      <c r="X275" s="7" t="inlineStr">
        <is>
          <t>NOT LOCATED — NOT YET RECOVERED</t>
        </is>
      </c>
      <c r="Y275" s="7" t="inlineStr">
        <is>
          <t>EXCLUDED</t>
        </is>
      </c>
      <c r="Z275" s="11" t="b">
        <v>0</v>
      </c>
      <c r="AA275" s="8" t="inlineStr">
        <is>
          <t>CURRENT EVIDENCE / STATUS</t>
        </is>
      </c>
    </row>
    <row r="276" ht="15.75" customHeight="1" s="29">
      <c r="A276" s="7" t="inlineStr">
        <is>
          <t>Q-271</t>
        </is>
      </c>
      <c r="B276" s="7" t="inlineStr">
        <is>
          <t>RNR-H34</t>
        </is>
      </c>
      <c r="C276" s="7" t="inlineStr">
        <is>
          <t>Giver of life</t>
        </is>
      </c>
      <c r="D276" s="7" t="inlineStr">
        <is>
          <t>A</t>
        </is>
      </c>
      <c r="E276" s="7" t="inlineStr">
        <is>
          <t>Methodist / Wesleyan</t>
        </is>
      </c>
      <c r="F276" s="7" t="inlineStr">
        <is>
          <t>SINGLE</t>
        </is>
      </c>
      <c r="G276" s="7" t="inlineStr">
        <is>
          <t>TO RECOVER FROM SESSION 9 LEDGER</t>
        </is>
      </c>
      <c r="H276" s="7" t="inlineStr">
        <is>
          <t>NO PUBLIC TILE</t>
        </is>
      </c>
      <c r="I276" s="7" t="n"/>
      <c r="J276" s="7" t="n"/>
      <c r="K276" s="7" t="n"/>
      <c r="L276" s="7" t="n"/>
      <c r="M276" s="7" t="n"/>
      <c r="N276" s="7" t="n"/>
      <c r="O276" s="7" t="n"/>
      <c r="P276" s="7" t="n"/>
      <c r="Q276" s="7" t="inlineStr">
        <is>
          <t>NOT-ASSESSED</t>
        </is>
      </c>
      <c r="R276" s="7" t="n"/>
      <c r="S276" s="7" t="n"/>
      <c r="T276" s="7" t="n"/>
      <c r="U276" s="7" t="n"/>
      <c r="V276" s="7" t="n"/>
      <c r="W276" s="7" t="n"/>
      <c r="X276" s="7" t="inlineStr">
        <is>
          <t>NOT LOCATED — NOT YET RECOVERED</t>
        </is>
      </c>
      <c r="Y276" s="7" t="inlineStr">
        <is>
          <t>EXCLUDED</t>
        </is>
      </c>
      <c r="Z276" s="11" t="b">
        <v>0</v>
      </c>
      <c r="AA276" s="8" t="inlineStr">
        <is>
          <t>CURRENT EVIDENCE / STATUS</t>
        </is>
      </c>
    </row>
    <row r="277" ht="15.75" customHeight="1" s="29">
      <c r="A277" s="7" t="inlineStr">
        <is>
          <t>Q-272</t>
        </is>
      </c>
      <c r="B277" s="7" t="inlineStr">
        <is>
          <t>RNR-H34</t>
        </is>
      </c>
      <c r="C277" s="7" t="inlineStr">
        <is>
          <t>Giver of life</t>
        </is>
      </c>
      <c r="D277" s="7" t="inlineStr">
        <is>
          <t>A</t>
        </is>
      </c>
      <c r="E277" s="7" t="inlineStr">
        <is>
          <t>Mennonite / Anabaptist</t>
        </is>
      </c>
      <c r="F277" s="7" t="inlineStr">
        <is>
          <t>SINGLE</t>
        </is>
      </c>
      <c r="G277" s="7" t="inlineStr">
        <is>
          <t>TO RECOVER FROM SESSION 9 LEDGER</t>
        </is>
      </c>
      <c r="H277" s="7" t="inlineStr">
        <is>
          <t>NO PUBLIC TILE</t>
        </is>
      </c>
      <c r="I277" s="7" t="n"/>
      <c r="J277" s="7" t="n"/>
      <c r="K277" s="7" t="n"/>
      <c r="L277" s="7" t="n"/>
      <c r="M277" s="7" t="n"/>
      <c r="N277" s="7" t="n"/>
      <c r="O277" s="7" t="n"/>
      <c r="P277" s="7" t="n"/>
      <c r="Q277" s="7" t="inlineStr">
        <is>
          <t>NOT-ASSESSED</t>
        </is>
      </c>
      <c r="R277" s="7" t="n"/>
      <c r="S277" s="7" t="n"/>
      <c r="T277" s="7" t="n"/>
      <c r="U277" s="7" t="n"/>
      <c r="V277" s="7" t="n"/>
      <c r="W277" s="7" t="n"/>
      <c r="X277" s="7" t="inlineStr">
        <is>
          <t>NOT LOCATED — NOT YET RECOVERED</t>
        </is>
      </c>
      <c r="Y277" s="7" t="inlineStr">
        <is>
          <t>EXCLUDED</t>
        </is>
      </c>
      <c r="Z277" s="11" t="b">
        <v>0</v>
      </c>
      <c r="AA277" s="8" t="inlineStr">
        <is>
          <t>CURRENT EVIDENCE / STATUS</t>
        </is>
      </c>
    </row>
    <row r="278" ht="15.75" customHeight="1" s="29">
      <c r="A278" s="7" t="inlineStr">
        <is>
          <t>Q-273</t>
        </is>
      </c>
      <c r="B278" s="7" t="inlineStr">
        <is>
          <t>RNR-H35</t>
        </is>
      </c>
      <c r="C278" s="7" t="inlineStr">
        <is>
          <t>Eternal power and might</t>
        </is>
      </c>
      <c r="D278" s="7" t="inlineStr">
        <is>
          <t>A</t>
        </is>
      </c>
      <c r="E278" s="7" t="inlineStr">
        <is>
          <t>Roman Catholic</t>
        </is>
      </c>
      <c r="F278" s="7" t="inlineStr">
        <is>
          <t>SINGLE</t>
        </is>
      </c>
      <c r="G278" s="7" t="inlineStr">
        <is>
          <t>TO RECOVER FROM SESSION 9 LEDGER</t>
        </is>
      </c>
      <c r="H278" s="7" t="inlineStr">
        <is>
          <t>NO PUBLIC TILE</t>
        </is>
      </c>
      <c r="I278" s="7" t="n"/>
      <c r="J278" s="7" t="n"/>
      <c r="K278" s="7" t="n"/>
      <c r="L278" s="7" t="n"/>
      <c r="M278" s="7" t="n"/>
      <c r="N278" s="7" t="n"/>
      <c r="O278" s="7" t="n"/>
      <c r="P278" s="7" t="n"/>
      <c r="Q278" s="7" t="inlineStr">
        <is>
          <t>NOT-ASSESSED</t>
        </is>
      </c>
      <c r="R278" s="7" t="n"/>
      <c r="S278" s="7" t="n"/>
      <c r="T278" s="7" t="n"/>
      <c r="U278" s="7" t="n"/>
      <c r="V278" s="7" t="n"/>
      <c r="W278" s="7" t="n"/>
      <c r="X278" s="7" t="inlineStr">
        <is>
          <t>NOT LOCATED — NOT YET RECOVERED</t>
        </is>
      </c>
      <c r="Y278" s="7" t="inlineStr">
        <is>
          <t>EXCLUDED</t>
        </is>
      </c>
      <c r="Z278" s="11" t="b">
        <v>0</v>
      </c>
      <c r="AA278" s="8" t="inlineStr">
        <is>
          <t>CURRENT EVIDENCE / STATUS</t>
        </is>
      </c>
    </row>
    <row r="279" ht="15.75" customHeight="1" s="29">
      <c r="A279" s="7" t="inlineStr">
        <is>
          <t>Q-274</t>
        </is>
      </c>
      <c r="B279" s="7" t="inlineStr">
        <is>
          <t>RNR-H35</t>
        </is>
      </c>
      <c r="C279" s="7" t="inlineStr">
        <is>
          <t>Eternal power and might</t>
        </is>
      </c>
      <c r="D279" s="7" t="inlineStr">
        <is>
          <t>A</t>
        </is>
      </c>
      <c r="E279" s="7" t="inlineStr">
        <is>
          <t>Eastern Orthodox</t>
        </is>
      </c>
      <c r="F279" s="7" t="inlineStr">
        <is>
          <t>SINGLE</t>
        </is>
      </c>
      <c r="G279" s="7" t="inlineStr">
        <is>
          <t>TO RECOVER FROM SESSION 9 LEDGER</t>
        </is>
      </c>
      <c r="H279" s="7" t="inlineStr">
        <is>
          <t>NO PUBLIC TILE</t>
        </is>
      </c>
      <c r="I279" s="7" t="n"/>
      <c r="J279" s="7" t="n"/>
      <c r="K279" s="7" t="n"/>
      <c r="L279" s="7" t="n"/>
      <c r="M279" s="7" t="n"/>
      <c r="N279" s="7" t="n"/>
      <c r="O279" s="7" t="n"/>
      <c r="P279" s="7" t="n"/>
      <c r="Q279" s="7" t="inlineStr">
        <is>
          <t>NOT-ASSESSED</t>
        </is>
      </c>
      <c r="R279" s="7" t="n"/>
      <c r="S279" s="7" t="n"/>
      <c r="T279" s="7" t="n"/>
      <c r="U279" s="7" t="n"/>
      <c r="V279" s="7" t="n"/>
      <c r="W279" s="7" t="n"/>
      <c r="X279" s="7" t="inlineStr">
        <is>
          <t>NOT LOCATED — NOT YET RECOVERED</t>
        </is>
      </c>
      <c r="Y279" s="7" t="inlineStr">
        <is>
          <t>EXCLUDED</t>
        </is>
      </c>
      <c r="Z279" s="11" t="b">
        <v>0</v>
      </c>
      <c r="AA279" s="8" t="inlineStr">
        <is>
          <t>CURRENT EVIDENCE / STATUS</t>
        </is>
      </c>
    </row>
    <row r="280" ht="15.75" customHeight="1" s="29">
      <c r="A280" s="7" t="inlineStr">
        <is>
          <t>Q-275</t>
        </is>
      </c>
      <c r="B280" s="7" t="inlineStr">
        <is>
          <t>RNR-H35</t>
        </is>
      </c>
      <c r="C280" s="7" t="inlineStr">
        <is>
          <t>Eternal power and might</t>
        </is>
      </c>
      <c r="D280" s="7" t="inlineStr">
        <is>
          <t>A</t>
        </is>
      </c>
      <c r="E280" s="7" t="inlineStr">
        <is>
          <t>Lutheran</t>
        </is>
      </c>
      <c r="F280" s="7" t="inlineStr">
        <is>
          <t>SINGLE</t>
        </is>
      </c>
      <c r="G280" s="7" t="inlineStr">
        <is>
          <t>TO RECOVER FROM SESSION 9 LEDGER</t>
        </is>
      </c>
      <c r="H280" s="7" t="inlineStr">
        <is>
          <t>NO PUBLIC TILE</t>
        </is>
      </c>
      <c r="I280" s="7" t="n"/>
      <c r="J280" s="7" t="n"/>
      <c r="K280" s="7" t="n"/>
      <c r="L280" s="7" t="n"/>
      <c r="M280" s="7" t="n"/>
      <c r="N280" s="7" t="n"/>
      <c r="O280" s="7" t="n"/>
      <c r="P280" s="7" t="n"/>
      <c r="Q280" s="7" t="inlineStr">
        <is>
          <t>NOT-ASSESSED</t>
        </is>
      </c>
      <c r="R280" s="7" t="n"/>
      <c r="S280" s="7" t="n"/>
      <c r="T280" s="7" t="n"/>
      <c r="U280" s="7" t="n"/>
      <c r="V280" s="7" t="n"/>
      <c r="W280" s="7" t="n"/>
      <c r="X280" s="7" t="inlineStr">
        <is>
          <t>NOT LOCATED — NOT YET RECOVERED</t>
        </is>
      </c>
      <c r="Y280" s="7" t="inlineStr">
        <is>
          <t>EXCLUDED</t>
        </is>
      </c>
      <c r="Z280" s="11" t="b">
        <v>0</v>
      </c>
      <c r="AA280" s="8" t="inlineStr">
        <is>
          <t>CURRENT EVIDENCE / STATUS</t>
        </is>
      </c>
    </row>
    <row r="281" ht="15.75" customHeight="1" s="29">
      <c r="A281" s="7" t="inlineStr">
        <is>
          <t>Q-276</t>
        </is>
      </c>
      <c r="B281" s="7" t="inlineStr">
        <is>
          <t>RNR-H35</t>
        </is>
      </c>
      <c r="C281" s="7" t="inlineStr">
        <is>
          <t>Eternal power and might</t>
        </is>
      </c>
      <c r="D281" s="7" t="inlineStr">
        <is>
          <t>A</t>
        </is>
      </c>
      <c r="E281" s="7" t="inlineStr">
        <is>
          <t>Reformed / Presbyterian</t>
        </is>
      </c>
      <c r="F281" s="7" t="inlineStr">
        <is>
          <t>SINGLE</t>
        </is>
      </c>
      <c r="G281" s="7" t="inlineStr">
        <is>
          <t>SESSION 9 SOURCE ROW RECOVERED</t>
        </is>
      </c>
      <c r="H281" s="7" t="inlineStr">
        <is>
          <t>PUBLIC-CERTIFIED</t>
        </is>
      </c>
      <c r="I281" s="7" t="inlineStr">
        <is>
          <t>RNR-H35a</t>
        </is>
      </c>
      <c r="J281" s="7" t="inlineStr">
        <is>
          <t>A</t>
        </is>
      </c>
      <c r="K281" s="7" t="inlineStr">
        <is>
          <t>Christian Reformed Church in North America</t>
        </is>
      </c>
      <c r="L281" s="7" t="inlineStr">
        <is>
          <t>Belgic Confession</t>
        </is>
      </c>
      <c r="M281" s="7" t="inlineStr">
        <is>
          <t>Articles 1–2 and 8</t>
        </is>
      </c>
      <c r="N281" s="7" t="inlineStr">
        <is>
          <t>https://www.crcna.org/welcome/beliefs/confessions/belgic-confession</t>
        </is>
      </c>
      <c r="O281" s="7" t="inlineStr">
        <is>
          <t>https://www.crcna.org/welcome/beliefs/confessions/belgic-confession</t>
        </is>
      </c>
      <c r="P281" s="7" t="inlineStr">
        <is>
          <t>Session 9 H35 CRCNA row recovered (S8-IA-0238; S9 numeric prefix truncated); RCA S9-IA-0239 corroborates.</t>
        </is>
      </c>
      <c r="Q281" s="7" t="inlineStr">
        <is>
          <t>HIGH</t>
        </is>
      </c>
      <c r="R281" s="7" t="inlineStr">
        <is>
          <t>CRCNA primary; RCA corroboration.</t>
        </is>
      </c>
      <c r="S281" s="7" t="inlineStr">
        <is>
          <t>NO</t>
        </is>
      </c>
      <c r="T281" s="7" t="inlineStr">
        <is>
          <t>A</t>
        </is>
      </c>
      <c r="U281" s="7" t="inlineStr">
        <is>
          <t>Eternal power and might.</t>
        </is>
      </c>
      <c r="V281" s="7" t="inlineStr">
        <is>
          <t>CERTIFIED</t>
        </is>
      </c>
      <c r="W281" s="7" t="n"/>
      <c r="X281" s="7" t="inlineStr">
        <is>
          <t>A</t>
        </is>
      </c>
      <c r="Y281" s="7" t="inlineStr">
        <is>
          <t>A</t>
        </is>
      </c>
      <c r="Z281" s="11" t="b">
        <v>0</v>
      </c>
      <c r="AA281" s="8" t="inlineStr">
        <is>
          <t>CURRENT EVIDENCE / STATUS</t>
        </is>
      </c>
    </row>
    <row r="282" ht="15.75" customHeight="1" s="29">
      <c r="A282" s="7" t="inlineStr">
        <is>
          <t>Q-277</t>
        </is>
      </c>
      <c r="B282" s="7" t="inlineStr">
        <is>
          <t>RNR-H35</t>
        </is>
      </c>
      <c r="C282" s="7" t="inlineStr">
        <is>
          <t>Eternal power and might</t>
        </is>
      </c>
      <c r="D282" s="7" t="inlineStr">
        <is>
          <t>A</t>
        </is>
      </c>
      <c r="E282" s="7" t="inlineStr">
        <is>
          <t>Anglican</t>
        </is>
      </c>
      <c r="F282" s="7" t="inlineStr">
        <is>
          <t>SINGLE</t>
        </is>
      </c>
      <c r="G282" s="7" t="inlineStr">
        <is>
          <t>TO RECOVER FROM SESSION 9 LEDGER</t>
        </is>
      </c>
      <c r="H282" s="7" t="inlineStr">
        <is>
          <t>NO PUBLIC TILE</t>
        </is>
      </c>
      <c r="I282" s="7" t="n"/>
      <c r="J282" s="7" t="n"/>
      <c r="K282" s="7" t="n"/>
      <c r="L282" s="7" t="n"/>
      <c r="M282" s="7" t="n"/>
      <c r="N282" s="7" t="n"/>
      <c r="O282" s="7" t="n"/>
      <c r="P282" s="7" t="n"/>
      <c r="Q282" s="7" t="inlineStr">
        <is>
          <t>NOT-ASSESSED</t>
        </is>
      </c>
      <c r="R282" s="7" t="n"/>
      <c r="S282" s="7" t="n"/>
      <c r="T282" s="7" t="n"/>
      <c r="U282" s="7" t="n"/>
      <c r="V282" s="7" t="n"/>
      <c r="W282" s="7" t="n"/>
      <c r="X282" s="7" t="inlineStr">
        <is>
          <t>NOT LOCATED — NOT YET RECOVERED</t>
        </is>
      </c>
      <c r="Y282" s="7" t="inlineStr">
        <is>
          <t>EXCLUDED</t>
        </is>
      </c>
      <c r="Z282" s="11" t="b">
        <v>0</v>
      </c>
      <c r="AA282" s="8" t="inlineStr">
        <is>
          <t>CURRENT EVIDENCE / STATUS</t>
        </is>
      </c>
    </row>
    <row r="283" ht="15.75" customHeight="1" s="29">
      <c r="A283" s="7" t="inlineStr">
        <is>
          <t>Q-278</t>
        </is>
      </c>
      <c r="B283" s="7" t="inlineStr">
        <is>
          <t>RNR-H35</t>
        </is>
      </c>
      <c r="C283" s="7" t="inlineStr">
        <is>
          <t>Eternal power and might</t>
        </is>
      </c>
      <c r="D283" s="7" t="inlineStr">
        <is>
          <t>A</t>
        </is>
      </c>
      <c r="E283" s="7" t="inlineStr">
        <is>
          <t>Baptist</t>
        </is>
      </c>
      <c r="F283" s="7" t="inlineStr">
        <is>
          <t>SINGLE</t>
        </is>
      </c>
      <c r="G283" s="7" t="inlineStr">
        <is>
          <t>TO RECOVER FROM SESSION 9 LEDGER</t>
        </is>
      </c>
      <c r="H283" s="7" t="inlineStr">
        <is>
          <t>NO PUBLIC TILE</t>
        </is>
      </c>
      <c r="I283" s="7" t="n"/>
      <c r="J283" s="7" t="n"/>
      <c r="K283" s="7" t="n"/>
      <c r="L283" s="7" t="n"/>
      <c r="M283" s="7" t="n"/>
      <c r="N283" s="7" t="n"/>
      <c r="O283" s="7" t="n"/>
      <c r="P283" s="7" t="n"/>
      <c r="Q283" s="7" t="inlineStr">
        <is>
          <t>NOT-ASSESSED</t>
        </is>
      </c>
      <c r="R283" s="7" t="n"/>
      <c r="S283" s="7" t="n"/>
      <c r="T283" s="7" t="n"/>
      <c r="U283" s="7" t="n"/>
      <c r="V283" s="7" t="n"/>
      <c r="W283" s="7" t="n"/>
      <c r="X283" s="7" t="inlineStr">
        <is>
          <t>NOT LOCATED — NOT YET RECOVERED</t>
        </is>
      </c>
      <c r="Y283" s="7" t="inlineStr">
        <is>
          <t>EXCLUDED</t>
        </is>
      </c>
      <c r="Z283" s="11" t="b">
        <v>0</v>
      </c>
      <c r="AA283" s="8" t="inlineStr">
        <is>
          <t>CURRENT EVIDENCE / STATUS</t>
        </is>
      </c>
    </row>
    <row r="284" ht="15.75" customHeight="1" s="29">
      <c r="A284" s="7" t="inlineStr">
        <is>
          <t>Q-279</t>
        </is>
      </c>
      <c r="B284" s="7" t="inlineStr">
        <is>
          <t>RNR-H35</t>
        </is>
      </c>
      <c r="C284" s="7" t="inlineStr">
        <is>
          <t>Eternal power and might</t>
        </is>
      </c>
      <c r="D284" s="7" t="inlineStr">
        <is>
          <t>A</t>
        </is>
      </c>
      <c r="E284" s="7" t="inlineStr">
        <is>
          <t>Methodist / Wesleyan</t>
        </is>
      </c>
      <c r="F284" s="7" t="inlineStr">
        <is>
          <t>SINGLE</t>
        </is>
      </c>
      <c r="G284" s="7" t="inlineStr">
        <is>
          <t>TO RECOVER FROM SESSION 9 LEDGER</t>
        </is>
      </c>
      <c r="H284" s="7" t="inlineStr">
        <is>
          <t>NO PUBLIC TILE</t>
        </is>
      </c>
      <c r="I284" s="7" t="n"/>
      <c r="J284" s="7" t="n"/>
      <c r="K284" s="7" t="n"/>
      <c r="L284" s="7" t="n"/>
      <c r="M284" s="7" t="n"/>
      <c r="N284" s="7" t="n"/>
      <c r="O284" s="7" t="n"/>
      <c r="P284" s="7" t="n"/>
      <c r="Q284" s="7" t="inlineStr">
        <is>
          <t>NOT-ASSESSED</t>
        </is>
      </c>
      <c r="R284" s="7" t="n"/>
      <c r="S284" s="7" t="n"/>
      <c r="T284" s="7" t="n"/>
      <c r="U284" s="7" t="n"/>
      <c r="V284" s="7" t="n"/>
      <c r="W284" s="7" t="n"/>
      <c r="X284" s="7" t="inlineStr">
        <is>
          <t>NOT LOCATED — NOT YET RECOVERED</t>
        </is>
      </c>
      <c r="Y284" s="7" t="inlineStr">
        <is>
          <t>EXCLUDED</t>
        </is>
      </c>
      <c r="Z284" s="11" t="b">
        <v>0</v>
      </c>
      <c r="AA284" s="8" t="inlineStr">
        <is>
          <t>CURRENT EVIDENCE / STATUS</t>
        </is>
      </c>
    </row>
    <row r="285" ht="15.75" customHeight="1" s="29">
      <c r="A285" s="7" t="inlineStr">
        <is>
          <t>Q-280</t>
        </is>
      </c>
      <c r="B285" s="7" t="inlineStr">
        <is>
          <t>RNR-H35</t>
        </is>
      </c>
      <c r="C285" s="7" t="inlineStr">
        <is>
          <t>Eternal power and might</t>
        </is>
      </c>
      <c r="D285" s="7" t="inlineStr">
        <is>
          <t>A</t>
        </is>
      </c>
      <c r="E285" s="7" t="inlineStr">
        <is>
          <t>Mennonite / Anabaptist</t>
        </is>
      </c>
      <c r="F285" s="7" t="inlineStr">
        <is>
          <t>SINGLE</t>
        </is>
      </c>
      <c r="G285" s="7" t="inlineStr">
        <is>
          <t>TO RECOVER FROM SESSION 9 LEDGER</t>
        </is>
      </c>
      <c r="H285" s="7" t="inlineStr">
        <is>
          <t>NO PUBLIC TILE</t>
        </is>
      </c>
      <c r="I285" s="7" t="n"/>
      <c r="J285" s="7" t="n"/>
      <c r="K285" s="7" t="n"/>
      <c r="L285" s="7" t="n"/>
      <c r="M285" s="7" t="n"/>
      <c r="N285" s="7" t="n"/>
      <c r="O285" s="7" t="n"/>
      <c r="P285" s="7" t="n"/>
      <c r="Q285" s="7" t="inlineStr">
        <is>
          <t>NOT-ASSESSED</t>
        </is>
      </c>
      <c r="R285" s="7" t="n"/>
      <c r="S285" s="7" t="n"/>
      <c r="T285" s="7" t="n"/>
      <c r="U285" s="7" t="n"/>
      <c r="V285" s="7" t="n"/>
      <c r="W285" s="7" t="n"/>
      <c r="X285" s="7" t="inlineStr">
        <is>
          <t>NOT LOCATED — NOT YET RECOVERED</t>
        </is>
      </c>
      <c r="Y285" s="7" t="inlineStr">
        <is>
          <t>EXCLUDED</t>
        </is>
      </c>
      <c r="Z285" s="11" t="b">
        <v>0</v>
      </c>
      <c r="AA285" s="8" t="inlineStr">
        <is>
          <t>CURRENT EVIDENCE / STATUS</t>
        </is>
      </c>
    </row>
    <row r="286" ht="15.75" customHeight="1" s="29">
      <c r="A286" s="7" t="inlineStr">
        <is>
          <t>Q-281</t>
        </is>
      </c>
      <c r="B286" s="7" t="inlineStr">
        <is>
          <t>RNR-H36</t>
        </is>
      </c>
      <c r="C286" s="7" t="inlineStr">
        <is>
          <t>Uncreated</t>
        </is>
      </c>
      <c r="D286" s="7" t="inlineStr">
        <is>
          <t>Q</t>
        </is>
      </c>
      <c r="E286" s="7" t="inlineStr">
        <is>
          <t>Roman Catholic</t>
        </is>
      </c>
      <c r="F286" s="7" t="inlineStr">
        <is>
          <t>SINGLE</t>
        </is>
      </c>
      <c r="G286" s="7" t="inlineStr">
        <is>
          <t>TO RECOVER FROM SESSION 9 LEDGER</t>
        </is>
      </c>
      <c r="H286" s="7" t="inlineStr">
        <is>
          <t>NO PUBLIC TILE</t>
        </is>
      </c>
      <c r="I286" s="7" t="n"/>
      <c r="J286" s="7" t="n"/>
      <c r="K286" s="7" t="n"/>
      <c r="L286" s="7" t="n"/>
      <c r="M286" s="7" t="n"/>
      <c r="N286" s="7" t="n"/>
      <c r="O286" s="7" t="n"/>
      <c r="P286" s="7" t="n"/>
      <c r="Q286" s="7" t="inlineStr">
        <is>
          <t>NOT-ASSESSED</t>
        </is>
      </c>
      <c r="R286" s="7" t="n"/>
      <c r="S286" s="7" t="n"/>
      <c r="T286" s="7" t="n"/>
      <c r="U286" s="7" t="n"/>
      <c r="V286" s="7" t="n"/>
      <c r="W286" s="7" t="n"/>
      <c r="X286" s="7" t="inlineStr">
        <is>
          <t>NOT LOCATED — NOT YET RECOVERED</t>
        </is>
      </c>
      <c r="Y286" s="7" t="inlineStr">
        <is>
          <t>EXCLUDED</t>
        </is>
      </c>
      <c r="Z286" s="11" t="b">
        <v>0</v>
      </c>
      <c r="AA286" s="8" t="inlineStr">
        <is>
          <t>CURRENT EVIDENCE / STATUS</t>
        </is>
      </c>
    </row>
    <row r="287" ht="15.75" customHeight="1" s="29">
      <c r="A287" s="7" t="inlineStr">
        <is>
          <t>Q-282</t>
        </is>
      </c>
      <c r="B287" s="7" t="inlineStr">
        <is>
          <t>RNR-H36</t>
        </is>
      </c>
      <c r="C287" s="7" t="inlineStr">
        <is>
          <t>Uncreated</t>
        </is>
      </c>
      <c r="D287" s="7" t="inlineStr">
        <is>
          <t>Q</t>
        </is>
      </c>
      <c r="E287" s="7" t="inlineStr">
        <is>
          <t>Eastern Orthodox</t>
        </is>
      </c>
      <c r="F287" s="7" t="inlineStr">
        <is>
          <t>SINGLE</t>
        </is>
      </c>
      <c r="G287" s="7" t="inlineStr">
        <is>
          <t>TO RECOVER FROM SESSION 9 LEDGER</t>
        </is>
      </c>
      <c r="H287" s="7" t="inlineStr">
        <is>
          <t>NO PUBLIC TILE</t>
        </is>
      </c>
      <c r="I287" s="7" t="n"/>
      <c r="J287" s="7" t="n"/>
      <c r="K287" s="7" t="n"/>
      <c r="L287" s="7" t="n"/>
      <c r="M287" s="7" t="n"/>
      <c r="N287" s="7" t="n"/>
      <c r="O287" s="7" t="n"/>
      <c r="P287" s="7" t="n"/>
      <c r="Q287" s="7" t="inlineStr">
        <is>
          <t>NOT-ASSESSED</t>
        </is>
      </c>
      <c r="R287" s="7" t="n"/>
      <c r="S287" s="7" t="n"/>
      <c r="T287" s="7" t="n"/>
      <c r="U287" s="7" t="n"/>
      <c r="V287" s="7" t="n"/>
      <c r="W287" s="7" t="n"/>
      <c r="X287" s="7" t="inlineStr">
        <is>
          <t>NOT LOCATED — NOT YET RECOVERED</t>
        </is>
      </c>
      <c r="Y287" s="7" t="inlineStr">
        <is>
          <t>EXCLUDED</t>
        </is>
      </c>
      <c r="Z287" s="11" t="b">
        <v>0</v>
      </c>
      <c r="AA287" s="8" t="inlineStr">
        <is>
          <t>CURRENT EVIDENCE / STATUS</t>
        </is>
      </c>
    </row>
    <row r="288" ht="15.75" customHeight="1" s="29">
      <c r="A288" s="7" t="inlineStr">
        <is>
          <t>Q-283</t>
        </is>
      </c>
      <c r="B288" s="7" t="inlineStr">
        <is>
          <t>RNR-H36</t>
        </is>
      </c>
      <c r="C288" s="7" t="inlineStr">
        <is>
          <t>Uncreated</t>
        </is>
      </c>
      <c r="D288" s="7" t="inlineStr">
        <is>
          <t>Q</t>
        </is>
      </c>
      <c r="E288" s="7" t="inlineStr">
        <is>
          <t>Lutheran</t>
        </is>
      </c>
      <c r="F288" s="7" t="inlineStr">
        <is>
          <t>SINGLE</t>
        </is>
      </c>
      <c r="G288" s="7" t="inlineStr">
        <is>
          <t>TO RECOVER FROM SESSION 9 LEDGER</t>
        </is>
      </c>
      <c r="H288" s="7" t="inlineStr">
        <is>
          <t>NO PUBLIC TILE</t>
        </is>
      </c>
      <c r="I288" s="7" t="n"/>
      <c r="J288" s="7" t="n"/>
      <c r="K288" s="7" t="n"/>
      <c r="L288" s="7" t="n"/>
      <c r="M288" s="7" t="n"/>
      <c r="N288" s="7" t="n"/>
      <c r="O288" s="7" t="n"/>
      <c r="P288" s="7" t="n"/>
      <c r="Q288" s="7" t="inlineStr">
        <is>
          <t>NOT-ASSESSED</t>
        </is>
      </c>
      <c r="R288" s="7" t="n"/>
      <c r="S288" s="7" t="n"/>
      <c r="T288" s="7" t="n"/>
      <c r="U288" s="7" t="n"/>
      <c r="V288" s="7" t="n"/>
      <c r="W288" s="7" t="n"/>
      <c r="X288" s="7" t="inlineStr">
        <is>
          <t>NOT LOCATED — NOT YET RECOVERED</t>
        </is>
      </c>
      <c r="Y288" s="7" t="inlineStr">
        <is>
          <t>EXCLUDED</t>
        </is>
      </c>
      <c r="Z288" s="11" t="b">
        <v>0</v>
      </c>
      <c r="AA288" s="8" t="inlineStr">
        <is>
          <t>CURRENT EVIDENCE / STATUS</t>
        </is>
      </c>
    </row>
    <row r="289" ht="15.75" customHeight="1" s="29">
      <c r="A289" s="7" t="inlineStr">
        <is>
          <t>Q-284</t>
        </is>
      </c>
      <c r="B289" s="7" t="inlineStr">
        <is>
          <t>RNR-H36</t>
        </is>
      </c>
      <c r="C289" s="7" t="inlineStr">
        <is>
          <t>Uncreated</t>
        </is>
      </c>
      <c r="D289" s="7" t="inlineStr">
        <is>
          <t>Q</t>
        </is>
      </c>
      <c r="E289" s="7" t="inlineStr">
        <is>
          <t>Reformed / Presbyterian</t>
        </is>
      </c>
      <c r="F289" s="7" t="inlineStr">
        <is>
          <t>SINGLE</t>
        </is>
      </c>
      <c r="G289" s="7" t="inlineStr">
        <is>
          <t>TO RECOVER FROM SESSION 9 LEDGER</t>
        </is>
      </c>
      <c r="H289" s="7" t="inlineStr">
        <is>
          <t>NO PUBLIC TILE</t>
        </is>
      </c>
      <c r="I289" s="7" t="n"/>
      <c r="J289" s="7" t="n"/>
      <c r="K289" s="7" t="n"/>
      <c r="L289" s="7" t="n"/>
      <c r="M289" s="7" t="n"/>
      <c r="N289" s="7" t="n"/>
      <c r="O289" s="7" t="n"/>
      <c r="P289" s="7" t="n"/>
      <c r="Q289" s="7" t="inlineStr">
        <is>
          <t>NOT-ASSESSED</t>
        </is>
      </c>
      <c r="R289" s="7" t="n"/>
      <c r="S289" s="7" t="n"/>
      <c r="T289" s="7" t="n"/>
      <c r="U289" s="7" t="n"/>
      <c r="V289" s="7" t="n"/>
      <c r="W289" s="7" t="n"/>
      <c r="X289" s="7" t="inlineStr">
        <is>
          <t>NOT LOCATED — NOT YET RECOVERED</t>
        </is>
      </c>
      <c r="Y289" s="7" t="inlineStr">
        <is>
          <t>EXCLUDED</t>
        </is>
      </c>
      <c r="Z289" s="11" t="b">
        <v>0</v>
      </c>
      <c r="AA289" s="8" t="inlineStr">
        <is>
          <t>CURRENT EVIDENCE / STATUS</t>
        </is>
      </c>
    </row>
    <row r="290" ht="15.75" customHeight="1" s="29">
      <c r="A290" s="7" t="inlineStr">
        <is>
          <t>Q-285</t>
        </is>
      </c>
      <c r="B290" s="7" t="inlineStr">
        <is>
          <t>RNR-H36</t>
        </is>
      </c>
      <c r="C290" s="7" t="inlineStr">
        <is>
          <t>Uncreated</t>
        </is>
      </c>
      <c r="D290" s="7" t="inlineStr">
        <is>
          <t>Q</t>
        </is>
      </c>
      <c r="E290" s="7" t="inlineStr">
        <is>
          <t>Anglican</t>
        </is>
      </c>
      <c r="F290" s="7" t="inlineStr">
        <is>
          <t>SINGLE</t>
        </is>
      </c>
      <c r="G290" s="7" t="inlineStr">
        <is>
          <t>TO RECOVER FROM SESSION 9 LEDGER</t>
        </is>
      </c>
      <c r="H290" s="7" t="inlineStr">
        <is>
          <t>NO PUBLIC TILE</t>
        </is>
      </c>
      <c r="I290" s="7" t="n"/>
      <c r="J290" s="7" t="n"/>
      <c r="K290" s="7" t="n"/>
      <c r="L290" s="7" t="n"/>
      <c r="M290" s="7" t="n"/>
      <c r="N290" s="7" t="n"/>
      <c r="O290" s="7" t="n"/>
      <c r="P290" s="7" t="n"/>
      <c r="Q290" s="7" t="inlineStr">
        <is>
          <t>NOT-ASSESSED</t>
        </is>
      </c>
      <c r="R290" s="7" t="n"/>
      <c r="S290" s="7" t="n"/>
      <c r="T290" s="7" t="n"/>
      <c r="U290" s="7" t="n"/>
      <c r="V290" s="7" t="n"/>
      <c r="W290" s="7" t="n"/>
      <c r="X290" s="7" t="inlineStr">
        <is>
          <t>NOT LOCATED — NOT YET RECOVERED</t>
        </is>
      </c>
      <c r="Y290" s="7" t="inlineStr">
        <is>
          <t>EXCLUDED</t>
        </is>
      </c>
      <c r="Z290" s="11" t="b">
        <v>0</v>
      </c>
      <c r="AA290" s="8" t="inlineStr">
        <is>
          <t>CURRENT EVIDENCE / STATUS</t>
        </is>
      </c>
    </row>
    <row r="291" ht="15.75" customHeight="1" s="29">
      <c r="A291" s="7" t="inlineStr">
        <is>
          <t>Q-286</t>
        </is>
      </c>
      <c r="B291" s="7" t="inlineStr">
        <is>
          <t>RNR-H36</t>
        </is>
      </c>
      <c r="C291" s="7" t="inlineStr">
        <is>
          <t>Uncreated</t>
        </is>
      </c>
      <c r="D291" s="7" t="inlineStr">
        <is>
          <t>Q</t>
        </is>
      </c>
      <c r="E291" s="7" t="inlineStr">
        <is>
          <t>Baptist</t>
        </is>
      </c>
      <c r="F291" s="7" t="inlineStr">
        <is>
          <t>SINGLE</t>
        </is>
      </c>
      <c r="G291" s="7" t="inlineStr">
        <is>
          <t>TO RECOVER FROM SESSION 9 LEDGER</t>
        </is>
      </c>
      <c r="H291" s="7" t="inlineStr">
        <is>
          <t>NO PUBLIC TILE</t>
        </is>
      </c>
      <c r="I291" s="7" t="n"/>
      <c r="J291" s="7" t="n"/>
      <c r="K291" s="7" t="n"/>
      <c r="L291" s="7" t="n"/>
      <c r="M291" s="7" t="n"/>
      <c r="N291" s="7" t="n"/>
      <c r="O291" s="7" t="n"/>
      <c r="P291" s="7" t="n"/>
      <c r="Q291" s="7" t="inlineStr">
        <is>
          <t>NOT-ASSESSED</t>
        </is>
      </c>
      <c r="R291" s="7" t="n"/>
      <c r="S291" s="7" t="n"/>
      <c r="T291" s="7" t="n"/>
      <c r="U291" s="7" t="n"/>
      <c r="V291" s="7" t="n"/>
      <c r="W291" s="7" t="n"/>
      <c r="X291" s="7" t="inlineStr">
        <is>
          <t>NOT LOCATED — NOT YET RECOVERED</t>
        </is>
      </c>
      <c r="Y291" s="7" t="inlineStr">
        <is>
          <t>EXCLUDED</t>
        </is>
      </c>
      <c r="Z291" s="11" t="b">
        <v>0</v>
      </c>
      <c r="AA291" s="8" t="inlineStr">
        <is>
          <t>CURRENT EVIDENCE / STATUS</t>
        </is>
      </c>
    </row>
    <row r="292" ht="15.75" customHeight="1" s="29">
      <c r="A292" s="7" t="inlineStr">
        <is>
          <t>Q-287</t>
        </is>
      </c>
      <c r="B292" s="7" t="inlineStr">
        <is>
          <t>RNR-H36</t>
        </is>
      </c>
      <c r="C292" s="7" t="inlineStr">
        <is>
          <t>Uncreated</t>
        </is>
      </c>
      <c r="D292" s="7" t="inlineStr">
        <is>
          <t>Q</t>
        </is>
      </c>
      <c r="E292" s="7" t="inlineStr">
        <is>
          <t>Methodist / Wesleyan</t>
        </is>
      </c>
      <c r="F292" s="7" t="inlineStr">
        <is>
          <t>SINGLE</t>
        </is>
      </c>
      <c r="G292" s="7" t="inlineStr">
        <is>
          <t>TO RECOVER FROM SESSION 9 LEDGER</t>
        </is>
      </c>
      <c r="H292" s="7" t="inlineStr">
        <is>
          <t>NO PUBLIC TILE</t>
        </is>
      </c>
      <c r="I292" s="7" t="n"/>
      <c r="J292" s="7" t="n"/>
      <c r="K292" s="7" t="n"/>
      <c r="L292" s="7" t="n"/>
      <c r="M292" s="7" t="n"/>
      <c r="N292" s="7" t="n"/>
      <c r="O292" s="7" t="n"/>
      <c r="P292" s="7" t="n"/>
      <c r="Q292" s="7" t="inlineStr">
        <is>
          <t>NOT-ASSESSED</t>
        </is>
      </c>
      <c r="R292" s="7" t="n"/>
      <c r="S292" s="7" t="n"/>
      <c r="T292" s="7" t="n"/>
      <c r="U292" s="7" t="n"/>
      <c r="V292" s="7" t="n"/>
      <c r="W292" s="7" t="n"/>
      <c r="X292" s="7" t="inlineStr">
        <is>
          <t>NOT LOCATED — NOT YET RECOVERED</t>
        </is>
      </c>
      <c r="Y292" s="7" t="inlineStr">
        <is>
          <t>EXCLUDED</t>
        </is>
      </c>
      <c r="Z292" s="11" t="b">
        <v>0</v>
      </c>
      <c r="AA292" s="8" t="inlineStr">
        <is>
          <t>CURRENT EVIDENCE / STATUS</t>
        </is>
      </c>
    </row>
    <row r="293" ht="15.75" customHeight="1" s="29">
      <c r="A293" s="7" t="inlineStr">
        <is>
          <t>Q-288</t>
        </is>
      </c>
      <c r="B293" s="7" t="inlineStr">
        <is>
          <t>RNR-H36</t>
        </is>
      </c>
      <c r="C293" s="7" t="inlineStr">
        <is>
          <t>Uncreated</t>
        </is>
      </c>
      <c r="D293" s="7" t="inlineStr">
        <is>
          <t>Q</t>
        </is>
      </c>
      <c r="E293" s="7" t="inlineStr">
        <is>
          <t>Mennonite / Anabaptist</t>
        </is>
      </c>
      <c r="F293" s="7" t="inlineStr">
        <is>
          <t>SINGLE</t>
        </is>
      </c>
      <c r="G293" s="7" t="inlineStr">
        <is>
          <t>TO RECOVER FROM SESSION 9 LEDGER</t>
        </is>
      </c>
      <c r="H293" s="7" t="inlineStr">
        <is>
          <t>NO PUBLIC TILE</t>
        </is>
      </c>
      <c r="I293" s="7" t="n"/>
      <c r="J293" s="7" t="n"/>
      <c r="K293" s="7" t="n"/>
      <c r="L293" s="7" t="n"/>
      <c r="M293" s="7" t="n"/>
      <c r="N293" s="7" t="n"/>
      <c r="O293" s="7" t="n"/>
      <c r="P293" s="7" t="n"/>
      <c r="Q293" s="7" t="inlineStr">
        <is>
          <t>NOT-ASSESSED</t>
        </is>
      </c>
      <c r="R293" s="7" t="n"/>
      <c r="S293" s="7" t="n"/>
      <c r="T293" s="7" t="n"/>
      <c r="U293" s="7" t="n"/>
      <c r="V293" s="7" t="n"/>
      <c r="W293" s="7" t="n"/>
      <c r="X293" s="7" t="inlineStr">
        <is>
          <t>NOT LOCATED — NOT YET RECOVERED</t>
        </is>
      </c>
      <c r="Y293" s="7" t="inlineStr">
        <is>
          <t>EXCLUDED</t>
        </is>
      </c>
      <c r="Z293" s="11" t="b">
        <v>0</v>
      </c>
      <c r="AA293" s="8" t="inlineStr">
        <is>
          <t>CURRENT EVIDENCE / STATUS</t>
        </is>
      </c>
    </row>
    <row r="294" ht="15.75" customHeight="1" s="29">
      <c r="A294" s="7" t="inlineStr">
        <is>
          <t>Q-289</t>
        </is>
      </c>
      <c r="B294" s="7" t="inlineStr">
        <is>
          <t>RNR-H37</t>
        </is>
      </c>
      <c r="C294" s="7" t="inlineStr">
        <is>
          <t>Unbegotten</t>
        </is>
      </c>
      <c r="D294" s="7" t="inlineStr">
        <is>
          <t>Q</t>
        </is>
      </c>
      <c r="E294" s="7" t="inlineStr">
        <is>
          <t>Roman Catholic</t>
        </is>
      </c>
      <c r="F294" s="7" t="inlineStr">
        <is>
          <t>LATER RECODE</t>
        </is>
      </c>
      <c r="G294" s="7" t="inlineStr">
        <is>
          <t>CURRENT OFFICIAL SOURCE RECOVERED — WEB VERIFIED</t>
        </is>
      </c>
      <c r="H294" s="7" t="inlineStr">
        <is>
          <t>PUBLIC-CERTIFIED — RECONCILED</t>
        </is>
      </c>
      <c r="I294" s="7" t="n"/>
      <c r="J294" s="7" t="n"/>
      <c r="K294" s="7" t="inlineStr">
        <is>
          <t>Roman Catholic Church</t>
        </is>
      </c>
      <c r="L294" s="7" t="inlineStr">
        <is>
          <t>Compendium of the Catechism of the Catholic Church</t>
        </is>
      </c>
      <c r="M294" s="7" t="inlineStr">
        <is>
          <t>Q47 — Father as 'principle without a principle' and origin of all trinitarian life</t>
        </is>
      </c>
      <c r="N294" s="7" t="inlineStr">
        <is>
          <t>https://www.vatican.va/archive/compendium_ccc/documents/archive_2005_compendium-ccc_en.html</t>
        </is>
      </c>
      <c r="O294" s="7" t="inlineStr">
        <is>
          <t>https://www.vatican.va/archive/compendium_ccc/documents/archive_2005_compendium-ccc_en.html</t>
        </is>
      </c>
      <c r="P294" s="7" t="n"/>
      <c r="Q294" s="7" t="inlineStr">
        <is>
          <t>HIGH</t>
        </is>
      </c>
      <c r="R294" s="7" t="inlineStr">
        <is>
          <t>Universal Catholic Church; Compendium summarizes Catechism teaching.</t>
        </is>
      </c>
      <c r="S294" s="7" t="inlineStr">
        <is>
          <t>RECONCILED</t>
        </is>
      </c>
      <c r="T294" s="7" t="inlineStr">
        <is>
          <t>Q</t>
        </is>
      </c>
      <c r="U294" s="7" t="inlineStr">
        <is>
          <t>RNR-H37: historical Session 9 comparison state (U / U-HOLD) differs from current family state (Q); branch display prohibited until reconciliation is completed. | Source reaches current H37 source-status/origin floor.</t>
        </is>
      </c>
      <c r="V294" s="7" t="inlineStr">
        <is>
          <t>CERTIFIED — RECONCILED</t>
        </is>
      </c>
      <c r="W294" s="7" t="n"/>
      <c r="X294" s="7" t="inlineStr">
        <is>
          <t>Q</t>
        </is>
      </c>
      <c r="Y294" s="7" t="inlineStr">
        <is>
          <t>Q</t>
        </is>
      </c>
      <c r="Z294" s="11" t="b">
        <v>0</v>
      </c>
      <c r="AA294" s="8" t="inlineStr">
        <is>
          <t>CURRENT EVIDENCE / STATUS</t>
        </is>
      </c>
    </row>
    <row r="295" ht="15.75" customHeight="1" s="29">
      <c r="A295" s="7" t="inlineStr">
        <is>
          <t>Q-290</t>
        </is>
      </c>
      <c r="B295" s="7" t="inlineStr">
        <is>
          <t>RNR-H37</t>
        </is>
      </c>
      <c r="C295" s="7" t="inlineStr">
        <is>
          <t>Unbegotten</t>
        </is>
      </c>
      <c r="D295" s="7" t="inlineStr">
        <is>
          <t>Q</t>
        </is>
      </c>
      <c r="E295" s="7" t="inlineStr">
        <is>
          <t>Eastern Orthodox</t>
        </is>
      </c>
      <c r="F295" s="7" t="inlineStr">
        <is>
          <t>LATER RECODE</t>
        </is>
      </c>
      <c r="G295" s="7" t="inlineStr">
        <is>
          <t>CURRENT OFFICIAL CATECHETICAL SOURCE RECOVERED — WEB VERIFIED</t>
        </is>
      </c>
      <c r="H295" s="7" t="inlineStr">
        <is>
          <t>PUBLIC-CERTIFIED — RECONCILED</t>
        </is>
      </c>
      <c r="I295" s="7" t="n"/>
      <c r="J295" s="7" t="n"/>
      <c r="K295" s="7" t="inlineStr">
        <is>
          <t>Orthodox Church in America</t>
        </is>
      </c>
      <c r="L295" s="7" t="inlineStr">
        <is>
          <t>The Orthodox Faith, Vol. I — The Holy Trinity: One God, One Father (OCA official catechesis)</t>
        </is>
      </c>
      <c r="M295" s="7" t="inlineStr">
        <is>
          <t>"One God, One Father" — the Son is born from the Father and the Spirit proceeds from the Father in the timeless and eternal action of the Father's own being</t>
        </is>
      </c>
      <c r="N295" s="7" t="inlineStr">
        <is>
          <t>https://www.oca.org/orthodoxy/the-orthodox-faith/doctrine-scripture/the-holy-trinity/one-god-one-father</t>
        </is>
      </c>
      <c r="O295" s="7" t="inlineStr">
        <is>
          <t>https://www.oca.org/orthodoxy/the-orthodox-faith/doctrine-scripture/the-holy-trinity/one-god-one-father</t>
        </is>
      </c>
      <c r="P295" s="7" t="n"/>
      <c r="Q295" s="7" t="inlineStr">
        <is>
          <t>HIGH</t>
        </is>
      </c>
      <c r="R295" s="7" t="inlineStr">
        <is>
          <t>Orthodox Church in America (official catechetical witness) — jurisdictional scope</t>
        </is>
      </c>
      <c r="S295" s="7" t="inlineStr">
        <is>
          <t>RECONCILED</t>
        </is>
      </c>
      <c r="T295" s="7" t="inlineStr">
        <is>
          <t>Q</t>
        </is>
      </c>
      <c r="U295" s="7" t="inlineStr">
        <is>
          <t>Quoted phrase: "There is only one God because there is only one Father". Supplemental (https://www.oca.org/orthodoxy/the-orthodox-faith/doctrine-scripture/the-symbol-of-faith/son-of-god): "God is an eternal Father by nature".</t>
        </is>
      </c>
      <c r="V295" s="7" t="inlineStr">
        <is>
          <t>CERTIFIED — RECONCILED</t>
        </is>
      </c>
      <c r="W295" s="7" t="inlineStr">
        <is>
          <t>AJP 2026-09-09: source strengthened. Controlling witness replaced — OCA official catechetical text (The Orthodox Faith, Vol. I) instead of the Gregory the Theologian saint's-life page. Floor: the Father is the unoriginate source from whom the Son is born and the Spirit proceeds (monarchy of the Father); the lexeme "unbegotten" does not appear on OCA catechetical pages and is not claimed. Supplemental: Symbol of Faith — Son of God: "God is an eternal Father by nature".</t>
        </is>
      </c>
      <c r="X295" s="7" t="inlineStr">
        <is>
          <t>Q</t>
        </is>
      </c>
      <c r="Y295" s="7" t="inlineStr">
        <is>
          <t>Q</t>
        </is>
      </c>
      <c r="Z295" s="11" t="b">
        <v>0</v>
      </c>
      <c r="AA295" s="8" t="inlineStr">
        <is>
          <t>CURRENT EVIDENCE / STATUS</t>
        </is>
      </c>
    </row>
    <row r="296" ht="15.75" customHeight="1" s="29">
      <c r="A296" s="7" t="inlineStr">
        <is>
          <t>Q-291</t>
        </is>
      </c>
      <c r="B296" s="7" t="inlineStr">
        <is>
          <t>RNR-H37</t>
        </is>
      </c>
      <c r="C296" s="7" t="inlineStr">
        <is>
          <t>Unbegotten</t>
        </is>
      </c>
      <c r="D296" s="7" t="inlineStr">
        <is>
          <t>Q</t>
        </is>
      </c>
      <c r="E296" s="7" t="inlineStr">
        <is>
          <t>Lutheran</t>
        </is>
      </c>
      <c r="F296" s="7" t="inlineStr">
        <is>
          <t>LATER RECODE</t>
        </is>
      </c>
      <c r="G296" s="7" t="inlineStr">
        <is>
          <t>SESSION 9 SOURCE ROW RECOVERED</t>
        </is>
      </c>
      <c r="H296" s="7" t="inlineStr">
        <is>
          <t>PUBLIC-CERTIFIED — RECONCILED</t>
        </is>
      </c>
      <c r="I296" s="7" t="inlineStr">
        <is>
          <t>RNR-H37a</t>
        </is>
      </c>
      <c r="J296" s="7" t="inlineStr">
        <is>
          <t>U</t>
        </is>
      </c>
      <c r="K296" s="7" t="inlineStr">
        <is>
          <t>Lutheran Church—Missouri Synod</t>
        </is>
      </c>
      <c r="L296" s="7" t="inlineStr">
        <is>
          <t>Athanasian Creed</t>
        </is>
      </c>
      <c r="M296" s="7" t="inlineStr">
        <is>
          <t>Trinity and person/substance clauses</t>
        </is>
      </c>
      <c r="N296" s="7" t="inlineStr">
        <is>
          <t>https://www.lcms.org/about/beliefs/lutheran-confessions</t>
        </is>
      </c>
      <c r="O296" s="7" t="inlineStr">
        <is>
          <t>https://bookofconcord.org/ecumenical-creeds/athanasian-creed/</t>
        </is>
      </c>
      <c r="P296" s="7" t="inlineStr">
        <is>
          <t>S9-IA-0241 / S8-IA-0241</t>
        </is>
      </c>
      <c r="Q296" s="7" t="inlineStr">
        <is>
          <t>MEDIUM</t>
        </is>
      </c>
      <c r="R296" s="7" t="inlineStr">
        <is>
          <t>Session 9 held exact 'unbegotten/from none' layer.</t>
        </is>
      </c>
      <c r="S296" s="7" t="inlineStr">
        <is>
          <t>RECONCILED</t>
        </is>
      </c>
      <c r="T296" s="7" t="inlineStr">
        <is>
          <t>Q</t>
        </is>
      </c>
      <c r="U296" s="7" t="inlineStr">
        <is>
          <t>Current family H37 is Q; historical Session 9 row remained U/U-HOLD. | RNR-H37: historical Session 9 comparison state (U / U-HOLD) differs from current family state (Q); branch display prohibited until reconciliation is completed. | Reconciliation pass v2.7: The Athanasian source explicitly places the Father 'of none' / neither created nor begotten. The current H37 floor shares beginninglessness/source-status but materially qualifies absolute-from-none language by antecedent-divine-lineage teaching. Session 9 U reflected an underpowered Latter-day Saint comparator, not unresolved historical attestation.</t>
        </is>
      </c>
      <c r="V296" s="7" t="inlineStr">
        <is>
          <t>CERTIFIED — RECONCILED</t>
        </is>
      </c>
      <c r="W296" s="7" t="inlineStr">
        <is>
          <t>Technical reconciliation completed against the author-approved current semantic floor; no master-family recode made.</t>
        </is>
      </c>
      <c r="X296" s="7" t="inlineStr">
        <is>
          <t>Q</t>
        </is>
      </c>
      <c r="Y296" s="7" t="inlineStr">
        <is>
          <t>Q</t>
        </is>
      </c>
      <c r="Z296" s="11" t="b">
        <v>0</v>
      </c>
      <c r="AA296" s="8" t="inlineStr">
        <is>
          <t>CURRENT EVIDENCE / STATUS</t>
        </is>
      </c>
    </row>
    <row r="297" ht="15.75" customHeight="1" s="29">
      <c r="A297" s="7" t="inlineStr">
        <is>
          <t>Q-292</t>
        </is>
      </c>
      <c r="B297" s="7" t="inlineStr">
        <is>
          <t>RNR-H37</t>
        </is>
      </c>
      <c r="C297" s="7" t="inlineStr">
        <is>
          <t>Unbegotten</t>
        </is>
      </c>
      <c r="D297" s="7" t="inlineStr">
        <is>
          <t>Q</t>
        </is>
      </c>
      <c r="E297" s="7" t="inlineStr">
        <is>
          <t>Reformed / Presbyterian</t>
        </is>
      </c>
      <c r="F297" s="7" t="inlineStr">
        <is>
          <t>LATER RECODE</t>
        </is>
      </c>
      <c r="G297" s="7" t="inlineStr">
        <is>
          <t>SESSION 9 SOURCE ROW RECOVERED</t>
        </is>
      </c>
      <c r="H297" s="7" t="inlineStr">
        <is>
          <t>PUBLIC-CERTIFIED — RECONCILED</t>
        </is>
      </c>
      <c r="I297" s="7" t="inlineStr">
        <is>
          <t>RNR-H37a</t>
        </is>
      </c>
      <c r="J297" s="7" t="inlineStr">
        <is>
          <t>U</t>
        </is>
      </c>
      <c r="K297" s="7" t="inlineStr">
        <is>
          <t>Orthodox Presbyterian Church</t>
        </is>
      </c>
      <c r="L297" s="7" t="inlineStr">
        <is>
          <t>Westminster Confession of Faith</t>
        </is>
      </c>
      <c r="M297" s="7" t="inlineStr">
        <is>
          <t>Chapters II.1–3 etc.</t>
        </is>
      </c>
      <c r="N297" s="7" t="inlineStr">
        <is>
          <t>https://opc.org/wcf.html</t>
        </is>
      </c>
      <c r="O297" s="7" t="inlineStr">
        <is>
          <t>https://opc.org/wcf.html</t>
        </is>
      </c>
      <c r="P297" s="7" t="inlineStr">
        <is>
          <t>S9-IA-0242 / S8-IA-0242</t>
        </is>
      </c>
      <c r="Q297" s="7" t="inlineStr">
        <is>
          <t>MEDIUM</t>
        </is>
      </c>
      <c r="R297" s="7" t="inlineStr">
        <is>
          <t>OPC scope; Session 9 held exact layer.</t>
        </is>
      </c>
      <c r="S297" s="7" t="inlineStr">
        <is>
          <t>RECONCILED</t>
        </is>
      </c>
      <c r="T297" s="7" t="inlineStr">
        <is>
          <t>Q</t>
        </is>
      </c>
      <c r="U297" s="7" t="inlineStr">
        <is>
          <t>Current family H37 is Q; must reconcile later source reasoning before public tile. | RNR-H37: historical Session 9 comparison state (U / U-HOLD) differs from current family state (Q); branch display prohibited until reconciliation is completed. | Reconciliation pass v2.7: The Westminster source attests the Father as 'of none' / neither begotten nor proceeding. The current H37 floor therefore applies: beginninglessness/source-status is shared, while absolute-from-none is materially qualified by antecedent-divine-lineage teaching.</t>
        </is>
      </c>
      <c r="V297" s="7" t="inlineStr">
        <is>
          <t>CERTIFIED — RECONCILED</t>
        </is>
      </c>
      <c r="W297" s="7" t="inlineStr">
        <is>
          <t>Technical reconciliation completed against the author-approved current semantic floor; no master-family recode made.</t>
        </is>
      </c>
      <c r="X297" s="7" t="inlineStr">
        <is>
          <t>Q</t>
        </is>
      </c>
      <c r="Y297" s="7" t="inlineStr">
        <is>
          <t>Q</t>
        </is>
      </c>
      <c r="Z297" s="11" t="b">
        <v>0</v>
      </c>
      <c r="AA297" s="8" t="inlineStr">
        <is>
          <t>CURRENT EVIDENCE / STATUS</t>
        </is>
      </c>
    </row>
    <row r="298" ht="15.75" customHeight="1" s="29">
      <c r="A298" s="7" t="inlineStr">
        <is>
          <t>Q-293</t>
        </is>
      </c>
      <c r="B298" s="7" t="inlineStr">
        <is>
          <t>RNR-H37</t>
        </is>
      </c>
      <c r="C298" s="7" t="inlineStr">
        <is>
          <t>Unbegotten</t>
        </is>
      </c>
      <c r="D298" s="7" t="inlineStr">
        <is>
          <t>Q</t>
        </is>
      </c>
      <c r="E298" s="7" t="inlineStr">
        <is>
          <t>Anglican</t>
        </is>
      </c>
      <c r="F298" s="7" t="inlineStr">
        <is>
          <t>LATER RECODE</t>
        </is>
      </c>
      <c r="G298" s="7" t="inlineStr">
        <is>
          <t>CURRENT AUTHORIZED FORMULARY RECOVERED — WEB VERIFIED</t>
        </is>
      </c>
      <c r="H298" s="7" t="inlineStr">
        <is>
          <t>PUBLIC-CERTIFIED — RECONCILED</t>
        </is>
      </c>
      <c r="I298" s="7" t="n"/>
      <c r="J298" s="7" t="n"/>
      <c r="K298" s="7" t="inlineStr">
        <is>
          <t>Church of England</t>
        </is>
      </c>
      <c r="L298" s="7" t="inlineStr">
        <is>
          <t>Creed of S. Athanasius, Book of Common Prayer</t>
        </is>
      </c>
      <c r="M298" s="7" t="inlineStr">
        <is>
          <t>The Father is made of none: neither created, nor begotten</t>
        </is>
      </c>
      <c r="N298" s="7" t="inlineStr">
        <is>
          <t>https://www.churchofengland.org/prayer-and-worship/worship-texts-and-resources/book-common-prayer/articles-religion</t>
        </is>
      </c>
      <c r="O298" s="7" t="inlineStr">
        <is>
          <t>https://ccel.org/ccel/creeds/athanasian.creed.html</t>
        </is>
      </c>
      <c r="P298" s="7" t="n"/>
      <c r="Q298" s="7" t="inlineStr">
        <is>
          <t>HIGH</t>
        </is>
      </c>
      <c r="R298" s="7" t="inlineStr">
        <is>
          <t>Church of England only; not automatically Anglican Communion-wide.</t>
        </is>
      </c>
      <c r="S298" s="7" t="inlineStr">
        <is>
          <t>RECONCILED</t>
        </is>
      </c>
      <c r="T298" s="7" t="inlineStr">
        <is>
          <t>Q</t>
        </is>
      </c>
      <c r="U298" s="7" t="inlineStr">
        <is>
          <t>RNR-H37: historical Session 9 comparison state (U / U-HOLD) differs from current family state (Q); branch display prohibited until reconciliation is completed. | Exact H37 wording recovered.</t>
        </is>
      </c>
      <c r="V298" s="7" t="inlineStr">
        <is>
          <t>CERTIFIED — RECONCILED</t>
        </is>
      </c>
      <c r="W298" s="7" t="n"/>
      <c r="X298" s="7" t="inlineStr">
        <is>
          <t>Q</t>
        </is>
      </c>
      <c r="Y298" s="7" t="inlineStr">
        <is>
          <t>Q</t>
        </is>
      </c>
      <c r="Z298" s="11" t="b">
        <v>0</v>
      </c>
      <c r="AA298" s="8" t="inlineStr">
        <is>
          <t>CURRENT EVIDENCE / STATUS</t>
        </is>
      </c>
    </row>
    <row r="299" ht="15.75" customHeight="1" s="29">
      <c r="A299" s="7" t="inlineStr">
        <is>
          <t>Q-294</t>
        </is>
      </c>
      <c r="B299" s="7" t="inlineStr">
        <is>
          <t>RNR-H37</t>
        </is>
      </c>
      <c r="C299" s="7" t="inlineStr">
        <is>
          <t>Unbegotten</t>
        </is>
      </c>
      <c r="D299" s="7" t="inlineStr">
        <is>
          <t>Q</t>
        </is>
      </c>
      <c r="E299" s="7" t="inlineStr">
        <is>
          <t>Baptist</t>
        </is>
      </c>
      <c r="F299" s="7" t="inlineStr">
        <is>
          <t>LATER RECODE</t>
        </is>
      </c>
      <c r="G299" s="7" t="inlineStr">
        <is>
          <t>CURRENT STANDARD REVIEWED — PROPOSITION NOT ATTESTED</t>
        </is>
      </c>
      <c r="H299" s="7" t="inlineStr">
        <is>
          <t>NO PUBLIC TILE — CURRENT STANDARD REVIEWED</t>
        </is>
      </c>
      <c r="I299" s="7" t="n"/>
      <c r="J299" s="7" t="n"/>
      <c r="K299" s="7" t="inlineStr">
        <is>
          <t>Southern Baptist Convention</t>
        </is>
      </c>
      <c r="L299" s="7" t="inlineStr">
        <is>
          <t>Baptist Faith and Message 2000</t>
        </is>
      </c>
      <c r="M299" s="7" t="inlineStr">
        <is>
          <t>Article II: God</t>
        </is>
      </c>
      <c r="N299" s="7" t="inlineStr">
        <is>
          <t>https://bfm.sbc.net/bfm2000/</t>
        </is>
      </c>
      <c r="O299" s="7" t="inlineStr">
        <is>
          <t>https://bfm.sbc.net/bfm2000/</t>
        </is>
      </c>
      <c r="P299" s="7" t="n"/>
      <c r="Q299" s="7" t="inlineStr">
        <is>
          <t>HIGH</t>
        </is>
      </c>
      <c r="R299" s="7" t="inlineStr">
        <is>
          <t>SBC cooperative identity; not all Baptists.</t>
        </is>
      </c>
      <c r="S299" s="7" t="inlineStr">
        <is>
          <t>CLOSED — NOT ATTESTED IN CURRENT STANDARD</t>
        </is>
      </c>
      <c r="T299" s="7" t="n"/>
      <c r="U299" s="7" t="inlineStr">
        <is>
          <t>RNR-H37: historical Session 9 comparison state (U / U-HOLD) differs from current family state (Q); branch display prohibited until reconciliation is completed. | Current standard reviewed; exact predicate not attested. Comparison gap, not denial.</t>
        </is>
      </c>
      <c r="V299" s="7" t="inlineStr">
        <is>
          <t>CLOSED — NOT ATTESTED</t>
        </is>
      </c>
      <c r="W299" s="7" t="n"/>
      <c r="X299" s="7" t="inlineStr">
        <is>
          <t>NOT LOCATED — CURRENT STANDARD REVIEWED</t>
        </is>
      </c>
      <c r="Y299" s="7" t="inlineStr">
        <is>
          <t>EXCLUDED</t>
        </is>
      </c>
      <c r="Z299" s="11" t="b">
        <v>0</v>
      </c>
      <c r="AA299" s="8" t="inlineStr">
        <is>
          <t>CURRENT EVIDENCE / STATUS</t>
        </is>
      </c>
    </row>
    <row r="300" ht="15.75" customHeight="1" s="29">
      <c r="A300" s="7" t="inlineStr">
        <is>
          <t>Q-295</t>
        </is>
      </c>
      <c r="B300" s="7" t="inlineStr">
        <is>
          <t>RNR-H37</t>
        </is>
      </c>
      <c r="C300" s="7" t="inlineStr">
        <is>
          <t>Unbegotten</t>
        </is>
      </c>
      <c r="D300" s="7" t="inlineStr">
        <is>
          <t>Q</t>
        </is>
      </c>
      <c r="E300" s="7" t="inlineStr">
        <is>
          <t>Methodist / Wesleyan</t>
        </is>
      </c>
      <c r="F300" s="7" t="inlineStr">
        <is>
          <t>LATER RECODE</t>
        </is>
      </c>
      <c r="G300" s="7" t="inlineStr">
        <is>
          <t>CURRENT STANDARD REVIEWED — PROPOSITION NOT ATTESTED</t>
        </is>
      </c>
      <c r="H300" s="7" t="inlineStr">
        <is>
          <t>NO PUBLIC TILE — CURRENT STANDARD REVIEWED</t>
        </is>
      </c>
      <c r="I300" s="7" t="n"/>
      <c r="J300" s="7" t="n"/>
      <c r="K300" s="7" t="inlineStr">
        <is>
          <t>The United Methodist Church</t>
        </is>
      </c>
      <c r="L300" s="7" t="inlineStr">
        <is>
          <t>Articles of Religion + Confession of Faith</t>
        </is>
      </c>
      <c r="M300" s="7" t="inlineStr">
        <is>
          <t>Article I / Article I</t>
        </is>
      </c>
      <c r="N300" s="7" t="inlineStr">
        <is>
          <t>https://www.umc.org/en/content/foundational-documents</t>
        </is>
      </c>
      <c r="O300" s="7" t="inlineStr">
        <is>
          <t>https://www.umc.org/en/content/articles-of-religion</t>
        </is>
      </c>
      <c r="P300" s="7" t="n"/>
      <c r="Q300" s="7" t="inlineStr">
        <is>
          <t>HIGH</t>
        </is>
      </c>
      <c r="R300" s="7" t="inlineStr">
        <is>
          <t>UMC doctrinal-standard scope; not every Wesleyan body.</t>
        </is>
      </c>
      <c r="S300" s="7" t="inlineStr">
        <is>
          <t>CLOSED — NOT ATTESTED IN CURRENT STANDARD</t>
        </is>
      </c>
      <c r="T300" s="7" t="n"/>
      <c r="U300" s="7" t="inlineStr">
        <is>
          <t>RNR-H37: historical Session 9 comparison state (U / U-HOLD) differs from current family state (Q); branch display prohibited until reconciliation is completed. | Current standard reviewed; exact predicate not attested. Comparison gap, not denial.</t>
        </is>
      </c>
      <c r="V300" s="7" t="inlineStr">
        <is>
          <t>CLOSED — NOT ATTESTED</t>
        </is>
      </c>
      <c r="W300" s="7" t="n"/>
      <c r="X300" s="7" t="inlineStr">
        <is>
          <t>NOT LOCATED — CURRENT STANDARD REVIEWED</t>
        </is>
      </c>
      <c r="Y300" s="7" t="inlineStr">
        <is>
          <t>EXCLUDED</t>
        </is>
      </c>
      <c r="Z300" s="11" t="b">
        <v>0</v>
      </c>
      <c r="AA300" s="8" t="inlineStr">
        <is>
          <t>CURRENT EVIDENCE / STATUS</t>
        </is>
      </c>
    </row>
    <row r="301" ht="15.75" customHeight="1" s="29">
      <c r="A301" s="7" t="inlineStr">
        <is>
          <t>Q-296</t>
        </is>
      </c>
      <c r="B301" s="7" t="inlineStr">
        <is>
          <t>RNR-H37</t>
        </is>
      </c>
      <c r="C301" s="7" t="inlineStr">
        <is>
          <t>Unbegotten</t>
        </is>
      </c>
      <c r="D301" s="7" t="inlineStr">
        <is>
          <t>Q</t>
        </is>
      </c>
      <c r="E301" s="7" t="inlineStr">
        <is>
          <t>Mennonite / Anabaptist</t>
        </is>
      </c>
      <c r="F301" s="7" t="inlineStr">
        <is>
          <t>LATER RECODE</t>
        </is>
      </c>
      <c r="G301" s="7" t="inlineStr">
        <is>
          <t>CURRENT STANDARD REVIEWED — PROPOSITION NOT ATTESTED</t>
        </is>
      </c>
      <c r="H301" s="7" t="inlineStr">
        <is>
          <t>NO PUBLIC TILE — CURRENT STANDARD REVIEWED</t>
        </is>
      </c>
      <c r="I301" s="7" t="n"/>
      <c r="J301" s="7" t="n"/>
      <c r="K301" s="7" t="inlineStr">
        <is>
          <t>Mennonite Church USA</t>
        </is>
      </c>
      <c r="L301" s="7" t="inlineStr">
        <is>
          <t>Confession of Faith in a Mennonite Perspective (1995)</t>
        </is>
      </c>
      <c r="M301" s="7" t="inlineStr">
        <is>
          <t>Article 1: God</t>
        </is>
      </c>
      <c r="N301" s="7" t="inlineStr">
        <is>
          <t>https://www.mennoniteusa.org/who-are-mennonites/what-we-believe/confession-of-faith/god/</t>
        </is>
      </c>
      <c r="O301" s="7" t="inlineStr">
        <is>
          <t>https://www.mennoniteusa.org/who-are-mennonites/what-we-believe/confession-of-faith/god/</t>
        </is>
      </c>
      <c r="P301" s="7" t="n"/>
      <c r="Q301" s="7" t="inlineStr">
        <is>
          <t>HIGH</t>
        </is>
      </c>
      <c r="R301" s="7" t="inlineStr">
        <is>
          <t>MC USA / adopting-body scope; not all Mennonite or Anabaptist bodies.</t>
        </is>
      </c>
      <c r="S301" s="7" t="inlineStr">
        <is>
          <t>CLOSED — NOT ATTESTED IN CURRENT STANDARD</t>
        </is>
      </c>
      <c r="T301" s="7" t="n"/>
      <c r="U301" s="7" t="inlineStr">
        <is>
          <t>RNR-H37: historical Session 9 comparison state (U / U-HOLD) differs from current family state (Q); branch display prohibited until reconciliation is completed. | Current standard reviewed; exact predicate not attested. Comparison gap, not denial.</t>
        </is>
      </c>
      <c r="V301" s="7" t="inlineStr">
        <is>
          <t>CLOSED — NOT ATTESTED</t>
        </is>
      </c>
      <c r="W301" s="7" t="n"/>
      <c r="X301" s="7" t="inlineStr">
        <is>
          <t>NOT LOCATED — CURRENT STANDARD REVIEWED</t>
        </is>
      </c>
      <c r="Y301" s="7" t="inlineStr">
        <is>
          <t>EXCLUDED</t>
        </is>
      </c>
      <c r="Z301" s="11" t="b">
        <v>0</v>
      </c>
      <c r="AA301" s="8" t="inlineStr">
        <is>
          <t>CURRENT EVIDENCE / STATUS</t>
        </is>
      </c>
    </row>
    <row r="302" ht="15.75" customHeight="1" s="29">
      <c r="A302" s="7" t="inlineStr">
        <is>
          <t>Q-297</t>
        </is>
      </c>
      <c r="B302" s="7" t="inlineStr">
        <is>
          <t>RNR-H38</t>
        </is>
      </c>
      <c r="C302" s="7" t="inlineStr">
        <is>
          <t>Not made</t>
        </is>
      </c>
      <c r="D302" s="7" t="inlineStr">
        <is>
          <t>Q</t>
        </is>
      </c>
      <c r="E302" s="7" t="inlineStr">
        <is>
          <t>Roman Catholic</t>
        </is>
      </c>
      <c r="F302" s="7" t="inlineStr">
        <is>
          <t>SUBJECT LOCK + GUARD</t>
        </is>
      </c>
      <c r="G302" s="7" t="inlineStr">
        <is>
          <t>TO RECOVER FROM SESSION 9 LEDGER</t>
        </is>
      </c>
      <c r="H302" s="7" t="inlineStr">
        <is>
          <t>NO PUBLIC TILE</t>
        </is>
      </c>
      <c r="I302" s="7" t="n"/>
      <c r="J302" s="7" t="n"/>
      <c r="K302" s="7" t="n"/>
      <c r="L302" s="7" t="n"/>
      <c r="M302" s="7" t="n"/>
      <c r="N302" s="7" t="n"/>
      <c r="O302" s="7" t="n"/>
      <c r="P302" s="7" t="n"/>
      <c r="Q302" s="7" t="inlineStr">
        <is>
          <t>NOT-ASSESSED</t>
        </is>
      </c>
      <c r="R302" s="7" t="n"/>
      <c r="S302" s="7" t="n"/>
      <c r="T302" s="7" t="n"/>
      <c r="U302" s="7" t="n"/>
      <c r="V302" s="7" t="n"/>
      <c r="W302" s="7" t="n"/>
      <c r="X302" s="7" t="inlineStr">
        <is>
          <t>NOT LOCATED — NOT YET RECOVERED</t>
        </is>
      </c>
      <c r="Y302" s="7" t="inlineStr">
        <is>
          <t>EXCLUDED</t>
        </is>
      </c>
      <c r="Z302" s="11" t="b">
        <v>0</v>
      </c>
      <c r="AA302" s="8" t="inlineStr">
        <is>
          <t>CURRENT EVIDENCE / STATUS</t>
        </is>
      </c>
    </row>
    <row r="303" ht="15.75" customHeight="1" s="29">
      <c r="A303" s="7" t="inlineStr">
        <is>
          <t>Q-298</t>
        </is>
      </c>
      <c r="B303" s="7" t="inlineStr">
        <is>
          <t>RNR-H38</t>
        </is>
      </c>
      <c r="C303" s="7" t="inlineStr">
        <is>
          <t>Not made</t>
        </is>
      </c>
      <c r="D303" s="7" t="inlineStr">
        <is>
          <t>Q</t>
        </is>
      </c>
      <c r="E303" s="7" t="inlineStr">
        <is>
          <t>Eastern Orthodox</t>
        </is>
      </c>
      <c r="F303" s="7" t="inlineStr">
        <is>
          <t>SUBJECT LOCK + GUARD</t>
        </is>
      </c>
      <c r="G303" s="7" t="inlineStr">
        <is>
          <t>TO RECOVER FROM SESSION 9 LEDGER</t>
        </is>
      </c>
      <c r="H303" s="7" t="inlineStr">
        <is>
          <t>NO PUBLIC TILE</t>
        </is>
      </c>
      <c r="I303" s="7" t="n"/>
      <c r="J303" s="7" t="n"/>
      <c r="K303" s="7" t="n"/>
      <c r="L303" s="7" t="n"/>
      <c r="M303" s="7" t="n"/>
      <c r="N303" s="7" t="n"/>
      <c r="O303" s="7" t="n"/>
      <c r="P303" s="7" t="n"/>
      <c r="Q303" s="7" t="inlineStr">
        <is>
          <t>NOT-ASSESSED</t>
        </is>
      </c>
      <c r="R303" s="7" t="n"/>
      <c r="S303" s="7" t="n"/>
      <c r="T303" s="7" t="n"/>
      <c r="U303" s="7" t="n"/>
      <c r="V303" s="7" t="n"/>
      <c r="W303" s="7" t="n"/>
      <c r="X303" s="7" t="inlineStr">
        <is>
          <t>NOT LOCATED — NOT YET RECOVERED</t>
        </is>
      </c>
      <c r="Y303" s="7" t="inlineStr">
        <is>
          <t>EXCLUDED</t>
        </is>
      </c>
      <c r="Z303" s="11" t="b">
        <v>0</v>
      </c>
      <c r="AA303" s="8" t="inlineStr">
        <is>
          <t>CURRENT EVIDENCE / STATUS</t>
        </is>
      </c>
    </row>
    <row r="304" ht="15.75" customHeight="1" s="29">
      <c r="A304" s="7" t="inlineStr">
        <is>
          <t>Q-299</t>
        </is>
      </c>
      <c r="B304" s="7" t="inlineStr">
        <is>
          <t>RNR-H38</t>
        </is>
      </c>
      <c r="C304" s="7" t="inlineStr">
        <is>
          <t>Not made</t>
        </is>
      </c>
      <c r="D304" s="7" t="inlineStr">
        <is>
          <t>Q</t>
        </is>
      </c>
      <c r="E304" s="7" t="inlineStr">
        <is>
          <t>Lutheran</t>
        </is>
      </c>
      <c r="F304" s="7" t="inlineStr">
        <is>
          <t>SUBJECT LOCK + GUARD</t>
        </is>
      </c>
      <c r="G304" s="7" t="inlineStr">
        <is>
          <t>TO RECOVER FROM SESSION 9 LEDGER</t>
        </is>
      </c>
      <c r="H304" s="7" t="inlineStr">
        <is>
          <t>NO PUBLIC TILE</t>
        </is>
      </c>
      <c r="I304" s="7" t="n"/>
      <c r="J304" s="7" t="n"/>
      <c r="K304" s="7" t="n"/>
      <c r="L304" s="7" t="n"/>
      <c r="M304" s="7" t="n"/>
      <c r="N304" s="7" t="n"/>
      <c r="O304" s="7" t="n"/>
      <c r="P304" s="7" t="n"/>
      <c r="Q304" s="7" t="inlineStr">
        <is>
          <t>NOT-ASSESSED</t>
        </is>
      </c>
      <c r="R304" s="7" t="n"/>
      <c r="S304" s="7" t="n"/>
      <c r="T304" s="7" t="n"/>
      <c r="U304" s="7" t="n"/>
      <c r="V304" s="7" t="n"/>
      <c r="W304" s="7" t="n"/>
      <c r="X304" s="7" t="inlineStr">
        <is>
          <t>NOT LOCATED — NOT YET RECOVERED</t>
        </is>
      </c>
      <c r="Y304" s="7" t="inlineStr">
        <is>
          <t>EXCLUDED</t>
        </is>
      </c>
      <c r="Z304" s="11" t="b">
        <v>0</v>
      </c>
      <c r="AA304" s="8" t="inlineStr">
        <is>
          <t>CURRENT EVIDENCE / STATUS</t>
        </is>
      </c>
    </row>
    <row r="305" ht="15.75" customHeight="1" s="29">
      <c r="A305" s="7" t="inlineStr">
        <is>
          <t>Q-300</t>
        </is>
      </c>
      <c r="B305" s="7" t="inlineStr">
        <is>
          <t>RNR-H38</t>
        </is>
      </c>
      <c r="C305" s="7" t="inlineStr">
        <is>
          <t>Not made</t>
        </is>
      </c>
      <c r="D305" s="7" t="inlineStr">
        <is>
          <t>Q</t>
        </is>
      </c>
      <c r="E305" s="7" t="inlineStr">
        <is>
          <t>Reformed / Presbyterian</t>
        </is>
      </c>
      <c r="F305" s="7" t="inlineStr">
        <is>
          <t>SUBJECT LOCK + GUARD</t>
        </is>
      </c>
      <c r="G305" s="7" t="inlineStr">
        <is>
          <t>TO RECOVER FROM SESSION 9 LEDGER</t>
        </is>
      </c>
      <c r="H305" s="7" t="inlineStr">
        <is>
          <t>NO PUBLIC TILE</t>
        </is>
      </c>
      <c r="I305" s="7" t="n"/>
      <c r="J305" s="7" t="n"/>
      <c r="K305" s="7" t="n"/>
      <c r="L305" s="7" t="n"/>
      <c r="M305" s="7" t="n"/>
      <c r="N305" s="7" t="n"/>
      <c r="O305" s="7" t="n"/>
      <c r="P305" s="7" t="n"/>
      <c r="Q305" s="7" t="inlineStr">
        <is>
          <t>NOT-ASSESSED</t>
        </is>
      </c>
      <c r="R305" s="7" t="n"/>
      <c r="S305" s="7" t="n"/>
      <c r="T305" s="7" t="n"/>
      <c r="U305" s="7" t="n"/>
      <c r="V305" s="7" t="n"/>
      <c r="W305" s="7" t="n"/>
      <c r="X305" s="7" t="inlineStr">
        <is>
          <t>NOT LOCATED — NOT YET RECOVERED</t>
        </is>
      </c>
      <c r="Y305" s="7" t="inlineStr">
        <is>
          <t>EXCLUDED</t>
        </is>
      </c>
      <c r="Z305" s="11" t="b">
        <v>0</v>
      </c>
      <c r="AA305" s="8" t="inlineStr">
        <is>
          <t>CURRENT EVIDENCE / STATUS</t>
        </is>
      </c>
    </row>
    <row r="306" ht="15.75" customHeight="1" s="29">
      <c r="A306" s="7" t="inlineStr">
        <is>
          <t>Q-301</t>
        </is>
      </c>
      <c r="B306" s="7" t="inlineStr">
        <is>
          <t>RNR-H38</t>
        </is>
      </c>
      <c r="C306" s="7" t="inlineStr">
        <is>
          <t>Not made</t>
        </is>
      </c>
      <c r="D306" s="7" t="inlineStr">
        <is>
          <t>Q</t>
        </is>
      </c>
      <c r="E306" s="7" t="inlineStr">
        <is>
          <t>Anglican</t>
        </is>
      </c>
      <c r="F306" s="7" t="inlineStr">
        <is>
          <t>SUBJECT LOCK + GUARD</t>
        </is>
      </c>
      <c r="G306" s="7" t="inlineStr">
        <is>
          <t>TO RECOVER FROM SESSION 9 LEDGER</t>
        </is>
      </c>
      <c r="H306" s="7" t="inlineStr">
        <is>
          <t>NO PUBLIC TILE</t>
        </is>
      </c>
      <c r="I306" s="7" t="n"/>
      <c r="J306" s="7" t="n"/>
      <c r="K306" s="7" t="n"/>
      <c r="L306" s="7" t="n"/>
      <c r="M306" s="7" t="n"/>
      <c r="N306" s="7" t="n"/>
      <c r="O306" s="7" t="n"/>
      <c r="P306" s="7" t="n"/>
      <c r="Q306" s="7" t="inlineStr">
        <is>
          <t>NOT-ASSESSED</t>
        </is>
      </c>
      <c r="R306" s="7" t="n"/>
      <c r="S306" s="7" t="n"/>
      <c r="T306" s="7" t="n"/>
      <c r="U306" s="7" t="n"/>
      <c r="V306" s="7" t="n"/>
      <c r="W306" s="7" t="n"/>
      <c r="X306" s="7" t="inlineStr">
        <is>
          <t>NOT LOCATED — NOT YET RECOVERED</t>
        </is>
      </c>
      <c r="Y306" s="7" t="inlineStr">
        <is>
          <t>EXCLUDED</t>
        </is>
      </c>
      <c r="Z306" s="11" t="b">
        <v>0</v>
      </c>
      <c r="AA306" s="8" t="inlineStr">
        <is>
          <t>CURRENT EVIDENCE / STATUS</t>
        </is>
      </c>
    </row>
    <row r="307" ht="15.75" customHeight="1" s="29">
      <c r="A307" s="7" t="inlineStr">
        <is>
          <t>Q-302</t>
        </is>
      </c>
      <c r="B307" s="7" t="inlineStr">
        <is>
          <t>RNR-H38</t>
        </is>
      </c>
      <c r="C307" s="7" t="inlineStr">
        <is>
          <t>Not made</t>
        </is>
      </c>
      <c r="D307" s="7" t="inlineStr">
        <is>
          <t>Q</t>
        </is>
      </c>
      <c r="E307" s="7" t="inlineStr">
        <is>
          <t>Baptist</t>
        </is>
      </c>
      <c r="F307" s="7" t="inlineStr">
        <is>
          <t>SUBJECT LOCK + GUARD</t>
        </is>
      </c>
      <c r="G307" s="7" t="inlineStr">
        <is>
          <t>TO RECOVER FROM SESSION 9 LEDGER</t>
        </is>
      </c>
      <c r="H307" s="7" t="inlineStr">
        <is>
          <t>NO PUBLIC TILE</t>
        </is>
      </c>
      <c r="I307" s="7" t="n"/>
      <c r="J307" s="7" t="n"/>
      <c r="K307" s="7" t="n"/>
      <c r="L307" s="7" t="n"/>
      <c r="M307" s="7" t="n"/>
      <c r="N307" s="7" t="n"/>
      <c r="O307" s="7" t="n"/>
      <c r="P307" s="7" t="n"/>
      <c r="Q307" s="7" t="inlineStr">
        <is>
          <t>NOT-ASSESSED</t>
        </is>
      </c>
      <c r="R307" s="7" t="n"/>
      <c r="S307" s="7" t="n"/>
      <c r="T307" s="7" t="n"/>
      <c r="U307" s="7" t="n"/>
      <c r="V307" s="7" t="n"/>
      <c r="W307" s="7" t="n"/>
      <c r="X307" s="7" t="inlineStr">
        <is>
          <t>NOT LOCATED — NOT YET RECOVERED</t>
        </is>
      </c>
      <c r="Y307" s="7" t="inlineStr">
        <is>
          <t>EXCLUDED</t>
        </is>
      </c>
      <c r="Z307" s="11" t="b">
        <v>0</v>
      </c>
      <c r="AA307" s="8" t="inlineStr">
        <is>
          <t>CURRENT EVIDENCE / STATUS</t>
        </is>
      </c>
    </row>
    <row r="308" ht="15.75" customHeight="1" s="29">
      <c r="A308" s="7" t="inlineStr">
        <is>
          <t>Q-303</t>
        </is>
      </c>
      <c r="B308" s="7" t="inlineStr">
        <is>
          <t>RNR-H38</t>
        </is>
      </c>
      <c r="C308" s="7" t="inlineStr">
        <is>
          <t>Not made</t>
        </is>
      </c>
      <c r="D308" s="7" t="inlineStr">
        <is>
          <t>Q</t>
        </is>
      </c>
      <c r="E308" s="7" t="inlineStr">
        <is>
          <t>Methodist / Wesleyan</t>
        </is>
      </c>
      <c r="F308" s="7" t="inlineStr">
        <is>
          <t>SUBJECT LOCK + GUARD</t>
        </is>
      </c>
      <c r="G308" s="7" t="inlineStr">
        <is>
          <t>TO RECOVER FROM SESSION 9 LEDGER</t>
        </is>
      </c>
      <c r="H308" s="7" t="inlineStr">
        <is>
          <t>NO PUBLIC TILE</t>
        </is>
      </c>
      <c r="I308" s="7" t="n"/>
      <c r="J308" s="7" t="n"/>
      <c r="K308" s="7" t="n"/>
      <c r="L308" s="7" t="n"/>
      <c r="M308" s="7" t="n"/>
      <c r="N308" s="7" t="n"/>
      <c r="O308" s="7" t="n"/>
      <c r="P308" s="7" t="n"/>
      <c r="Q308" s="7" t="inlineStr">
        <is>
          <t>NOT-ASSESSED</t>
        </is>
      </c>
      <c r="R308" s="7" t="n"/>
      <c r="S308" s="7" t="n"/>
      <c r="T308" s="7" t="n"/>
      <c r="U308" s="7" t="n"/>
      <c r="V308" s="7" t="n"/>
      <c r="W308" s="7" t="n"/>
      <c r="X308" s="7" t="inlineStr">
        <is>
          <t>NOT LOCATED — NOT YET RECOVERED</t>
        </is>
      </c>
      <c r="Y308" s="7" t="inlineStr">
        <is>
          <t>EXCLUDED</t>
        </is>
      </c>
      <c r="Z308" s="11" t="b">
        <v>0</v>
      </c>
      <c r="AA308" s="8" t="inlineStr">
        <is>
          <t>CURRENT EVIDENCE / STATUS</t>
        </is>
      </c>
    </row>
    <row r="309" ht="15.75" customHeight="1" s="29">
      <c r="A309" s="7" t="inlineStr">
        <is>
          <t>Q-304</t>
        </is>
      </c>
      <c r="B309" s="7" t="inlineStr">
        <is>
          <t>RNR-H38</t>
        </is>
      </c>
      <c r="C309" s="7" t="inlineStr">
        <is>
          <t>Not made</t>
        </is>
      </c>
      <c r="D309" s="7" t="inlineStr">
        <is>
          <t>Q</t>
        </is>
      </c>
      <c r="E309" s="7" t="inlineStr">
        <is>
          <t>Mennonite / Anabaptist</t>
        </is>
      </c>
      <c r="F309" s="7" t="inlineStr">
        <is>
          <t>SUBJECT LOCK + GUARD</t>
        </is>
      </c>
      <c r="G309" s="7" t="inlineStr">
        <is>
          <t>TO RECOVER FROM SESSION 9 LEDGER</t>
        </is>
      </c>
      <c r="H309" s="7" t="inlineStr">
        <is>
          <t>NO PUBLIC TILE</t>
        </is>
      </c>
      <c r="I309" s="7" t="n"/>
      <c r="J309" s="7" t="n"/>
      <c r="K309" s="7" t="n"/>
      <c r="L309" s="7" t="n"/>
      <c r="M309" s="7" t="n"/>
      <c r="N309" s="7" t="n"/>
      <c r="O309" s="7" t="n"/>
      <c r="P309" s="7" t="n"/>
      <c r="Q309" s="7" t="inlineStr">
        <is>
          <t>NOT-ASSESSED</t>
        </is>
      </c>
      <c r="R309" s="7" t="n"/>
      <c r="S309" s="7" t="n"/>
      <c r="T309" s="7" t="n"/>
      <c r="U309" s="7" t="n"/>
      <c r="V309" s="7" t="n"/>
      <c r="W309" s="7" t="n"/>
      <c r="X309" s="7" t="inlineStr">
        <is>
          <t>NOT LOCATED — NOT YET RECOVERED</t>
        </is>
      </c>
      <c r="Y309" s="7" t="inlineStr">
        <is>
          <t>EXCLUDED</t>
        </is>
      </c>
      <c r="Z309" s="11" t="b">
        <v>0</v>
      </c>
      <c r="AA309" s="8" t="inlineStr">
        <is>
          <t>CURRENT EVIDENCE / STATUS</t>
        </is>
      </c>
    </row>
    <row r="310" ht="15.75" customHeight="1" s="29">
      <c r="A310" s="7" t="inlineStr">
        <is>
          <t>Q-305</t>
        </is>
      </c>
      <c r="B310" s="7" t="inlineStr">
        <is>
          <t>RNR-H39</t>
        </is>
      </c>
      <c r="C310" s="7" t="inlineStr">
        <is>
          <t>Infinite</t>
        </is>
      </c>
      <c r="D310" s="7" t="inlineStr">
        <is>
          <t>Q</t>
        </is>
      </c>
      <c r="E310" s="7" t="inlineStr">
        <is>
          <t>Roman Catholic</t>
        </is>
      </c>
      <c r="F310" s="7" t="inlineStr">
        <is>
          <t>LATER RECODE</t>
        </is>
      </c>
      <c r="G310" s="7" t="inlineStr">
        <is>
          <t>SESSION 9 SOURCE ROW RECOVERED</t>
        </is>
      </c>
      <c r="H310" s="7" t="inlineStr">
        <is>
          <t>PUBLIC-CERTIFIED — RECONCILED</t>
        </is>
      </c>
      <c r="I310" s="7" t="n"/>
      <c r="J310" s="7" t="n"/>
      <c r="K310" s="7" t="inlineStr">
        <is>
          <t>Roman Catholic Church</t>
        </is>
      </c>
      <c r="L310" s="7" t="inlineStr">
        <is>
          <t>First Vatican Council, Dei Filius</t>
        </is>
      </c>
      <c r="M310" s="7" t="inlineStr">
        <is>
          <t>Chapter I, God the Creator of All Things</t>
        </is>
      </c>
      <c r="N310" s="7" t="inlineStr">
        <is>
          <t>https://www.vatican.va/archive/hist_councils/i-vatican-council/documents/vat-i_const_18700424_dei-filius_la.html</t>
        </is>
      </c>
      <c r="O310" s="7" t="inlineStr">
        <is>
          <t>https://www.ewtn.com/catholicism/teachings/vatican-i-dogmatic-constitution-dei-filius-on-the-catholic-faith-241</t>
        </is>
      </c>
      <c r="P310" s="7" t="inlineStr">
        <is>
          <t>S9-IA-0256 / S8-IA-0256</t>
        </is>
      </c>
      <c r="Q310" s="7" t="inlineStr">
        <is>
          <t>MEDIUM-HIGH</t>
        </is>
      </c>
      <c r="R310" s="7" t="inlineStr">
        <is>
          <t>Universal Catholic Church; official Latin controls.</t>
        </is>
      </c>
      <c r="S310" s="7" t="inlineStr">
        <is>
          <t>RECONCILED</t>
        </is>
      </c>
      <c r="T310" s="7" t="inlineStr">
        <is>
          <t>A-SF</t>
        </is>
      </c>
      <c r="U310" s="7" t="inlineStr">
        <is>
          <t>RNR-H39: historical Session 9 comparison state (A) differs from current family state (Q); branch display prohibited until reconciliation is completed. | Reconciliation pass v2.7: Dei Filius attests infinity of intellect, will, and every perfection. At that source-limited perfection floor, substantive agreement is retained. The master H39 family remains Q because blanket non-finitude of divine personal being is too thick; that broader issue is not established by this H39 wording alone.</t>
        </is>
      </c>
      <c r="V310" s="7" t="inlineStr">
        <is>
          <t>CERTIFIED — RECONCILED</t>
        </is>
      </c>
      <c r="W310" s="7" t="inlineStr">
        <is>
          <t>Technical reconciliation completed against the author-approved current semantic floor; no master-family recode made.</t>
        </is>
      </c>
      <c r="X310" s="7" t="inlineStr">
        <is>
          <t>A-SF</t>
        </is>
      </c>
      <c r="Y310" s="7" t="inlineStr">
        <is>
          <t>A</t>
        </is>
      </c>
      <c r="Z310" s="11" t="b">
        <v>0</v>
      </c>
      <c r="AA310" s="8" t="inlineStr">
        <is>
          <t>CURRENT EVIDENCE / STATUS</t>
        </is>
      </c>
    </row>
    <row r="311" ht="15.75" customHeight="1" s="29">
      <c r="A311" s="7" t="inlineStr">
        <is>
          <t>Q-306</t>
        </is>
      </c>
      <c r="B311" s="7" t="inlineStr">
        <is>
          <t>RNR-H39</t>
        </is>
      </c>
      <c r="C311" s="7" t="inlineStr">
        <is>
          <t>Infinite</t>
        </is>
      </c>
      <c r="D311" s="7" t="inlineStr">
        <is>
          <t>Q</t>
        </is>
      </c>
      <c r="E311" s="7" t="inlineStr">
        <is>
          <t>Eastern Orthodox</t>
        </is>
      </c>
      <c r="F311" s="7" t="inlineStr">
        <is>
          <t>LATER RECODE</t>
        </is>
      </c>
      <c r="G311" s="7" t="inlineStr">
        <is>
          <t>CURRENT OFFICIAL CATECHETICAL SOURCE RECOVERED — WEB VERIFIED</t>
        </is>
      </c>
      <c r="H311" s="7" t="inlineStr">
        <is>
          <t>PUBLIC-CERTIFIED — RECONCILED</t>
        </is>
      </c>
      <c r="I311" s="7" t="n"/>
      <c r="J311" s="7" t="n"/>
      <c r="K311" s="7" t="inlineStr">
        <is>
          <t>Orthodox Church in America</t>
        </is>
      </c>
      <c r="L311" s="7" t="inlineStr">
        <is>
          <t>The Orthodox Faith, Vol. I — The Holy Trinity</t>
        </is>
      </c>
      <c r="M311" s="7" t="inlineStr">
        <is>
          <t>Timeless, spaceless, sizeless super-essential existence; absolute divine perfection</t>
        </is>
      </c>
      <c r="N311" s="7" t="inlineStr">
        <is>
          <t>https://www.oca.org/orthodoxy/the-orthodox-faith/doctrine-scripture/the-holy-trinity/the-three-divine-persons</t>
        </is>
      </c>
      <c r="O311" s="7" t="inlineStr">
        <is>
          <t>https://www.oca.org/orthodoxy/the-orthodox-faith/doctrine-scripture/the-holy-trinity/the-three-divine-persons</t>
        </is>
      </c>
      <c r="P311" s="7" t="n"/>
      <c r="Q311" s="7" t="inlineStr">
        <is>
          <t>HIGH</t>
        </is>
      </c>
      <c r="R311" s="7" t="inlineStr">
        <is>
          <t>OCA catechetical witness; not a proxy for every autocephalous church.</t>
        </is>
      </c>
      <c r="S311" s="7" t="inlineStr">
        <is>
          <t>RECONCILED</t>
        </is>
      </c>
      <c r="T311" s="7" t="inlineStr">
        <is>
          <t>Q</t>
        </is>
      </c>
      <c r="U311" s="7" t="inlineStr">
        <is>
          <t>RNR-H39: historical Session 9 comparison state (A) differs from current family state (Q); branch display prohibited until reconciliation is completed. | Broad ontological non-finitude reaches H39 Q boundary.</t>
        </is>
      </c>
      <c r="V311" s="7" t="inlineStr">
        <is>
          <t>CERTIFIED — RECONCILED</t>
        </is>
      </c>
      <c r="W311" s="7" t="n"/>
      <c r="X311" s="7" t="inlineStr">
        <is>
          <t>Q</t>
        </is>
      </c>
      <c r="Y311" s="7" t="inlineStr">
        <is>
          <t>Q</t>
        </is>
      </c>
      <c r="Z311" s="11" t="b">
        <v>0</v>
      </c>
      <c r="AA311" s="8" t="inlineStr">
        <is>
          <t>CURRENT EVIDENCE / STATUS</t>
        </is>
      </c>
    </row>
    <row r="312" ht="15.75" customHeight="1" s="29">
      <c r="A312" s="7" t="inlineStr">
        <is>
          <t>Q-307</t>
        </is>
      </c>
      <c r="B312" s="7" t="inlineStr">
        <is>
          <t>RNR-H39</t>
        </is>
      </c>
      <c r="C312" s="7" t="inlineStr">
        <is>
          <t>Infinite</t>
        </is>
      </c>
      <c r="D312" s="7" t="inlineStr">
        <is>
          <t>Q</t>
        </is>
      </c>
      <c r="E312" s="7" t="inlineStr">
        <is>
          <t>Lutheran</t>
        </is>
      </c>
      <c r="F312" s="7" t="inlineStr">
        <is>
          <t>LATER RECODE</t>
        </is>
      </c>
      <c r="G312" s="7" t="inlineStr">
        <is>
          <t>SESSION 9 SOURCE ROW RECOVERED</t>
        </is>
      </c>
      <c r="H312" s="7" t="inlineStr">
        <is>
          <t>PUBLIC-CERTIFIED — RECONCILED</t>
        </is>
      </c>
      <c r="I312" s="7" t="n"/>
      <c r="J312" s="7" t="n"/>
      <c r="K312" s="7" t="inlineStr">
        <is>
          <t>Lutheran Church—Missouri Synod</t>
        </is>
      </c>
      <c r="L312" s="7" t="inlineStr">
        <is>
          <t>Augsburg Confession</t>
        </is>
      </c>
      <c r="M312" s="7" t="inlineStr">
        <is>
          <t>Article I, God</t>
        </is>
      </c>
      <c r="N312" s="7" t="inlineStr">
        <is>
          <t>https://bookofconcord.org/augsburg-confession/of-god/</t>
        </is>
      </c>
      <c r="O312" s="7" t="inlineStr">
        <is>
          <t>https://bookofconcord.org/augsburg-confession/of-god/</t>
        </is>
      </c>
      <c r="P312" s="7" t="n"/>
      <c r="Q312" s="7" t="inlineStr">
        <is>
          <t>MEDIUM-HIGH</t>
        </is>
      </c>
      <c r="R312" s="7" t="inlineStr">
        <is>
          <t>LCMS confessional subscription; not all Lutherans.</t>
        </is>
      </c>
      <c r="S312" s="7" t="inlineStr">
        <is>
          <t>RECONCILED</t>
        </is>
      </c>
      <c r="T312" s="7" t="inlineStr">
        <is>
          <t>A-SF</t>
        </is>
      </c>
      <c r="U312" s="7" t="inlineStr">
        <is>
          <t>RNR-H39: historical Session 9 comparison state (A) differs from current family state (Q); branch display prohibited until reconciliation is completed. | Infinite power, wisdom, goodness supports A-SF.</t>
        </is>
      </c>
      <c r="V312" s="7" t="inlineStr">
        <is>
          <t>CERTIFIED — RECONCILED</t>
        </is>
      </c>
      <c r="W312" s="7" t="n"/>
      <c r="X312" s="7" t="inlineStr">
        <is>
          <t>A-SF</t>
        </is>
      </c>
      <c r="Y312" s="7" t="inlineStr">
        <is>
          <t>A</t>
        </is>
      </c>
      <c r="Z312" s="11" t="b">
        <v>0</v>
      </c>
      <c r="AA312" s="8" t="inlineStr">
        <is>
          <t>CURRENT EVIDENCE / STATUS</t>
        </is>
      </c>
    </row>
    <row r="313" ht="15.75" customHeight="1" s="29">
      <c r="A313" s="7" t="inlineStr">
        <is>
          <t>Q-308</t>
        </is>
      </c>
      <c r="B313" s="7" t="inlineStr">
        <is>
          <t>RNR-H39</t>
        </is>
      </c>
      <c r="C313" s="7" t="inlineStr">
        <is>
          <t>Infinite</t>
        </is>
      </c>
      <c r="D313" s="7" t="inlineStr">
        <is>
          <t>Q</t>
        </is>
      </c>
      <c r="E313" s="7" t="inlineStr">
        <is>
          <t>Reformed / Presbyterian</t>
        </is>
      </c>
      <c r="F313" s="7" t="inlineStr">
        <is>
          <t>LATER RECODE</t>
        </is>
      </c>
      <c r="G313" s="7" t="inlineStr">
        <is>
          <t>SESSION 9 SOURCE ROW RECOVERED</t>
        </is>
      </c>
      <c r="H313" s="7" t="inlineStr">
        <is>
          <t>PUBLIC-CERTIFIED — RECONCILED</t>
        </is>
      </c>
      <c r="I313" s="7" t="n"/>
      <c r="J313" s="7" t="n"/>
      <c r="K313" s="7" t="inlineStr">
        <is>
          <t>Orthodox Presbyterian Church</t>
        </is>
      </c>
      <c r="L313" s="7" t="inlineStr">
        <is>
          <t>Westminster Shorter Catechism</t>
        </is>
      </c>
      <c r="M313" s="7" t="inlineStr">
        <is>
          <t>Q&amp;A 1 and 4–6 as applicable</t>
        </is>
      </c>
      <c r="N313" s="7" t="inlineStr">
        <is>
          <t>https://opc.org/sc.html</t>
        </is>
      </c>
      <c r="O313" s="7" t="inlineStr">
        <is>
          <t>https://opc.org/sc.html</t>
        </is>
      </c>
      <c r="P313" s="7" t="inlineStr">
        <is>
          <t>S9-IA-0253 / S8-IA-0253; PC(USA) WSC S9-IA-0254 corroborates</t>
        </is>
      </c>
      <c r="Q313" s="7" t="inlineStr">
        <is>
          <t>MEDIUM-HIGH</t>
        </is>
      </c>
      <c r="R313" s="7" t="inlineStr">
        <is>
          <t>OPC primary; PC(USA) constitutional WSC corroborates; teaching-family scope remains broader than either institution.</t>
        </is>
      </c>
      <c r="S313" s="7" t="inlineStr">
        <is>
          <t>RECONCILED</t>
        </is>
      </c>
      <c r="T313" s="7" t="inlineStr">
        <is>
          <t>Q</t>
        </is>
      </c>
      <c r="U313" s="7" t="inlineStr">
        <is>
          <t>RNR-H39: historical Session 9 comparison state (A) differs from current family state (Q); branch display prohibited until reconciliation is completed. | Reconciliation pass v2.7: The Westminster Shorter Catechism describes God as infinite not only in wisdom, power, holiness, and other attributes but in being. That broader ontological scope reaches the current H39 qualification boundary, so Q is warranted.</t>
        </is>
      </c>
      <c r="V313" s="7" t="inlineStr">
        <is>
          <t>CERTIFIED — RECONCILED</t>
        </is>
      </c>
      <c r="W313" s="7" t="inlineStr">
        <is>
          <t>Technical reconciliation completed against the author-approved current semantic floor; no master-family recode made.</t>
        </is>
      </c>
      <c r="X313" s="7" t="inlineStr">
        <is>
          <t>Q</t>
        </is>
      </c>
      <c r="Y313" s="7" t="inlineStr">
        <is>
          <t>Q</t>
        </is>
      </c>
      <c r="Z313" s="11" t="b">
        <v>0</v>
      </c>
      <c r="AA313" s="8" t="inlineStr">
        <is>
          <t>CURRENT EVIDENCE / STATUS</t>
        </is>
      </c>
    </row>
    <row r="314" ht="15.75" customHeight="1" s="29">
      <c r="A314" s="7" t="inlineStr">
        <is>
          <t>Q-309</t>
        </is>
      </c>
      <c r="B314" s="7" t="inlineStr">
        <is>
          <t>RNR-H39</t>
        </is>
      </c>
      <c r="C314" s="7" t="inlineStr">
        <is>
          <t>Infinite</t>
        </is>
      </c>
      <c r="D314" s="7" t="inlineStr">
        <is>
          <t>Q</t>
        </is>
      </c>
      <c r="E314" s="7" t="inlineStr">
        <is>
          <t>Anglican</t>
        </is>
      </c>
      <c r="F314" s="7" t="inlineStr">
        <is>
          <t>LATER RECODE</t>
        </is>
      </c>
      <c r="G314" s="7" t="inlineStr">
        <is>
          <t>CURRENT AUTHORIZED FORMULARY RECOVERED — WEB VERIFIED</t>
        </is>
      </c>
      <c r="H314" s="7" t="inlineStr">
        <is>
          <t>PUBLIC-CERTIFIED — RECONCILED</t>
        </is>
      </c>
      <c r="I314" s="7" t="n"/>
      <c r="J314" s="7" t="n"/>
      <c r="K314" s="7" t="inlineStr">
        <is>
          <t>Church of England</t>
        </is>
      </c>
      <c r="L314" s="7" t="inlineStr">
        <is>
          <t>Thirty-Nine Articles</t>
        </is>
      </c>
      <c r="M314" s="7" t="inlineStr">
        <is>
          <t>Article I — infinite power, wisdom, and goodness</t>
        </is>
      </c>
      <c r="N314" s="7" t="inlineStr">
        <is>
          <t>https://www.churchofengland.org/prayer-and-worship/worship-texts-and-resources/book-common-prayer/articles-religion</t>
        </is>
      </c>
      <c r="O314" s="7" t="inlineStr">
        <is>
          <t>https://www.churchofengland.org/prayer-and-worship/worship-texts-and-resources/book-common-prayer/articles-religion</t>
        </is>
      </c>
      <c r="P314" s="7" t="n"/>
      <c r="Q314" s="7" t="inlineStr">
        <is>
          <t>HIGH</t>
        </is>
      </c>
      <c r="R314" s="7" t="inlineStr">
        <is>
          <t>Church of England only; not automatically Anglican Communion-wide.</t>
        </is>
      </c>
      <c r="S314" s="7" t="inlineStr">
        <is>
          <t>RECONCILED</t>
        </is>
      </c>
      <c r="T314" s="7" t="inlineStr">
        <is>
          <t>A-SF</t>
        </is>
      </c>
      <c r="U314" s="7" t="inlineStr">
        <is>
          <t>RNR-H39: historical Session 9 comparison state (A) differs from current family state (Q); branch display prohibited until reconciliation is completed. | Perfection-scope infinity supports A-SF.</t>
        </is>
      </c>
      <c r="V314" s="7" t="inlineStr">
        <is>
          <t>CERTIFIED — RECONCILED</t>
        </is>
      </c>
      <c r="W314" s="7" t="n"/>
      <c r="X314" s="7" t="inlineStr">
        <is>
          <t>A-SF</t>
        </is>
      </c>
      <c r="Y314" s="7" t="inlineStr">
        <is>
          <t>A</t>
        </is>
      </c>
      <c r="Z314" s="11" t="b">
        <v>0</v>
      </c>
      <c r="AA314" s="8" t="inlineStr">
        <is>
          <t>CURRENT EVIDENCE / STATUS</t>
        </is>
      </c>
    </row>
    <row r="315" ht="15.75" customHeight="1" s="29">
      <c r="A315" s="7" t="inlineStr">
        <is>
          <t>Q-310</t>
        </is>
      </c>
      <c r="B315" s="7" t="inlineStr">
        <is>
          <t>RNR-H39</t>
        </is>
      </c>
      <c r="C315" s="7" t="inlineStr">
        <is>
          <t>Infinite</t>
        </is>
      </c>
      <c r="D315" s="7" t="inlineStr">
        <is>
          <t>Q</t>
        </is>
      </c>
      <c r="E315" s="7" t="inlineStr">
        <is>
          <t>Baptist</t>
        </is>
      </c>
      <c r="F315" s="7" t="inlineStr">
        <is>
          <t>LATER RECODE</t>
        </is>
      </c>
      <c r="G315" s="7" t="inlineStr">
        <is>
          <t>CURRENT OFFICIAL SOURCE RECOVERED — WEB VERIFIED</t>
        </is>
      </c>
      <c r="H315" s="7" t="inlineStr">
        <is>
          <t>PUBLIC-CERTIFIED — RECONCILED</t>
        </is>
      </c>
      <c r="I315" s="7" t="inlineStr">
        <is>
          <t>RNR-H39a</t>
        </is>
      </c>
      <c r="J315" s="7" t="inlineStr">
        <is>
          <t>Q</t>
        </is>
      </c>
      <c r="K315" s="7" t="inlineStr">
        <is>
          <t>Southern Baptist Convention</t>
        </is>
      </c>
      <c r="L315" s="7" t="inlineStr">
        <is>
          <t>Baptist Faith and Message 2000</t>
        </is>
      </c>
      <c r="M315" s="7" t="inlineStr">
        <is>
          <t>II. God — infinite in holiness and all other perfections</t>
        </is>
      </c>
      <c r="N315" s="7" t="inlineStr">
        <is>
          <t>https://bfm.sbc.net/bfm2000/</t>
        </is>
      </c>
      <c r="O315" s="7" t="inlineStr">
        <is>
          <t>https://bfm.sbc.net/bfm2000/</t>
        </is>
      </c>
      <c r="P315" s="7" t="inlineStr">
        <is>
          <t>Current official-source recovery, web-verified against Baptist Faith &amp; Message 2000; source role N2 per project institutional authority roster.</t>
        </is>
      </c>
      <c r="Q315" s="7" t="inlineStr">
        <is>
          <t>HIGH</t>
        </is>
      </c>
      <c r="R315" s="7" t="inlineStr">
        <is>
          <t>Southern Baptist Convention cooperative identity under BF&amp;M 2000; not all Baptist churches or Baptist traditions.</t>
        </is>
      </c>
      <c r="S315" s="7" t="inlineStr">
        <is>
          <t>RECONCILED</t>
        </is>
      </c>
      <c r="T315" s="7" t="inlineStr">
        <is>
          <t>A-SF</t>
        </is>
      </c>
      <c r="U315" s="7" t="inlineStr">
        <is>
          <t>Current SBC source contains explicit infinite language; current master H39 comparison is Q at the accepted semantic floor. | RNR-H39: historical Session 9 comparison state (A) differs from current family state (Q); branch display prohibited until reconciliation is completed. | Reconciliation pass v2.7: BF&amp;M 2000 states that God is infinite in holiness and all other perfections. This supports agreement at the perfection floor but does not itself assert the blanket non-finitude that drives the master H39 Q classification.</t>
        </is>
      </c>
      <c r="V315" s="7" t="inlineStr">
        <is>
          <t>CERTIFIED — RECONCILED</t>
        </is>
      </c>
      <c r="W315" s="7" t="inlineStr">
        <is>
          <t>Technical reconciliation completed against the author-approved current semantic floor; no master-family recode made.</t>
        </is>
      </c>
      <c r="X315" s="7" t="inlineStr">
        <is>
          <t>A-SF</t>
        </is>
      </c>
      <c r="Y315" s="7" t="inlineStr">
        <is>
          <t>A</t>
        </is>
      </c>
      <c r="Z315" s="11" t="b">
        <v>0</v>
      </c>
      <c r="AA315" s="8" t="inlineStr">
        <is>
          <t>CURRENT EVIDENCE / STATUS</t>
        </is>
      </c>
    </row>
    <row r="316" ht="15.75" customHeight="1" s="29">
      <c r="A316" s="7" t="inlineStr">
        <is>
          <t>Q-311</t>
        </is>
      </c>
      <c r="B316" s="7" t="inlineStr">
        <is>
          <t>RNR-H39</t>
        </is>
      </c>
      <c r="C316" s="7" t="inlineStr">
        <is>
          <t>Infinite</t>
        </is>
      </c>
      <c r="D316" s="7" t="inlineStr">
        <is>
          <t>Q</t>
        </is>
      </c>
      <c r="E316" s="7" t="inlineStr">
        <is>
          <t>Methodist / Wesleyan</t>
        </is>
      </c>
      <c r="F316" s="7" t="inlineStr">
        <is>
          <t>LATER RECODE</t>
        </is>
      </c>
      <c r="G316" s="7" t="inlineStr">
        <is>
          <t>SESSION 9 SOURCE ROW RECOVERED</t>
        </is>
      </c>
      <c r="H316" s="7" t="inlineStr">
        <is>
          <t>PUBLIC-CERTIFIED — RECONCILED</t>
        </is>
      </c>
      <c r="I316" s="7" t="n"/>
      <c r="J316" s="7" t="n"/>
      <c r="K316" s="7" t="inlineStr">
        <is>
          <t>The United Methodist Church</t>
        </is>
      </c>
      <c r="L316" s="7" t="inlineStr">
        <is>
          <t>Articles of Religion of the Methodist Church</t>
        </is>
      </c>
      <c r="M316" s="7" t="inlineStr">
        <is>
          <t>Article I</t>
        </is>
      </c>
      <c r="N316" s="7" t="inlineStr">
        <is>
          <t>https://www.umc.org/en/content/articles-of-religion</t>
        </is>
      </c>
      <c r="O316" s="7" t="inlineStr">
        <is>
          <t>https://www.umc.org/en/content/articles-of-religion</t>
        </is>
      </c>
      <c r="P316" s="7" t="inlineStr">
        <is>
          <t>S9-IA-0255 / S8-IA-0255</t>
        </is>
      </c>
      <c r="Q316" s="7" t="inlineStr">
        <is>
          <t>MEDIUM-HIGH</t>
        </is>
      </c>
      <c r="R316" s="7" t="inlineStr">
        <is>
          <t>UMC institutional scope; not every Wesleyan body.</t>
        </is>
      </c>
      <c r="S316" s="7" t="inlineStr">
        <is>
          <t>RECONCILED</t>
        </is>
      </c>
      <c r="T316" s="7" t="inlineStr">
        <is>
          <t>A-SF</t>
        </is>
      </c>
      <c r="U316" s="7" t="inlineStr">
        <is>
          <t>RNR-H39: historical Session 9 comparison state (A) differs from current family state (Q); branch display prohibited until reconciliation is completed. | Reconciliation pass v2.7: Methodist Article I attests infinite power, wisdom, and goodness. That source-limited divine-perfection claim lies within the accepted shared H39 floor. The master family remains Q because unrestricted non-finitude of embodied/determinate personal presence is not established by this source wording.</t>
        </is>
      </c>
      <c r="V316" s="7" t="inlineStr">
        <is>
          <t>CERTIFIED — RECONCILED</t>
        </is>
      </c>
      <c r="W316" s="7" t="inlineStr">
        <is>
          <t>Technical reconciliation completed against the author-approved current semantic floor; no master-family recode made.</t>
        </is>
      </c>
      <c r="X316" s="7" t="inlineStr">
        <is>
          <t>A-SF</t>
        </is>
      </c>
      <c r="Y316" s="7" t="inlineStr">
        <is>
          <t>A</t>
        </is>
      </c>
      <c r="Z316" s="11" t="b">
        <v>0</v>
      </c>
      <c r="AA316" s="8" t="inlineStr">
        <is>
          <t>CURRENT EVIDENCE / STATUS</t>
        </is>
      </c>
    </row>
    <row r="317" ht="15.75" customHeight="1" s="29">
      <c r="A317" s="7" t="inlineStr">
        <is>
          <t>Q-312</t>
        </is>
      </c>
      <c r="B317" s="7" t="inlineStr">
        <is>
          <t>RNR-H39</t>
        </is>
      </c>
      <c r="C317" s="7" t="inlineStr">
        <is>
          <t>Infinite</t>
        </is>
      </c>
      <c r="D317" s="7" t="inlineStr">
        <is>
          <t>Q</t>
        </is>
      </c>
      <c r="E317" s="7" t="inlineStr">
        <is>
          <t>Mennonite / Anabaptist</t>
        </is>
      </c>
      <c r="F317" s="7" t="inlineStr">
        <is>
          <t>LATER RECODE</t>
        </is>
      </c>
      <c r="G317" s="7" t="inlineStr">
        <is>
          <t>CURRENT OFFICIAL SOURCE RECOVERED — WEB VERIFIED</t>
        </is>
      </c>
      <c r="H317" s="7" t="inlineStr">
        <is>
          <t>PUBLIC-CERTIFIED — RECONCILED</t>
        </is>
      </c>
      <c r="I317" s="7" t="n"/>
      <c r="J317" s="7" t="n"/>
      <c r="K317" s="7" t="inlineStr">
        <is>
          <t>Mennonite Church USA</t>
        </is>
      </c>
      <c r="L317" s="7" t="inlineStr">
        <is>
          <t>Confession of Faith in a Mennonite Perspective (1995)</t>
        </is>
      </c>
      <c r="M317" s="7" t="inlineStr">
        <is>
          <t>Article 1 — infinite freedom; unlimited justice; sovereign power and knowledge</t>
        </is>
      </c>
      <c r="N317" s="7" t="inlineStr">
        <is>
          <t>https://www.mennoniteusa.org/who-are-mennonites/what-we-believe/confession-of-faith/god/</t>
        </is>
      </c>
      <c r="O317" s="7" t="inlineStr">
        <is>
          <t>https://www.mennoniteusa.org/who-are-mennonites/what-we-believe/confession-of-faith/god/</t>
        </is>
      </c>
      <c r="P317" s="7" t="n"/>
      <c r="Q317" s="7" t="inlineStr">
        <is>
          <t>MEDIUM-HIGH</t>
        </is>
      </c>
      <c r="R317" s="7" t="inlineStr">
        <is>
          <t>MC USA / adopting-body scope; not all Mennonite or Anabaptist bodies.</t>
        </is>
      </c>
      <c r="S317" s="7" t="inlineStr">
        <is>
          <t>RECONCILED</t>
        </is>
      </c>
      <c r="T317" s="7" t="inlineStr">
        <is>
          <t>A-SF</t>
        </is>
      </c>
      <c r="U317" s="7" t="inlineStr">
        <is>
          <t>RNR-H39: historical Session 9 comparison state (A) differs from current family state (Q); branch display prohibited until reconciliation is completed. | Perfection-scope infinity supports A-SF.</t>
        </is>
      </c>
      <c r="V317" s="7" t="inlineStr">
        <is>
          <t>CERTIFIED — RECONCILED</t>
        </is>
      </c>
      <c r="W317" s="7" t="n"/>
      <c r="X317" s="7" t="inlineStr">
        <is>
          <t>A-SF</t>
        </is>
      </c>
      <c r="Y317" s="7" t="inlineStr">
        <is>
          <t>A</t>
        </is>
      </c>
      <c r="Z317" s="11" t="b">
        <v>0</v>
      </c>
      <c r="AA317" s="8" t="inlineStr">
        <is>
          <t>CURRENT EVIDENCE / STATUS</t>
        </is>
      </c>
    </row>
    <row r="318" ht="15.75" customHeight="1" s="29">
      <c r="A318" s="7" t="inlineStr">
        <is>
          <t>Q-313</t>
        </is>
      </c>
      <c r="B318" s="7" t="inlineStr">
        <is>
          <t>RNR-H40</t>
        </is>
      </c>
      <c r="C318" s="7" t="inlineStr">
        <is>
          <t>Immense / immeasurable</t>
        </is>
      </c>
      <c r="D318" s="7" t="inlineStr">
        <is>
          <t>Q</t>
        </is>
      </c>
      <c r="E318" s="7" t="inlineStr">
        <is>
          <t>Roman Catholic</t>
        </is>
      </c>
      <c r="F318" s="7" t="inlineStr">
        <is>
          <t>SINGLE</t>
        </is>
      </c>
      <c r="G318" s="7" t="inlineStr">
        <is>
          <t>TO RECOVER FROM SESSION 9 LEDGER</t>
        </is>
      </c>
      <c r="H318" s="7" t="inlineStr">
        <is>
          <t>NO PUBLIC TILE</t>
        </is>
      </c>
      <c r="I318" s="7" t="n"/>
      <c r="J318" s="7" t="n"/>
      <c r="K318" s="7" t="n"/>
      <c r="L318" s="7" t="n"/>
      <c r="M318" s="7" t="n"/>
      <c r="N318" s="7" t="n"/>
      <c r="O318" s="7" t="n"/>
      <c r="P318" s="7" t="n"/>
      <c r="Q318" s="7" t="inlineStr">
        <is>
          <t>NOT-ASSESSED</t>
        </is>
      </c>
      <c r="R318" s="7" t="n"/>
      <c r="S318" s="7" t="n"/>
      <c r="T318" s="7" t="n"/>
      <c r="U318" s="7" t="n"/>
      <c r="V318" s="7" t="n"/>
      <c r="W318" s="7" t="n"/>
      <c r="X318" s="7" t="inlineStr">
        <is>
          <t>NOT LOCATED — NOT YET RECOVERED</t>
        </is>
      </c>
      <c r="Y318" s="7" t="inlineStr">
        <is>
          <t>EXCLUDED</t>
        </is>
      </c>
      <c r="Z318" s="11" t="b">
        <v>0</v>
      </c>
      <c r="AA318" s="8" t="inlineStr">
        <is>
          <t>CURRENT EVIDENCE / STATUS</t>
        </is>
      </c>
    </row>
    <row r="319" ht="15.75" customHeight="1" s="29">
      <c r="A319" s="7" t="inlineStr">
        <is>
          <t>Q-314</t>
        </is>
      </c>
      <c r="B319" s="7" t="inlineStr">
        <is>
          <t>RNR-H40</t>
        </is>
      </c>
      <c r="C319" s="7" t="inlineStr">
        <is>
          <t>Immense / immeasurable</t>
        </is>
      </c>
      <c r="D319" s="7" t="inlineStr">
        <is>
          <t>Q</t>
        </is>
      </c>
      <c r="E319" s="7" t="inlineStr">
        <is>
          <t>Eastern Orthodox</t>
        </is>
      </c>
      <c r="F319" s="7" t="inlineStr">
        <is>
          <t>SINGLE</t>
        </is>
      </c>
      <c r="G319" s="7" t="inlineStr">
        <is>
          <t>TO RECOVER FROM SESSION 9 LEDGER</t>
        </is>
      </c>
      <c r="H319" s="7" t="inlineStr">
        <is>
          <t>NO PUBLIC TILE</t>
        </is>
      </c>
      <c r="I319" s="7" t="n"/>
      <c r="J319" s="7" t="n"/>
      <c r="K319" s="7" t="n"/>
      <c r="L319" s="7" t="n"/>
      <c r="M319" s="7" t="n"/>
      <c r="N319" s="7" t="n"/>
      <c r="O319" s="7" t="n"/>
      <c r="P319" s="7" t="n"/>
      <c r="Q319" s="7" t="inlineStr">
        <is>
          <t>NOT-ASSESSED</t>
        </is>
      </c>
      <c r="R319" s="7" t="n"/>
      <c r="S319" s="7" t="n"/>
      <c r="T319" s="7" t="n"/>
      <c r="U319" s="7" t="n"/>
      <c r="V319" s="7" t="n"/>
      <c r="W319" s="7" t="n"/>
      <c r="X319" s="7" t="inlineStr">
        <is>
          <t>NOT LOCATED — NOT YET RECOVERED</t>
        </is>
      </c>
      <c r="Y319" s="7" t="inlineStr">
        <is>
          <t>EXCLUDED</t>
        </is>
      </c>
      <c r="Z319" s="11" t="b">
        <v>0</v>
      </c>
      <c r="AA319" s="8" t="inlineStr">
        <is>
          <t>CURRENT EVIDENCE / STATUS</t>
        </is>
      </c>
    </row>
    <row r="320" ht="15.75" customHeight="1" s="29">
      <c r="A320" s="7" t="inlineStr">
        <is>
          <t>Q-315</t>
        </is>
      </c>
      <c r="B320" s="7" t="inlineStr">
        <is>
          <t>RNR-H40</t>
        </is>
      </c>
      <c r="C320" s="7" t="inlineStr">
        <is>
          <t>Immense / immeasurable</t>
        </is>
      </c>
      <c r="D320" s="7" t="inlineStr">
        <is>
          <t>Q</t>
        </is>
      </c>
      <c r="E320" s="7" t="inlineStr">
        <is>
          <t>Lutheran</t>
        </is>
      </c>
      <c r="F320" s="7" t="inlineStr">
        <is>
          <t>SINGLE</t>
        </is>
      </c>
      <c r="G320" s="7" t="inlineStr">
        <is>
          <t>TO RECOVER FROM SESSION 9 LEDGER</t>
        </is>
      </c>
      <c r="H320" s="7" t="inlineStr">
        <is>
          <t>NO PUBLIC TILE</t>
        </is>
      </c>
      <c r="I320" s="7" t="n"/>
      <c r="J320" s="7" t="n"/>
      <c r="K320" s="7" t="n"/>
      <c r="L320" s="7" t="n"/>
      <c r="M320" s="7" t="n"/>
      <c r="N320" s="7" t="n"/>
      <c r="O320" s="7" t="n"/>
      <c r="P320" s="7" t="n"/>
      <c r="Q320" s="7" t="inlineStr">
        <is>
          <t>NOT-ASSESSED</t>
        </is>
      </c>
      <c r="R320" s="7" t="n"/>
      <c r="S320" s="7" t="n"/>
      <c r="T320" s="7" t="n"/>
      <c r="U320" s="7" t="n"/>
      <c r="V320" s="7" t="n"/>
      <c r="W320" s="7" t="n"/>
      <c r="X320" s="7" t="inlineStr">
        <is>
          <t>NOT LOCATED — NOT YET RECOVERED</t>
        </is>
      </c>
      <c r="Y320" s="7" t="inlineStr">
        <is>
          <t>EXCLUDED</t>
        </is>
      </c>
      <c r="Z320" s="11" t="b">
        <v>0</v>
      </c>
      <c r="AA320" s="8" t="inlineStr">
        <is>
          <t>CURRENT EVIDENCE / STATUS</t>
        </is>
      </c>
    </row>
    <row r="321" ht="15.75" customHeight="1" s="29">
      <c r="A321" s="7" t="inlineStr">
        <is>
          <t>Q-316</t>
        </is>
      </c>
      <c r="B321" s="7" t="inlineStr">
        <is>
          <t>RNR-H40</t>
        </is>
      </c>
      <c r="C321" s="7" t="inlineStr">
        <is>
          <t>Immense / immeasurable</t>
        </is>
      </c>
      <c r="D321" s="7" t="inlineStr">
        <is>
          <t>Q</t>
        </is>
      </c>
      <c r="E321" s="7" t="inlineStr">
        <is>
          <t>Reformed / Presbyterian</t>
        </is>
      </c>
      <c r="F321" s="7" t="inlineStr">
        <is>
          <t>SINGLE</t>
        </is>
      </c>
      <c r="G321" s="7" t="inlineStr">
        <is>
          <t>TO RECOVER FROM SESSION 9 LEDGER</t>
        </is>
      </c>
      <c r="H321" s="7" t="inlineStr">
        <is>
          <t>NO PUBLIC TILE</t>
        </is>
      </c>
      <c r="I321" s="7" t="n"/>
      <c r="J321" s="7" t="n"/>
      <c r="K321" s="7" t="n"/>
      <c r="L321" s="7" t="n"/>
      <c r="M321" s="7" t="n"/>
      <c r="N321" s="7" t="n"/>
      <c r="O321" s="7" t="n"/>
      <c r="P321" s="7" t="n"/>
      <c r="Q321" s="7" t="inlineStr">
        <is>
          <t>NOT-ASSESSED</t>
        </is>
      </c>
      <c r="R321" s="7" t="n"/>
      <c r="S321" s="7" t="n"/>
      <c r="T321" s="7" t="n"/>
      <c r="U321" s="7" t="n"/>
      <c r="V321" s="7" t="n"/>
      <c r="W321" s="7" t="n"/>
      <c r="X321" s="7" t="inlineStr">
        <is>
          <t>NOT LOCATED — NOT YET RECOVERED</t>
        </is>
      </c>
      <c r="Y321" s="7" t="inlineStr">
        <is>
          <t>EXCLUDED</t>
        </is>
      </c>
      <c r="Z321" s="11" t="b">
        <v>0</v>
      </c>
      <c r="AA321" s="8" t="inlineStr">
        <is>
          <t>CURRENT EVIDENCE / STATUS</t>
        </is>
      </c>
    </row>
    <row r="322" ht="15.75" customHeight="1" s="29">
      <c r="A322" s="7" t="inlineStr">
        <is>
          <t>Q-317</t>
        </is>
      </c>
      <c r="B322" s="7" t="inlineStr">
        <is>
          <t>RNR-H40</t>
        </is>
      </c>
      <c r="C322" s="7" t="inlineStr">
        <is>
          <t>Immense / immeasurable</t>
        </is>
      </c>
      <c r="D322" s="7" t="inlineStr">
        <is>
          <t>Q</t>
        </is>
      </c>
      <c r="E322" s="7" t="inlineStr">
        <is>
          <t>Anglican</t>
        </is>
      </c>
      <c r="F322" s="7" t="inlineStr">
        <is>
          <t>SINGLE</t>
        </is>
      </c>
      <c r="G322" s="7" t="inlineStr">
        <is>
          <t>TO RECOVER FROM SESSION 9 LEDGER</t>
        </is>
      </c>
      <c r="H322" s="7" t="inlineStr">
        <is>
          <t>NO PUBLIC TILE</t>
        </is>
      </c>
      <c r="I322" s="7" t="n"/>
      <c r="J322" s="7" t="n"/>
      <c r="K322" s="7" t="n"/>
      <c r="L322" s="7" t="n"/>
      <c r="M322" s="7" t="n"/>
      <c r="N322" s="7" t="n"/>
      <c r="O322" s="7" t="n"/>
      <c r="P322" s="7" t="n"/>
      <c r="Q322" s="7" t="inlineStr">
        <is>
          <t>NOT-ASSESSED</t>
        </is>
      </c>
      <c r="R322" s="7" t="n"/>
      <c r="S322" s="7" t="n"/>
      <c r="T322" s="7" t="n"/>
      <c r="U322" s="7" t="n"/>
      <c r="V322" s="7" t="n"/>
      <c r="W322" s="7" t="n"/>
      <c r="X322" s="7" t="inlineStr">
        <is>
          <t>NOT LOCATED — NOT YET RECOVERED</t>
        </is>
      </c>
      <c r="Y322" s="7" t="inlineStr">
        <is>
          <t>EXCLUDED</t>
        </is>
      </c>
      <c r="Z322" s="11" t="b">
        <v>0</v>
      </c>
      <c r="AA322" s="8" t="inlineStr">
        <is>
          <t>CURRENT EVIDENCE / STATUS</t>
        </is>
      </c>
    </row>
    <row r="323" ht="15.75" customHeight="1" s="29">
      <c r="A323" s="7" t="inlineStr">
        <is>
          <t>Q-318</t>
        </is>
      </c>
      <c r="B323" s="7" t="inlineStr">
        <is>
          <t>RNR-H40</t>
        </is>
      </c>
      <c r="C323" s="7" t="inlineStr">
        <is>
          <t>Immense / immeasurable</t>
        </is>
      </c>
      <c r="D323" s="7" t="inlineStr">
        <is>
          <t>Q</t>
        </is>
      </c>
      <c r="E323" s="7" t="inlineStr">
        <is>
          <t>Baptist</t>
        </is>
      </c>
      <c r="F323" s="7" t="inlineStr">
        <is>
          <t>SINGLE</t>
        </is>
      </c>
      <c r="G323" s="7" t="inlineStr">
        <is>
          <t>TO RECOVER FROM SESSION 9 LEDGER</t>
        </is>
      </c>
      <c r="H323" s="7" t="inlineStr">
        <is>
          <t>NO PUBLIC TILE</t>
        </is>
      </c>
      <c r="I323" s="7" t="n"/>
      <c r="J323" s="7" t="n"/>
      <c r="K323" s="7" t="n"/>
      <c r="L323" s="7" t="n"/>
      <c r="M323" s="7" t="n"/>
      <c r="N323" s="7" t="n"/>
      <c r="O323" s="7" t="n"/>
      <c r="P323" s="7" t="n"/>
      <c r="Q323" s="7" t="inlineStr">
        <is>
          <t>NOT-ASSESSED</t>
        </is>
      </c>
      <c r="R323" s="7" t="n"/>
      <c r="S323" s="7" t="n"/>
      <c r="T323" s="7" t="n"/>
      <c r="U323" s="7" t="n"/>
      <c r="V323" s="7" t="n"/>
      <c r="W323" s="7" t="n"/>
      <c r="X323" s="7" t="inlineStr">
        <is>
          <t>NOT LOCATED — NOT YET RECOVERED</t>
        </is>
      </c>
      <c r="Y323" s="7" t="inlineStr">
        <is>
          <t>EXCLUDED</t>
        </is>
      </c>
      <c r="Z323" s="11" t="b">
        <v>0</v>
      </c>
      <c r="AA323" s="8" t="inlineStr">
        <is>
          <t>CURRENT EVIDENCE / STATUS</t>
        </is>
      </c>
    </row>
    <row r="324" ht="15.75" customHeight="1" s="29">
      <c r="A324" s="7" t="inlineStr">
        <is>
          <t>Q-319</t>
        </is>
      </c>
      <c r="B324" s="7" t="inlineStr">
        <is>
          <t>RNR-H40</t>
        </is>
      </c>
      <c r="C324" s="7" t="inlineStr">
        <is>
          <t>Immense / immeasurable</t>
        </is>
      </c>
      <c r="D324" s="7" t="inlineStr">
        <is>
          <t>Q</t>
        </is>
      </c>
      <c r="E324" s="7" t="inlineStr">
        <is>
          <t>Methodist / Wesleyan</t>
        </is>
      </c>
      <c r="F324" s="7" t="inlineStr">
        <is>
          <t>SINGLE</t>
        </is>
      </c>
      <c r="G324" s="7" t="inlineStr">
        <is>
          <t>TO RECOVER FROM SESSION 9 LEDGER</t>
        </is>
      </c>
      <c r="H324" s="7" t="inlineStr">
        <is>
          <t>NO PUBLIC TILE</t>
        </is>
      </c>
      <c r="I324" s="7" t="n"/>
      <c r="J324" s="7" t="n"/>
      <c r="K324" s="7" t="n"/>
      <c r="L324" s="7" t="n"/>
      <c r="M324" s="7" t="n"/>
      <c r="N324" s="7" t="n"/>
      <c r="O324" s="7" t="n"/>
      <c r="P324" s="7" t="n"/>
      <c r="Q324" s="7" t="inlineStr">
        <is>
          <t>NOT-ASSESSED</t>
        </is>
      </c>
      <c r="R324" s="7" t="n"/>
      <c r="S324" s="7" t="n"/>
      <c r="T324" s="7" t="n"/>
      <c r="U324" s="7" t="n"/>
      <c r="V324" s="7" t="n"/>
      <c r="W324" s="7" t="n"/>
      <c r="X324" s="7" t="inlineStr">
        <is>
          <t>NOT LOCATED — NOT YET RECOVERED</t>
        </is>
      </c>
      <c r="Y324" s="7" t="inlineStr">
        <is>
          <t>EXCLUDED</t>
        </is>
      </c>
      <c r="Z324" s="11" t="b">
        <v>0</v>
      </c>
      <c r="AA324" s="8" t="inlineStr">
        <is>
          <t>CURRENT EVIDENCE / STATUS</t>
        </is>
      </c>
    </row>
    <row r="325" ht="15.75" customHeight="1" s="29">
      <c r="A325" s="7" t="inlineStr">
        <is>
          <t>Q-320</t>
        </is>
      </c>
      <c r="B325" s="7" t="inlineStr">
        <is>
          <t>RNR-H40</t>
        </is>
      </c>
      <c r="C325" s="7" t="inlineStr">
        <is>
          <t>Immense / immeasurable</t>
        </is>
      </c>
      <c r="D325" s="7" t="inlineStr">
        <is>
          <t>Q</t>
        </is>
      </c>
      <c r="E325" s="7" t="inlineStr">
        <is>
          <t>Mennonite / Anabaptist</t>
        </is>
      </c>
      <c r="F325" s="7" t="inlineStr">
        <is>
          <t>SINGLE</t>
        </is>
      </c>
      <c r="G325" s="7" t="inlineStr">
        <is>
          <t>TO RECOVER FROM SESSION 9 LEDGER</t>
        </is>
      </c>
      <c r="H325" s="7" t="inlineStr">
        <is>
          <t>NO PUBLIC TILE</t>
        </is>
      </c>
      <c r="I325" s="7" t="n"/>
      <c r="J325" s="7" t="n"/>
      <c r="K325" s="7" t="n"/>
      <c r="L325" s="7" t="n"/>
      <c r="M325" s="7" t="n"/>
      <c r="N325" s="7" t="n"/>
      <c r="O325" s="7" t="n"/>
      <c r="P325" s="7" t="n"/>
      <c r="Q325" s="7" t="inlineStr">
        <is>
          <t>NOT-ASSESSED</t>
        </is>
      </c>
      <c r="R325" s="7" t="n"/>
      <c r="S325" s="7" t="n"/>
      <c r="T325" s="7" t="n"/>
      <c r="U325" s="7" t="n"/>
      <c r="V325" s="7" t="n"/>
      <c r="W325" s="7" t="n"/>
      <c r="X325" s="7" t="inlineStr">
        <is>
          <t>NOT LOCATED — NOT YET RECOVERED</t>
        </is>
      </c>
      <c r="Y325" s="7" t="inlineStr">
        <is>
          <t>EXCLUDED</t>
        </is>
      </c>
      <c r="Z325" s="11" t="b">
        <v>0</v>
      </c>
      <c r="AA325" s="8" t="inlineStr">
        <is>
          <t>CURRENT EVIDENCE / STATUS</t>
        </is>
      </c>
    </row>
    <row r="326" ht="15.75" customHeight="1" s="29">
      <c r="A326" s="7" t="inlineStr">
        <is>
          <t>Q-321</t>
        </is>
      </c>
      <c r="B326" s="7" t="inlineStr">
        <is>
          <t>RNR-H41</t>
        </is>
      </c>
      <c r="C326" s="7" t="inlineStr">
        <is>
          <t>Invisible</t>
        </is>
      </c>
      <c r="D326" s="7" t="inlineStr">
        <is>
          <t>D</t>
        </is>
      </c>
      <c r="E326" s="7" t="inlineStr">
        <is>
          <t>Roman Catholic</t>
        </is>
      </c>
      <c r="F326" s="7" t="inlineStr">
        <is>
          <t>SINGLE</t>
        </is>
      </c>
      <c r="G326" s="7" t="inlineStr">
        <is>
          <t>TO RECOVER FROM SESSION 9 LEDGER</t>
        </is>
      </c>
      <c r="H326" s="7" t="inlineStr">
        <is>
          <t>NO PUBLIC TILE</t>
        </is>
      </c>
      <c r="I326" s="7" t="n"/>
      <c r="J326" s="7" t="n"/>
      <c r="K326" s="7" t="n"/>
      <c r="L326" s="7" t="n"/>
      <c r="M326" s="7" t="n"/>
      <c r="N326" s="7" t="n"/>
      <c r="O326" s="7" t="n"/>
      <c r="P326" s="7" t="n"/>
      <c r="Q326" s="7" t="inlineStr">
        <is>
          <t>NOT-ASSESSED</t>
        </is>
      </c>
      <c r="R326" s="7" t="n"/>
      <c r="S326" s="7" t="n"/>
      <c r="T326" s="7" t="n"/>
      <c r="U326" s="7" t="n"/>
      <c r="V326" s="7" t="n"/>
      <c r="W326" s="7" t="n"/>
      <c r="X326" s="7" t="inlineStr">
        <is>
          <t>NOT LOCATED — NOT YET RECOVERED</t>
        </is>
      </c>
      <c r="Y326" s="7" t="inlineStr">
        <is>
          <t>EXCLUDED</t>
        </is>
      </c>
      <c r="Z326" s="11" t="b">
        <v>0</v>
      </c>
      <c r="AA326" s="8" t="inlineStr">
        <is>
          <t>CURRENT EVIDENCE / STATUS</t>
        </is>
      </c>
    </row>
    <row r="327" ht="15.75" customHeight="1" s="29">
      <c r="A327" s="7" t="inlineStr">
        <is>
          <t>Q-322</t>
        </is>
      </c>
      <c r="B327" s="7" t="inlineStr">
        <is>
          <t>RNR-H41</t>
        </is>
      </c>
      <c r="C327" s="7" t="inlineStr">
        <is>
          <t>Invisible</t>
        </is>
      </c>
      <c r="D327" s="7" t="inlineStr">
        <is>
          <t>D</t>
        </is>
      </c>
      <c r="E327" s="7" t="inlineStr">
        <is>
          <t>Eastern Orthodox</t>
        </is>
      </c>
      <c r="F327" s="7" t="inlineStr">
        <is>
          <t>SINGLE</t>
        </is>
      </c>
      <c r="G327" s="7" t="inlineStr">
        <is>
          <t>TO RECOVER FROM SESSION 9 LEDGER</t>
        </is>
      </c>
      <c r="H327" s="7" t="inlineStr">
        <is>
          <t>NO PUBLIC TILE</t>
        </is>
      </c>
      <c r="I327" s="7" t="n"/>
      <c r="J327" s="7" t="n"/>
      <c r="K327" s="7" t="n"/>
      <c r="L327" s="7" t="n"/>
      <c r="M327" s="7" t="n"/>
      <c r="N327" s="7" t="n"/>
      <c r="O327" s="7" t="n"/>
      <c r="P327" s="7" t="n"/>
      <c r="Q327" s="7" t="inlineStr">
        <is>
          <t>NOT-ASSESSED</t>
        </is>
      </c>
      <c r="R327" s="7" t="n"/>
      <c r="S327" s="7" t="n"/>
      <c r="T327" s="7" t="n"/>
      <c r="U327" s="7" t="n"/>
      <c r="V327" s="7" t="n"/>
      <c r="W327" s="7" t="n"/>
      <c r="X327" s="7" t="inlineStr">
        <is>
          <t>NOT LOCATED — NOT YET RECOVERED</t>
        </is>
      </c>
      <c r="Y327" s="7" t="inlineStr">
        <is>
          <t>EXCLUDED</t>
        </is>
      </c>
      <c r="Z327" s="11" t="b">
        <v>0</v>
      </c>
      <c r="AA327" s="8" t="inlineStr">
        <is>
          <t>CURRENT EVIDENCE / STATUS</t>
        </is>
      </c>
    </row>
    <row r="328" ht="15.75" customHeight="1" s="29">
      <c r="A328" s="7" t="inlineStr">
        <is>
          <t>Q-323</t>
        </is>
      </c>
      <c r="B328" s="7" t="inlineStr">
        <is>
          <t>RNR-H41</t>
        </is>
      </c>
      <c r="C328" s="7" t="inlineStr">
        <is>
          <t>Invisible</t>
        </is>
      </c>
      <c r="D328" s="7" t="inlineStr">
        <is>
          <t>D</t>
        </is>
      </c>
      <c r="E328" s="7" t="inlineStr">
        <is>
          <t>Lutheran</t>
        </is>
      </c>
      <c r="F328" s="7" t="inlineStr">
        <is>
          <t>SINGLE</t>
        </is>
      </c>
      <c r="G328" s="7" t="inlineStr">
        <is>
          <t>TO RECOVER FROM SESSION 9 LEDGER</t>
        </is>
      </c>
      <c r="H328" s="7" t="inlineStr">
        <is>
          <t>NO PUBLIC TILE</t>
        </is>
      </c>
      <c r="I328" s="7" t="n"/>
      <c r="J328" s="7" t="n"/>
      <c r="K328" s="7" t="n"/>
      <c r="L328" s="7" t="n"/>
      <c r="M328" s="7" t="n"/>
      <c r="N328" s="7" t="n"/>
      <c r="O328" s="7" t="n"/>
      <c r="P328" s="7" t="n"/>
      <c r="Q328" s="7" t="inlineStr">
        <is>
          <t>NOT-ASSESSED</t>
        </is>
      </c>
      <c r="R328" s="7" t="n"/>
      <c r="S328" s="7" t="n"/>
      <c r="T328" s="7" t="n"/>
      <c r="U328" s="7" t="n"/>
      <c r="V328" s="7" t="n"/>
      <c r="W328" s="7" t="n"/>
      <c r="X328" s="7" t="inlineStr">
        <is>
          <t>NOT LOCATED — NOT YET RECOVERED</t>
        </is>
      </c>
      <c r="Y328" s="7" t="inlineStr">
        <is>
          <t>EXCLUDED</t>
        </is>
      </c>
      <c r="Z328" s="11" t="b">
        <v>0</v>
      </c>
      <c r="AA328" s="8" t="inlineStr">
        <is>
          <t>CURRENT EVIDENCE / STATUS</t>
        </is>
      </c>
    </row>
    <row r="329" ht="15.75" customHeight="1" s="29">
      <c r="A329" s="7" t="inlineStr">
        <is>
          <t>Q-324</t>
        </is>
      </c>
      <c r="B329" s="7" t="inlineStr">
        <is>
          <t>RNR-H41</t>
        </is>
      </c>
      <c r="C329" s="7" t="inlineStr">
        <is>
          <t>Invisible</t>
        </is>
      </c>
      <c r="D329" s="7" t="inlineStr">
        <is>
          <t>D</t>
        </is>
      </c>
      <c r="E329" s="7" t="inlineStr">
        <is>
          <t>Reformed / Presbyterian</t>
        </is>
      </c>
      <c r="F329" s="7" t="inlineStr">
        <is>
          <t>SINGLE</t>
        </is>
      </c>
      <c r="G329" s="7" t="inlineStr">
        <is>
          <t>SESSION 9 SOURCE ROW RECOVERED</t>
        </is>
      </c>
      <c r="H329" s="7" t="inlineStr">
        <is>
          <t>PUBLIC-CERTIFIED</t>
        </is>
      </c>
      <c r="I329" s="7" t="inlineStr">
        <is>
          <t>RNR-H41a</t>
        </is>
      </c>
      <c r="J329" s="7" t="inlineStr">
        <is>
          <t>D</t>
        </is>
      </c>
      <c r="K329" s="7" t="inlineStr">
        <is>
          <t>Christian Reformed Church in North America</t>
        </is>
      </c>
      <c r="L329" s="7" t="inlineStr">
        <is>
          <t>Belgic Confession</t>
        </is>
      </c>
      <c r="M329" s="7" t="inlineStr">
        <is>
          <t>Articles 1–2 and 8</t>
        </is>
      </c>
      <c r="N329" s="7" t="inlineStr">
        <is>
          <t>https://www.crcna.org/welcome/beliefs/confessions/belgic-confession</t>
        </is>
      </c>
      <c r="O329" s="7" t="inlineStr">
        <is>
          <t>https://www.crcna.org/welcome/beliefs/confessions/belgic-confession</t>
        </is>
      </c>
      <c r="P329" s="7" t="inlineStr">
        <is>
          <t>S9-IA-0265 / S8-IA-0265</t>
        </is>
      </c>
      <c r="Q329" s="7" t="inlineStr">
        <is>
          <t>HIGH</t>
        </is>
      </c>
      <c r="R329" s="7" t="inlineStr">
        <is>
          <t>CRCNA source; other Reformed/Presbyterian attestations also exist.</t>
        </is>
      </c>
      <c r="S329" s="7" t="inlineStr">
        <is>
          <t>NO</t>
        </is>
      </c>
      <c r="T329" s="7" t="inlineStr">
        <is>
          <t>D</t>
        </is>
      </c>
      <c r="U329" s="7" t="n"/>
      <c r="V329" s="7" t="inlineStr">
        <is>
          <t>CERTIFIED</t>
        </is>
      </c>
      <c r="W329" s="7" t="n"/>
      <c r="X329" s="7" t="inlineStr">
        <is>
          <t>D</t>
        </is>
      </c>
      <c r="Y329" s="7" t="inlineStr">
        <is>
          <t>D</t>
        </is>
      </c>
      <c r="Z329" s="11" t="b">
        <v>0</v>
      </c>
      <c r="AA329" s="8" t="inlineStr">
        <is>
          <t>CURRENT EVIDENCE / STATUS</t>
        </is>
      </c>
    </row>
    <row r="330" ht="15.75" customHeight="1" s="29">
      <c r="A330" s="7" t="inlineStr">
        <is>
          <t>Q-325</t>
        </is>
      </c>
      <c r="B330" s="7" t="inlineStr">
        <is>
          <t>RNR-H41</t>
        </is>
      </c>
      <c r="C330" s="7" t="inlineStr">
        <is>
          <t>Invisible</t>
        </is>
      </c>
      <c r="D330" s="7" t="inlineStr">
        <is>
          <t>D</t>
        </is>
      </c>
      <c r="E330" s="7" t="inlineStr">
        <is>
          <t>Anglican</t>
        </is>
      </c>
      <c r="F330" s="7" t="inlineStr">
        <is>
          <t>SINGLE</t>
        </is>
      </c>
      <c r="G330" s="7" t="inlineStr">
        <is>
          <t>TO RECOVER FROM SESSION 9 LEDGER</t>
        </is>
      </c>
      <c r="H330" s="7" t="inlineStr">
        <is>
          <t>NO PUBLIC TILE</t>
        </is>
      </c>
      <c r="I330" s="7" t="n"/>
      <c r="J330" s="7" t="n"/>
      <c r="K330" s="7" t="n"/>
      <c r="L330" s="7" t="n"/>
      <c r="M330" s="7" t="n"/>
      <c r="N330" s="7" t="n"/>
      <c r="O330" s="7" t="n"/>
      <c r="P330" s="7" t="n"/>
      <c r="Q330" s="7" t="inlineStr">
        <is>
          <t>NOT-ASSESSED</t>
        </is>
      </c>
      <c r="R330" s="7" t="n"/>
      <c r="S330" s="7" t="n"/>
      <c r="T330" s="7" t="n"/>
      <c r="U330" s="7" t="n"/>
      <c r="V330" s="7" t="n"/>
      <c r="W330" s="7" t="n"/>
      <c r="X330" s="7" t="inlineStr">
        <is>
          <t>NOT LOCATED — NOT YET RECOVERED</t>
        </is>
      </c>
      <c r="Y330" s="7" t="inlineStr">
        <is>
          <t>EXCLUDED</t>
        </is>
      </c>
      <c r="Z330" s="11" t="b">
        <v>0</v>
      </c>
      <c r="AA330" s="8" t="inlineStr">
        <is>
          <t>CURRENT EVIDENCE / STATUS</t>
        </is>
      </c>
    </row>
    <row r="331" ht="15.75" customHeight="1" s="29">
      <c r="A331" s="7" t="inlineStr">
        <is>
          <t>Q-326</t>
        </is>
      </c>
      <c r="B331" s="7" t="inlineStr">
        <is>
          <t>RNR-H41</t>
        </is>
      </c>
      <c r="C331" s="7" t="inlineStr">
        <is>
          <t>Invisible</t>
        </is>
      </c>
      <c r="D331" s="7" t="inlineStr">
        <is>
          <t>D</t>
        </is>
      </c>
      <c r="E331" s="7" t="inlineStr">
        <is>
          <t>Baptist</t>
        </is>
      </c>
      <c r="F331" s="7" t="inlineStr">
        <is>
          <t>SINGLE</t>
        </is>
      </c>
      <c r="G331" s="7" t="inlineStr">
        <is>
          <t>TO RECOVER FROM SESSION 9 LEDGER</t>
        </is>
      </c>
      <c r="H331" s="7" t="inlineStr">
        <is>
          <t>NO PUBLIC TILE</t>
        </is>
      </c>
      <c r="I331" s="7" t="n"/>
      <c r="J331" s="7" t="n"/>
      <c r="K331" s="7" t="n"/>
      <c r="L331" s="7" t="n"/>
      <c r="M331" s="7" t="n"/>
      <c r="N331" s="7" t="n"/>
      <c r="O331" s="7" t="n"/>
      <c r="P331" s="7" t="n"/>
      <c r="Q331" s="7" t="inlineStr">
        <is>
          <t>NOT-ASSESSED</t>
        </is>
      </c>
      <c r="R331" s="7" t="n"/>
      <c r="S331" s="7" t="n"/>
      <c r="T331" s="7" t="n"/>
      <c r="U331" s="7" t="n"/>
      <c r="V331" s="7" t="n"/>
      <c r="W331" s="7" t="n"/>
      <c r="X331" s="7" t="inlineStr">
        <is>
          <t>NOT LOCATED — NOT YET RECOVERED</t>
        </is>
      </c>
      <c r="Y331" s="7" t="inlineStr">
        <is>
          <t>EXCLUDED</t>
        </is>
      </c>
      <c r="Z331" s="11" t="b">
        <v>0</v>
      </c>
      <c r="AA331" s="8" t="inlineStr">
        <is>
          <t>CURRENT EVIDENCE / STATUS</t>
        </is>
      </c>
    </row>
    <row r="332" ht="15.75" customHeight="1" s="29">
      <c r="A332" s="7" t="inlineStr">
        <is>
          <t>Q-327</t>
        </is>
      </c>
      <c r="B332" s="7" t="inlineStr">
        <is>
          <t>RNR-H41</t>
        </is>
      </c>
      <c r="C332" s="7" t="inlineStr">
        <is>
          <t>Invisible</t>
        </is>
      </c>
      <c r="D332" s="7" t="inlineStr">
        <is>
          <t>D</t>
        </is>
      </c>
      <c r="E332" s="7" t="inlineStr">
        <is>
          <t>Methodist / Wesleyan</t>
        </is>
      </c>
      <c r="F332" s="7" t="inlineStr">
        <is>
          <t>SINGLE</t>
        </is>
      </c>
      <c r="G332" s="7" t="inlineStr">
        <is>
          <t>TO RECOVER FROM SESSION 9 LEDGER</t>
        </is>
      </c>
      <c r="H332" s="7" t="inlineStr">
        <is>
          <t>NO PUBLIC TILE</t>
        </is>
      </c>
      <c r="I332" s="7" t="n"/>
      <c r="J332" s="7" t="n"/>
      <c r="K332" s="7" t="n"/>
      <c r="L332" s="7" t="n"/>
      <c r="M332" s="7" t="n"/>
      <c r="N332" s="7" t="n"/>
      <c r="O332" s="7" t="n"/>
      <c r="P332" s="7" t="n"/>
      <c r="Q332" s="7" t="inlineStr">
        <is>
          <t>NOT-ASSESSED</t>
        </is>
      </c>
      <c r="R332" s="7" t="n"/>
      <c r="S332" s="7" t="n"/>
      <c r="T332" s="7" t="n"/>
      <c r="U332" s="7" t="n"/>
      <c r="V332" s="7" t="n"/>
      <c r="W332" s="7" t="n"/>
      <c r="X332" s="7" t="inlineStr">
        <is>
          <t>NOT LOCATED — NOT YET RECOVERED</t>
        </is>
      </c>
      <c r="Y332" s="7" t="inlineStr">
        <is>
          <t>EXCLUDED</t>
        </is>
      </c>
      <c r="Z332" s="11" t="b">
        <v>0</v>
      </c>
      <c r="AA332" s="8" t="inlineStr">
        <is>
          <t>CURRENT EVIDENCE / STATUS</t>
        </is>
      </c>
    </row>
    <row r="333" ht="15.75" customHeight="1" s="29">
      <c r="A333" s="7" t="inlineStr">
        <is>
          <t>Q-328</t>
        </is>
      </c>
      <c r="B333" s="7" t="inlineStr">
        <is>
          <t>RNR-H41</t>
        </is>
      </c>
      <c r="C333" s="7" t="inlineStr">
        <is>
          <t>Invisible</t>
        </is>
      </c>
      <c r="D333" s="7" t="inlineStr">
        <is>
          <t>D</t>
        </is>
      </c>
      <c r="E333" s="7" t="inlineStr">
        <is>
          <t>Mennonite / Anabaptist</t>
        </is>
      </c>
      <c r="F333" s="7" t="inlineStr">
        <is>
          <t>SINGLE</t>
        </is>
      </c>
      <c r="G333" s="7" t="inlineStr">
        <is>
          <t>TO RECOVER FROM SESSION 9 LEDGER</t>
        </is>
      </c>
      <c r="H333" s="7" t="inlineStr">
        <is>
          <t>NO PUBLIC TILE</t>
        </is>
      </c>
      <c r="I333" s="7" t="n"/>
      <c r="J333" s="7" t="n"/>
      <c r="K333" s="7" t="n"/>
      <c r="L333" s="7" t="n"/>
      <c r="M333" s="7" t="n"/>
      <c r="N333" s="7" t="n"/>
      <c r="O333" s="7" t="n"/>
      <c r="P333" s="7" t="n"/>
      <c r="Q333" s="7" t="inlineStr">
        <is>
          <t>NOT-ASSESSED</t>
        </is>
      </c>
      <c r="R333" s="7" t="n"/>
      <c r="S333" s="7" t="n"/>
      <c r="T333" s="7" t="n"/>
      <c r="U333" s="7" t="n"/>
      <c r="V333" s="7" t="n"/>
      <c r="W333" s="7" t="n"/>
      <c r="X333" s="7" t="inlineStr">
        <is>
          <t>NOT LOCATED — NOT YET RECOVERED</t>
        </is>
      </c>
      <c r="Y333" s="7" t="inlineStr">
        <is>
          <t>EXCLUDED</t>
        </is>
      </c>
      <c r="Z333" s="11" t="b">
        <v>0</v>
      </c>
      <c r="AA333" s="8" t="inlineStr">
        <is>
          <t>CURRENT EVIDENCE / STATUS</t>
        </is>
      </c>
    </row>
    <row r="334" ht="15.75" customHeight="1" s="29">
      <c r="A334" s="7" t="inlineStr">
        <is>
          <t>Q-329</t>
        </is>
      </c>
      <c r="B334" s="7" t="inlineStr">
        <is>
          <t>RNR-H42</t>
        </is>
      </c>
      <c r="C334" s="7" t="inlineStr">
        <is>
          <t>Incorporeal / without body</t>
        </is>
      </c>
      <c r="D334" s="7" t="inlineStr">
        <is>
          <t>D</t>
        </is>
      </c>
      <c r="E334" s="7" t="inlineStr">
        <is>
          <t>Roman Catholic</t>
        </is>
      </c>
      <c r="F334" s="7" t="inlineStr">
        <is>
          <t>SINGLE</t>
        </is>
      </c>
      <c r="G334" s="7" t="inlineStr">
        <is>
          <t>TO RECOVER FROM SESSION 9 LEDGER</t>
        </is>
      </c>
      <c r="H334" s="7" t="inlineStr">
        <is>
          <t>NO PUBLIC TILE</t>
        </is>
      </c>
      <c r="I334" s="7" t="n"/>
      <c r="J334" s="7" t="n"/>
      <c r="K334" s="7" t="n"/>
      <c r="L334" s="7" t="n"/>
      <c r="M334" s="7" t="n"/>
      <c r="N334" s="7" t="n"/>
      <c r="O334" s="7" t="n"/>
      <c r="P334" s="7" t="n"/>
      <c r="Q334" s="7" t="inlineStr">
        <is>
          <t>NOT-ASSESSED</t>
        </is>
      </c>
      <c r="R334" s="7" t="n"/>
      <c r="S334" s="7" t="n"/>
      <c r="T334" s="7" t="n"/>
      <c r="U334" s="7" t="n"/>
      <c r="V334" s="7" t="n"/>
      <c r="W334" s="7" t="n"/>
      <c r="X334" s="7" t="inlineStr">
        <is>
          <t>NOT LOCATED — NOT YET RECOVERED</t>
        </is>
      </c>
      <c r="Y334" s="7" t="inlineStr">
        <is>
          <t>EXCLUDED</t>
        </is>
      </c>
      <c r="Z334" s="11" t="b">
        <v>0</v>
      </c>
      <c r="AA334" s="8" t="inlineStr">
        <is>
          <t>CURRENT EVIDENCE / STATUS</t>
        </is>
      </c>
    </row>
    <row r="335" ht="15.75" customHeight="1" s="29">
      <c r="A335" s="7" t="inlineStr">
        <is>
          <t>Q-330</t>
        </is>
      </c>
      <c r="B335" s="7" t="inlineStr">
        <is>
          <t>RNR-H42</t>
        </is>
      </c>
      <c r="C335" s="7" t="inlineStr">
        <is>
          <t>Incorporeal / without body</t>
        </is>
      </c>
      <c r="D335" s="7" t="inlineStr">
        <is>
          <t>D</t>
        </is>
      </c>
      <c r="E335" s="7" t="inlineStr">
        <is>
          <t>Eastern Orthodox</t>
        </is>
      </c>
      <c r="F335" s="7" t="inlineStr">
        <is>
          <t>SINGLE</t>
        </is>
      </c>
      <c r="G335" s="7" t="inlineStr">
        <is>
          <t>TO RECOVER FROM SESSION 9 LEDGER</t>
        </is>
      </c>
      <c r="H335" s="7" t="inlineStr">
        <is>
          <t>NO PUBLIC TILE</t>
        </is>
      </c>
      <c r="I335" s="7" t="n"/>
      <c r="J335" s="7" t="n"/>
      <c r="K335" s="7" t="n"/>
      <c r="L335" s="7" t="n"/>
      <c r="M335" s="7" t="n"/>
      <c r="N335" s="7" t="n"/>
      <c r="O335" s="7" t="n"/>
      <c r="P335" s="7" t="n"/>
      <c r="Q335" s="7" t="inlineStr">
        <is>
          <t>NOT-ASSESSED</t>
        </is>
      </c>
      <c r="R335" s="7" t="n"/>
      <c r="S335" s="7" t="n"/>
      <c r="T335" s="7" t="n"/>
      <c r="U335" s="7" t="n"/>
      <c r="V335" s="7" t="n"/>
      <c r="W335" s="7" t="n"/>
      <c r="X335" s="7" t="inlineStr">
        <is>
          <t>NOT LOCATED — NOT YET RECOVERED</t>
        </is>
      </c>
      <c r="Y335" s="7" t="inlineStr">
        <is>
          <t>EXCLUDED</t>
        </is>
      </c>
      <c r="Z335" s="11" t="b">
        <v>0</v>
      </c>
      <c r="AA335" s="8" t="inlineStr">
        <is>
          <t>CURRENT EVIDENCE / STATUS</t>
        </is>
      </c>
    </row>
    <row r="336" ht="15.75" customHeight="1" s="29">
      <c r="A336" s="7" t="inlineStr">
        <is>
          <t>Q-331</t>
        </is>
      </c>
      <c r="B336" s="7" t="inlineStr">
        <is>
          <t>RNR-H42</t>
        </is>
      </c>
      <c r="C336" s="7" t="inlineStr">
        <is>
          <t>Incorporeal / without body</t>
        </is>
      </c>
      <c r="D336" s="7" t="inlineStr">
        <is>
          <t>D</t>
        </is>
      </c>
      <c r="E336" s="7" t="inlineStr">
        <is>
          <t>Lutheran</t>
        </is>
      </c>
      <c r="F336" s="7" t="inlineStr">
        <is>
          <t>SINGLE</t>
        </is>
      </c>
      <c r="G336" s="7" t="inlineStr">
        <is>
          <t>SESSION 9 SOURCE ROW RECOVERED</t>
        </is>
      </c>
      <c r="H336" s="7" t="inlineStr">
        <is>
          <t>PUBLIC-CERTIFIED</t>
        </is>
      </c>
      <c r="I336" s="7" t="inlineStr">
        <is>
          <t>RNR-H42a</t>
        </is>
      </c>
      <c r="J336" s="7" t="inlineStr">
        <is>
          <t>D</t>
        </is>
      </c>
      <c r="K336" s="7" t="inlineStr">
        <is>
          <t>Lutheran Church—Missouri Synod</t>
        </is>
      </c>
      <c r="L336" s="7" t="inlineStr">
        <is>
          <t>Augsburg Confession</t>
        </is>
      </c>
      <c r="M336" s="7" t="inlineStr">
        <is>
          <t>Article I, God</t>
        </is>
      </c>
      <c r="N336" s="7" t="inlineStr">
        <is>
          <t>https://www.lcms.org/about/beliefs/lutheran-confessions</t>
        </is>
      </c>
      <c r="O336" s="7" t="inlineStr">
        <is>
          <t>https://bookofconcord.org/augsburg-confession/of-god/</t>
        </is>
      </c>
      <c r="P336" s="7" t="inlineStr">
        <is>
          <t>S9-IA-0270 / S8-IA-0270</t>
        </is>
      </c>
      <c r="Q336" s="7" t="inlineStr">
        <is>
          <t>HIGH</t>
        </is>
      </c>
      <c r="R336" s="7" t="inlineStr">
        <is>
          <t>LCMS confessional subscription; not all Lutherans.</t>
        </is>
      </c>
      <c r="S336" s="7" t="inlineStr">
        <is>
          <t>NO</t>
        </is>
      </c>
      <c r="T336" s="7" t="inlineStr">
        <is>
          <t>D</t>
        </is>
      </c>
      <c r="U336" s="7" t="inlineStr">
        <is>
          <t>Incorporeal / without body.</t>
        </is>
      </c>
      <c r="V336" s="7" t="inlineStr">
        <is>
          <t>CERTIFIED</t>
        </is>
      </c>
      <c r="W336" s="7" t="n"/>
      <c r="X336" s="7" t="inlineStr">
        <is>
          <t>D</t>
        </is>
      </c>
      <c r="Y336" s="7" t="inlineStr">
        <is>
          <t>D</t>
        </is>
      </c>
      <c r="Z336" s="11" t="b">
        <v>0</v>
      </c>
      <c r="AA336" s="8" t="inlineStr">
        <is>
          <t>CURRENT EVIDENCE / STATUS</t>
        </is>
      </c>
    </row>
    <row r="337" ht="15.75" customHeight="1" s="29">
      <c r="A337" s="7" t="inlineStr">
        <is>
          <t>Q-332</t>
        </is>
      </c>
      <c r="B337" s="7" t="inlineStr">
        <is>
          <t>RNR-H42</t>
        </is>
      </c>
      <c r="C337" s="7" t="inlineStr">
        <is>
          <t>Incorporeal / without body</t>
        </is>
      </c>
      <c r="D337" s="7" t="inlineStr">
        <is>
          <t>D</t>
        </is>
      </c>
      <c r="E337" s="7" t="inlineStr">
        <is>
          <t>Reformed / Presbyterian</t>
        </is>
      </c>
      <c r="F337" s="7" t="inlineStr">
        <is>
          <t>SINGLE</t>
        </is>
      </c>
      <c r="G337" s="7" t="inlineStr">
        <is>
          <t>SESSION 9 SOURCE ROW RECOVERED</t>
        </is>
      </c>
      <c r="H337" s="7" t="inlineStr">
        <is>
          <t>PUBLIC-CERTIFIED</t>
        </is>
      </c>
      <c r="I337" s="7" t="inlineStr">
        <is>
          <t>RNR-H42a</t>
        </is>
      </c>
      <c r="J337" s="7" t="inlineStr">
        <is>
          <t>D</t>
        </is>
      </c>
      <c r="K337" s="7" t="inlineStr">
        <is>
          <t>Orthodox Presbyterian Church</t>
        </is>
      </c>
      <c r="L337" s="7" t="inlineStr">
        <is>
          <t>Westminster Confession of Faith</t>
        </is>
      </c>
      <c r="M337" s="7" t="inlineStr">
        <is>
          <t>Chapters II.1–3; III; V; VI; IX; XIII as applicable</t>
        </is>
      </c>
      <c r="N337" s="7" t="inlineStr">
        <is>
          <t>https://opc.org/wcf.html</t>
        </is>
      </c>
      <c r="O337" s="7" t="inlineStr">
        <is>
          <t>https://opc.org/wcf.html</t>
        </is>
      </c>
      <c r="P337" s="7" t="inlineStr">
        <is>
          <t>S9-IA-0273 / S8-IA-0273; PC(USA) Second Helvetic and Westminster rows corroborate.</t>
        </is>
      </c>
      <c r="Q337" s="7" t="inlineStr">
        <is>
          <t>HIGH</t>
        </is>
      </c>
      <c r="R337" s="7" t="inlineStr">
        <is>
          <t>OPC primary; PC(USA) corroboration.</t>
        </is>
      </c>
      <c r="S337" s="7" t="inlineStr">
        <is>
          <t>NO</t>
        </is>
      </c>
      <c r="T337" s="7" t="inlineStr">
        <is>
          <t>D</t>
        </is>
      </c>
      <c r="U337" s="7" t="inlineStr">
        <is>
          <t>Incorporeal / without body.</t>
        </is>
      </c>
      <c r="V337" s="7" t="inlineStr">
        <is>
          <t>CERTIFIED</t>
        </is>
      </c>
      <c r="W337" s="7" t="n"/>
      <c r="X337" s="7" t="inlineStr">
        <is>
          <t>D</t>
        </is>
      </c>
      <c r="Y337" s="7" t="inlineStr">
        <is>
          <t>D</t>
        </is>
      </c>
      <c r="Z337" s="11" t="b">
        <v>0</v>
      </c>
      <c r="AA337" s="8" t="inlineStr">
        <is>
          <t>CURRENT EVIDENCE / STATUS</t>
        </is>
      </c>
    </row>
    <row r="338" ht="15.75" customHeight="1" s="29">
      <c r="A338" s="7" t="inlineStr">
        <is>
          <t>Q-333</t>
        </is>
      </c>
      <c r="B338" s="7" t="inlineStr">
        <is>
          <t>RNR-H42</t>
        </is>
      </c>
      <c r="C338" s="7" t="inlineStr">
        <is>
          <t>Incorporeal / without body</t>
        </is>
      </c>
      <c r="D338" s="7" t="inlineStr">
        <is>
          <t>D</t>
        </is>
      </c>
      <c r="E338" s="7" t="inlineStr">
        <is>
          <t>Anglican</t>
        </is>
      </c>
      <c r="F338" s="7" t="inlineStr">
        <is>
          <t>SINGLE</t>
        </is>
      </c>
      <c r="G338" s="7" t="inlineStr">
        <is>
          <t>SESSION 9 SOURCE ROW RECOVERED</t>
        </is>
      </c>
      <c r="H338" s="7" t="inlineStr">
        <is>
          <t>PUBLIC-CERTIFIED</t>
        </is>
      </c>
      <c r="I338" s="7" t="inlineStr">
        <is>
          <t>RNR-H42a</t>
        </is>
      </c>
      <c r="J338" s="7" t="inlineStr">
        <is>
          <t>D</t>
        </is>
      </c>
      <c r="K338" s="7" t="inlineStr">
        <is>
          <t>Church of England</t>
        </is>
      </c>
      <c r="L338" s="7" t="inlineStr">
        <is>
          <t>Thirty-Nine Articles</t>
        </is>
      </c>
      <c r="M338" s="7" t="inlineStr">
        <is>
          <t>Article I</t>
        </is>
      </c>
      <c r="N338" s="7" t="inlineStr">
        <is>
          <t>https://www.churchofengland.org/prayer-and-worship/worship-texts-and-resources/book-common-prayer/articles-religion</t>
        </is>
      </c>
      <c r="O338" s="7" t="inlineStr">
        <is>
          <t>https://www.churchofengland.org/prayer-and-worship/worship-texts-and-resources/book-common-prayer/articles-religion</t>
        </is>
      </c>
      <c r="P338" s="7" t="inlineStr">
        <is>
          <t>Session 9 H42 Church of England row recovered; exact numeric row prefix truncated.</t>
        </is>
      </c>
      <c r="Q338" s="7" t="inlineStr">
        <is>
          <t>HIGH</t>
        </is>
      </c>
      <c r="R338" s="7" t="inlineStr">
        <is>
          <t>Church of England only; not Anglican Communion-wide.</t>
        </is>
      </c>
      <c r="S338" s="7" t="inlineStr">
        <is>
          <t>NO</t>
        </is>
      </c>
      <c r="T338" s="7" t="inlineStr">
        <is>
          <t>D</t>
        </is>
      </c>
      <c r="U338" s="7" t="inlineStr">
        <is>
          <t>Incorporeal / without body.</t>
        </is>
      </c>
      <c r="V338" s="7" t="inlineStr">
        <is>
          <t>CERTIFIED</t>
        </is>
      </c>
      <c r="W338" s="7" t="n"/>
      <c r="X338" s="7" t="inlineStr">
        <is>
          <t>D</t>
        </is>
      </c>
      <c r="Y338" s="7" t="inlineStr">
        <is>
          <t>D</t>
        </is>
      </c>
      <c r="Z338" s="11" t="b">
        <v>0</v>
      </c>
      <c r="AA338" s="8" t="inlineStr">
        <is>
          <t>CURRENT EVIDENCE / STATUS</t>
        </is>
      </c>
    </row>
    <row r="339" ht="15.75" customHeight="1" s="29">
      <c r="A339" s="7" t="inlineStr">
        <is>
          <t>Q-334</t>
        </is>
      </c>
      <c r="B339" s="7" t="inlineStr">
        <is>
          <t>RNR-H42</t>
        </is>
      </c>
      <c r="C339" s="7" t="inlineStr">
        <is>
          <t>Incorporeal / without body</t>
        </is>
      </c>
      <c r="D339" s="7" t="inlineStr">
        <is>
          <t>D</t>
        </is>
      </c>
      <c r="E339" s="7" t="inlineStr">
        <is>
          <t>Baptist</t>
        </is>
      </c>
      <c r="F339" s="7" t="inlineStr">
        <is>
          <t>SINGLE</t>
        </is>
      </c>
      <c r="G339" s="7" t="inlineStr">
        <is>
          <t>TO RECOVER FROM SESSION 9 LEDGER</t>
        </is>
      </c>
      <c r="H339" s="7" t="inlineStr">
        <is>
          <t>NO PUBLIC TILE</t>
        </is>
      </c>
      <c r="I339" s="7" t="n"/>
      <c r="J339" s="7" t="n"/>
      <c r="K339" s="7" t="n"/>
      <c r="L339" s="7" t="n"/>
      <c r="M339" s="7" t="n"/>
      <c r="N339" s="7" t="n"/>
      <c r="O339" s="7" t="n"/>
      <c r="P339" s="7" t="n"/>
      <c r="Q339" s="7" t="inlineStr">
        <is>
          <t>NOT-ASSESSED</t>
        </is>
      </c>
      <c r="R339" s="7" t="n"/>
      <c r="S339" s="7" t="n"/>
      <c r="T339" s="7" t="n"/>
      <c r="U339" s="7" t="n"/>
      <c r="V339" s="7" t="n"/>
      <c r="W339" s="7" t="n"/>
      <c r="X339" s="7" t="inlineStr">
        <is>
          <t>NOT LOCATED — NOT YET RECOVERED</t>
        </is>
      </c>
      <c r="Y339" s="7" t="inlineStr">
        <is>
          <t>EXCLUDED</t>
        </is>
      </c>
      <c r="Z339" s="11" t="b">
        <v>0</v>
      </c>
      <c r="AA339" s="8" t="inlineStr">
        <is>
          <t>CURRENT EVIDENCE / STATUS</t>
        </is>
      </c>
    </row>
    <row r="340" ht="15.75" customHeight="1" s="29">
      <c r="A340" s="7" t="inlineStr">
        <is>
          <t>Q-335</t>
        </is>
      </c>
      <c r="B340" s="7" t="inlineStr">
        <is>
          <t>RNR-H42</t>
        </is>
      </c>
      <c r="C340" s="7" t="inlineStr">
        <is>
          <t>Incorporeal / without body</t>
        </is>
      </c>
      <c r="D340" s="7" t="inlineStr">
        <is>
          <t>D</t>
        </is>
      </c>
      <c r="E340" s="7" t="inlineStr">
        <is>
          <t>Methodist / Wesleyan</t>
        </is>
      </c>
      <c r="F340" s="7" t="inlineStr">
        <is>
          <t>SINGLE</t>
        </is>
      </c>
      <c r="G340" s="7" t="inlineStr">
        <is>
          <t>SESSION 9 SOURCE ROW RECOVERED</t>
        </is>
      </c>
      <c r="H340" s="7" t="inlineStr">
        <is>
          <t>PUBLIC-CERTIFIED</t>
        </is>
      </c>
      <c r="I340" s="7" t="inlineStr">
        <is>
          <t>RNR-H42a</t>
        </is>
      </c>
      <c r="J340" s="7" t="inlineStr">
        <is>
          <t>D</t>
        </is>
      </c>
      <c r="K340" s="7" t="inlineStr">
        <is>
          <t>The United Methodist Church</t>
        </is>
      </c>
      <c r="L340" s="7" t="inlineStr">
        <is>
          <t>Articles of Religion of the Methodist Church</t>
        </is>
      </c>
      <c r="M340" s="7" t="inlineStr">
        <is>
          <t>Article I</t>
        </is>
      </c>
      <c r="N340" s="7" t="inlineStr">
        <is>
          <t>https://www.umc.org/en/content/articles-of-religion</t>
        </is>
      </c>
      <c r="O340" s="7" t="inlineStr">
        <is>
          <t>https://www.umc.org/en/content/articles-of-religion</t>
        </is>
      </c>
      <c r="P340" s="7" t="inlineStr">
        <is>
          <t>S9-IA-0275 / S8-IA-0275.</t>
        </is>
      </c>
      <c r="Q340" s="7" t="inlineStr">
        <is>
          <t>HIGH</t>
        </is>
      </c>
      <c r="R340" s="7" t="inlineStr">
        <is>
          <t>UMC institutional scope.</t>
        </is>
      </c>
      <c r="S340" s="7" t="inlineStr">
        <is>
          <t>NO</t>
        </is>
      </c>
      <c r="T340" s="7" t="inlineStr">
        <is>
          <t>D</t>
        </is>
      </c>
      <c r="U340" s="7" t="inlineStr">
        <is>
          <t>Incorporeal / without body.</t>
        </is>
      </c>
      <c r="V340" s="7" t="inlineStr">
        <is>
          <t>CERTIFIED</t>
        </is>
      </c>
      <c r="W340" s="7" t="n"/>
      <c r="X340" s="7" t="inlineStr">
        <is>
          <t>D</t>
        </is>
      </c>
      <c r="Y340" s="7" t="inlineStr">
        <is>
          <t>D</t>
        </is>
      </c>
      <c r="Z340" s="11" t="b">
        <v>0</v>
      </c>
      <c r="AA340" s="8" t="inlineStr">
        <is>
          <t>CURRENT EVIDENCE / STATUS</t>
        </is>
      </c>
    </row>
    <row r="341" ht="15.75" customHeight="1" s="29">
      <c r="A341" s="7" t="inlineStr">
        <is>
          <t>Q-336</t>
        </is>
      </c>
      <c r="B341" s="7" t="inlineStr">
        <is>
          <t>RNR-H42</t>
        </is>
      </c>
      <c r="C341" s="7" t="inlineStr">
        <is>
          <t>Incorporeal / without body</t>
        </is>
      </c>
      <c r="D341" s="7" t="inlineStr">
        <is>
          <t>D</t>
        </is>
      </c>
      <c r="E341" s="7" t="inlineStr">
        <is>
          <t>Mennonite / Anabaptist</t>
        </is>
      </c>
      <c r="F341" s="7" t="inlineStr">
        <is>
          <t>SINGLE</t>
        </is>
      </c>
      <c r="G341" s="7" t="inlineStr">
        <is>
          <t>TO RECOVER FROM SESSION 9 LEDGER</t>
        </is>
      </c>
      <c r="H341" s="7" t="inlineStr">
        <is>
          <t>NO PUBLIC TILE</t>
        </is>
      </c>
      <c r="I341" s="7" t="n"/>
      <c r="J341" s="7" t="n"/>
      <c r="K341" s="7" t="n"/>
      <c r="L341" s="7" t="n"/>
      <c r="M341" s="7" t="n"/>
      <c r="N341" s="7" t="n"/>
      <c r="O341" s="7" t="n"/>
      <c r="P341" s="7" t="n"/>
      <c r="Q341" s="7" t="inlineStr">
        <is>
          <t>NOT-ASSESSED</t>
        </is>
      </c>
      <c r="R341" s="7" t="n"/>
      <c r="S341" s="7" t="n"/>
      <c r="T341" s="7" t="n"/>
      <c r="U341" s="7" t="n"/>
      <c r="V341" s="7" t="n"/>
      <c r="W341" s="7" t="n"/>
      <c r="X341" s="7" t="inlineStr">
        <is>
          <t>NOT LOCATED — NOT YET RECOVERED</t>
        </is>
      </c>
      <c r="Y341" s="7" t="inlineStr">
        <is>
          <t>EXCLUDED</t>
        </is>
      </c>
      <c r="Z341" s="11" t="b">
        <v>0</v>
      </c>
      <c r="AA341" s="8" t="inlineStr">
        <is>
          <t>CURRENT EVIDENCE / STATUS</t>
        </is>
      </c>
    </row>
    <row r="342" ht="15.75" customHeight="1" s="29">
      <c r="A342" s="7" t="inlineStr">
        <is>
          <t>Q-337</t>
        </is>
      </c>
      <c r="B342" s="7" t="inlineStr">
        <is>
          <t>RNR-H43</t>
        </is>
      </c>
      <c r="C342" s="7" t="inlineStr">
        <is>
          <t>Without parts / simple</t>
        </is>
      </c>
      <c r="D342" s="7" t="inlineStr">
        <is>
          <t>D</t>
        </is>
      </c>
      <c r="E342" s="7" t="inlineStr">
        <is>
          <t>Roman Catholic</t>
        </is>
      </c>
      <c r="F342" s="7" t="inlineStr">
        <is>
          <t>SINGLE</t>
        </is>
      </c>
      <c r="G342" s="7" t="inlineStr">
        <is>
          <t>SOURCE ROW RECOVERED</t>
        </is>
      </c>
      <c r="H342" s="7" t="inlineStr">
        <is>
          <t>PUBLIC-CERTIFIED</t>
        </is>
      </c>
      <c r="I342" s="7" t="inlineStr">
        <is>
          <t>RNR-H43a</t>
        </is>
      </c>
      <c r="J342" s="7" t="inlineStr">
        <is>
          <t>D</t>
        </is>
      </c>
      <c r="K342" s="7" t="inlineStr">
        <is>
          <t>Roman Catholic Church</t>
        </is>
      </c>
      <c r="L342" s="7" t="inlineStr">
        <is>
          <t>First Vatican Council, Dei Filius</t>
        </is>
      </c>
      <c r="M342" s="7" t="inlineStr">
        <is>
          <t>Chapter I, God the Creator of All Things</t>
        </is>
      </c>
      <c r="N342" s="7" t="inlineStr">
        <is>
          <t>https://www.vatican.va/archive/hist_councils/i-vatican-council/documents/vat-i_const_18700424_dei-filius_la.html</t>
        </is>
      </c>
      <c r="O342" s="7" t="inlineStr">
        <is>
          <t>https://www.ewtn.com/catholicism/teachings/vatican-i-dogmatic-constitution-dei-filius-on-the-catholic-faith-241</t>
        </is>
      </c>
      <c r="P342" s="7" t="inlineStr">
        <is>
          <t>Official Latin control / recovered institution ledger</t>
        </is>
      </c>
      <c r="Q342" s="7" t="inlineStr">
        <is>
          <t>HIGH</t>
        </is>
      </c>
      <c r="R342" s="7" t="inlineStr">
        <is>
          <t>Eastern Orthodox row remains jurisdictional/pending at exact H43 floor; Mennonite row remains not located.</t>
        </is>
      </c>
      <c r="S342" s="7" t="inlineStr">
        <is>
          <t>NO</t>
        </is>
      </c>
      <c r="T342" s="7" t="inlineStr">
        <is>
          <t>D</t>
        </is>
      </c>
      <c r="U342" s="7" t="inlineStr">
        <is>
          <t>Prevents the prior 6/8 reconstruction from being mistaken for an evidence-complete breadth statistic.</t>
        </is>
      </c>
      <c r="V342" s="7" t="inlineStr">
        <is>
          <t>CERTIFIED</t>
        </is>
      </c>
      <c r="W342" s="7" t="n"/>
      <c r="X342" s="7" t="inlineStr">
        <is>
          <t>D</t>
        </is>
      </c>
      <c r="Y342" s="7" t="inlineStr">
        <is>
          <t>D</t>
        </is>
      </c>
      <c r="Z342" s="11" t="b">
        <v>0</v>
      </c>
      <c r="AA342" s="8" t="inlineStr">
        <is>
          <t>CURRENT EVIDENCE / STATUS</t>
        </is>
      </c>
    </row>
    <row r="343" ht="15.75" customHeight="1" s="29">
      <c r="A343" s="7" t="inlineStr">
        <is>
          <t>Q-338</t>
        </is>
      </c>
      <c r="B343" s="7" t="inlineStr">
        <is>
          <t>RNR-H43</t>
        </is>
      </c>
      <c r="C343" s="7" t="inlineStr">
        <is>
          <t>Without parts / simple</t>
        </is>
      </c>
      <c r="D343" s="7" t="inlineStr">
        <is>
          <t>D</t>
        </is>
      </c>
      <c r="E343" s="7" t="inlineStr">
        <is>
          <t>Eastern Orthodox</t>
        </is>
      </c>
      <c r="F343" s="7" t="inlineStr">
        <is>
          <t>SINGLE</t>
        </is>
      </c>
      <c r="G343" s="7" t="inlineStr">
        <is>
          <t>SOURCE ROW RECOVERED</t>
        </is>
      </c>
      <c r="H343" s="7" t="inlineStr">
        <is>
          <t>PENDING REVIEW</t>
        </is>
      </c>
      <c r="I343" s="7" t="inlineStr">
        <is>
          <t>RNR-H43a</t>
        </is>
      </c>
      <c r="J343" s="7" t="inlineStr">
        <is>
          <t>PENDING</t>
        </is>
      </c>
      <c r="K343" s="7" t="inlineStr">
        <is>
          <t>Orthodox Church in America (jurisdictional witness)</t>
        </is>
      </c>
      <c r="L343" s="7" t="inlineStr">
        <is>
          <t>The Orthodox Faith — God</t>
        </is>
      </c>
      <c r="M343" s="7" t="inlineStr">
        <is>
          <t>Divine simplicity discussion</t>
        </is>
      </c>
      <c r="N343" s="7" t="inlineStr">
        <is>
          <t>https://www.oca.org/orthodoxy/the-orthodox-faith/doctrine-scripture/the-symbol-of-faith/god</t>
        </is>
      </c>
      <c r="O343" s="7" t="inlineStr">
        <is>
          <t>https://www.oca.org/orthodoxy/the-orthodox-faith/doctrine-scripture/the-symbol-of-faith/god</t>
        </is>
      </c>
      <c r="P343" s="7" t="inlineStr">
        <is>
          <t>Official OCA catechetical witness supports simplicity, but exact 'without parts' equivalence has not yet been promoted.</t>
        </is>
      </c>
      <c r="Q343" s="7" t="inlineStr">
        <is>
          <t>REVIEW</t>
        </is>
      </c>
      <c r="R343" s="7" t="inlineStr">
        <is>
          <t>Eastern Orthodox row remains jurisdictional/pending at exact H43 floor; Mennonite row remains not located.</t>
        </is>
      </c>
      <c r="S343" s="7" t="inlineStr">
        <is>
          <t>REVIEW</t>
        </is>
      </c>
      <c r="T343" s="7" t="n"/>
      <c r="U343" s="7" t="inlineStr">
        <is>
          <t>Eastern Orthodox teaching affirms divine simplicity, but the Orthodox distinction between God's essence and His energies means the Western formula "without parts" is not simply equivalent; this cell stays pending review rather than being coded D.</t>
        </is>
      </c>
      <c r="V343" s="7" t="inlineStr">
        <is>
          <t>PENDING REVIEW</t>
        </is>
      </c>
      <c r="W343" s="7" t="inlineStr">
        <is>
          <t>AJP 2026-09-09: keep PENDING (AUTH-ORTH-H43 opt 2). Eastern Orthodox teaching affirms divine simplicity, but the Orthodox distinction between God's essence and His energies means the Western formula "without parts" is not simply equivalent; this cell stays pending review rather than being coded D.</t>
        </is>
      </c>
      <c r="X343" s="7" t="inlineStr">
        <is>
          <t>PENDING REVIEW</t>
        </is>
      </c>
      <c r="Y343" s="7" t="inlineStr">
        <is>
          <t>EXCLUDED</t>
        </is>
      </c>
      <c r="Z343" s="11" t="b">
        <v>0</v>
      </c>
      <c r="AA343" s="8" t="inlineStr">
        <is>
          <t>CURRENT EVIDENCE / STATUS</t>
        </is>
      </c>
    </row>
    <row r="344" ht="15.75" customHeight="1" s="29">
      <c r="A344" s="7" t="inlineStr">
        <is>
          <t>Q-339</t>
        </is>
      </c>
      <c r="B344" s="7" t="inlineStr">
        <is>
          <t>RNR-H43</t>
        </is>
      </c>
      <c r="C344" s="7" t="inlineStr">
        <is>
          <t>Without parts / simple</t>
        </is>
      </c>
      <c r="D344" s="7" t="inlineStr">
        <is>
          <t>D</t>
        </is>
      </c>
      <c r="E344" s="7" t="inlineStr">
        <is>
          <t>Lutheran</t>
        </is>
      </c>
      <c r="F344" s="7" t="inlineStr">
        <is>
          <t>SINGLE</t>
        </is>
      </c>
      <c r="G344" s="7" t="inlineStr">
        <is>
          <t>SOURCE ROW RECOVERED</t>
        </is>
      </c>
      <c r="H344" s="7" t="inlineStr">
        <is>
          <t>PUBLIC-CERTIFIED</t>
        </is>
      </c>
      <c r="I344" s="7" t="inlineStr">
        <is>
          <t>RNR-H43a</t>
        </is>
      </c>
      <c r="J344" s="7" t="inlineStr">
        <is>
          <t>D</t>
        </is>
      </c>
      <c r="K344" s="7" t="inlineStr">
        <is>
          <t>Lutheran Church—Missouri Synod / Book of Concord</t>
        </is>
      </c>
      <c r="L344" s="7" t="inlineStr">
        <is>
          <t>Augsburg Confession</t>
        </is>
      </c>
      <c r="M344" s="7" t="inlineStr">
        <is>
          <t>Article I, Of God</t>
        </is>
      </c>
      <c r="N344" s="7" t="inlineStr">
        <is>
          <t>https://bookofconcord.org/augsburg-confession/of-god/</t>
        </is>
      </c>
      <c r="O344" s="7" t="inlineStr">
        <is>
          <t>https://bookofconcord.org/augsburg-confession/of-god/</t>
        </is>
      </c>
      <c r="P344" s="7" t="inlineStr">
        <is>
          <t>Recovered institution ledger</t>
        </is>
      </c>
      <c r="Q344" s="7" t="inlineStr">
        <is>
          <t>HIGH</t>
        </is>
      </c>
      <c r="R344" s="7" t="inlineStr">
        <is>
          <t>Eastern Orthodox row remains jurisdictional/pending at exact H43 floor; Mennonite row remains not located.</t>
        </is>
      </c>
      <c r="S344" s="7" t="inlineStr">
        <is>
          <t>NO</t>
        </is>
      </c>
      <c r="T344" s="7" t="inlineStr">
        <is>
          <t>D</t>
        </is>
      </c>
      <c r="U344" s="7" t="inlineStr">
        <is>
          <t>Prevents the prior 6/8 reconstruction from being mistaken for an evidence-complete breadth statistic.</t>
        </is>
      </c>
      <c r="V344" s="7" t="inlineStr">
        <is>
          <t>CERTIFIED</t>
        </is>
      </c>
      <c r="W344" s="7" t="n"/>
      <c r="X344" s="7" t="inlineStr">
        <is>
          <t>D</t>
        </is>
      </c>
      <c r="Y344" s="7" t="inlineStr">
        <is>
          <t>D</t>
        </is>
      </c>
      <c r="Z344" s="11" t="b">
        <v>0</v>
      </c>
      <c r="AA344" s="8" t="inlineStr">
        <is>
          <t>CURRENT EVIDENCE / STATUS</t>
        </is>
      </c>
    </row>
    <row r="345" ht="15.75" customHeight="1" s="29">
      <c r="A345" s="7" t="inlineStr">
        <is>
          <t>Q-340</t>
        </is>
      </c>
      <c r="B345" s="7" t="inlineStr">
        <is>
          <t>RNR-H43</t>
        </is>
      </c>
      <c r="C345" s="7" t="inlineStr">
        <is>
          <t>Without parts / simple</t>
        </is>
      </c>
      <c r="D345" s="7" t="inlineStr">
        <is>
          <t>D</t>
        </is>
      </c>
      <c r="E345" s="7" t="inlineStr">
        <is>
          <t>Reformed / Presbyterian</t>
        </is>
      </c>
      <c r="F345" s="7" t="inlineStr">
        <is>
          <t>SINGLE</t>
        </is>
      </c>
      <c r="G345" s="7" t="inlineStr">
        <is>
          <t>SOURCE ROW RECOVERED</t>
        </is>
      </c>
      <c r="H345" s="7" t="inlineStr">
        <is>
          <t>PUBLIC-CERTIFIED</t>
        </is>
      </c>
      <c r="I345" s="7" t="inlineStr">
        <is>
          <t>RNR-H43a</t>
        </is>
      </c>
      <c r="J345" s="7" t="inlineStr">
        <is>
          <t>D</t>
        </is>
      </c>
      <c r="K345" s="7" t="inlineStr">
        <is>
          <t>Orthodox Presbyterian Church</t>
        </is>
      </c>
      <c r="L345" s="7" t="inlineStr">
        <is>
          <t>Westminster Confession of Faith</t>
        </is>
      </c>
      <c r="M345" s="7" t="inlineStr">
        <is>
          <t>Chapter II</t>
        </is>
      </c>
      <c r="N345" s="7" t="inlineStr">
        <is>
          <t>https://opc.org/wcf.html</t>
        </is>
      </c>
      <c r="O345" s="7" t="inlineStr">
        <is>
          <t>https://opc.org/wcf.html</t>
        </is>
      </c>
      <c r="P345" s="7" t="inlineStr">
        <is>
          <t>Recovered institution ledger</t>
        </is>
      </c>
      <c r="Q345" s="7" t="inlineStr">
        <is>
          <t>HIGH</t>
        </is>
      </c>
      <c r="R345" s="7" t="inlineStr">
        <is>
          <t>Eastern Orthodox row remains jurisdictional/pending at exact H43 floor; Mennonite row remains not located.</t>
        </is>
      </c>
      <c r="S345" s="7" t="inlineStr">
        <is>
          <t>NO</t>
        </is>
      </c>
      <c r="T345" s="7" t="inlineStr">
        <is>
          <t>D</t>
        </is>
      </c>
      <c r="U345" s="7" t="inlineStr">
        <is>
          <t>Prevents the prior 6/8 reconstruction from being mistaken for an evidence-complete breadth statistic.</t>
        </is>
      </c>
      <c r="V345" s="7" t="inlineStr">
        <is>
          <t>CERTIFIED</t>
        </is>
      </c>
      <c r="W345" s="7" t="n"/>
      <c r="X345" s="7" t="inlineStr">
        <is>
          <t>D</t>
        </is>
      </c>
      <c r="Y345" s="7" t="inlineStr">
        <is>
          <t>D</t>
        </is>
      </c>
      <c r="Z345" s="11" t="b">
        <v>0</v>
      </c>
      <c r="AA345" s="8" t="inlineStr">
        <is>
          <t>CURRENT EVIDENCE / STATUS</t>
        </is>
      </c>
    </row>
    <row r="346" ht="15.75" customHeight="1" s="29">
      <c r="A346" s="7" t="inlineStr">
        <is>
          <t>Q-341</t>
        </is>
      </c>
      <c r="B346" s="7" t="inlineStr">
        <is>
          <t>RNR-H43</t>
        </is>
      </c>
      <c r="C346" s="7" t="inlineStr">
        <is>
          <t>Without parts / simple</t>
        </is>
      </c>
      <c r="D346" s="7" t="inlineStr">
        <is>
          <t>D</t>
        </is>
      </c>
      <c r="E346" s="7" t="inlineStr">
        <is>
          <t>Anglican</t>
        </is>
      </c>
      <c r="F346" s="7" t="inlineStr">
        <is>
          <t>SINGLE</t>
        </is>
      </c>
      <c r="G346" s="7" t="inlineStr">
        <is>
          <t>SOURCE ROW RECOVERED</t>
        </is>
      </c>
      <c r="H346" s="7" t="inlineStr">
        <is>
          <t>PUBLIC-CERTIFIED</t>
        </is>
      </c>
      <c r="I346" s="7" t="inlineStr">
        <is>
          <t>RNR-H43a</t>
        </is>
      </c>
      <c r="J346" s="7" t="inlineStr">
        <is>
          <t>D</t>
        </is>
      </c>
      <c r="K346" s="7" t="inlineStr">
        <is>
          <t>Church of England</t>
        </is>
      </c>
      <c r="L346" s="7" t="inlineStr">
        <is>
          <t>Thirty-Nine Articles</t>
        </is>
      </c>
      <c r="M346" s="7" t="inlineStr">
        <is>
          <t>Article I</t>
        </is>
      </c>
      <c r="N346" s="7" t="inlineStr">
        <is>
          <t>https://www.churchofengland.org/prayer-and-worship/worship-texts-and-resources/book-common-prayer/articles-religion</t>
        </is>
      </c>
      <c r="O346" s="7" t="inlineStr">
        <is>
          <t>https://www.churchofengland.org/prayer-and-worship/worship-texts-and-resources/book-common-prayer/articles-religion</t>
        </is>
      </c>
      <c r="P346" s="7" t="inlineStr">
        <is>
          <t>Recovered institution ledger</t>
        </is>
      </c>
      <c r="Q346" s="7" t="inlineStr">
        <is>
          <t>HIGH</t>
        </is>
      </c>
      <c r="R346" s="7" t="inlineStr">
        <is>
          <t>Eastern Orthodox row remains jurisdictional/pending at exact H43 floor; Mennonite row remains not located.</t>
        </is>
      </c>
      <c r="S346" s="7" t="inlineStr">
        <is>
          <t>NO</t>
        </is>
      </c>
      <c r="T346" s="7" t="inlineStr">
        <is>
          <t>D</t>
        </is>
      </c>
      <c r="U346" s="7" t="inlineStr">
        <is>
          <t>Prevents the prior 6/8 reconstruction from being mistaken for an evidence-complete breadth statistic.</t>
        </is>
      </c>
      <c r="V346" s="7" t="inlineStr">
        <is>
          <t>CERTIFIED</t>
        </is>
      </c>
      <c r="W346" s="7" t="n"/>
      <c r="X346" s="7" t="inlineStr">
        <is>
          <t>D</t>
        </is>
      </c>
      <c r="Y346" s="7" t="inlineStr">
        <is>
          <t>D</t>
        </is>
      </c>
      <c r="Z346" s="11" t="b">
        <v>0</v>
      </c>
      <c r="AA346" s="8" t="inlineStr">
        <is>
          <t>CURRENT EVIDENCE / STATUS</t>
        </is>
      </c>
    </row>
    <row r="347" ht="15.75" customHeight="1" s="29">
      <c r="A347" s="7" t="inlineStr">
        <is>
          <t>Q-342</t>
        </is>
      </c>
      <c r="B347" s="7" t="inlineStr">
        <is>
          <t>RNR-H43</t>
        </is>
      </c>
      <c r="C347" s="7" t="inlineStr">
        <is>
          <t>Without parts / simple</t>
        </is>
      </c>
      <c r="D347" s="7" t="inlineStr">
        <is>
          <t>D</t>
        </is>
      </c>
      <c r="E347" s="7" t="inlineStr">
        <is>
          <t>Baptist</t>
        </is>
      </c>
      <c r="F347" s="7" t="inlineStr">
        <is>
          <t>SINGLE</t>
        </is>
      </c>
      <c r="G347" s="7" t="inlineStr">
        <is>
          <t>HISTORICAL SOURCE RETIRED — CURRENT SOURCE NOT YET RECOVERED</t>
        </is>
      </c>
      <c r="H347" s="7" t="inlineStr">
        <is>
          <t>NO PUBLIC TILE</t>
        </is>
      </c>
      <c r="I347" s="7" t="inlineStr">
        <is>
          <t>RNR-H43a</t>
        </is>
      </c>
      <c r="J347" s="7" t="inlineStr">
        <is>
          <t>D</t>
        </is>
      </c>
      <c r="K347" s="7" t="inlineStr">
        <is>
          <t>Historical Particular Baptist witness</t>
        </is>
      </c>
      <c r="L347" s="7" t="inlineStr">
        <is>
          <t>Second London Baptist Confession (1689)</t>
        </is>
      </c>
      <c r="M347" s="7" t="inlineStr">
        <is>
          <t>Chapter 2.1</t>
        </is>
      </c>
      <c r="N347" s="7" t="inlineStr">
        <is>
          <t>https://baptistconfession.org/</t>
        </is>
      </c>
      <c r="O347" s="7" t="inlineStr">
        <is>
          <t>https://baptistconfession.org/</t>
        </is>
      </c>
      <c r="P347" s="7" t="inlineStr">
        <is>
          <t>Direct document; 'without body, parts, or passions'</t>
        </is>
      </c>
      <c r="Q347" s="7" t="inlineStr">
        <is>
          <t>HISTORICAL-ONLY</t>
        </is>
      </c>
      <c r="R347" s="7" t="inlineStr">
        <is>
          <t>Historical source may remain in the bounded inherited corpus but is not a current institutional witness for this teaching branch.</t>
        </is>
      </c>
      <c r="S347" s="7" t="inlineStr">
        <is>
          <t>CURRENT-SOURCE REPLACEMENT REQUIRED</t>
        </is>
      </c>
      <c r="T347" s="7" t="n"/>
      <c r="U347" s="7" t="inlineStr">
        <is>
          <t>Second London Baptist Confession remains a historical Particular Baptist witness, but the project authority roster does not permit it to stand for the Southern Baptist Convention or all Baptists.</t>
        </is>
      </c>
      <c r="V347" s="7" t="inlineStr">
        <is>
          <t>HOLD</t>
        </is>
      </c>
      <c r="W347" s="7" t="n"/>
      <c r="X347" s="7" t="inlineStr">
        <is>
          <t>NOT LOCATED — CURRENT SOURCE</t>
        </is>
      </c>
      <c r="Y347" s="7" t="inlineStr">
        <is>
          <t>EXCLUDED</t>
        </is>
      </c>
      <c r="Z347" s="11" t="b">
        <v>1</v>
      </c>
      <c r="AA347" s="8" t="inlineStr">
        <is>
          <t>LINEAGE ONLY</t>
        </is>
      </c>
    </row>
    <row r="348" ht="15.75" customHeight="1" s="29">
      <c r="A348" s="7" t="inlineStr">
        <is>
          <t>Q-343</t>
        </is>
      </c>
      <c r="B348" s="7" t="inlineStr">
        <is>
          <t>RNR-H43</t>
        </is>
      </c>
      <c r="C348" s="7" t="inlineStr">
        <is>
          <t>Without parts / simple</t>
        </is>
      </c>
      <c r="D348" s="7" t="inlineStr">
        <is>
          <t>D</t>
        </is>
      </c>
      <c r="E348" s="7" t="inlineStr">
        <is>
          <t>Methodist / Wesleyan</t>
        </is>
      </c>
      <c r="F348" s="7" t="inlineStr">
        <is>
          <t>SINGLE</t>
        </is>
      </c>
      <c r="G348" s="7" t="inlineStr">
        <is>
          <t>SOURCE ROW RECOVERED</t>
        </is>
      </c>
      <c r="H348" s="7" t="inlineStr">
        <is>
          <t>PUBLIC-CERTIFIED</t>
        </is>
      </c>
      <c r="I348" s="7" t="inlineStr">
        <is>
          <t>RNR-H43a</t>
        </is>
      </c>
      <c r="J348" s="7" t="inlineStr">
        <is>
          <t>D</t>
        </is>
      </c>
      <c r="K348" s="7" t="inlineStr">
        <is>
          <t>The United Methodist Church</t>
        </is>
      </c>
      <c r="L348" s="7" t="inlineStr">
        <is>
          <t>Articles of Religion</t>
        </is>
      </c>
      <c r="M348" s="7" t="inlineStr">
        <is>
          <t>Article I</t>
        </is>
      </c>
      <c r="N348" s="7" t="inlineStr">
        <is>
          <t>https://www.umc.org/en/content/articles-of-religion</t>
        </is>
      </c>
      <c r="O348" s="7" t="inlineStr">
        <is>
          <t>https://www.umc.org/en/content/articles-of-religion</t>
        </is>
      </c>
      <c r="P348" s="7" t="inlineStr">
        <is>
          <t>Recovered institution ledger</t>
        </is>
      </c>
      <c r="Q348" s="7" t="inlineStr">
        <is>
          <t>HIGH</t>
        </is>
      </c>
      <c r="R348" s="7" t="inlineStr">
        <is>
          <t>Eastern Orthodox row remains jurisdictional/pending at exact H43 floor; Mennonite row remains not located.</t>
        </is>
      </c>
      <c r="S348" s="7" t="inlineStr">
        <is>
          <t>NO</t>
        </is>
      </c>
      <c r="T348" s="7" t="inlineStr">
        <is>
          <t>D</t>
        </is>
      </c>
      <c r="U348" s="7" t="inlineStr">
        <is>
          <t>Prevents the prior 6/8 reconstruction from being mistaken for an evidence-complete breadth statistic.</t>
        </is>
      </c>
      <c r="V348" s="7" t="inlineStr">
        <is>
          <t>CERTIFIED</t>
        </is>
      </c>
      <c r="W348" s="7" t="n"/>
      <c r="X348" s="7" t="inlineStr">
        <is>
          <t>D</t>
        </is>
      </c>
      <c r="Y348" s="7" t="inlineStr">
        <is>
          <t>D</t>
        </is>
      </c>
      <c r="Z348" s="11" t="b">
        <v>0</v>
      </c>
      <c r="AA348" s="8" t="inlineStr">
        <is>
          <t>CURRENT EVIDENCE / STATUS</t>
        </is>
      </c>
    </row>
    <row r="349" ht="15.75" customHeight="1" s="29">
      <c r="A349" s="7" t="inlineStr">
        <is>
          <t>Q-344</t>
        </is>
      </c>
      <c r="B349" s="7" t="inlineStr">
        <is>
          <t>RNR-H43</t>
        </is>
      </c>
      <c r="C349" s="7" t="inlineStr">
        <is>
          <t>Without parts / simple</t>
        </is>
      </c>
      <c r="D349" s="7" t="inlineStr">
        <is>
          <t>D</t>
        </is>
      </c>
      <c r="E349" s="7" t="inlineStr">
        <is>
          <t>Mennonite / Anabaptist</t>
        </is>
      </c>
      <c r="F349" s="7" t="inlineStr">
        <is>
          <t>SINGLE</t>
        </is>
      </c>
      <c r="G349" s="7" t="inlineStr">
        <is>
          <t>HISTORICAL SOURCE RETIRED — CURRENT SOURCE NOT YET RECOVERED</t>
        </is>
      </c>
      <c r="H349" s="7" t="inlineStr">
        <is>
          <t>NO PUBLIC TILE</t>
        </is>
      </c>
      <c r="I349" s="7" t="inlineStr">
        <is>
          <t>RNR-H43a</t>
        </is>
      </c>
      <c r="J349" s="7" t="inlineStr">
        <is>
          <t>NL</t>
        </is>
      </c>
      <c r="K349" s="7" t="inlineStr">
        <is>
          <t>Historical Mennonite witness</t>
        </is>
      </c>
      <c r="L349" s="7" t="inlineStr">
        <is>
          <t>Dordrecht Confession of Faith (1632)</t>
        </is>
      </c>
      <c r="M349" s="7" t="inlineStr">
        <is>
          <t>Article I</t>
        </is>
      </c>
      <c r="N349" s="7" t="inlineStr">
        <is>
          <t>https://gameo.org/index.php?title=Dordrecht_Confession_of_Faith_%28Mennonite%2C_1632%29</t>
        </is>
      </c>
      <c r="O349" s="7" t="inlineStr">
        <is>
          <t>https://gameo.org/index.php?title=Dordrecht_Confession_of_Faith_%28Mennonite%2C_1632%29</t>
        </is>
      </c>
      <c r="P349" s="7" t="inlineStr">
        <is>
          <t>Current admitted text supports Almighty/Creator but not an exact H43 'without parts/simple' predicate.</t>
        </is>
      </c>
      <c r="Q349" s="7" t="inlineStr">
        <is>
          <t>HISTORICAL-ONLY</t>
        </is>
      </c>
      <c r="R349" s="7" t="inlineStr">
        <is>
          <t>Historical source may remain in the bounded inherited corpus but is not a current institutional witness for this teaching branch.</t>
        </is>
      </c>
      <c r="S349" s="7" t="inlineStr">
        <is>
          <t>CURRENT-SOURCE REPLACEMENT REQUIRED</t>
        </is>
      </c>
      <c r="T349" s="7" t="n"/>
      <c r="U349" s="7" t="inlineStr">
        <is>
          <t>No current Mennonite Church USA/Canada source for H43 has been certified; Dordrecht 1632 cannot establish the current branch cell.</t>
        </is>
      </c>
      <c r="V349" s="7" t="inlineStr">
        <is>
          <t>HOLD</t>
        </is>
      </c>
      <c r="W349" s="7" t="n"/>
      <c r="X349" s="7" t="inlineStr">
        <is>
          <t>NOT LOCATED — CURRENT SOURCE</t>
        </is>
      </c>
      <c r="Y349" s="7" t="inlineStr">
        <is>
          <t>EXCLUDED</t>
        </is>
      </c>
      <c r="Z349" s="11" t="b">
        <v>1</v>
      </c>
      <c r="AA349" s="8" t="inlineStr">
        <is>
          <t>LINEAGE ONLY</t>
        </is>
      </c>
    </row>
    <row r="350" ht="15.75" customHeight="1" s="29">
      <c r="A350" s="7" t="inlineStr">
        <is>
          <t>Q-345</t>
        </is>
      </c>
      <c r="B350" s="7" t="inlineStr">
        <is>
          <t>RNR-H44</t>
        </is>
      </c>
      <c r="C350" s="7" t="inlineStr">
        <is>
          <t>Without passions / impassible</t>
        </is>
      </c>
      <c r="D350" s="7" t="inlineStr">
        <is>
          <t>D</t>
        </is>
      </c>
      <c r="E350" s="7" t="inlineStr">
        <is>
          <t>Roman Catholic</t>
        </is>
      </c>
      <c r="F350" s="7" t="inlineStr">
        <is>
          <t>SINGLE</t>
        </is>
      </c>
      <c r="G350" s="7" t="inlineStr">
        <is>
          <t>TO RECOVER FROM SESSION 9 LEDGER</t>
        </is>
      </c>
      <c r="H350" s="7" t="inlineStr">
        <is>
          <t>NO PUBLIC TILE</t>
        </is>
      </c>
      <c r="I350" s="7" t="n"/>
      <c r="J350" s="7" t="n"/>
      <c r="K350" s="7" t="n"/>
      <c r="L350" s="7" t="n"/>
      <c r="M350" s="7" t="n"/>
      <c r="N350" s="7" t="n"/>
      <c r="O350" s="7" t="n"/>
      <c r="P350" s="7" t="n"/>
      <c r="Q350" s="7" t="inlineStr">
        <is>
          <t>NOT-ASSESSED</t>
        </is>
      </c>
      <c r="R350" s="7" t="n"/>
      <c r="S350" s="7" t="n"/>
      <c r="T350" s="7" t="n"/>
      <c r="U350" s="7" t="n"/>
      <c r="V350" s="7" t="n"/>
      <c r="W350" s="7" t="n"/>
      <c r="X350" s="7" t="inlineStr">
        <is>
          <t>NOT LOCATED — NOT YET RECOVERED</t>
        </is>
      </c>
      <c r="Y350" s="7" t="inlineStr">
        <is>
          <t>EXCLUDED</t>
        </is>
      </c>
      <c r="Z350" s="11" t="b">
        <v>0</v>
      </c>
      <c r="AA350" s="8" t="inlineStr">
        <is>
          <t>CURRENT EVIDENCE / STATUS</t>
        </is>
      </c>
    </row>
    <row r="351" ht="15.75" customHeight="1" s="29">
      <c r="A351" s="7" t="inlineStr">
        <is>
          <t>Q-346</t>
        </is>
      </c>
      <c r="B351" s="7" t="inlineStr">
        <is>
          <t>RNR-H44</t>
        </is>
      </c>
      <c r="C351" s="7" t="inlineStr">
        <is>
          <t>Without passions / impassible</t>
        </is>
      </c>
      <c r="D351" s="7" t="inlineStr">
        <is>
          <t>D</t>
        </is>
      </c>
      <c r="E351" s="7" t="inlineStr">
        <is>
          <t>Eastern Orthodox</t>
        </is>
      </c>
      <c r="F351" s="7" t="inlineStr">
        <is>
          <t>SINGLE</t>
        </is>
      </c>
      <c r="G351" s="7" t="inlineStr">
        <is>
          <t>TO RECOVER FROM SESSION 9 LEDGER</t>
        </is>
      </c>
      <c r="H351" s="7" t="inlineStr">
        <is>
          <t>NO PUBLIC TILE</t>
        </is>
      </c>
      <c r="I351" s="7" t="n"/>
      <c r="J351" s="7" t="n"/>
      <c r="K351" s="7" t="n"/>
      <c r="L351" s="7" t="n"/>
      <c r="M351" s="7" t="n"/>
      <c r="N351" s="7" t="n"/>
      <c r="O351" s="7" t="n"/>
      <c r="P351" s="7" t="n"/>
      <c r="Q351" s="7" t="inlineStr">
        <is>
          <t>NOT-ASSESSED</t>
        </is>
      </c>
      <c r="R351" s="7" t="n"/>
      <c r="S351" s="7" t="n"/>
      <c r="T351" s="7" t="n"/>
      <c r="U351" s="7" t="n"/>
      <c r="V351" s="7" t="n"/>
      <c r="W351" s="7" t="n"/>
      <c r="X351" s="7" t="inlineStr">
        <is>
          <t>NOT LOCATED — NOT YET RECOVERED</t>
        </is>
      </c>
      <c r="Y351" s="7" t="inlineStr">
        <is>
          <t>EXCLUDED</t>
        </is>
      </c>
      <c r="Z351" s="11" t="b">
        <v>0</v>
      </c>
      <c r="AA351" s="8" t="inlineStr">
        <is>
          <t>CURRENT EVIDENCE / STATUS</t>
        </is>
      </c>
    </row>
    <row r="352" ht="15.75" customHeight="1" s="29">
      <c r="A352" s="7" t="inlineStr">
        <is>
          <t>Q-347</t>
        </is>
      </c>
      <c r="B352" s="7" t="inlineStr">
        <is>
          <t>RNR-H44</t>
        </is>
      </c>
      <c r="C352" s="7" t="inlineStr">
        <is>
          <t>Without passions / impassible</t>
        </is>
      </c>
      <c r="D352" s="7" t="inlineStr">
        <is>
          <t>D</t>
        </is>
      </c>
      <c r="E352" s="7" t="inlineStr">
        <is>
          <t>Lutheran</t>
        </is>
      </c>
      <c r="F352" s="7" t="inlineStr">
        <is>
          <t>SINGLE</t>
        </is>
      </c>
      <c r="G352" s="7" t="inlineStr">
        <is>
          <t>TO RECOVER FROM SESSION 9 LEDGER</t>
        </is>
      </c>
      <c r="H352" s="7" t="inlineStr">
        <is>
          <t>NO PUBLIC TILE</t>
        </is>
      </c>
      <c r="I352" s="7" t="n"/>
      <c r="J352" s="7" t="n"/>
      <c r="K352" s="7" t="n"/>
      <c r="L352" s="7" t="n"/>
      <c r="M352" s="7" t="n"/>
      <c r="N352" s="7" t="n"/>
      <c r="O352" s="7" t="n"/>
      <c r="P352" s="7" t="n"/>
      <c r="Q352" s="7" t="inlineStr">
        <is>
          <t>NOT-ASSESSED</t>
        </is>
      </c>
      <c r="R352" s="7" t="n"/>
      <c r="S352" s="7" t="n"/>
      <c r="T352" s="7" t="n"/>
      <c r="U352" s="7" t="n"/>
      <c r="V352" s="7" t="n"/>
      <c r="W352" s="7" t="n"/>
      <c r="X352" s="7" t="inlineStr">
        <is>
          <t>NOT LOCATED — NOT YET RECOVERED</t>
        </is>
      </c>
      <c r="Y352" s="7" t="inlineStr">
        <is>
          <t>EXCLUDED</t>
        </is>
      </c>
      <c r="Z352" s="11" t="b">
        <v>0</v>
      </c>
      <c r="AA352" s="8" t="inlineStr">
        <is>
          <t>CURRENT EVIDENCE / STATUS</t>
        </is>
      </c>
    </row>
    <row r="353" ht="15.75" customHeight="1" s="29">
      <c r="A353" s="7" t="inlineStr">
        <is>
          <t>Q-348</t>
        </is>
      </c>
      <c r="B353" s="7" t="inlineStr">
        <is>
          <t>RNR-H44</t>
        </is>
      </c>
      <c r="C353" s="7" t="inlineStr">
        <is>
          <t>Without passions / impassible</t>
        </is>
      </c>
      <c r="D353" s="7" t="inlineStr">
        <is>
          <t>D</t>
        </is>
      </c>
      <c r="E353" s="7" t="inlineStr">
        <is>
          <t>Reformed / Presbyterian</t>
        </is>
      </c>
      <c r="F353" s="7" t="inlineStr">
        <is>
          <t>SINGLE</t>
        </is>
      </c>
      <c r="G353" s="7" t="inlineStr">
        <is>
          <t>SESSION 9 SOURCE ROW RECOVERED</t>
        </is>
      </c>
      <c r="H353" s="7" t="inlineStr">
        <is>
          <t>PUBLIC-CERTIFIED</t>
        </is>
      </c>
      <c r="I353" s="7" t="inlineStr">
        <is>
          <t>RNR-H44a</t>
        </is>
      </c>
      <c r="J353" s="7" t="inlineStr">
        <is>
          <t>D</t>
        </is>
      </c>
      <c r="K353" s="7" t="inlineStr">
        <is>
          <t>Orthodox Presbyterian Church</t>
        </is>
      </c>
      <c r="L353" s="7" t="inlineStr">
        <is>
          <t>Westminster Confession of Faith</t>
        </is>
      </c>
      <c r="M353" s="7" t="inlineStr">
        <is>
          <t>Chapters II.1–3; III; V; VI; IX; XIII as applicable</t>
        </is>
      </c>
      <c r="N353" s="7" t="inlineStr">
        <is>
          <t>https://opc.org/wcf.html</t>
        </is>
      </c>
      <c r="O353" s="7" t="inlineStr">
        <is>
          <t>https://opc.org/wcf.html</t>
        </is>
      </c>
      <c r="P353" s="7" t="inlineStr">
        <is>
          <t>S9-IA-0284 / S8-IA-0284; PC(USA) S9-IA-0285 corroborates.</t>
        </is>
      </c>
      <c r="Q353" s="7" t="inlineStr">
        <is>
          <t>MEDIUM-HIGH</t>
        </is>
      </c>
      <c r="R353" s="7" t="inlineStr">
        <is>
          <t>OPC primary; PC(USA) corroboration.</t>
        </is>
      </c>
      <c r="S353" s="7" t="inlineStr">
        <is>
          <t>NO</t>
        </is>
      </c>
      <c r="T353" s="7" t="inlineStr">
        <is>
          <t>D</t>
        </is>
      </c>
      <c r="U353" s="7" t="inlineStr">
        <is>
          <t>Without passions / strong impassibility; Session 9 conflict class GT.</t>
        </is>
      </c>
      <c r="V353" s="7" t="inlineStr">
        <is>
          <t>CERTIFIED</t>
        </is>
      </c>
      <c r="W353" s="7" t="n"/>
      <c r="X353" s="7" t="inlineStr">
        <is>
          <t>D</t>
        </is>
      </c>
      <c r="Y353" s="7" t="inlineStr">
        <is>
          <t>D</t>
        </is>
      </c>
      <c r="Z353" s="11" t="b">
        <v>0</v>
      </c>
      <c r="AA353" s="8" t="inlineStr">
        <is>
          <t>CURRENT EVIDENCE / STATUS</t>
        </is>
      </c>
    </row>
    <row r="354" ht="15.75" customHeight="1" s="29">
      <c r="A354" s="7" t="inlineStr">
        <is>
          <t>Q-349</t>
        </is>
      </c>
      <c r="B354" s="7" t="inlineStr">
        <is>
          <t>RNR-H44</t>
        </is>
      </c>
      <c r="C354" s="7" t="inlineStr">
        <is>
          <t>Without passions / impassible</t>
        </is>
      </c>
      <c r="D354" s="7" t="inlineStr">
        <is>
          <t>D</t>
        </is>
      </c>
      <c r="E354" s="7" t="inlineStr">
        <is>
          <t>Anglican</t>
        </is>
      </c>
      <c r="F354" s="7" t="inlineStr">
        <is>
          <t>SINGLE</t>
        </is>
      </c>
      <c r="G354" s="7" t="inlineStr">
        <is>
          <t>SESSION 9 SOURCE ROW RECOVERED</t>
        </is>
      </c>
      <c r="H354" s="7" t="inlineStr">
        <is>
          <t>PUBLIC-CERTIFIED</t>
        </is>
      </c>
      <c r="I354" s="7" t="inlineStr">
        <is>
          <t>RNR-H44a</t>
        </is>
      </c>
      <c r="J354" s="7" t="inlineStr">
        <is>
          <t>D</t>
        </is>
      </c>
      <c r="K354" s="7" t="inlineStr">
        <is>
          <t>Church of England</t>
        </is>
      </c>
      <c r="L354" s="7" t="inlineStr">
        <is>
          <t>Thirty-Nine Articles</t>
        </is>
      </c>
      <c r="M354" s="7" t="inlineStr">
        <is>
          <t>Articles I–II</t>
        </is>
      </c>
      <c r="N354" s="7" t="inlineStr">
        <is>
          <t>https://www.churchofengland.org/prayer-and-worship/worship-texts-and-resources/book-common-prayer/articles-religion</t>
        </is>
      </c>
      <c r="O354" s="7" t="inlineStr">
        <is>
          <t>https://www.churchofengland.org/prayer-and-worship/worship-texts-and-resources/book-common-prayer/articles-religion</t>
        </is>
      </c>
      <c r="P354" s="7" t="inlineStr">
        <is>
          <t>S9-IA-0283 / S8-IA-0283</t>
        </is>
      </c>
      <c r="Q354" s="7" t="inlineStr">
        <is>
          <t>MEDIUM-HIGH</t>
        </is>
      </c>
      <c r="R354" s="7" t="inlineStr">
        <is>
          <t>Church of England only; not Anglican Communion-wide.</t>
        </is>
      </c>
      <c r="S354" s="7" t="inlineStr">
        <is>
          <t>NO</t>
        </is>
      </c>
      <c r="T354" s="7" t="inlineStr">
        <is>
          <t>D</t>
        </is>
      </c>
      <c r="U354" s="7" t="inlineStr">
        <is>
          <t>Without passions / strong impassibility; Session 9 conflict class GT.</t>
        </is>
      </c>
      <c r="V354" s="7" t="inlineStr">
        <is>
          <t>CERTIFIED</t>
        </is>
      </c>
      <c r="W354" s="7" t="n"/>
      <c r="X354" s="7" t="inlineStr">
        <is>
          <t>D</t>
        </is>
      </c>
      <c r="Y354" s="7" t="inlineStr">
        <is>
          <t>D</t>
        </is>
      </c>
      <c r="Z354" s="11" t="b">
        <v>0</v>
      </c>
      <c r="AA354" s="8" t="inlineStr">
        <is>
          <t>CURRENT EVIDENCE / STATUS</t>
        </is>
      </c>
    </row>
    <row r="355" ht="15.75" customHeight="1" s="29">
      <c r="A355" s="7" t="inlineStr">
        <is>
          <t>Q-350</t>
        </is>
      </c>
      <c r="B355" s="7" t="inlineStr">
        <is>
          <t>RNR-H44</t>
        </is>
      </c>
      <c r="C355" s="7" t="inlineStr">
        <is>
          <t>Without passions / impassible</t>
        </is>
      </c>
      <c r="D355" s="7" t="inlineStr">
        <is>
          <t>D</t>
        </is>
      </c>
      <c r="E355" s="7" t="inlineStr">
        <is>
          <t>Baptist</t>
        </is>
      </c>
      <c r="F355" s="7" t="inlineStr">
        <is>
          <t>SINGLE</t>
        </is>
      </c>
      <c r="G355" s="7" t="inlineStr">
        <is>
          <t>TO RECOVER FROM SESSION 9 LEDGER</t>
        </is>
      </c>
      <c r="H355" s="7" t="inlineStr">
        <is>
          <t>NO PUBLIC TILE</t>
        </is>
      </c>
      <c r="I355" s="7" t="n"/>
      <c r="J355" s="7" t="n"/>
      <c r="K355" s="7" t="n"/>
      <c r="L355" s="7" t="n"/>
      <c r="M355" s="7" t="n"/>
      <c r="N355" s="7" t="n"/>
      <c r="O355" s="7" t="n"/>
      <c r="P355" s="7" t="n"/>
      <c r="Q355" s="7" t="inlineStr">
        <is>
          <t>NOT-ASSESSED</t>
        </is>
      </c>
      <c r="R355" s="7" t="n"/>
      <c r="S355" s="7" t="n"/>
      <c r="T355" s="7" t="n"/>
      <c r="U355" s="7" t="n"/>
      <c r="V355" s="7" t="n"/>
      <c r="W355" s="7" t="n"/>
      <c r="X355" s="7" t="inlineStr">
        <is>
          <t>NOT LOCATED — NOT YET RECOVERED</t>
        </is>
      </c>
      <c r="Y355" s="7" t="inlineStr">
        <is>
          <t>EXCLUDED</t>
        </is>
      </c>
      <c r="Z355" s="11" t="b">
        <v>0</v>
      </c>
      <c r="AA355" s="8" t="inlineStr">
        <is>
          <t>CURRENT EVIDENCE / STATUS</t>
        </is>
      </c>
    </row>
    <row r="356" ht="15.75" customHeight="1" s="29">
      <c r="A356" s="7" t="inlineStr">
        <is>
          <t>Q-351</t>
        </is>
      </c>
      <c r="B356" s="7" t="inlineStr">
        <is>
          <t>RNR-H44</t>
        </is>
      </c>
      <c r="C356" s="7" t="inlineStr">
        <is>
          <t>Without passions / impassible</t>
        </is>
      </c>
      <c r="D356" s="7" t="inlineStr">
        <is>
          <t>D</t>
        </is>
      </c>
      <c r="E356" s="7" t="inlineStr">
        <is>
          <t>Methodist / Wesleyan</t>
        </is>
      </c>
      <c r="F356" s="7" t="inlineStr">
        <is>
          <t>SINGLE</t>
        </is>
      </c>
      <c r="G356" s="7" t="inlineStr">
        <is>
          <t>TO RECOVER FROM SESSION 9 LEDGER</t>
        </is>
      </c>
      <c r="H356" s="7" t="inlineStr">
        <is>
          <t>NO PUBLIC TILE</t>
        </is>
      </c>
      <c r="I356" s="7" t="n"/>
      <c r="J356" s="7" t="n"/>
      <c r="K356" s="7" t="n"/>
      <c r="L356" s="7" t="n"/>
      <c r="M356" s="7" t="n"/>
      <c r="N356" s="7" t="n"/>
      <c r="O356" s="7" t="n"/>
      <c r="P356" s="7" t="n"/>
      <c r="Q356" s="7" t="inlineStr">
        <is>
          <t>NOT-ASSESSED</t>
        </is>
      </c>
      <c r="R356" s="7" t="n"/>
      <c r="S356" s="7" t="n"/>
      <c r="T356" s="7" t="n"/>
      <c r="U356" s="7" t="n"/>
      <c r="V356" s="7" t="n"/>
      <c r="W356" s="7" t="n"/>
      <c r="X356" s="7" t="inlineStr">
        <is>
          <t>NOT LOCATED — NOT YET RECOVERED</t>
        </is>
      </c>
      <c r="Y356" s="7" t="inlineStr">
        <is>
          <t>EXCLUDED</t>
        </is>
      </c>
      <c r="Z356" s="11" t="b">
        <v>0</v>
      </c>
      <c r="AA356" s="8" t="inlineStr">
        <is>
          <t>CURRENT EVIDENCE / STATUS</t>
        </is>
      </c>
    </row>
    <row r="357" ht="15.75" customHeight="1" s="29">
      <c r="A357" s="7" t="inlineStr">
        <is>
          <t>Q-352</t>
        </is>
      </c>
      <c r="B357" s="7" t="inlineStr">
        <is>
          <t>RNR-H44</t>
        </is>
      </c>
      <c r="C357" s="7" t="inlineStr">
        <is>
          <t>Without passions / impassible</t>
        </is>
      </c>
      <c r="D357" s="7" t="inlineStr">
        <is>
          <t>D</t>
        </is>
      </c>
      <c r="E357" s="7" t="inlineStr">
        <is>
          <t>Mennonite / Anabaptist</t>
        </is>
      </c>
      <c r="F357" s="7" t="inlineStr">
        <is>
          <t>SINGLE</t>
        </is>
      </c>
      <c r="G357" s="7" t="inlineStr">
        <is>
          <t>TO RECOVER FROM SESSION 9 LEDGER</t>
        </is>
      </c>
      <c r="H357" s="7" t="inlineStr">
        <is>
          <t>NO PUBLIC TILE</t>
        </is>
      </c>
      <c r="I357" s="7" t="n"/>
      <c r="J357" s="7" t="n"/>
      <c r="K357" s="7" t="n"/>
      <c r="L357" s="7" t="n"/>
      <c r="M357" s="7" t="n"/>
      <c r="N357" s="7" t="n"/>
      <c r="O357" s="7" t="n"/>
      <c r="P357" s="7" t="n"/>
      <c r="Q357" s="7" t="inlineStr">
        <is>
          <t>NOT-ASSESSED</t>
        </is>
      </c>
      <c r="R357" s="7" t="n"/>
      <c r="S357" s="7" t="n"/>
      <c r="T357" s="7" t="n"/>
      <c r="U357" s="7" t="n"/>
      <c r="V357" s="7" t="n"/>
      <c r="W357" s="7" t="n"/>
      <c r="X357" s="7" t="inlineStr">
        <is>
          <t>NOT LOCATED — NOT YET RECOVERED</t>
        </is>
      </c>
      <c r="Y357" s="7" t="inlineStr">
        <is>
          <t>EXCLUDED</t>
        </is>
      </c>
      <c r="Z357" s="11" t="b">
        <v>0</v>
      </c>
      <c r="AA357" s="8" t="inlineStr">
        <is>
          <t>CURRENT EVIDENCE / STATUS</t>
        </is>
      </c>
    </row>
    <row r="358" ht="15.75" customHeight="1" s="29">
      <c r="A358" s="7" t="inlineStr">
        <is>
          <t>Q-353</t>
        </is>
      </c>
      <c r="B358" s="7" t="inlineStr">
        <is>
          <t>RNR-H45</t>
        </is>
      </c>
      <c r="C358" s="7" t="inlineStr">
        <is>
          <t>Immutable / unchangeable</t>
        </is>
      </c>
      <c r="D358" s="7" t="inlineStr">
        <is>
          <t>Q</t>
        </is>
      </c>
      <c r="E358" s="7" t="inlineStr">
        <is>
          <t>Roman Catholic</t>
        </is>
      </c>
      <c r="F358" s="7" t="inlineStr">
        <is>
          <t>LATER RECODE</t>
        </is>
      </c>
      <c r="G358" s="7" t="inlineStr">
        <is>
          <t>SESSION 9 SOURCE ROW RECOVERED</t>
        </is>
      </c>
      <c r="H358" s="7" t="inlineStr">
        <is>
          <t>PUBLIC-CERTIFIED — RECONCILED</t>
        </is>
      </c>
      <c r="I358" s="7" t="inlineStr">
        <is>
          <t>RNR-H45a</t>
        </is>
      </c>
      <c r="J358" s="7" t="inlineStr">
        <is>
          <t>A (Session 9) → current Q</t>
        </is>
      </c>
      <c r="K358" s="7" t="inlineStr">
        <is>
          <t>Roman Catholic Church</t>
        </is>
      </c>
      <c r="L358" s="7" t="inlineStr">
        <is>
          <t>Fourth Lateran Council</t>
        </is>
      </c>
      <c r="M358" s="7" t="inlineStr">
        <is>
          <t>Constitution 1, Firmiter credimus</t>
        </is>
      </c>
      <c r="N358" s="7" t="inlineStr">
        <is>
          <t>https://www.vatican.va/content/catechism/en/part_one/section_one/chapter_one/iv_how_can_we_speak_about_god.html</t>
        </is>
      </c>
      <c r="O358" s="7" t="inlineStr">
        <is>
          <t>https://sourcebooks.web.fordham.edu/basis/lateran4.asp</t>
        </is>
      </c>
      <c r="P358" s="7" t="inlineStr">
        <is>
          <t>S9-IA-0286 / S8-IA-0286.</t>
        </is>
      </c>
      <c r="Q358" s="7" t="inlineStr">
        <is>
          <t>MEDIUM-HIGH</t>
        </is>
      </c>
      <c r="R358" s="7" t="inlineStr">
        <is>
          <t>Universal Catholic Church; official Latin norm controls, repository English is T1 witness.</t>
        </is>
      </c>
      <c r="S358" s="7" t="inlineStr">
        <is>
          <t>RECONCILED</t>
        </is>
      </c>
      <c r="T358" s="7" t="inlineStr">
        <is>
          <t>Q</t>
        </is>
      </c>
      <c r="U358" s="7" t="inlineStr">
        <is>
          <t>Session 9 treated substantive immutability as A; current master H45 is Q. Reconcile scope before public display. | RNR-H45: historical Session 9 comparison state (A) differs from current family state (Q); branch display prohibited until reconciliation is completed. | Reconciliation pass v2.7: Lateran/Vatican Catholic usage places divine unchangeability inside a classical metaphysical account of divine being. Latter-day Saint teaching shares constancy of character, purpose, covenant faithfulness, and moral perfection but does not import maximal metaphysical immutability. Q therefore applies.</t>
        </is>
      </c>
      <c r="V358" s="7" t="inlineStr">
        <is>
          <t>CERTIFIED — RECONCILED</t>
        </is>
      </c>
      <c r="W358" s="7" t="inlineStr">
        <is>
          <t>Technical reconciliation completed against the author-approved current semantic floor; no master-family recode made.</t>
        </is>
      </c>
      <c r="X358" s="7" t="inlineStr">
        <is>
          <t>Q</t>
        </is>
      </c>
      <c r="Y358" s="7" t="inlineStr">
        <is>
          <t>Q</t>
        </is>
      </c>
      <c r="Z358" s="11" t="b">
        <v>0</v>
      </c>
      <c r="AA358" s="8" t="inlineStr">
        <is>
          <t>CURRENT EVIDENCE / STATUS</t>
        </is>
      </c>
    </row>
    <row r="359" ht="15.75" customHeight="1" s="29">
      <c r="A359" s="7" t="inlineStr">
        <is>
          <t>Q-354</t>
        </is>
      </c>
      <c r="B359" s="7" t="inlineStr">
        <is>
          <t>RNR-H45</t>
        </is>
      </c>
      <c r="C359" s="7" t="inlineStr">
        <is>
          <t>Immutable / unchangeable</t>
        </is>
      </c>
      <c r="D359" s="7" t="inlineStr">
        <is>
          <t>Q</t>
        </is>
      </c>
      <c r="E359" s="7" t="inlineStr">
        <is>
          <t>Eastern Orthodox</t>
        </is>
      </c>
      <c r="F359" s="7" t="inlineStr">
        <is>
          <t>LATER RECODE</t>
        </is>
      </c>
      <c r="G359" s="7" t="inlineStr">
        <is>
          <t>CURRENT OFFICIAL CATECHETICAL/LITURGICAL SOURCE RECOVERED — WEB VERIFIED</t>
        </is>
      </c>
      <c r="H359" s="7" t="inlineStr">
        <is>
          <t>PUBLIC-CERTIFIED — RECONCILED</t>
        </is>
      </c>
      <c r="I359" s="7" t="n"/>
      <c r="J359" s="7" t="n"/>
      <c r="K359" s="7" t="inlineStr">
        <is>
          <t>Orthodox Church in America</t>
        </is>
      </c>
      <c r="L359" s="7" t="inlineStr">
        <is>
          <t>The Orthodox Faith / Divine Liturgy</t>
        </is>
      </c>
      <c r="M359" s="7" t="inlineStr">
        <is>
          <t>Ever-existing and eternally the same; perfect and unchanging</t>
        </is>
      </c>
      <c r="N359" s="7" t="inlineStr">
        <is>
          <t>https://www.oca.org/orthodoxy/the-orthodox-faith/doctrine-scripture/the-holy-trinity/one-god-one-divine-nature-and-being</t>
        </is>
      </c>
      <c r="O359" s="7" t="inlineStr">
        <is>
          <t>https://www.oca.org/orthodoxy/the-orthodox-faith/doctrine-scripture/the-holy-trinity/one-god-one-divine-nature-and-being</t>
        </is>
      </c>
      <c r="P359" s="7" t="n"/>
      <c r="Q359" s="7" t="inlineStr">
        <is>
          <t>HIGH</t>
        </is>
      </c>
      <c r="R359" s="7" t="inlineStr">
        <is>
          <t>OCA witness; not proxy for every autocephalous Orthodox church.</t>
        </is>
      </c>
      <c r="S359" s="7" t="inlineStr">
        <is>
          <t>RECONCILED</t>
        </is>
      </c>
      <c r="T359" s="7" t="inlineStr">
        <is>
          <t>Q</t>
        </is>
      </c>
      <c r="U359" s="7" t="inlineStr">
        <is>
          <t>RNR-H45: historical Session 9 comparison state (A) differs from current family state (Q); branch display prohibited until reconciliation is completed. | Strong sameness/unchangeability supports Q.</t>
        </is>
      </c>
      <c r="V359" s="7" t="inlineStr">
        <is>
          <t>CERTIFIED — RECONCILED</t>
        </is>
      </c>
      <c r="W359" s="7" t="n"/>
      <c r="X359" s="7" t="inlineStr">
        <is>
          <t>Q</t>
        </is>
      </c>
      <c r="Y359" s="7" t="inlineStr">
        <is>
          <t>Q</t>
        </is>
      </c>
      <c r="Z359" s="11" t="b">
        <v>0</v>
      </c>
      <c r="AA359" s="8" t="inlineStr">
        <is>
          <t>CURRENT EVIDENCE / STATUS</t>
        </is>
      </c>
    </row>
    <row r="360" ht="15.75" customHeight="1" s="29">
      <c r="A360" s="7" t="inlineStr">
        <is>
          <t>Q-355</t>
        </is>
      </c>
      <c r="B360" s="7" t="inlineStr">
        <is>
          <t>RNR-H45</t>
        </is>
      </c>
      <c r="C360" s="7" t="inlineStr">
        <is>
          <t>Immutable / unchangeable</t>
        </is>
      </c>
      <c r="D360" s="7" t="inlineStr">
        <is>
          <t>Q</t>
        </is>
      </c>
      <c r="E360" s="7" t="inlineStr">
        <is>
          <t>Lutheran</t>
        </is>
      </c>
      <c r="F360" s="7" t="inlineStr">
        <is>
          <t>LATER RECODE</t>
        </is>
      </c>
      <c r="G360" s="7" t="inlineStr">
        <is>
          <t>CURRENT CONFESSIONAL SOURCE RECOVERED — WEB VERIFIED</t>
        </is>
      </c>
      <c r="H360" s="7" t="inlineStr">
        <is>
          <t>PUBLIC-CERTIFIED — RECONCILED</t>
        </is>
      </c>
      <c r="I360" s="7" t="n"/>
      <c r="J360" s="7" t="n"/>
      <c r="K360" s="7" t="inlineStr">
        <is>
          <t>Lutheran Church—Missouri Synod</t>
        </is>
      </c>
      <c r="L360" s="7" t="inlineStr">
        <is>
          <t>Formula of Concord, Solid Declaration</t>
        </is>
      </c>
      <c r="M360" s="7" t="inlineStr">
        <is>
          <t>Divine nature: 'since in God there is no change'</t>
        </is>
      </c>
      <c r="N360" s="7" t="inlineStr">
        <is>
          <t>https://bookofconcord.org/solid-declaration/</t>
        </is>
      </c>
      <c r="O360" s="7" t="inlineStr">
        <is>
          <t>https://bookofconcord.org/solid-declaration/</t>
        </is>
      </c>
      <c r="P360" s="7" t="n"/>
      <c r="Q360" s="7" t="inlineStr">
        <is>
          <t>HIGH</t>
        </is>
      </c>
      <c r="R360" s="7" t="inlineStr">
        <is>
          <t>LCMS confessional subscription; not all Lutherans.</t>
        </is>
      </c>
      <c r="S360" s="7" t="inlineStr">
        <is>
          <t>RECONCILED</t>
        </is>
      </c>
      <c r="T360" s="7" t="inlineStr">
        <is>
          <t>Q</t>
        </is>
      </c>
      <c r="U360" s="7" t="inlineStr">
        <is>
          <t>RNR-H45: historical Session 9 comparison state (A) differs from current family state (Q); branch display prohibited until reconciliation is completed. | Explicit no-change claim supports Q.</t>
        </is>
      </c>
      <c r="V360" s="7" t="inlineStr">
        <is>
          <t>CERTIFIED — RECONCILED</t>
        </is>
      </c>
      <c r="W360" s="7" t="n"/>
      <c r="X360" s="7" t="inlineStr">
        <is>
          <t>Q</t>
        </is>
      </c>
      <c r="Y360" s="7" t="inlineStr">
        <is>
          <t>Q</t>
        </is>
      </c>
      <c r="Z360" s="11" t="b">
        <v>0</v>
      </c>
      <c r="AA360" s="8" t="inlineStr">
        <is>
          <t>CURRENT EVIDENCE / STATUS</t>
        </is>
      </c>
    </row>
    <row r="361" ht="15.75" customHeight="1" s="29">
      <c r="A361" s="7" t="inlineStr">
        <is>
          <t>Q-356</t>
        </is>
      </c>
      <c r="B361" s="7" t="inlineStr">
        <is>
          <t>RNR-H45</t>
        </is>
      </c>
      <c r="C361" s="7" t="inlineStr">
        <is>
          <t>Immutable / unchangeable</t>
        </is>
      </c>
      <c r="D361" s="7" t="inlineStr">
        <is>
          <t>Q</t>
        </is>
      </c>
      <c r="E361" s="7" t="inlineStr">
        <is>
          <t>Reformed / Presbyterian</t>
        </is>
      </c>
      <c r="F361" s="7" t="inlineStr">
        <is>
          <t>LATER RECODE</t>
        </is>
      </c>
      <c r="G361" s="7" t="inlineStr">
        <is>
          <t>SESSION 9 SOURCE ROW RECOVERED</t>
        </is>
      </c>
      <c r="H361" s="7" t="inlineStr">
        <is>
          <t>PUBLIC-CERTIFIED — RECONCILED</t>
        </is>
      </c>
      <c r="I361" s="7" t="inlineStr">
        <is>
          <t>RNR-H45a</t>
        </is>
      </c>
      <c r="J361" s="7" t="inlineStr">
        <is>
          <t>A (Session 9) → current Q</t>
        </is>
      </c>
      <c r="K361" s="7" t="inlineStr">
        <is>
          <t>Christian Reformed Church in North America</t>
        </is>
      </c>
      <c r="L361" s="7" t="inlineStr">
        <is>
          <t>Belgic Confession</t>
        </is>
      </c>
      <c r="M361" s="7" t="inlineStr">
        <is>
          <t>Articles 1–2 and 8</t>
        </is>
      </c>
      <c r="N361" s="7" t="inlineStr">
        <is>
          <t>https://www.crcna.org/welcome/beliefs/confessions/belgic-confession</t>
        </is>
      </c>
      <c r="O361" s="7" t="inlineStr">
        <is>
          <t>https://www.crcna.org/welcome/beliefs/confessions/belgic-confession</t>
        </is>
      </c>
      <c r="P361" s="7" t="inlineStr">
        <is>
          <t>S9-IA-0287 / S8-IA-0287.</t>
        </is>
      </c>
      <c r="Q361" s="7" t="inlineStr">
        <is>
          <t>MEDIUM-HIGH</t>
        </is>
      </c>
      <c r="R361" s="7" t="inlineStr">
        <is>
          <t>CRCNA institutional scope.</t>
        </is>
      </c>
      <c r="S361" s="7" t="inlineStr">
        <is>
          <t>RECONCILED</t>
        </is>
      </c>
      <c r="T361" s="7" t="inlineStr">
        <is>
          <t>Q</t>
        </is>
      </c>
      <c r="U361" s="7" t="inlineStr">
        <is>
          <t>Session 9 A must be reconciled to current H45 Q semantic floor. | RNR-H45: historical Session 9 comparison state (A) differs from current family state (Q); branch display prohibited until reconciliation is completed. | Reconciliation pass v2.7: Belgic/Westminster usage treats immutability or unchangeability as a property of divine being as well as attributes. Latter-day Saint teaching shares divine constancy while qualifying strong metaphysical immutability, so Q applies.</t>
        </is>
      </c>
      <c r="V361" s="7" t="inlineStr">
        <is>
          <t>CERTIFIED — RECONCILED</t>
        </is>
      </c>
      <c r="W361" s="7" t="inlineStr">
        <is>
          <t>Technical reconciliation completed against the author-approved current semantic floor; no master-family recode made.</t>
        </is>
      </c>
      <c r="X361" s="7" t="inlineStr">
        <is>
          <t>Q</t>
        </is>
      </c>
      <c r="Y361" s="7" t="inlineStr">
        <is>
          <t>Q</t>
        </is>
      </c>
      <c r="Z361" s="11" t="b">
        <v>0</v>
      </c>
      <c r="AA361" s="8" t="inlineStr">
        <is>
          <t>CURRENT EVIDENCE / STATUS</t>
        </is>
      </c>
    </row>
    <row r="362" ht="15.75" customHeight="1" s="29">
      <c r="A362" s="7" t="inlineStr">
        <is>
          <t>Q-357</t>
        </is>
      </c>
      <c r="B362" s="7" t="inlineStr">
        <is>
          <t>RNR-H45</t>
        </is>
      </c>
      <c r="C362" s="7" t="inlineStr">
        <is>
          <t>Immutable / unchangeable</t>
        </is>
      </c>
      <c r="D362" s="7" t="inlineStr">
        <is>
          <t>Q</t>
        </is>
      </c>
      <c r="E362" s="7" t="inlineStr">
        <is>
          <t>Anglican</t>
        </is>
      </c>
      <c r="F362" s="7" t="inlineStr">
        <is>
          <t>LATER RECODE</t>
        </is>
      </c>
      <c r="G362" s="7" t="inlineStr">
        <is>
          <t>CURRENT STANDARD REVIEWED — PROPOSITION NOT ATTESTED</t>
        </is>
      </c>
      <c r="H362" s="7" t="inlineStr">
        <is>
          <t>NO PUBLIC TILE — CURRENT STANDARD REVIEWED</t>
        </is>
      </c>
      <c r="I362" s="7" t="n"/>
      <c r="J362" s="7" t="n"/>
      <c r="K362" s="7" t="inlineStr">
        <is>
          <t>Church of England</t>
        </is>
      </c>
      <c r="L362" s="7" t="inlineStr">
        <is>
          <t>Thirty-Nine Articles + received Athanasian Creed</t>
        </is>
      </c>
      <c r="M362" s="7" t="inlineStr">
        <is>
          <t>Article I / Article VIII + Athanasian Creed</t>
        </is>
      </c>
      <c r="N362" s="7" t="inlineStr">
        <is>
          <t>https://www.churchofengland.org/prayer-and-worship/worship-texts-and-resources/book-common-prayer/articles-religion</t>
        </is>
      </c>
      <c r="O362" s="7" t="inlineStr">
        <is>
          <t>https://www.churchofengland.org/prayer-and-worship/worship-texts-and-resources/book-common-prayer/articles-religion</t>
        </is>
      </c>
      <c r="P362" s="7" t="n"/>
      <c r="Q362" s="7" t="inlineStr">
        <is>
          <t>HIGH</t>
        </is>
      </c>
      <c r="R362" s="7" t="inlineStr">
        <is>
          <t>Church of England only; not all Anglican Communion provinces.</t>
        </is>
      </c>
      <c r="S362" s="7" t="inlineStr">
        <is>
          <t>CLOSED — NOT ATTESTED IN CURRENT STANDARD</t>
        </is>
      </c>
      <c r="T362" s="7" t="n"/>
      <c r="U362" s="7" t="inlineStr">
        <is>
          <t>RNR-H45: historical Session 9 comparison state (A) differs from current family state (Q); branch display prohibited until reconciliation is completed. | Current standard reviewed; exact predicate not attested. Comparison gap, not denial.</t>
        </is>
      </c>
      <c r="V362" s="7" t="inlineStr">
        <is>
          <t>CLOSED — NOT ATTESTED</t>
        </is>
      </c>
      <c r="W362" s="7" t="n"/>
      <c r="X362" s="7" t="inlineStr">
        <is>
          <t>NOT LOCATED — CURRENT STANDARD REVIEWED</t>
        </is>
      </c>
      <c r="Y362" s="7" t="inlineStr">
        <is>
          <t>EXCLUDED</t>
        </is>
      </c>
      <c r="Z362" s="11" t="b">
        <v>0</v>
      </c>
      <c r="AA362" s="8" t="inlineStr">
        <is>
          <t>CURRENT EVIDENCE / STATUS</t>
        </is>
      </c>
    </row>
    <row r="363" ht="15.75" customHeight="1" s="29">
      <c r="A363" s="7" t="inlineStr">
        <is>
          <t>Q-358</t>
        </is>
      </c>
      <c r="B363" s="7" t="inlineStr">
        <is>
          <t>RNR-H45</t>
        </is>
      </c>
      <c r="C363" s="7" t="inlineStr">
        <is>
          <t>Immutable / unchangeable</t>
        </is>
      </c>
      <c r="D363" s="7" t="inlineStr">
        <is>
          <t>Q</t>
        </is>
      </c>
      <c r="E363" s="7" t="inlineStr">
        <is>
          <t>Baptist</t>
        </is>
      </c>
      <c r="F363" s="7" t="inlineStr">
        <is>
          <t>LATER RECODE</t>
        </is>
      </c>
      <c r="G363" s="7" t="inlineStr">
        <is>
          <t>CURRENT STANDARD REVIEWED — PROPOSITION NOT ATTESTED</t>
        </is>
      </c>
      <c r="H363" s="7" t="inlineStr">
        <is>
          <t>NO PUBLIC TILE — CURRENT STANDARD REVIEWED</t>
        </is>
      </c>
      <c r="I363" s="7" t="n"/>
      <c r="J363" s="7" t="n"/>
      <c r="K363" s="7" t="inlineStr">
        <is>
          <t>Southern Baptist Convention</t>
        </is>
      </c>
      <c r="L363" s="7" t="inlineStr">
        <is>
          <t>Baptist Faith and Message 2000</t>
        </is>
      </c>
      <c r="M363" s="7" t="inlineStr">
        <is>
          <t>Article II: God</t>
        </is>
      </c>
      <c r="N363" s="7" t="inlineStr">
        <is>
          <t>https://bfm.sbc.net/bfm2000/</t>
        </is>
      </c>
      <c r="O363" s="7" t="inlineStr">
        <is>
          <t>https://bfm.sbc.net/bfm2000/</t>
        </is>
      </c>
      <c r="P363" s="7" t="n"/>
      <c r="Q363" s="7" t="inlineStr">
        <is>
          <t>HIGH</t>
        </is>
      </c>
      <c r="R363" s="7" t="inlineStr">
        <is>
          <t>SBC cooperative identity; not all Baptists.</t>
        </is>
      </c>
      <c r="S363" s="7" t="inlineStr">
        <is>
          <t>CLOSED — NOT ATTESTED IN CURRENT STANDARD</t>
        </is>
      </c>
      <c r="T363" s="7" t="n"/>
      <c r="U363" s="7" t="inlineStr">
        <is>
          <t>RNR-H45: historical Session 9 comparison state (A) differs from current family state (Q); branch display prohibited until reconciliation is completed. | Current standard reviewed; exact predicate not attested. Comparison gap, not denial.</t>
        </is>
      </c>
      <c r="V363" s="7" t="inlineStr">
        <is>
          <t>CLOSED — NOT ATTESTED</t>
        </is>
      </c>
      <c r="W363" s="7" t="n"/>
      <c r="X363" s="7" t="inlineStr">
        <is>
          <t>NOT LOCATED — CURRENT STANDARD REVIEWED</t>
        </is>
      </c>
      <c r="Y363" s="7" t="inlineStr">
        <is>
          <t>EXCLUDED</t>
        </is>
      </c>
      <c r="Z363" s="11" t="b">
        <v>0</v>
      </c>
      <c r="AA363" s="8" t="inlineStr">
        <is>
          <t>CURRENT EVIDENCE / STATUS</t>
        </is>
      </c>
    </row>
    <row r="364" ht="15.75" customHeight="1" s="29">
      <c r="A364" s="7" t="inlineStr">
        <is>
          <t>Q-359</t>
        </is>
      </c>
      <c r="B364" s="7" t="inlineStr">
        <is>
          <t>RNR-H45</t>
        </is>
      </c>
      <c r="C364" s="7" t="inlineStr">
        <is>
          <t>Immutable / unchangeable</t>
        </is>
      </c>
      <c r="D364" s="7" t="inlineStr">
        <is>
          <t>Q</t>
        </is>
      </c>
      <c r="E364" s="7" t="inlineStr">
        <is>
          <t>Methodist / Wesleyan</t>
        </is>
      </c>
      <c r="F364" s="7" t="inlineStr">
        <is>
          <t>LATER RECODE</t>
        </is>
      </c>
      <c r="G364" s="7" t="inlineStr">
        <is>
          <t>CURRENT STANDARD REVIEWED — PROPOSITION NOT ATTESTED</t>
        </is>
      </c>
      <c r="H364" s="7" t="inlineStr">
        <is>
          <t>NO PUBLIC TILE — CURRENT STANDARD REVIEWED</t>
        </is>
      </c>
      <c r="I364" s="7" t="n"/>
      <c r="J364" s="7" t="n"/>
      <c r="K364" s="7" t="inlineStr">
        <is>
          <t>The United Methodist Church</t>
        </is>
      </c>
      <c r="L364" s="7" t="inlineStr">
        <is>
          <t>Articles of Religion + Confession of Faith</t>
        </is>
      </c>
      <c r="M364" s="7" t="inlineStr">
        <is>
          <t>Article I / Article I</t>
        </is>
      </c>
      <c r="N364" s="7" t="inlineStr">
        <is>
          <t>https://www.umc.org/en/content/foundational-documents</t>
        </is>
      </c>
      <c r="O364" s="7" t="inlineStr">
        <is>
          <t>https://www.umc.org/en/content/articles-of-religion</t>
        </is>
      </c>
      <c r="P364" s="7" t="n"/>
      <c r="Q364" s="7" t="inlineStr">
        <is>
          <t>HIGH</t>
        </is>
      </c>
      <c r="R364" s="7" t="inlineStr">
        <is>
          <t>UMC doctrinal-standard scope; not every Wesleyan body.</t>
        </is>
      </c>
      <c r="S364" s="7" t="inlineStr">
        <is>
          <t>CLOSED — NOT ATTESTED IN CURRENT STANDARD</t>
        </is>
      </c>
      <c r="T364" s="7" t="n"/>
      <c r="U364" s="7" t="inlineStr">
        <is>
          <t>RNR-H45: historical Session 9 comparison state (A) differs from current family state (Q); branch display prohibited until reconciliation is completed. | Current standard reviewed; exact predicate not attested. Comparison gap, not denial.</t>
        </is>
      </c>
      <c r="V364" s="7" t="inlineStr">
        <is>
          <t>CLOSED — NOT ATTESTED</t>
        </is>
      </c>
      <c r="W364" s="7" t="n"/>
      <c r="X364" s="7" t="inlineStr">
        <is>
          <t>NOT LOCATED — CURRENT STANDARD REVIEWED</t>
        </is>
      </c>
      <c r="Y364" s="7" t="inlineStr">
        <is>
          <t>EXCLUDED</t>
        </is>
      </c>
      <c r="Z364" s="11" t="b">
        <v>0</v>
      </c>
      <c r="AA364" s="8" t="inlineStr">
        <is>
          <t>CURRENT EVIDENCE / STATUS</t>
        </is>
      </c>
    </row>
    <row r="365" ht="15.75" customHeight="1" s="29">
      <c r="A365" s="7" t="inlineStr">
        <is>
          <t>Q-360</t>
        </is>
      </c>
      <c r="B365" s="7" t="inlineStr">
        <is>
          <t>RNR-H45</t>
        </is>
      </c>
      <c r="C365" s="7" t="inlineStr">
        <is>
          <t>Immutable / unchangeable</t>
        </is>
      </c>
      <c r="D365" s="7" t="inlineStr">
        <is>
          <t>Q</t>
        </is>
      </c>
      <c r="E365" s="7" t="inlineStr">
        <is>
          <t>Mennonite / Anabaptist</t>
        </is>
      </c>
      <c r="F365" s="7" t="inlineStr">
        <is>
          <t>LATER RECODE</t>
        </is>
      </c>
      <c r="G365" s="7" t="inlineStr">
        <is>
          <t>CURRENT STANDARD REVIEWED — PROPOSITION NOT ATTESTED</t>
        </is>
      </c>
      <c r="H365" s="7" t="inlineStr">
        <is>
          <t>NO PUBLIC TILE — CURRENT STANDARD REVIEWED</t>
        </is>
      </c>
      <c r="I365" s="7" t="n"/>
      <c r="J365" s="7" t="n"/>
      <c r="K365" s="7" t="inlineStr">
        <is>
          <t>Mennonite Church USA</t>
        </is>
      </c>
      <c r="L365" s="7" t="inlineStr">
        <is>
          <t>Confession of Faith in a Mennonite Perspective (1995)</t>
        </is>
      </c>
      <c r="M365" s="7" t="inlineStr">
        <is>
          <t>Article 1: God</t>
        </is>
      </c>
      <c r="N365" s="7" t="inlineStr">
        <is>
          <t>https://www.mennoniteusa.org/who-are-mennonites/what-we-believe/confession-of-faith/god/</t>
        </is>
      </c>
      <c r="O365" s="7" t="inlineStr">
        <is>
          <t>https://www.mennoniteusa.org/who-are-mennonites/what-we-believe/confession-of-faith/god/</t>
        </is>
      </c>
      <c r="P365" s="7" t="n"/>
      <c r="Q365" s="7" t="inlineStr">
        <is>
          <t>HIGH</t>
        </is>
      </c>
      <c r="R365" s="7" t="inlineStr">
        <is>
          <t>MC USA / adopting-body scope; not all Mennonite or Anabaptist bodies.</t>
        </is>
      </c>
      <c r="S365" s="7" t="inlineStr">
        <is>
          <t>CLOSED — NOT ATTESTED IN CURRENT STANDARD</t>
        </is>
      </c>
      <c r="T365" s="7" t="n"/>
      <c r="U365" s="7" t="inlineStr">
        <is>
          <t>RNR-H45: historical Session 9 comparison state (A) differs from current family state (Q); branch display prohibited until reconciliation is completed. | Current standard reviewed; exact predicate not attested. Comparison gap, not denial.</t>
        </is>
      </c>
      <c r="V365" s="7" t="inlineStr">
        <is>
          <t>CLOSED — NOT ATTESTED</t>
        </is>
      </c>
      <c r="W365" s="7" t="n"/>
      <c r="X365" s="7" t="inlineStr">
        <is>
          <t>NOT LOCATED — CURRENT STANDARD REVIEWED</t>
        </is>
      </c>
      <c r="Y365" s="7" t="inlineStr">
        <is>
          <t>EXCLUDED</t>
        </is>
      </c>
      <c r="Z365" s="11" t="b">
        <v>0</v>
      </c>
      <c r="AA365" s="8" t="inlineStr">
        <is>
          <t>CURRENT EVIDENCE / STATUS</t>
        </is>
      </c>
    </row>
    <row r="366" ht="15.75" customHeight="1" s="29">
      <c r="A366" s="7" t="inlineStr">
        <is>
          <t>Q-361</t>
        </is>
      </c>
      <c r="B366" s="7" t="inlineStr">
        <is>
          <t>RNR-H46</t>
        </is>
      </c>
      <c r="C366" s="7" t="inlineStr">
        <is>
          <t>Eternal</t>
        </is>
      </c>
      <c r="D366" s="7" t="inlineStr">
        <is>
          <t>A</t>
        </is>
      </c>
      <c r="E366" s="7" t="inlineStr">
        <is>
          <t>Roman Catholic</t>
        </is>
      </c>
      <c r="F366" s="7" t="inlineStr">
        <is>
          <t>SINGLE</t>
        </is>
      </c>
      <c r="G366" s="7" t="inlineStr">
        <is>
          <t>TO RECOVER FROM SESSION 9 LEDGER</t>
        </is>
      </c>
      <c r="H366" s="7" t="inlineStr">
        <is>
          <t>NO PUBLIC TILE</t>
        </is>
      </c>
      <c r="I366" s="7" t="n"/>
      <c r="J366" s="7" t="n"/>
      <c r="K366" s="7" t="n"/>
      <c r="L366" s="7" t="n"/>
      <c r="M366" s="7" t="n"/>
      <c r="N366" s="7" t="n"/>
      <c r="O366" s="7" t="n"/>
      <c r="P366" s="7" t="n"/>
      <c r="Q366" s="7" t="inlineStr">
        <is>
          <t>NOT-ASSESSED</t>
        </is>
      </c>
      <c r="R366" s="7" t="n"/>
      <c r="S366" s="7" t="n"/>
      <c r="T366" s="7" t="n"/>
      <c r="U366" s="7" t="n"/>
      <c r="V366" s="7" t="n"/>
      <c r="W366" s="7" t="n"/>
      <c r="X366" s="7" t="inlineStr">
        <is>
          <t>NOT LOCATED — NOT YET RECOVERED</t>
        </is>
      </c>
      <c r="Y366" s="7" t="inlineStr">
        <is>
          <t>EXCLUDED</t>
        </is>
      </c>
      <c r="Z366" s="11" t="b">
        <v>0</v>
      </c>
      <c r="AA366" s="8" t="inlineStr">
        <is>
          <t>CURRENT EVIDENCE / STATUS</t>
        </is>
      </c>
    </row>
    <row r="367" ht="15.75" customHeight="1" s="29">
      <c r="A367" s="7" t="inlineStr">
        <is>
          <t>Q-362</t>
        </is>
      </c>
      <c r="B367" s="7" t="inlineStr">
        <is>
          <t>RNR-H46</t>
        </is>
      </c>
      <c r="C367" s="7" t="inlineStr">
        <is>
          <t>Eternal</t>
        </is>
      </c>
      <c r="D367" s="7" t="inlineStr">
        <is>
          <t>A</t>
        </is>
      </c>
      <c r="E367" s="7" t="inlineStr">
        <is>
          <t>Eastern Orthodox</t>
        </is>
      </c>
      <c r="F367" s="7" t="inlineStr">
        <is>
          <t>SINGLE</t>
        </is>
      </c>
      <c r="G367" s="7" t="inlineStr">
        <is>
          <t>TO RECOVER FROM SESSION 9 LEDGER</t>
        </is>
      </c>
      <c r="H367" s="7" t="inlineStr">
        <is>
          <t>NO PUBLIC TILE</t>
        </is>
      </c>
      <c r="I367" s="7" t="n"/>
      <c r="J367" s="7" t="n"/>
      <c r="K367" s="7" t="n"/>
      <c r="L367" s="7" t="n"/>
      <c r="M367" s="7" t="n"/>
      <c r="N367" s="7" t="n"/>
      <c r="O367" s="7" t="n"/>
      <c r="P367" s="7" t="n"/>
      <c r="Q367" s="7" t="inlineStr">
        <is>
          <t>NOT-ASSESSED</t>
        </is>
      </c>
      <c r="R367" s="7" t="n"/>
      <c r="S367" s="7" t="n"/>
      <c r="T367" s="7" t="n"/>
      <c r="U367" s="7" t="n"/>
      <c r="V367" s="7" t="n"/>
      <c r="W367" s="7" t="n"/>
      <c r="X367" s="7" t="inlineStr">
        <is>
          <t>NOT LOCATED — NOT YET RECOVERED</t>
        </is>
      </c>
      <c r="Y367" s="7" t="inlineStr">
        <is>
          <t>EXCLUDED</t>
        </is>
      </c>
      <c r="Z367" s="11" t="b">
        <v>0</v>
      </c>
      <c r="AA367" s="8" t="inlineStr">
        <is>
          <t>CURRENT EVIDENCE / STATUS</t>
        </is>
      </c>
    </row>
    <row r="368" ht="15.75" customHeight="1" s="29">
      <c r="A368" s="7" t="inlineStr">
        <is>
          <t>Q-363</t>
        </is>
      </c>
      <c r="B368" s="7" t="inlineStr">
        <is>
          <t>RNR-H46</t>
        </is>
      </c>
      <c r="C368" s="7" t="inlineStr">
        <is>
          <t>Eternal</t>
        </is>
      </c>
      <c r="D368" s="7" t="inlineStr">
        <is>
          <t>A</t>
        </is>
      </c>
      <c r="E368" s="7" t="inlineStr">
        <is>
          <t>Lutheran</t>
        </is>
      </c>
      <c r="F368" s="7" t="inlineStr">
        <is>
          <t>SINGLE</t>
        </is>
      </c>
      <c r="G368" s="7" t="inlineStr">
        <is>
          <t>SESSION 8 ATTESTATION + SESSION 9 ATOMIC CODE RECOVERED</t>
        </is>
      </c>
      <c r="H368" s="7" t="inlineStr">
        <is>
          <t>PUBLIC-CERTIFIED</t>
        </is>
      </c>
      <c r="I368" s="7" t="inlineStr">
        <is>
          <t>RNR-H46a</t>
        </is>
      </c>
      <c r="J368" s="7" t="inlineStr">
        <is>
          <t>A</t>
        </is>
      </c>
      <c r="K368" s="7" t="inlineStr">
        <is>
          <t>Lutheran Church—Missouri Synod</t>
        </is>
      </c>
      <c r="L368" s="7" t="inlineStr">
        <is>
          <t>Athanasian Creed</t>
        </is>
      </c>
      <c r="M368" s="7" t="inlineStr">
        <is>
          <t>Trinity and person/substance clauses</t>
        </is>
      </c>
      <c r="N368" s="7" t="inlineStr">
        <is>
          <t>https://www.lcms.org/about/beliefs/lutheran-confessions</t>
        </is>
      </c>
      <c r="O368" s="7" t="inlineStr">
        <is>
          <t>https://bookofconcord.org/ecumenical-creeds/athanasian-creed/</t>
        </is>
      </c>
      <c r="P368" s="7" t="inlineStr">
        <is>
          <t>S8-IA-0294 + Session 9 H46a atomic A decision; adjacent Session 9 lineage confirms unit.</t>
        </is>
      </c>
      <c r="Q368" s="7" t="inlineStr">
        <is>
          <t>MEDIUM</t>
        </is>
      </c>
      <c r="R368" s="7" t="inlineStr">
        <is>
          <t>LCMS scope; text witness external to adoption page.</t>
        </is>
      </c>
      <c r="S368" s="7" t="inlineStr">
        <is>
          <t>NO</t>
        </is>
      </c>
      <c r="T368" s="7" t="inlineStr">
        <is>
          <t>A</t>
        </is>
      </c>
      <c r="U368" s="7" t="inlineStr">
        <is>
          <t>Eternal at beginningless/endless duration floor.</t>
        </is>
      </c>
      <c r="V368" s="7" t="inlineStr">
        <is>
          <t>CERTIFIED</t>
        </is>
      </c>
      <c r="W368" s="7" t="n"/>
      <c r="X368" s="7" t="inlineStr">
        <is>
          <t>A</t>
        </is>
      </c>
      <c r="Y368" s="7" t="inlineStr">
        <is>
          <t>A</t>
        </is>
      </c>
      <c r="Z368" s="11" t="b">
        <v>0</v>
      </c>
      <c r="AA368" s="8" t="inlineStr">
        <is>
          <t>CURRENT EVIDENCE / STATUS</t>
        </is>
      </c>
    </row>
    <row r="369" ht="15.75" customHeight="1" s="29">
      <c r="A369" s="7" t="inlineStr">
        <is>
          <t>Q-364</t>
        </is>
      </c>
      <c r="B369" s="7" t="inlineStr">
        <is>
          <t>RNR-H46</t>
        </is>
      </c>
      <c r="C369" s="7" t="inlineStr">
        <is>
          <t>Eternal</t>
        </is>
      </c>
      <c r="D369" s="7" t="inlineStr">
        <is>
          <t>A</t>
        </is>
      </c>
      <c r="E369" s="7" t="inlineStr">
        <is>
          <t>Reformed / Presbyterian</t>
        </is>
      </c>
      <c r="F369" s="7" t="inlineStr">
        <is>
          <t>SINGLE</t>
        </is>
      </c>
      <c r="G369" s="7" t="inlineStr">
        <is>
          <t>SESSION 9 SOURCE ROW RECOVERED</t>
        </is>
      </c>
      <c r="H369" s="7" t="inlineStr">
        <is>
          <t>PUBLIC-CERTIFIED</t>
        </is>
      </c>
      <c r="I369" s="7" t="inlineStr">
        <is>
          <t>RNR-H46a</t>
        </is>
      </c>
      <c r="J369" s="7" t="inlineStr">
        <is>
          <t>A</t>
        </is>
      </c>
      <c r="K369" s="7" t="inlineStr">
        <is>
          <t>Orthodox Presbyterian Church</t>
        </is>
      </c>
      <c r="L369" s="7" t="inlineStr">
        <is>
          <t>Westminster Confession of Faith</t>
        </is>
      </c>
      <c r="M369" s="7" t="inlineStr">
        <is>
          <t>Chapters II.1–3; III; V; VI; IX; XIII as applicable</t>
        </is>
      </c>
      <c r="N369" s="7" t="inlineStr">
        <is>
          <t>https://opc.org/wcf.html</t>
        </is>
      </c>
      <c r="O369" s="7" t="inlineStr">
        <is>
          <t>https://opc.org/wcf.html</t>
        </is>
      </c>
      <c r="P369" s="7" t="inlineStr">
        <is>
          <t>S9-IA-0297 / S8-IA-0297; CRCNA/RCA/PC(USA) rows corroborate.</t>
        </is>
      </c>
      <c r="Q369" s="7" t="inlineStr">
        <is>
          <t>MEDIUM</t>
        </is>
      </c>
      <c r="R369" s="7" t="inlineStr">
        <is>
          <t>OPC primary; multiple Reformed/Presbyterian witnesses corroborate.</t>
        </is>
      </c>
      <c r="S369" s="7" t="inlineStr">
        <is>
          <t>NO</t>
        </is>
      </c>
      <c r="T369" s="7" t="inlineStr">
        <is>
          <t>A</t>
        </is>
      </c>
      <c r="U369" s="7" t="inlineStr">
        <is>
          <t>Eternal at beginningless/endless duration floor.</t>
        </is>
      </c>
      <c r="V369" s="7" t="inlineStr">
        <is>
          <t>CERTIFIED</t>
        </is>
      </c>
      <c r="W369" s="7" t="n"/>
      <c r="X369" s="7" t="inlineStr">
        <is>
          <t>A</t>
        </is>
      </c>
      <c r="Y369" s="7" t="inlineStr">
        <is>
          <t>A</t>
        </is>
      </c>
      <c r="Z369" s="11" t="b">
        <v>0</v>
      </c>
      <c r="AA369" s="8" t="inlineStr">
        <is>
          <t>CURRENT EVIDENCE / STATUS</t>
        </is>
      </c>
    </row>
    <row r="370" ht="15.75" customHeight="1" s="29">
      <c r="A370" s="7" t="inlineStr">
        <is>
          <t>Q-365</t>
        </is>
      </c>
      <c r="B370" s="7" t="inlineStr">
        <is>
          <t>RNR-H46</t>
        </is>
      </c>
      <c r="C370" s="7" t="inlineStr">
        <is>
          <t>Eternal</t>
        </is>
      </c>
      <c r="D370" s="7" t="inlineStr">
        <is>
          <t>A</t>
        </is>
      </c>
      <c r="E370" s="7" t="inlineStr">
        <is>
          <t>Anglican</t>
        </is>
      </c>
      <c r="F370" s="7" t="inlineStr">
        <is>
          <t>SINGLE</t>
        </is>
      </c>
      <c r="G370" s="7" t="inlineStr">
        <is>
          <t>TO RECOVER FROM SESSION 9 LEDGER</t>
        </is>
      </c>
      <c r="H370" s="7" t="inlineStr">
        <is>
          <t>NO PUBLIC TILE</t>
        </is>
      </c>
      <c r="I370" s="7" t="n"/>
      <c r="J370" s="7" t="n"/>
      <c r="K370" s="7" t="n"/>
      <c r="L370" s="7" t="n"/>
      <c r="M370" s="7" t="n"/>
      <c r="N370" s="7" t="n"/>
      <c r="O370" s="7" t="n"/>
      <c r="P370" s="7" t="n"/>
      <c r="Q370" s="7" t="inlineStr">
        <is>
          <t>NOT-ASSESSED</t>
        </is>
      </c>
      <c r="R370" s="7" t="n"/>
      <c r="S370" s="7" t="n"/>
      <c r="T370" s="7" t="n"/>
      <c r="U370" s="7" t="n"/>
      <c r="V370" s="7" t="n"/>
      <c r="W370" s="7" t="n"/>
      <c r="X370" s="7" t="inlineStr">
        <is>
          <t>NOT LOCATED — NOT YET RECOVERED</t>
        </is>
      </c>
      <c r="Y370" s="7" t="inlineStr">
        <is>
          <t>EXCLUDED</t>
        </is>
      </c>
      <c r="Z370" s="11" t="b">
        <v>0</v>
      </c>
      <c r="AA370" s="8" t="inlineStr">
        <is>
          <t>CURRENT EVIDENCE / STATUS</t>
        </is>
      </c>
    </row>
    <row r="371" ht="15.75" customHeight="1" s="29">
      <c r="A371" s="7" t="inlineStr">
        <is>
          <t>Q-366</t>
        </is>
      </c>
      <c r="B371" s="7" t="inlineStr">
        <is>
          <t>RNR-H46</t>
        </is>
      </c>
      <c r="C371" s="7" t="inlineStr">
        <is>
          <t>Eternal</t>
        </is>
      </c>
      <c r="D371" s="7" t="inlineStr">
        <is>
          <t>A</t>
        </is>
      </c>
      <c r="E371" s="7" t="inlineStr">
        <is>
          <t>Baptist</t>
        </is>
      </c>
      <c r="F371" s="7" t="inlineStr">
        <is>
          <t>SINGLE</t>
        </is>
      </c>
      <c r="G371" s="7" t="inlineStr">
        <is>
          <t>CURRENT OFFICIAL SOURCE RECOVERED — WEB VERIFIED</t>
        </is>
      </c>
      <c r="H371" s="7" t="inlineStr">
        <is>
          <t>PUBLIC-CERTIFIED</t>
        </is>
      </c>
      <c r="I371" s="7" t="inlineStr">
        <is>
          <t>RNR-H46a</t>
        </is>
      </c>
      <c r="J371" s="7" t="inlineStr">
        <is>
          <t>A</t>
        </is>
      </c>
      <c r="K371" s="7" t="inlineStr">
        <is>
          <t>Southern Baptist Convention</t>
        </is>
      </c>
      <c r="L371" s="7" t="inlineStr">
        <is>
          <t>Baptist Faith and Message 2000</t>
        </is>
      </c>
      <c r="M371" s="7" t="inlineStr">
        <is>
          <t>II. God — eternal triune God</t>
        </is>
      </c>
      <c r="N371" s="7" t="inlineStr">
        <is>
          <t>https://bfm.sbc.net/bfm2000/</t>
        </is>
      </c>
      <c r="O371" s="7" t="inlineStr">
        <is>
          <t>https://bfm.sbc.net/bfm2000/</t>
        </is>
      </c>
      <c r="P371" s="7" t="inlineStr">
        <is>
          <t>Current official-source recovery, web-verified against Baptist Faith &amp; Message 2000; source role N2 per project institutional authority roster.</t>
        </is>
      </c>
      <c r="Q371" s="7" t="inlineStr">
        <is>
          <t>HIGH</t>
        </is>
      </c>
      <c r="R371" s="7" t="inlineStr">
        <is>
          <t>Southern Baptist Convention cooperative identity under BF&amp;M 2000; not all Baptist churches or Baptist traditions.</t>
        </is>
      </c>
      <c r="S371" s="7" t="inlineStr">
        <is>
          <t>NO</t>
        </is>
      </c>
      <c r="T371" s="7" t="inlineStr">
        <is>
          <t>A</t>
        </is>
      </c>
      <c r="U371" s="7" t="inlineStr">
        <is>
          <t>Current SBC source explicitly attests eternal divine existence.</t>
        </is>
      </c>
      <c r="V371" s="7" t="inlineStr">
        <is>
          <t>CERTIFIED</t>
        </is>
      </c>
      <c r="W371" s="7" t="n"/>
      <c r="X371" s="7" t="inlineStr">
        <is>
          <t>A</t>
        </is>
      </c>
      <c r="Y371" s="7" t="inlineStr">
        <is>
          <t>A</t>
        </is>
      </c>
      <c r="Z371" s="11" t="b">
        <v>0</v>
      </c>
      <c r="AA371" s="8" t="inlineStr">
        <is>
          <t>CURRENT EVIDENCE / STATUS</t>
        </is>
      </c>
    </row>
    <row r="372" ht="15.75" customHeight="1" s="29">
      <c r="A372" s="7" t="inlineStr">
        <is>
          <t>Q-367</t>
        </is>
      </c>
      <c r="B372" s="7" t="inlineStr">
        <is>
          <t>RNR-H46</t>
        </is>
      </c>
      <c r="C372" s="7" t="inlineStr">
        <is>
          <t>Eternal</t>
        </is>
      </c>
      <c r="D372" s="7" t="inlineStr">
        <is>
          <t>A</t>
        </is>
      </c>
      <c r="E372" s="7" t="inlineStr">
        <is>
          <t>Methodist / Wesleyan</t>
        </is>
      </c>
      <c r="F372" s="7" t="inlineStr">
        <is>
          <t>SINGLE</t>
        </is>
      </c>
      <c r="G372" s="7" t="inlineStr">
        <is>
          <t>SESSION 9 SOURCE ROW RECOVERED</t>
        </is>
      </c>
      <c r="H372" s="7" t="inlineStr">
        <is>
          <t>PUBLIC-CERTIFIED</t>
        </is>
      </c>
      <c r="I372" s="7" t="inlineStr">
        <is>
          <t>RNR-H46a</t>
        </is>
      </c>
      <c r="J372" s="7" t="inlineStr">
        <is>
          <t>A</t>
        </is>
      </c>
      <c r="K372" s="7" t="inlineStr">
        <is>
          <t>The United Methodist Church</t>
        </is>
      </c>
      <c r="L372" s="7" t="inlineStr">
        <is>
          <t>Confession of Faith of the Evangelical United Brethren Church</t>
        </is>
      </c>
      <c r="M372" s="7" t="inlineStr">
        <is>
          <t>Article I</t>
        </is>
      </c>
      <c r="N372" s="7" t="inlineStr">
        <is>
          <t>https://www.umc.org/en/content/confession-of-faith</t>
        </is>
      </c>
      <c r="O372" s="7" t="inlineStr">
        <is>
          <t>https://www.umc.org/en/content/confession-of-faith</t>
        </is>
      </c>
      <c r="P372" s="7" t="inlineStr">
        <is>
          <t>S9-IA-0302 / S8-IA-0302; UMC Articles row also recovered.</t>
        </is>
      </c>
      <c r="Q372" s="7" t="inlineStr">
        <is>
          <t>MEDIUM</t>
        </is>
      </c>
      <c r="R372" s="7" t="inlineStr">
        <is>
          <t>UMC institutional scope.</t>
        </is>
      </c>
      <c r="S372" s="7" t="inlineStr">
        <is>
          <t>NO</t>
        </is>
      </c>
      <c r="T372" s="7" t="inlineStr">
        <is>
          <t>A</t>
        </is>
      </c>
      <c r="U372" s="7" t="inlineStr">
        <is>
          <t>Eternal at beginningless/endless duration floor.</t>
        </is>
      </c>
      <c r="V372" s="7" t="inlineStr">
        <is>
          <t>CERTIFIED</t>
        </is>
      </c>
      <c r="W372" s="7" t="n"/>
      <c r="X372" s="7" t="inlineStr">
        <is>
          <t>A</t>
        </is>
      </c>
      <c r="Y372" s="7" t="inlineStr">
        <is>
          <t>A</t>
        </is>
      </c>
      <c r="Z372" s="11" t="b">
        <v>0</v>
      </c>
      <c r="AA372" s="8" t="inlineStr">
        <is>
          <t>CURRENT EVIDENCE / STATUS</t>
        </is>
      </c>
    </row>
    <row r="373" ht="15.75" customHeight="1" s="29">
      <c r="A373" s="7" t="inlineStr">
        <is>
          <t>Q-368</t>
        </is>
      </c>
      <c r="B373" s="7" t="inlineStr">
        <is>
          <t>RNR-H46</t>
        </is>
      </c>
      <c r="C373" s="7" t="inlineStr">
        <is>
          <t>Eternal</t>
        </is>
      </c>
      <c r="D373" s="7" t="inlineStr">
        <is>
          <t>A</t>
        </is>
      </c>
      <c r="E373" s="7" t="inlineStr">
        <is>
          <t>Mennonite / Anabaptist</t>
        </is>
      </c>
      <c r="F373" s="7" t="inlineStr">
        <is>
          <t>SINGLE</t>
        </is>
      </c>
      <c r="G373" s="7" t="inlineStr">
        <is>
          <t>TO RECOVER FROM SESSION 9 LEDGER</t>
        </is>
      </c>
      <c r="H373" s="7" t="inlineStr">
        <is>
          <t>NO PUBLIC TILE</t>
        </is>
      </c>
      <c r="I373" s="7" t="n"/>
      <c r="J373" s="7" t="n"/>
      <c r="K373" s="7" t="n"/>
      <c r="L373" s="7" t="n"/>
      <c r="M373" s="7" t="n"/>
      <c r="N373" s="7" t="n"/>
      <c r="O373" s="7" t="n"/>
      <c r="P373" s="7" t="n"/>
      <c r="Q373" s="7" t="inlineStr">
        <is>
          <t>NOT-ASSESSED</t>
        </is>
      </c>
      <c r="R373" s="7" t="n"/>
      <c r="S373" s="7" t="n"/>
      <c r="T373" s="7" t="n"/>
      <c r="U373" s="7" t="n"/>
      <c r="V373" s="7" t="n"/>
      <c r="W373" s="7" t="n"/>
      <c r="X373" s="7" t="inlineStr">
        <is>
          <t>NOT LOCATED — NOT YET RECOVERED</t>
        </is>
      </c>
      <c r="Y373" s="7" t="inlineStr">
        <is>
          <t>EXCLUDED</t>
        </is>
      </c>
      <c r="Z373" s="11" t="b">
        <v>0</v>
      </c>
      <c r="AA373" s="8" t="inlineStr">
        <is>
          <t>CURRENT EVIDENCE / STATUS</t>
        </is>
      </c>
    </row>
    <row r="374" ht="15.75" customHeight="1" s="29">
      <c r="A374" s="7" t="inlineStr">
        <is>
          <t>Q-369</t>
        </is>
      </c>
      <c r="B374" s="7" t="inlineStr">
        <is>
          <t>RNR-H47</t>
        </is>
      </c>
      <c r="C374" s="7" t="inlineStr">
        <is>
          <t>Incomprehensible</t>
        </is>
      </c>
      <c r="D374" s="7" t="inlineStr">
        <is>
          <t>A</t>
        </is>
      </c>
      <c r="E374" s="7" t="inlineStr">
        <is>
          <t>Roman Catholic</t>
        </is>
      </c>
      <c r="F374" s="7" t="inlineStr">
        <is>
          <t>SINGLE</t>
        </is>
      </c>
      <c r="G374" s="7" t="inlineStr">
        <is>
          <t>SESSION 9 SOURCE ROW RECOVERED</t>
        </is>
      </c>
      <c r="H374" s="7" t="inlineStr">
        <is>
          <t>PUBLIC-CERTIFIED</t>
        </is>
      </c>
      <c r="I374" s="7" t="inlineStr">
        <is>
          <t>RNR-H47a</t>
        </is>
      </c>
      <c r="J374" s="7" t="inlineStr">
        <is>
          <t>A</t>
        </is>
      </c>
      <c r="K374" s="7" t="inlineStr">
        <is>
          <t>Roman Catholic Church</t>
        </is>
      </c>
      <c r="L374" s="7" t="inlineStr">
        <is>
          <t>First Vatican Council, Dei Filius</t>
        </is>
      </c>
      <c r="M374" s="7" t="inlineStr">
        <is>
          <t>Chapter I, God the Creator of All Things</t>
        </is>
      </c>
      <c r="N374" s="7" t="inlineStr">
        <is>
          <t>https://www.vatican.va/archive/hist_councils/i-vatican-council/documents/vat-i_const_18700424_dei-filius_la.html</t>
        </is>
      </c>
      <c r="O374" s="7" t="inlineStr">
        <is>
          <t>https://www.ewtn.com/catholicism/teachings/vatican-i-dogmatic-constitution-dei-filius-on-the-catholic-faith-241</t>
        </is>
      </c>
      <c r="P374" s="7" t="inlineStr">
        <is>
          <t>S9-IA-0309 / S8-IA-0309; Fourth Lateran S9-IA-0303 also corroborates.</t>
        </is>
      </c>
      <c r="Q374" s="7" t="inlineStr">
        <is>
          <t>HIGH</t>
        </is>
      </c>
      <c r="R374" s="7" t="inlineStr">
        <is>
          <t>Universal Catholic Church; official Latin controls.</t>
        </is>
      </c>
      <c r="S374" s="7" t="inlineStr">
        <is>
          <t>NO</t>
        </is>
      </c>
      <c r="T374" s="7" t="inlineStr">
        <is>
          <t>A</t>
        </is>
      </c>
      <c r="U374" s="7" t="inlineStr">
        <is>
          <t>Incomprehensible.</t>
        </is>
      </c>
      <c r="V374" s="7" t="inlineStr">
        <is>
          <t>CERTIFIED</t>
        </is>
      </c>
      <c r="W374" s="7" t="n"/>
      <c r="X374" s="7" t="inlineStr">
        <is>
          <t>A</t>
        </is>
      </c>
      <c r="Y374" s="7" t="inlineStr">
        <is>
          <t>A</t>
        </is>
      </c>
      <c r="Z374" s="11" t="b">
        <v>0</v>
      </c>
      <c r="AA374" s="8" t="inlineStr">
        <is>
          <t>CURRENT EVIDENCE / STATUS</t>
        </is>
      </c>
    </row>
    <row r="375" ht="15.75" customHeight="1" s="29">
      <c r="A375" s="7" t="inlineStr">
        <is>
          <t>Q-370</t>
        </is>
      </c>
      <c r="B375" s="7" t="inlineStr">
        <is>
          <t>RNR-H47</t>
        </is>
      </c>
      <c r="C375" s="7" t="inlineStr">
        <is>
          <t>Incomprehensible</t>
        </is>
      </c>
      <c r="D375" s="7" t="inlineStr">
        <is>
          <t>A</t>
        </is>
      </c>
      <c r="E375" s="7" t="inlineStr">
        <is>
          <t>Eastern Orthodox</t>
        </is>
      </c>
      <c r="F375" s="7" t="inlineStr">
        <is>
          <t>SINGLE</t>
        </is>
      </c>
      <c r="G375" s="7" t="inlineStr">
        <is>
          <t>TO RECOVER FROM SESSION 9 LEDGER</t>
        </is>
      </c>
      <c r="H375" s="7" t="inlineStr">
        <is>
          <t>NO PUBLIC TILE</t>
        </is>
      </c>
      <c r="I375" s="7" t="n"/>
      <c r="J375" s="7" t="n"/>
      <c r="K375" s="7" t="n"/>
      <c r="L375" s="7" t="n"/>
      <c r="M375" s="7" t="n"/>
      <c r="N375" s="7" t="n"/>
      <c r="O375" s="7" t="n"/>
      <c r="P375" s="7" t="n"/>
      <c r="Q375" s="7" t="inlineStr">
        <is>
          <t>NOT-ASSESSED</t>
        </is>
      </c>
      <c r="R375" s="7" t="n"/>
      <c r="S375" s="7" t="n"/>
      <c r="T375" s="7" t="n"/>
      <c r="U375" s="7" t="n"/>
      <c r="V375" s="7" t="n"/>
      <c r="W375" s="7" t="n"/>
      <c r="X375" s="7" t="inlineStr">
        <is>
          <t>NOT LOCATED — NOT YET RECOVERED</t>
        </is>
      </c>
      <c r="Y375" s="7" t="inlineStr">
        <is>
          <t>EXCLUDED</t>
        </is>
      </c>
      <c r="Z375" s="11" t="b">
        <v>0</v>
      </c>
      <c r="AA375" s="8" t="inlineStr">
        <is>
          <t>CURRENT EVIDENCE / STATUS</t>
        </is>
      </c>
    </row>
    <row r="376" ht="15.75" customHeight="1" s="29">
      <c r="A376" s="7" t="inlineStr">
        <is>
          <t>Q-371</t>
        </is>
      </c>
      <c r="B376" s="7" t="inlineStr">
        <is>
          <t>RNR-H47</t>
        </is>
      </c>
      <c r="C376" s="7" t="inlineStr">
        <is>
          <t>Incomprehensible</t>
        </is>
      </c>
      <c r="D376" s="7" t="inlineStr">
        <is>
          <t>A</t>
        </is>
      </c>
      <c r="E376" s="7" t="inlineStr">
        <is>
          <t>Lutheran</t>
        </is>
      </c>
      <c r="F376" s="7" t="inlineStr">
        <is>
          <t>SINGLE</t>
        </is>
      </c>
      <c r="G376" s="7" t="inlineStr">
        <is>
          <t>TO RECOVER FROM SESSION 9 LEDGER</t>
        </is>
      </c>
      <c r="H376" s="7" t="inlineStr">
        <is>
          <t>NO PUBLIC TILE</t>
        </is>
      </c>
      <c r="I376" s="7" t="n"/>
      <c r="J376" s="7" t="n"/>
      <c r="K376" s="7" t="n"/>
      <c r="L376" s="7" t="n"/>
      <c r="M376" s="7" t="n"/>
      <c r="N376" s="7" t="n"/>
      <c r="O376" s="7" t="n"/>
      <c r="P376" s="7" t="n"/>
      <c r="Q376" s="7" t="inlineStr">
        <is>
          <t>NOT-ASSESSED</t>
        </is>
      </c>
      <c r="R376" s="7" t="n"/>
      <c r="S376" s="7" t="n"/>
      <c r="T376" s="7" t="n"/>
      <c r="U376" s="7" t="n"/>
      <c r="V376" s="7" t="n"/>
      <c r="W376" s="7" t="n"/>
      <c r="X376" s="7" t="inlineStr">
        <is>
          <t>NOT LOCATED — NOT YET RECOVERED</t>
        </is>
      </c>
      <c r="Y376" s="7" t="inlineStr">
        <is>
          <t>EXCLUDED</t>
        </is>
      </c>
      <c r="Z376" s="11" t="b">
        <v>0</v>
      </c>
      <c r="AA376" s="8" t="inlineStr">
        <is>
          <t>CURRENT EVIDENCE / STATUS</t>
        </is>
      </c>
    </row>
    <row r="377" ht="15.75" customHeight="1" s="29">
      <c r="A377" s="7" t="inlineStr">
        <is>
          <t>Q-372</t>
        </is>
      </c>
      <c r="B377" s="7" t="inlineStr">
        <is>
          <t>RNR-H47</t>
        </is>
      </c>
      <c r="C377" s="7" t="inlineStr">
        <is>
          <t>Incomprehensible</t>
        </is>
      </c>
      <c r="D377" s="7" t="inlineStr">
        <is>
          <t>A</t>
        </is>
      </c>
      <c r="E377" s="7" t="inlineStr">
        <is>
          <t>Reformed / Presbyterian</t>
        </is>
      </c>
      <c r="F377" s="7" t="inlineStr">
        <is>
          <t>SINGLE</t>
        </is>
      </c>
      <c r="G377" s="7" t="inlineStr">
        <is>
          <t>SESSION 9 SOURCE ROW RECOVERED</t>
        </is>
      </c>
      <c r="H377" s="7" t="inlineStr">
        <is>
          <t>PUBLIC-CERTIFIED</t>
        </is>
      </c>
      <c r="I377" s="7" t="inlineStr">
        <is>
          <t>RNR-H47a</t>
        </is>
      </c>
      <c r="J377" s="7" t="inlineStr">
        <is>
          <t>A</t>
        </is>
      </c>
      <c r="K377" s="7" t="inlineStr">
        <is>
          <t>Orthodox Presbyterian Church</t>
        </is>
      </c>
      <c r="L377" s="7" t="inlineStr">
        <is>
          <t>Westminster Confession of Faith</t>
        </is>
      </c>
      <c r="M377" s="7" t="inlineStr">
        <is>
          <t>Chapters II.1–3; III; V; VI; IX; XIII as applicable</t>
        </is>
      </c>
      <c r="N377" s="7" t="inlineStr">
        <is>
          <t>https://opc.org/wcf.html</t>
        </is>
      </c>
      <c r="O377" s="7" t="inlineStr">
        <is>
          <t>https://opc.org/wcf.html</t>
        </is>
      </c>
      <c r="P377" s="7" t="inlineStr">
        <is>
          <t>S9-IA-0307 / S8-IA-0307; PC(USA) Scots/Westminster and CRCNA/RCA rows corroborate.</t>
        </is>
      </c>
      <c r="Q377" s="7" t="inlineStr">
        <is>
          <t>HIGH</t>
        </is>
      </c>
      <c r="R377" s="7" t="inlineStr">
        <is>
          <t>OPC primary; multiple Reformed/Presbyterian corroborating rows.</t>
        </is>
      </c>
      <c r="S377" s="7" t="inlineStr">
        <is>
          <t>NO</t>
        </is>
      </c>
      <c r="T377" s="7" t="inlineStr">
        <is>
          <t>A</t>
        </is>
      </c>
      <c r="U377" s="7" t="inlineStr">
        <is>
          <t>Incomprehensible.</t>
        </is>
      </c>
      <c r="V377" s="7" t="inlineStr">
        <is>
          <t>CERTIFIED</t>
        </is>
      </c>
      <c r="W377" s="7" t="n"/>
      <c r="X377" s="7" t="inlineStr">
        <is>
          <t>A</t>
        </is>
      </c>
      <c r="Y377" s="7" t="inlineStr">
        <is>
          <t>A</t>
        </is>
      </c>
      <c r="Z377" s="11" t="b">
        <v>0</v>
      </c>
      <c r="AA377" s="8" t="inlineStr">
        <is>
          <t>CURRENT EVIDENCE / STATUS</t>
        </is>
      </c>
    </row>
    <row r="378" ht="15.75" customHeight="1" s="29">
      <c r="A378" s="7" t="inlineStr">
        <is>
          <t>Q-373</t>
        </is>
      </c>
      <c r="B378" s="7" t="inlineStr">
        <is>
          <t>RNR-H47</t>
        </is>
      </c>
      <c r="C378" s="7" t="inlineStr">
        <is>
          <t>Incomprehensible</t>
        </is>
      </c>
      <c r="D378" s="7" t="inlineStr">
        <is>
          <t>A</t>
        </is>
      </c>
      <c r="E378" s="7" t="inlineStr">
        <is>
          <t>Anglican</t>
        </is>
      </c>
      <c r="F378" s="7" t="inlineStr">
        <is>
          <t>SINGLE</t>
        </is>
      </c>
      <c r="G378" s="7" t="inlineStr">
        <is>
          <t>TO RECOVER FROM SESSION 9 LEDGER</t>
        </is>
      </c>
      <c r="H378" s="7" t="inlineStr">
        <is>
          <t>NO PUBLIC TILE</t>
        </is>
      </c>
      <c r="I378" s="7" t="n"/>
      <c r="J378" s="7" t="n"/>
      <c r="K378" s="7" t="n"/>
      <c r="L378" s="7" t="n"/>
      <c r="M378" s="7" t="n"/>
      <c r="N378" s="7" t="n"/>
      <c r="O378" s="7" t="n"/>
      <c r="P378" s="7" t="n"/>
      <c r="Q378" s="7" t="inlineStr">
        <is>
          <t>NOT-ASSESSED</t>
        </is>
      </c>
      <c r="R378" s="7" t="n"/>
      <c r="S378" s="7" t="n"/>
      <c r="T378" s="7" t="n"/>
      <c r="U378" s="7" t="n"/>
      <c r="V378" s="7" t="n"/>
      <c r="W378" s="7" t="n"/>
      <c r="X378" s="7" t="inlineStr">
        <is>
          <t>NOT LOCATED — NOT YET RECOVERED</t>
        </is>
      </c>
      <c r="Y378" s="7" t="inlineStr">
        <is>
          <t>EXCLUDED</t>
        </is>
      </c>
      <c r="Z378" s="11" t="b">
        <v>0</v>
      </c>
      <c r="AA378" s="8" t="inlineStr">
        <is>
          <t>CURRENT EVIDENCE / STATUS</t>
        </is>
      </c>
    </row>
    <row r="379" ht="15.75" customHeight="1" s="29">
      <c r="A379" s="7" t="inlineStr">
        <is>
          <t>Q-374</t>
        </is>
      </c>
      <c r="B379" s="7" t="inlineStr">
        <is>
          <t>RNR-H47</t>
        </is>
      </c>
      <c r="C379" s="7" t="inlineStr">
        <is>
          <t>Incomprehensible</t>
        </is>
      </c>
      <c r="D379" s="7" t="inlineStr">
        <is>
          <t>A</t>
        </is>
      </c>
      <c r="E379" s="7" t="inlineStr">
        <is>
          <t>Baptist</t>
        </is>
      </c>
      <c r="F379" s="7" t="inlineStr">
        <is>
          <t>SINGLE</t>
        </is>
      </c>
      <c r="G379" s="7" t="inlineStr">
        <is>
          <t>TO RECOVER FROM SESSION 9 LEDGER</t>
        </is>
      </c>
      <c r="H379" s="7" t="inlineStr">
        <is>
          <t>NO PUBLIC TILE</t>
        </is>
      </c>
      <c r="I379" s="7" t="n"/>
      <c r="J379" s="7" t="n"/>
      <c r="K379" s="7" t="n"/>
      <c r="L379" s="7" t="n"/>
      <c r="M379" s="7" t="n"/>
      <c r="N379" s="7" t="n"/>
      <c r="O379" s="7" t="n"/>
      <c r="P379" s="7" t="n"/>
      <c r="Q379" s="7" t="inlineStr">
        <is>
          <t>NOT-ASSESSED</t>
        </is>
      </c>
      <c r="R379" s="7" t="n"/>
      <c r="S379" s="7" t="n"/>
      <c r="T379" s="7" t="n"/>
      <c r="U379" s="7" t="n"/>
      <c r="V379" s="7" t="n"/>
      <c r="W379" s="7" t="n"/>
      <c r="X379" s="7" t="inlineStr">
        <is>
          <t>NOT LOCATED — NOT YET RECOVERED</t>
        </is>
      </c>
      <c r="Y379" s="7" t="inlineStr">
        <is>
          <t>EXCLUDED</t>
        </is>
      </c>
      <c r="Z379" s="11" t="b">
        <v>0</v>
      </c>
      <c r="AA379" s="8" t="inlineStr">
        <is>
          <t>CURRENT EVIDENCE / STATUS</t>
        </is>
      </c>
    </row>
    <row r="380" ht="15.75" customHeight="1" s="29">
      <c r="A380" s="7" t="inlineStr">
        <is>
          <t>Q-375</t>
        </is>
      </c>
      <c r="B380" s="7" t="inlineStr">
        <is>
          <t>RNR-H47</t>
        </is>
      </c>
      <c r="C380" s="7" t="inlineStr">
        <is>
          <t>Incomprehensible</t>
        </is>
      </c>
      <c r="D380" s="7" t="inlineStr">
        <is>
          <t>A</t>
        </is>
      </c>
      <c r="E380" s="7" t="inlineStr">
        <is>
          <t>Methodist / Wesleyan</t>
        </is>
      </c>
      <c r="F380" s="7" t="inlineStr">
        <is>
          <t>SINGLE</t>
        </is>
      </c>
      <c r="G380" s="7" t="inlineStr">
        <is>
          <t>TO RECOVER FROM SESSION 9 LEDGER</t>
        </is>
      </c>
      <c r="H380" s="7" t="inlineStr">
        <is>
          <t>NO PUBLIC TILE</t>
        </is>
      </c>
      <c r="I380" s="7" t="n"/>
      <c r="J380" s="7" t="n"/>
      <c r="K380" s="7" t="n"/>
      <c r="L380" s="7" t="n"/>
      <c r="M380" s="7" t="n"/>
      <c r="N380" s="7" t="n"/>
      <c r="O380" s="7" t="n"/>
      <c r="P380" s="7" t="n"/>
      <c r="Q380" s="7" t="inlineStr">
        <is>
          <t>NOT-ASSESSED</t>
        </is>
      </c>
      <c r="R380" s="7" t="n"/>
      <c r="S380" s="7" t="n"/>
      <c r="T380" s="7" t="n"/>
      <c r="U380" s="7" t="n"/>
      <c r="V380" s="7" t="n"/>
      <c r="W380" s="7" t="n"/>
      <c r="X380" s="7" t="inlineStr">
        <is>
          <t>NOT LOCATED — NOT YET RECOVERED</t>
        </is>
      </c>
      <c r="Y380" s="7" t="inlineStr">
        <is>
          <t>EXCLUDED</t>
        </is>
      </c>
      <c r="Z380" s="11" t="b">
        <v>0</v>
      </c>
      <c r="AA380" s="8" t="inlineStr">
        <is>
          <t>CURRENT EVIDENCE / STATUS</t>
        </is>
      </c>
    </row>
    <row r="381" ht="15.75" customHeight="1" s="29">
      <c r="A381" s="7" t="inlineStr">
        <is>
          <t>Q-376</t>
        </is>
      </c>
      <c r="B381" s="7" t="inlineStr">
        <is>
          <t>RNR-H47</t>
        </is>
      </c>
      <c r="C381" s="7" t="inlineStr">
        <is>
          <t>Incomprehensible</t>
        </is>
      </c>
      <c r="D381" s="7" t="inlineStr">
        <is>
          <t>A</t>
        </is>
      </c>
      <c r="E381" s="7" t="inlineStr">
        <is>
          <t>Mennonite / Anabaptist</t>
        </is>
      </c>
      <c r="F381" s="7" t="inlineStr">
        <is>
          <t>SINGLE</t>
        </is>
      </c>
      <c r="G381" s="7" t="inlineStr">
        <is>
          <t>CURRENT OFFICIAL SOURCE RECOVERED — WEB VERIFIED</t>
        </is>
      </c>
      <c r="H381" s="7" t="inlineStr">
        <is>
          <t>PUBLIC-CERTIFIED</t>
        </is>
      </c>
      <c r="I381" s="7" t="inlineStr">
        <is>
          <t>RNR-H47a</t>
        </is>
      </c>
      <c r="J381" s="7" t="inlineStr">
        <is>
          <t>A</t>
        </is>
      </c>
      <c r="K381" s="7" t="inlineStr">
        <is>
          <t>Mennonite Church USA</t>
        </is>
      </c>
      <c r="L381" s="7" t="inlineStr">
        <is>
          <t>Confession of Faith in a Mennonite Perspective (1995), Article 1: God</t>
        </is>
      </c>
      <c r="M381" s="7" t="inlineStr">
        <is>
          <t>Article 1 — God far surpasses human comprehension and understanding</t>
        </is>
      </c>
      <c r="N381" s="7" t="inlineStr">
        <is>
          <t>https://www.mennoniteusa.org/who-are-mennonites/what-we-believe/confession-of-faith/god/</t>
        </is>
      </c>
      <c r="O381" s="7" t="inlineStr">
        <is>
          <t>https://www.mennoniteusa.org/who-are-mennonites/what-we-believe/confession-of-faith/god/</t>
        </is>
      </c>
      <c r="P381" s="7" t="inlineStr">
        <is>
          <t>Current official-source recovery, web-verified against Mennonite Church USA Confession of Faith in a Mennonite Perspective (1995); N2 role per project roster.</t>
        </is>
      </c>
      <c r="Q381" s="7" t="inlineStr">
        <is>
          <t>HIGH</t>
        </is>
      </c>
      <c r="R381" s="7" t="inlineStr">
        <is>
          <t>Mennonite Church USA / adopting-body scope for the 1995 Confession; not all Mennonite or Anabaptist bodies.</t>
        </is>
      </c>
      <c r="S381" s="7" t="inlineStr">
        <is>
          <t>NO</t>
        </is>
      </c>
      <c r="T381" s="7" t="inlineStr">
        <is>
          <t>A</t>
        </is>
      </c>
      <c r="U381" s="7" t="inlineStr">
        <is>
          <t>Current Mennonite source explicitly attests incomprehensibility.</t>
        </is>
      </c>
      <c r="V381" s="7" t="inlineStr">
        <is>
          <t>CERTIFIED</t>
        </is>
      </c>
      <c r="W381" s="7" t="n"/>
      <c r="X381" s="7" t="inlineStr">
        <is>
          <t>A</t>
        </is>
      </c>
      <c r="Y381" s="7" t="inlineStr">
        <is>
          <t>A</t>
        </is>
      </c>
      <c r="Z381" s="11" t="b">
        <v>0</v>
      </c>
      <c r="AA381" s="8" t="inlineStr">
        <is>
          <t>CURRENT EVIDENCE / STATUS</t>
        </is>
      </c>
    </row>
    <row r="382" ht="15.75" customHeight="1" s="29">
      <c r="A382" s="7" t="inlineStr">
        <is>
          <t>Q-377</t>
        </is>
      </c>
      <c r="B382" s="7" t="inlineStr">
        <is>
          <t>RNR-H48</t>
        </is>
      </c>
      <c r="C382" s="7" t="inlineStr">
        <is>
          <t>Ineffable</t>
        </is>
      </c>
      <c r="D382" s="7" t="inlineStr">
        <is>
          <t>A</t>
        </is>
      </c>
      <c r="E382" s="7" t="inlineStr">
        <is>
          <t>Roman Catholic</t>
        </is>
      </c>
      <c r="F382" s="7" t="inlineStr">
        <is>
          <t>SINGLE</t>
        </is>
      </c>
      <c r="G382" s="7" t="inlineStr">
        <is>
          <t>SESSION 9 SOURCE ROW RECOVERED</t>
        </is>
      </c>
      <c r="H382" s="7" t="inlineStr">
        <is>
          <t>PUBLIC-CERTIFIED</t>
        </is>
      </c>
      <c r="I382" s="7" t="inlineStr">
        <is>
          <t>RNR-H48a</t>
        </is>
      </c>
      <c r="J382" s="7" t="inlineStr">
        <is>
          <t>A</t>
        </is>
      </c>
      <c r="K382" s="7" t="inlineStr">
        <is>
          <t>Roman Catholic Church</t>
        </is>
      </c>
      <c r="L382" s="7" t="inlineStr">
        <is>
          <t>Fourth Lateran Council</t>
        </is>
      </c>
      <c r="M382" s="7" t="inlineStr">
        <is>
          <t>Constitution 1, Firmiter credimus</t>
        </is>
      </c>
      <c r="N382" s="7" t="inlineStr">
        <is>
          <t>https://www.vatican.va/content/catechism/en/part_one/section_one/chapter_one/iv_how_can_we_speak_about_god.html</t>
        </is>
      </c>
      <c r="O382" s="7" t="inlineStr">
        <is>
          <t>https://sourcebooks.web.fordham.edu/basis/lateran4.asp</t>
        </is>
      </c>
      <c r="P382" s="7" t="inlineStr">
        <is>
          <t>S9-IA-0310 / S8-IA-0310; Vatican I S9-IA-0311 corroborates.</t>
        </is>
      </c>
      <c r="Q382" s="7" t="inlineStr">
        <is>
          <t>HIGH</t>
        </is>
      </c>
      <c r="R382" s="7" t="inlineStr">
        <is>
          <t>Universal Catholic Church; official Latin norm controls, English repository is T1 witness.</t>
        </is>
      </c>
      <c r="S382" s="7" t="inlineStr">
        <is>
          <t>NO</t>
        </is>
      </c>
      <c r="T382" s="7" t="inlineStr">
        <is>
          <t>A</t>
        </is>
      </c>
      <c r="U382" s="7" t="inlineStr">
        <is>
          <t>Ineffable.</t>
        </is>
      </c>
      <c r="V382" s="7" t="inlineStr">
        <is>
          <t>CERTIFIED</t>
        </is>
      </c>
      <c r="W382" s="7" t="n"/>
      <c r="X382" s="7" t="inlineStr">
        <is>
          <t>A</t>
        </is>
      </c>
      <c r="Y382" s="7" t="inlineStr">
        <is>
          <t>A</t>
        </is>
      </c>
      <c r="Z382" s="11" t="b">
        <v>0</v>
      </c>
      <c r="AA382" s="8" t="inlineStr">
        <is>
          <t>CURRENT EVIDENCE / STATUS</t>
        </is>
      </c>
    </row>
    <row r="383" ht="15.75" customHeight="1" s="29">
      <c r="A383" s="7" t="inlineStr">
        <is>
          <t>Q-378</t>
        </is>
      </c>
      <c r="B383" s="7" t="inlineStr">
        <is>
          <t>RNR-H48</t>
        </is>
      </c>
      <c r="C383" s="7" t="inlineStr">
        <is>
          <t>Ineffable</t>
        </is>
      </c>
      <c r="D383" s="7" t="inlineStr">
        <is>
          <t>A</t>
        </is>
      </c>
      <c r="E383" s="7" t="inlineStr">
        <is>
          <t>Eastern Orthodox</t>
        </is>
      </c>
      <c r="F383" s="7" t="inlineStr">
        <is>
          <t>SINGLE</t>
        </is>
      </c>
      <c r="G383" s="7" t="inlineStr">
        <is>
          <t>TO RECOVER FROM SESSION 9 LEDGER</t>
        </is>
      </c>
      <c r="H383" s="7" t="inlineStr">
        <is>
          <t>NO PUBLIC TILE</t>
        </is>
      </c>
      <c r="I383" s="7" t="n"/>
      <c r="J383" s="7" t="n"/>
      <c r="K383" s="7" t="n"/>
      <c r="L383" s="7" t="n"/>
      <c r="M383" s="7" t="n"/>
      <c r="N383" s="7" t="n"/>
      <c r="O383" s="7" t="n"/>
      <c r="P383" s="7" t="n"/>
      <c r="Q383" s="7" t="inlineStr">
        <is>
          <t>NOT-ASSESSED</t>
        </is>
      </c>
      <c r="R383" s="7" t="n"/>
      <c r="S383" s="7" t="n"/>
      <c r="T383" s="7" t="n"/>
      <c r="U383" s="7" t="n"/>
      <c r="V383" s="7" t="n"/>
      <c r="W383" s="7" t="n"/>
      <c r="X383" s="7" t="inlineStr">
        <is>
          <t>NOT LOCATED — NOT YET RECOVERED</t>
        </is>
      </c>
      <c r="Y383" s="7" t="inlineStr">
        <is>
          <t>EXCLUDED</t>
        </is>
      </c>
      <c r="Z383" s="11" t="b">
        <v>0</v>
      </c>
      <c r="AA383" s="8" t="inlineStr">
        <is>
          <t>CURRENT EVIDENCE / STATUS</t>
        </is>
      </c>
    </row>
    <row r="384" ht="15.75" customHeight="1" s="29">
      <c r="A384" s="7" t="inlineStr">
        <is>
          <t>Q-379</t>
        </is>
      </c>
      <c r="B384" s="7" t="inlineStr">
        <is>
          <t>RNR-H48</t>
        </is>
      </c>
      <c r="C384" s="7" t="inlineStr">
        <is>
          <t>Ineffable</t>
        </is>
      </c>
      <c r="D384" s="7" t="inlineStr">
        <is>
          <t>A</t>
        </is>
      </c>
      <c r="E384" s="7" t="inlineStr">
        <is>
          <t>Lutheran</t>
        </is>
      </c>
      <c r="F384" s="7" t="inlineStr">
        <is>
          <t>SINGLE</t>
        </is>
      </c>
      <c r="G384" s="7" t="inlineStr">
        <is>
          <t>TO RECOVER FROM SESSION 9 LEDGER</t>
        </is>
      </c>
      <c r="H384" s="7" t="inlineStr">
        <is>
          <t>NO PUBLIC TILE</t>
        </is>
      </c>
      <c r="I384" s="7" t="n"/>
      <c r="J384" s="7" t="n"/>
      <c r="K384" s="7" t="n"/>
      <c r="L384" s="7" t="n"/>
      <c r="M384" s="7" t="n"/>
      <c r="N384" s="7" t="n"/>
      <c r="O384" s="7" t="n"/>
      <c r="P384" s="7" t="n"/>
      <c r="Q384" s="7" t="inlineStr">
        <is>
          <t>NOT-ASSESSED</t>
        </is>
      </c>
      <c r="R384" s="7" t="n"/>
      <c r="S384" s="7" t="n"/>
      <c r="T384" s="7" t="n"/>
      <c r="U384" s="7" t="n"/>
      <c r="V384" s="7" t="n"/>
      <c r="W384" s="7" t="n"/>
      <c r="X384" s="7" t="inlineStr">
        <is>
          <t>NOT LOCATED — NOT YET RECOVERED</t>
        </is>
      </c>
      <c r="Y384" s="7" t="inlineStr">
        <is>
          <t>EXCLUDED</t>
        </is>
      </c>
      <c r="Z384" s="11" t="b">
        <v>0</v>
      </c>
      <c r="AA384" s="8" t="inlineStr">
        <is>
          <t>CURRENT EVIDENCE / STATUS</t>
        </is>
      </c>
    </row>
    <row r="385" ht="15.75" customHeight="1" s="29">
      <c r="A385" s="7" t="inlineStr">
        <is>
          <t>Q-380</t>
        </is>
      </c>
      <c r="B385" s="7" t="inlineStr">
        <is>
          <t>RNR-H48</t>
        </is>
      </c>
      <c r="C385" s="7" t="inlineStr">
        <is>
          <t>Ineffable</t>
        </is>
      </c>
      <c r="D385" s="7" t="inlineStr">
        <is>
          <t>A</t>
        </is>
      </c>
      <c r="E385" s="7" t="inlineStr">
        <is>
          <t>Reformed / Presbyterian</t>
        </is>
      </c>
      <c r="F385" s="7" t="inlineStr">
        <is>
          <t>SINGLE</t>
        </is>
      </c>
      <c r="G385" s="7" t="inlineStr">
        <is>
          <t>TO RECOVER FROM SESSION 9 LEDGER</t>
        </is>
      </c>
      <c r="H385" s="7" t="inlineStr">
        <is>
          <t>NO PUBLIC TILE</t>
        </is>
      </c>
      <c r="I385" s="7" t="n"/>
      <c r="J385" s="7" t="n"/>
      <c r="K385" s="7" t="n"/>
      <c r="L385" s="7" t="n"/>
      <c r="M385" s="7" t="n"/>
      <c r="N385" s="7" t="n"/>
      <c r="O385" s="7" t="n"/>
      <c r="P385" s="7" t="n"/>
      <c r="Q385" s="7" t="inlineStr">
        <is>
          <t>NOT-ASSESSED</t>
        </is>
      </c>
      <c r="R385" s="7" t="n"/>
      <c r="S385" s="7" t="n"/>
      <c r="T385" s="7" t="n"/>
      <c r="U385" s="7" t="n"/>
      <c r="V385" s="7" t="n"/>
      <c r="W385" s="7" t="n"/>
      <c r="X385" s="7" t="inlineStr">
        <is>
          <t>NOT LOCATED — NOT YET RECOVERED</t>
        </is>
      </c>
      <c r="Y385" s="7" t="inlineStr">
        <is>
          <t>EXCLUDED</t>
        </is>
      </c>
      <c r="Z385" s="11" t="b">
        <v>0</v>
      </c>
      <c r="AA385" s="8" t="inlineStr">
        <is>
          <t>CURRENT EVIDENCE / STATUS</t>
        </is>
      </c>
    </row>
    <row r="386" ht="15.75" customHeight="1" s="29">
      <c r="A386" s="7" t="inlineStr">
        <is>
          <t>Q-381</t>
        </is>
      </c>
      <c r="B386" s="7" t="inlineStr">
        <is>
          <t>RNR-H48</t>
        </is>
      </c>
      <c r="C386" s="7" t="inlineStr">
        <is>
          <t>Ineffable</t>
        </is>
      </c>
      <c r="D386" s="7" t="inlineStr">
        <is>
          <t>A</t>
        </is>
      </c>
      <c r="E386" s="7" t="inlineStr">
        <is>
          <t>Anglican</t>
        </is>
      </c>
      <c r="F386" s="7" t="inlineStr">
        <is>
          <t>SINGLE</t>
        </is>
      </c>
      <c r="G386" s="7" t="inlineStr">
        <is>
          <t>TO RECOVER FROM SESSION 9 LEDGER</t>
        </is>
      </c>
      <c r="H386" s="7" t="inlineStr">
        <is>
          <t>NO PUBLIC TILE</t>
        </is>
      </c>
      <c r="I386" s="7" t="n"/>
      <c r="J386" s="7" t="n"/>
      <c r="K386" s="7" t="n"/>
      <c r="L386" s="7" t="n"/>
      <c r="M386" s="7" t="n"/>
      <c r="N386" s="7" t="n"/>
      <c r="O386" s="7" t="n"/>
      <c r="P386" s="7" t="n"/>
      <c r="Q386" s="7" t="inlineStr">
        <is>
          <t>NOT-ASSESSED</t>
        </is>
      </c>
      <c r="R386" s="7" t="n"/>
      <c r="S386" s="7" t="n"/>
      <c r="T386" s="7" t="n"/>
      <c r="U386" s="7" t="n"/>
      <c r="V386" s="7" t="n"/>
      <c r="W386" s="7" t="n"/>
      <c r="X386" s="7" t="inlineStr">
        <is>
          <t>NOT LOCATED — NOT YET RECOVERED</t>
        </is>
      </c>
      <c r="Y386" s="7" t="inlineStr">
        <is>
          <t>EXCLUDED</t>
        </is>
      </c>
      <c r="Z386" s="11" t="b">
        <v>0</v>
      </c>
      <c r="AA386" s="8" t="inlineStr">
        <is>
          <t>CURRENT EVIDENCE / STATUS</t>
        </is>
      </c>
    </row>
    <row r="387" ht="15.75" customHeight="1" s="29">
      <c r="A387" s="7" t="inlineStr">
        <is>
          <t>Q-382</t>
        </is>
      </c>
      <c r="B387" s="7" t="inlineStr">
        <is>
          <t>RNR-H48</t>
        </is>
      </c>
      <c r="C387" s="7" t="inlineStr">
        <is>
          <t>Ineffable</t>
        </is>
      </c>
      <c r="D387" s="7" t="inlineStr">
        <is>
          <t>A</t>
        </is>
      </c>
      <c r="E387" s="7" t="inlineStr">
        <is>
          <t>Baptist</t>
        </is>
      </c>
      <c r="F387" s="7" t="inlineStr">
        <is>
          <t>SINGLE</t>
        </is>
      </c>
      <c r="G387" s="7" t="inlineStr">
        <is>
          <t>TO RECOVER FROM SESSION 9 LEDGER</t>
        </is>
      </c>
      <c r="H387" s="7" t="inlineStr">
        <is>
          <t>NO PUBLIC TILE</t>
        </is>
      </c>
      <c r="I387" s="7" t="n"/>
      <c r="J387" s="7" t="n"/>
      <c r="K387" s="7" t="n"/>
      <c r="L387" s="7" t="n"/>
      <c r="M387" s="7" t="n"/>
      <c r="N387" s="7" t="n"/>
      <c r="O387" s="7" t="n"/>
      <c r="P387" s="7" t="n"/>
      <c r="Q387" s="7" t="inlineStr">
        <is>
          <t>NOT-ASSESSED</t>
        </is>
      </c>
      <c r="R387" s="7" t="n"/>
      <c r="S387" s="7" t="n"/>
      <c r="T387" s="7" t="n"/>
      <c r="U387" s="7" t="n"/>
      <c r="V387" s="7" t="n"/>
      <c r="W387" s="7" t="n"/>
      <c r="X387" s="7" t="inlineStr">
        <is>
          <t>NOT LOCATED — NOT YET RECOVERED</t>
        </is>
      </c>
      <c r="Y387" s="7" t="inlineStr">
        <is>
          <t>EXCLUDED</t>
        </is>
      </c>
      <c r="Z387" s="11" t="b">
        <v>0</v>
      </c>
      <c r="AA387" s="8" t="inlineStr">
        <is>
          <t>CURRENT EVIDENCE / STATUS</t>
        </is>
      </c>
    </row>
    <row r="388" ht="15.75" customHeight="1" s="29">
      <c r="A388" s="7" t="inlineStr">
        <is>
          <t>Q-383</t>
        </is>
      </c>
      <c r="B388" s="7" t="inlineStr">
        <is>
          <t>RNR-H48</t>
        </is>
      </c>
      <c r="C388" s="7" t="inlineStr">
        <is>
          <t>Ineffable</t>
        </is>
      </c>
      <c r="D388" s="7" t="inlineStr">
        <is>
          <t>A</t>
        </is>
      </c>
      <c r="E388" s="7" t="inlineStr">
        <is>
          <t>Methodist / Wesleyan</t>
        </is>
      </c>
      <c r="F388" s="7" t="inlineStr">
        <is>
          <t>SINGLE</t>
        </is>
      </c>
      <c r="G388" s="7" t="inlineStr">
        <is>
          <t>TO RECOVER FROM SESSION 9 LEDGER</t>
        </is>
      </c>
      <c r="H388" s="7" t="inlineStr">
        <is>
          <t>NO PUBLIC TILE</t>
        </is>
      </c>
      <c r="I388" s="7" t="n"/>
      <c r="J388" s="7" t="n"/>
      <c r="K388" s="7" t="n"/>
      <c r="L388" s="7" t="n"/>
      <c r="M388" s="7" t="n"/>
      <c r="N388" s="7" t="n"/>
      <c r="O388" s="7" t="n"/>
      <c r="P388" s="7" t="n"/>
      <c r="Q388" s="7" t="inlineStr">
        <is>
          <t>NOT-ASSESSED</t>
        </is>
      </c>
      <c r="R388" s="7" t="n"/>
      <c r="S388" s="7" t="n"/>
      <c r="T388" s="7" t="n"/>
      <c r="U388" s="7" t="n"/>
      <c r="V388" s="7" t="n"/>
      <c r="W388" s="7" t="n"/>
      <c r="X388" s="7" t="inlineStr">
        <is>
          <t>NOT LOCATED — NOT YET RECOVERED</t>
        </is>
      </c>
      <c r="Y388" s="7" t="inlineStr">
        <is>
          <t>EXCLUDED</t>
        </is>
      </c>
      <c r="Z388" s="11" t="b">
        <v>0</v>
      </c>
      <c r="AA388" s="8" t="inlineStr">
        <is>
          <t>CURRENT EVIDENCE / STATUS</t>
        </is>
      </c>
    </row>
    <row r="389" ht="15.75" customHeight="1" s="29">
      <c r="A389" s="7" t="inlineStr">
        <is>
          <t>Q-384</t>
        </is>
      </c>
      <c r="B389" s="7" t="inlineStr">
        <is>
          <t>RNR-H48</t>
        </is>
      </c>
      <c r="C389" s="7" t="inlineStr">
        <is>
          <t>Ineffable</t>
        </is>
      </c>
      <c r="D389" s="7" t="inlineStr">
        <is>
          <t>A</t>
        </is>
      </c>
      <c r="E389" s="7" t="inlineStr">
        <is>
          <t>Mennonite / Anabaptist</t>
        </is>
      </c>
      <c r="F389" s="7" t="inlineStr">
        <is>
          <t>SINGLE</t>
        </is>
      </c>
      <c r="G389" s="7" t="inlineStr">
        <is>
          <t>TO RECOVER FROM SESSION 9 LEDGER</t>
        </is>
      </c>
      <c r="H389" s="7" t="inlineStr">
        <is>
          <t>NO PUBLIC TILE</t>
        </is>
      </c>
      <c r="I389" s="7" t="n"/>
      <c r="J389" s="7" t="n"/>
      <c r="K389" s="7" t="n"/>
      <c r="L389" s="7" t="n"/>
      <c r="M389" s="7" t="n"/>
      <c r="N389" s="7" t="n"/>
      <c r="O389" s="7" t="n"/>
      <c r="P389" s="7" t="n"/>
      <c r="Q389" s="7" t="inlineStr">
        <is>
          <t>NOT-ASSESSED</t>
        </is>
      </c>
      <c r="R389" s="7" t="n"/>
      <c r="S389" s="7" t="n"/>
      <c r="T389" s="7" t="n"/>
      <c r="U389" s="7" t="n"/>
      <c r="V389" s="7" t="n"/>
      <c r="W389" s="7" t="n"/>
      <c r="X389" s="7" t="inlineStr">
        <is>
          <t>NOT LOCATED — NOT YET RECOVERED</t>
        </is>
      </c>
      <c r="Y389" s="7" t="inlineStr">
        <is>
          <t>EXCLUDED</t>
        </is>
      </c>
      <c r="Z389" s="11" t="b">
        <v>0</v>
      </c>
      <c r="AA389" s="8" t="inlineStr">
        <is>
          <t>CURRENT EVIDENCE / STATUS</t>
        </is>
      </c>
    </row>
    <row r="390" ht="15.75" customHeight="1" s="29">
      <c r="A390" s="7" t="inlineStr">
        <is>
          <t>Q-385</t>
        </is>
      </c>
      <c r="B390" s="7" t="inlineStr">
        <is>
          <t>RNR-H49</t>
        </is>
      </c>
      <c r="C390" s="7" t="inlineStr">
        <is>
          <t>Inscrutable</t>
        </is>
      </c>
      <c r="D390" s="7" t="inlineStr">
        <is>
          <t>A</t>
        </is>
      </c>
      <c r="E390" s="7" t="inlineStr">
        <is>
          <t>Roman Catholic</t>
        </is>
      </c>
      <c r="F390" s="7" t="inlineStr">
        <is>
          <t>SINGLE</t>
        </is>
      </c>
      <c r="G390" s="7" t="inlineStr">
        <is>
          <t>TO RECOVER FROM SESSION 9 LEDGER</t>
        </is>
      </c>
      <c r="H390" s="7" t="inlineStr">
        <is>
          <t>NO PUBLIC TILE</t>
        </is>
      </c>
      <c r="I390" s="7" t="n"/>
      <c r="J390" s="7" t="n"/>
      <c r="K390" s="7" t="n"/>
      <c r="L390" s="7" t="n"/>
      <c r="M390" s="7" t="n"/>
      <c r="N390" s="7" t="n"/>
      <c r="O390" s="7" t="n"/>
      <c r="P390" s="7" t="n"/>
      <c r="Q390" s="7" t="inlineStr">
        <is>
          <t>NOT-ASSESSED</t>
        </is>
      </c>
      <c r="R390" s="7" t="n"/>
      <c r="S390" s="7" t="n"/>
      <c r="T390" s="7" t="n"/>
      <c r="U390" s="7" t="n"/>
      <c r="V390" s="7" t="n"/>
      <c r="W390" s="7" t="n"/>
      <c r="X390" s="7" t="inlineStr">
        <is>
          <t>NOT LOCATED — NOT YET RECOVERED</t>
        </is>
      </c>
      <c r="Y390" s="7" t="inlineStr">
        <is>
          <t>EXCLUDED</t>
        </is>
      </c>
      <c r="Z390" s="11" t="b">
        <v>0</v>
      </c>
      <c r="AA390" s="8" t="inlineStr">
        <is>
          <t>CURRENT EVIDENCE / STATUS</t>
        </is>
      </c>
    </row>
    <row r="391" ht="15.75" customHeight="1" s="29">
      <c r="A391" s="7" t="inlineStr">
        <is>
          <t>Q-386</t>
        </is>
      </c>
      <c r="B391" s="7" t="inlineStr">
        <is>
          <t>RNR-H49</t>
        </is>
      </c>
      <c r="C391" s="7" t="inlineStr">
        <is>
          <t>Inscrutable</t>
        </is>
      </c>
      <c r="D391" s="7" t="inlineStr">
        <is>
          <t>A</t>
        </is>
      </c>
      <c r="E391" s="7" t="inlineStr">
        <is>
          <t>Eastern Orthodox</t>
        </is>
      </c>
      <c r="F391" s="7" t="inlineStr">
        <is>
          <t>SINGLE</t>
        </is>
      </c>
      <c r="G391" s="7" t="inlineStr">
        <is>
          <t>TO RECOVER FROM SESSION 9 LEDGER</t>
        </is>
      </c>
      <c r="H391" s="7" t="inlineStr">
        <is>
          <t>NO PUBLIC TILE</t>
        </is>
      </c>
      <c r="I391" s="7" t="n"/>
      <c r="J391" s="7" t="n"/>
      <c r="K391" s="7" t="n"/>
      <c r="L391" s="7" t="n"/>
      <c r="M391" s="7" t="n"/>
      <c r="N391" s="7" t="n"/>
      <c r="O391" s="7" t="n"/>
      <c r="P391" s="7" t="n"/>
      <c r="Q391" s="7" t="inlineStr">
        <is>
          <t>NOT-ASSESSED</t>
        </is>
      </c>
      <c r="R391" s="7" t="n"/>
      <c r="S391" s="7" t="n"/>
      <c r="T391" s="7" t="n"/>
      <c r="U391" s="7" t="n"/>
      <c r="V391" s="7" t="n"/>
      <c r="W391" s="7" t="n"/>
      <c r="X391" s="7" t="inlineStr">
        <is>
          <t>NOT LOCATED — NOT YET RECOVERED</t>
        </is>
      </c>
      <c r="Y391" s="7" t="inlineStr">
        <is>
          <t>EXCLUDED</t>
        </is>
      </c>
      <c r="Z391" s="11" t="b">
        <v>0</v>
      </c>
      <c r="AA391" s="8" t="inlineStr">
        <is>
          <t>CURRENT EVIDENCE / STATUS</t>
        </is>
      </c>
    </row>
    <row r="392" ht="15.75" customHeight="1" s="29">
      <c r="A392" s="7" t="inlineStr">
        <is>
          <t>Q-387</t>
        </is>
      </c>
      <c r="B392" s="7" t="inlineStr">
        <is>
          <t>RNR-H49</t>
        </is>
      </c>
      <c r="C392" s="7" t="inlineStr">
        <is>
          <t>Inscrutable</t>
        </is>
      </c>
      <c r="D392" s="7" t="inlineStr">
        <is>
          <t>A</t>
        </is>
      </c>
      <c r="E392" s="7" t="inlineStr">
        <is>
          <t>Lutheran</t>
        </is>
      </c>
      <c r="F392" s="7" t="inlineStr">
        <is>
          <t>SINGLE</t>
        </is>
      </c>
      <c r="G392" s="7" t="inlineStr">
        <is>
          <t>TO RECOVER FROM SESSION 9 LEDGER</t>
        </is>
      </c>
      <c r="H392" s="7" t="inlineStr">
        <is>
          <t>NO PUBLIC TILE</t>
        </is>
      </c>
      <c r="I392" s="7" t="n"/>
      <c r="J392" s="7" t="n"/>
      <c r="K392" s="7" t="n"/>
      <c r="L392" s="7" t="n"/>
      <c r="M392" s="7" t="n"/>
      <c r="N392" s="7" t="n"/>
      <c r="O392" s="7" t="n"/>
      <c r="P392" s="7" t="n"/>
      <c r="Q392" s="7" t="inlineStr">
        <is>
          <t>NOT-ASSESSED</t>
        </is>
      </c>
      <c r="R392" s="7" t="n"/>
      <c r="S392" s="7" t="n"/>
      <c r="T392" s="7" t="n"/>
      <c r="U392" s="7" t="n"/>
      <c r="V392" s="7" t="n"/>
      <c r="W392" s="7" t="n"/>
      <c r="X392" s="7" t="inlineStr">
        <is>
          <t>NOT LOCATED — NOT YET RECOVERED</t>
        </is>
      </c>
      <c r="Y392" s="7" t="inlineStr">
        <is>
          <t>EXCLUDED</t>
        </is>
      </c>
      <c r="Z392" s="11" t="b">
        <v>0</v>
      </c>
      <c r="AA392" s="8" t="inlineStr">
        <is>
          <t>CURRENT EVIDENCE / STATUS</t>
        </is>
      </c>
    </row>
    <row r="393" ht="15.75" customHeight="1" s="29">
      <c r="A393" s="7" t="inlineStr">
        <is>
          <t>Q-388</t>
        </is>
      </c>
      <c r="B393" s="7" t="inlineStr">
        <is>
          <t>RNR-H49</t>
        </is>
      </c>
      <c r="C393" s="7" t="inlineStr">
        <is>
          <t>Inscrutable</t>
        </is>
      </c>
      <c r="D393" s="7" t="inlineStr">
        <is>
          <t>A</t>
        </is>
      </c>
      <c r="E393" s="7" t="inlineStr">
        <is>
          <t>Reformed / Presbyterian</t>
        </is>
      </c>
      <c r="F393" s="7" t="inlineStr">
        <is>
          <t>SINGLE</t>
        </is>
      </c>
      <c r="G393" s="7" t="inlineStr">
        <is>
          <t>SESSION 9 SOURCE ROW RECOVERED</t>
        </is>
      </c>
      <c r="H393" s="7" t="inlineStr">
        <is>
          <t>PUBLIC-CERTIFIED</t>
        </is>
      </c>
      <c r="I393" s="7" t="inlineStr">
        <is>
          <t>RNR-H49a</t>
        </is>
      </c>
      <c r="J393" s="7" t="inlineStr">
        <is>
          <t>A</t>
        </is>
      </c>
      <c r="K393" s="7" t="inlineStr">
        <is>
          <t>Presbyterian Church (U.S.A.)</t>
        </is>
      </c>
      <c r="L393" s="7" t="inlineStr">
        <is>
          <t>Scots Confession</t>
        </is>
      </c>
      <c r="M393" s="7" t="inlineStr">
        <is>
          <t>3.01–3.25; especially chapter 1</t>
        </is>
      </c>
      <c r="N393" s="7" t="inlineStr">
        <is>
          <t>https://pcusa.org/about-pcusa/agencies-entities/life-witness/ministry-areas/constitutional-interpretation/constitution</t>
        </is>
      </c>
      <c r="O393" s="7" t="inlineStr">
        <is>
          <t>https://pcusa.org/sites/default/files/boc2016.pdf</t>
        </is>
      </c>
      <c r="P393" s="7" t="inlineStr">
        <is>
          <t>S9-IA-0312 / S8-IA-0312.</t>
        </is>
      </c>
      <c r="Q393" s="7" t="inlineStr">
        <is>
          <t>HIGH</t>
        </is>
      </c>
      <c r="R393" s="7" t="inlineStr">
        <is>
          <t>PC(USA) constitutional edition.</t>
        </is>
      </c>
      <c r="S393" s="7" t="inlineStr">
        <is>
          <t>NO</t>
        </is>
      </c>
      <c r="T393" s="7" t="inlineStr">
        <is>
          <t>A</t>
        </is>
      </c>
      <c r="U393" s="7" t="inlineStr">
        <is>
          <t>Inscrutable. | PC(USA) authority page and direct Book of Confessions PDF repaired in v2.9. | PC(USA) Text URL repaired to live Book of Confessions PDF in v2.10.</t>
        </is>
      </c>
      <c r="V393" s="7" t="inlineStr">
        <is>
          <t>CERTIFIED</t>
        </is>
      </c>
      <c r="W393" s="7" t="n"/>
      <c r="X393" s="7" t="inlineStr">
        <is>
          <t>A</t>
        </is>
      </c>
      <c r="Y393" s="7" t="inlineStr">
        <is>
          <t>A</t>
        </is>
      </c>
      <c r="Z393" s="11" t="b">
        <v>0</v>
      </c>
      <c r="AA393" s="8" t="inlineStr">
        <is>
          <t>CURRENT EVIDENCE / STATUS</t>
        </is>
      </c>
    </row>
    <row r="394" ht="15.75" customHeight="1" s="29">
      <c r="A394" s="7" t="inlineStr">
        <is>
          <t>Q-389</t>
        </is>
      </c>
      <c r="B394" s="7" t="inlineStr">
        <is>
          <t>RNR-H49</t>
        </is>
      </c>
      <c r="C394" s="7" t="inlineStr">
        <is>
          <t>Inscrutable</t>
        </is>
      </c>
      <c r="D394" s="7" t="inlineStr">
        <is>
          <t>A</t>
        </is>
      </c>
      <c r="E394" s="7" t="inlineStr">
        <is>
          <t>Anglican</t>
        </is>
      </c>
      <c r="F394" s="7" t="inlineStr">
        <is>
          <t>SINGLE</t>
        </is>
      </c>
      <c r="G394" s="7" t="inlineStr">
        <is>
          <t>TO RECOVER FROM SESSION 9 LEDGER</t>
        </is>
      </c>
      <c r="H394" s="7" t="inlineStr">
        <is>
          <t>NO PUBLIC TILE</t>
        </is>
      </c>
      <c r="I394" s="7" t="n"/>
      <c r="J394" s="7" t="n"/>
      <c r="K394" s="7" t="n"/>
      <c r="L394" s="7" t="n"/>
      <c r="M394" s="7" t="n"/>
      <c r="N394" s="7" t="n"/>
      <c r="O394" s="7" t="n"/>
      <c r="P394" s="7" t="n"/>
      <c r="Q394" s="7" t="inlineStr">
        <is>
          <t>NOT-ASSESSED</t>
        </is>
      </c>
      <c r="R394" s="7" t="n"/>
      <c r="S394" s="7" t="n"/>
      <c r="T394" s="7" t="n"/>
      <c r="U394" s="7" t="n"/>
      <c r="V394" s="7" t="n"/>
      <c r="W394" s="7" t="n"/>
      <c r="X394" s="7" t="inlineStr">
        <is>
          <t>NOT LOCATED — NOT YET RECOVERED</t>
        </is>
      </c>
      <c r="Y394" s="7" t="inlineStr">
        <is>
          <t>EXCLUDED</t>
        </is>
      </c>
      <c r="Z394" s="11" t="b">
        <v>0</v>
      </c>
      <c r="AA394" s="8" t="inlineStr">
        <is>
          <t>CURRENT EVIDENCE / STATUS</t>
        </is>
      </c>
    </row>
    <row r="395" ht="15.75" customHeight="1" s="29">
      <c r="A395" s="7" t="inlineStr">
        <is>
          <t>Q-390</t>
        </is>
      </c>
      <c r="B395" s="7" t="inlineStr">
        <is>
          <t>RNR-H49</t>
        </is>
      </c>
      <c r="C395" s="7" t="inlineStr">
        <is>
          <t>Inscrutable</t>
        </is>
      </c>
      <c r="D395" s="7" t="inlineStr">
        <is>
          <t>A</t>
        </is>
      </c>
      <c r="E395" s="7" t="inlineStr">
        <is>
          <t>Baptist</t>
        </is>
      </c>
      <c r="F395" s="7" t="inlineStr">
        <is>
          <t>SINGLE</t>
        </is>
      </c>
      <c r="G395" s="7" t="inlineStr">
        <is>
          <t>TO RECOVER FROM SESSION 9 LEDGER</t>
        </is>
      </c>
      <c r="H395" s="7" t="inlineStr">
        <is>
          <t>NO PUBLIC TILE</t>
        </is>
      </c>
      <c r="I395" s="7" t="n"/>
      <c r="J395" s="7" t="n"/>
      <c r="K395" s="7" t="n"/>
      <c r="L395" s="7" t="n"/>
      <c r="M395" s="7" t="n"/>
      <c r="N395" s="7" t="n"/>
      <c r="O395" s="7" t="n"/>
      <c r="P395" s="7" t="n"/>
      <c r="Q395" s="7" t="inlineStr">
        <is>
          <t>NOT-ASSESSED</t>
        </is>
      </c>
      <c r="R395" s="7" t="n"/>
      <c r="S395" s="7" t="n"/>
      <c r="T395" s="7" t="n"/>
      <c r="U395" s="7" t="n"/>
      <c r="V395" s="7" t="n"/>
      <c r="W395" s="7" t="n"/>
      <c r="X395" s="7" t="inlineStr">
        <is>
          <t>NOT LOCATED — NOT YET RECOVERED</t>
        </is>
      </c>
      <c r="Y395" s="7" t="inlineStr">
        <is>
          <t>EXCLUDED</t>
        </is>
      </c>
      <c r="Z395" s="11" t="b">
        <v>0</v>
      </c>
      <c r="AA395" s="8" t="inlineStr">
        <is>
          <t>CURRENT EVIDENCE / STATUS</t>
        </is>
      </c>
    </row>
    <row r="396" ht="15.75" customHeight="1" s="29">
      <c r="A396" s="7" t="inlineStr">
        <is>
          <t>Q-391</t>
        </is>
      </c>
      <c r="B396" s="7" t="inlineStr">
        <is>
          <t>RNR-H49</t>
        </is>
      </c>
      <c r="C396" s="7" t="inlineStr">
        <is>
          <t>Inscrutable</t>
        </is>
      </c>
      <c r="D396" s="7" t="inlineStr">
        <is>
          <t>A</t>
        </is>
      </c>
      <c r="E396" s="7" t="inlineStr">
        <is>
          <t>Methodist / Wesleyan</t>
        </is>
      </c>
      <c r="F396" s="7" t="inlineStr">
        <is>
          <t>SINGLE</t>
        </is>
      </c>
      <c r="G396" s="7" t="inlineStr">
        <is>
          <t>TO RECOVER FROM SESSION 9 LEDGER</t>
        </is>
      </c>
      <c r="H396" s="7" t="inlineStr">
        <is>
          <t>NO PUBLIC TILE</t>
        </is>
      </c>
      <c r="I396" s="7" t="n"/>
      <c r="J396" s="7" t="n"/>
      <c r="K396" s="7" t="n"/>
      <c r="L396" s="7" t="n"/>
      <c r="M396" s="7" t="n"/>
      <c r="N396" s="7" t="n"/>
      <c r="O396" s="7" t="n"/>
      <c r="P396" s="7" t="n"/>
      <c r="Q396" s="7" t="inlineStr">
        <is>
          <t>NOT-ASSESSED</t>
        </is>
      </c>
      <c r="R396" s="7" t="n"/>
      <c r="S396" s="7" t="n"/>
      <c r="T396" s="7" t="n"/>
      <c r="U396" s="7" t="n"/>
      <c r="V396" s="7" t="n"/>
      <c r="W396" s="7" t="n"/>
      <c r="X396" s="7" t="inlineStr">
        <is>
          <t>NOT LOCATED — NOT YET RECOVERED</t>
        </is>
      </c>
      <c r="Y396" s="7" t="inlineStr">
        <is>
          <t>EXCLUDED</t>
        </is>
      </c>
      <c r="Z396" s="11" t="b">
        <v>0</v>
      </c>
      <c r="AA396" s="8" t="inlineStr">
        <is>
          <t>CURRENT EVIDENCE / STATUS</t>
        </is>
      </c>
    </row>
    <row r="397" ht="15.75" customHeight="1" s="29">
      <c r="A397" s="7" t="inlineStr">
        <is>
          <t>Q-392</t>
        </is>
      </c>
      <c r="B397" s="7" t="inlineStr">
        <is>
          <t>RNR-H49</t>
        </is>
      </c>
      <c r="C397" s="7" t="inlineStr">
        <is>
          <t>Inscrutable</t>
        </is>
      </c>
      <c r="D397" s="7" t="inlineStr">
        <is>
          <t>A</t>
        </is>
      </c>
      <c r="E397" s="7" t="inlineStr">
        <is>
          <t>Mennonite / Anabaptist</t>
        </is>
      </c>
      <c r="F397" s="7" t="inlineStr">
        <is>
          <t>SINGLE</t>
        </is>
      </c>
      <c r="G397" s="7" t="inlineStr">
        <is>
          <t>TO RECOVER FROM SESSION 9 LEDGER</t>
        </is>
      </c>
      <c r="H397" s="7" t="inlineStr">
        <is>
          <t>NO PUBLIC TILE</t>
        </is>
      </c>
      <c r="I397" s="7" t="n"/>
      <c r="J397" s="7" t="n"/>
      <c r="K397" s="7" t="n"/>
      <c r="L397" s="7" t="n"/>
      <c r="M397" s="7" t="n"/>
      <c r="N397" s="7" t="n"/>
      <c r="O397" s="7" t="n"/>
      <c r="P397" s="7" t="n"/>
      <c r="Q397" s="7" t="inlineStr">
        <is>
          <t>NOT-ASSESSED</t>
        </is>
      </c>
      <c r="R397" s="7" t="n"/>
      <c r="S397" s="7" t="n"/>
      <c r="T397" s="7" t="n"/>
      <c r="U397" s="7" t="n"/>
      <c r="V397" s="7" t="n"/>
      <c r="W397" s="7" t="n"/>
      <c r="X397" s="7" t="inlineStr">
        <is>
          <t>NOT LOCATED — NOT YET RECOVERED</t>
        </is>
      </c>
      <c r="Y397" s="7" t="inlineStr">
        <is>
          <t>EXCLUDED</t>
        </is>
      </c>
      <c r="Z397" s="11" t="b">
        <v>0</v>
      </c>
      <c r="AA397" s="8" t="inlineStr">
        <is>
          <t>CURRENT EVIDENCE / STATUS</t>
        </is>
      </c>
    </row>
    <row r="398" ht="15.75" customHeight="1" s="29">
      <c r="A398" s="7" t="inlineStr">
        <is>
          <t>Q-393</t>
        </is>
      </c>
      <c r="B398" s="7" t="inlineStr">
        <is>
          <t>RNR-H50</t>
        </is>
      </c>
      <c r="C398" s="7" t="inlineStr">
        <is>
          <t>Not circumscribed / not contained</t>
        </is>
      </c>
      <c r="D398" s="7" t="inlineStr">
        <is>
          <t>Q</t>
        </is>
      </c>
      <c r="E398" s="7" t="inlineStr">
        <is>
          <t>Roman Catholic</t>
        </is>
      </c>
      <c r="F398" s="7" t="inlineStr">
        <is>
          <t>HISTORICAL ONLY</t>
        </is>
      </c>
      <c r="G398" s="7" t="inlineStr">
        <is>
          <t>OUT OF SCOPE — HISTORICAL ONLY</t>
        </is>
      </c>
      <c r="H398" s="7" t="inlineStr">
        <is>
          <t>EXCLUDED FROM CURRENT BRANCH MAP</t>
        </is>
      </c>
      <c r="I398" s="7" t="n"/>
      <c r="J398" s="7" t="n"/>
      <c r="K398" s="7" t="n"/>
      <c r="L398" s="7" t="n"/>
      <c r="M398" s="7" t="n"/>
      <c r="N398" s="7" t="n"/>
      <c r="O398" s="7" t="n"/>
      <c r="P398" s="7" t="n"/>
      <c r="Q398" s="7" t="inlineStr">
        <is>
          <t>NOT-ASSESSED</t>
        </is>
      </c>
      <c r="R398" s="7" t="n"/>
      <c r="S398" s="7" t="inlineStr">
        <is>
          <t>NOT APPLICABLE</t>
        </is>
      </c>
      <c r="T398" s="7" t="n"/>
      <c r="U398" s="7" t="inlineStr">
        <is>
          <t>H50 historical-only under Session 7/8 source controls.</t>
        </is>
      </c>
      <c r="V398" s="7" t="n"/>
      <c r="W398" s="7" t="n"/>
      <c r="X398" s="7" t="inlineStr">
        <is>
          <t>OUT OF SCOPE</t>
        </is>
      </c>
      <c r="Y398" s="7" t="inlineStr">
        <is>
          <t>EXCLUDED</t>
        </is>
      </c>
      <c r="Z398" s="11" t="b">
        <v>0</v>
      </c>
      <c r="AA398" s="8" t="inlineStr">
        <is>
          <t>CURRENT EVIDENCE / STATUS</t>
        </is>
      </c>
    </row>
    <row r="399" ht="15.75" customHeight="1" s="29">
      <c r="A399" s="7" t="inlineStr">
        <is>
          <t>Q-394</t>
        </is>
      </c>
      <c r="B399" s="7" t="inlineStr">
        <is>
          <t>RNR-H50</t>
        </is>
      </c>
      <c r="C399" s="7" t="inlineStr">
        <is>
          <t>Not circumscribed / not contained</t>
        </is>
      </c>
      <c r="D399" s="7" t="inlineStr">
        <is>
          <t>Q</t>
        </is>
      </c>
      <c r="E399" s="7" t="inlineStr">
        <is>
          <t>Eastern Orthodox</t>
        </is>
      </c>
      <c r="F399" s="7" t="inlineStr">
        <is>
          <t>HISTORICAL ONLY</t>
        </is>
      </c>
      <c r="G399" s="7" t="inlineStr">
        <is>
          <t>OUT OF SCOPE — HISTORICAL ONLY</t>
        </is>
      </c>
      <c r="H399" s="7" t="inlineStr">
        <is>
          <t>EXCLUDED FROM CURRENT BRANCH MAP</t>
        </is>
      </c>
      <c r="I399" s="7" t="n"/>
      <c r="J399" s="7" t="n"/>
      <c r="K399" s="7" t="n"/>
      <c r="L399" s="7" t="n"/>
      <c r="M399" s="7" t="n"/>
      <c r="N399" s="7" t="n"/>
      <c r="O399" s="7" t="n"/>
      <c r="P399" s="7" t="n"/>
      <c r="Q399" s="7" t="inlineStr">
        <is>
          <t>NOT-ASSESSED</t>
        </is>
      </c>
      <c r="R399" s="7" t="n"/>
      <c r="S399" s="7" t="inlineStr">
        <is>
          <t>NOT APPLICABLE</t>
        </is>
      </c>
      <c r="T399" s="7" t="n"/>
      <c r="U399" s="7" t="inlineStr">
        <is>
          <t>H50 historical-only under Session 7/8 source controls.</t>
        </is>
      </c>
      <c r="V399" s="7" t="n"/>
      <c r="W399" s="7" t="n"/>
      <c r="X399" s="7" t="inlineStr">
        <is>
          <t>OUT OF SCOPE</t>
        </is>
      </c>
      <c r="Y399" s="7" t="inlineStr">
        <is>
          <t>EXCLUDED</t>
        </is>
      </c>
      <c r="Z399" s="11" t="b">
        <v>0</v>
      </c>
      <c r="AA399" s="8" t="inlineStr">
        <is>
          <t>CURRENT EVIDENCE / STATUS</t>
        </is>
      </c>
    </row>
    <row r="400" ht="15.75" customHeight="1" s="29">
      <c r="A400" s="7" t="inlineStr">
        <is>
          <t>Q-395</t>
        </is>
      </c>
      <c r="B400" s="7" t="inlineStr">
        <is>
          <t>RNR-H50</t>
        </is>
      </c>
      <c r="C400" s="7" t="inlineStr">
        <is>
          <t>Not circumscribed / not contained</t>
        </is>
      </c>
      <c r="D400" s="7" t="inlineStr">
        <is>
          <t>Q</t>
        </is>
      </c>
      <c r="E400" s="7" t="inlineStr">
        <is>
          <t>Lutheran</t>
        </is>
      </c>
      <c r="F400" s="7" t="inlineStr">
        <is>
          <t>HISTORICAL ONLY</t>
        </is>
      </c>
      <c r="G400" s="7" t="inlineStr">
        <is>
          <t>OUT OF SCOPE — HISTORICAL ONLY</t>
        </is>
      </c>
      <c r="H400" s="7" t="inlineStr">
        <is>
          <t>EXCLUDED FROM CURRENT BRANCH MAP</t>
        </is>
      </c>
      <c r="I400" s="7" t="n"/>
      <c r="J400" s="7" t="n"/>
      <c r="K400" s="7" t="n"/>
      <c r="L400" s="7" t="n"/>
      <c r="M400" s="7" t="n"/>
      <c r="N400" s="7" t="n"/>
      <c r="O400" s="7" t="n"/>
      <c r="P400" s="7" t="n"/>
      <c r="Q400" s="7" t="inlineStr">
        <is>
          <t>NOT-ASSESSED</t>
        </is>
      </c>
      <c r="R400" s="7" t="n"/>
      <c r="S400" s="7" t="inlineStr">
        <is>
          <t>NOT APPLICABLE</t>
        </is>
      </c>
      <c r="T400" s="7" t="n"/>
      <c r="U400" s="7" t="inlineStr">
        <is>
          <t>H50 historical-only under Session 7/8 source controls.</t>
        </is>
      </c>
      <c r="V400" s="7" t="n"/>
      <c r="W400" s="7" t="n"/>
      <c r="X400" s="7" t="inlineStr">
        <is>
          <t>OUT OF SCOPE</t>
        </is>
      </c>
      <c r="Y400" s="7" t="inlineStr">
        <is>
          <t>EXCLUDED</t>
        </is>
      </c>
      <c r="Z400" s="11" t="b">
        <v>0</v>
      </c>
      <c r="AA400" s="8" t="inlineStr">
        <is>
          <t>CURRENT EVIDENCE / STATUS</t>
        </is>
      </c>
    </row>
    <row r="401" ht="15.75" customHeight="1" s="29">
      <c r="A401" s="7" t="inlineStr">
        <is>
          <t>Q-396</t>
        </is>
      </c>
      <c r="B401" s="7" t="inlineStr">
        <is>
          <t>RNR-H50</t>
        </is>
      </c>
      <c r="C401" s="7" t="inlineStr">
        <is>
          <t>Not circumscribed / not contained</t>
        </is>
      </c>
      <c r="D401" s="7" t="inlineStr">
        <is>
          <t>Q</t>
        </is>
      </c>
      <c r="E401" s="7" t="inlineStr">
        <is>
          <t>Reformed / Presbyterian</t>
        </is>
      </c>
      <c r="F401" s="7" t="inlineStr">
        <is>
          <t>HISTORICAL ONLY</t>
        </is>
      </c>
      <c r="G401" s="7" t="inlineStr">
        <is>
          <t>OUT OF SCOPE — HISTORICAL ONLY</t>
        </is>
      </c>
      <c r="H401" s="7" t="inlineStr">
        <is>
          <t>EXCLUDED FROM CURRENT BRANCH MAP</t>
        </is>
      </c>
      <c r="I401" s="7" t="n"/>
      <c r="J401" s="7" t="n"/>
      <c r="K401" s="7" t="n"/>
      <c r="L401" s="7" t="n"/>
      <c r="M401" s="7" t="n"/>
      <c r="N401" s="7" t="n"/>
      <c r="O401" s="7" t="n"/>
      <c r="P401" s="7" t="n"/>
      <c r="Q401" s="7" t="inlineStr">
        <is>
          <t>NOT-ASSESSED</t>
        </is>
      </c>
      <c r="R401" s="7" t="n"/>
      <c r="S401" s="7" t="inlineStr">
        <is>
          <t>NOT APPLICABLE</t>
        </is>
      </c>
      <c r="T401" s="7" t="n"/>
      <c r="U401" s="7" t="inlineStr">
        <is>
          <t>H50 historical-only under Session 7/8 source controls.</t>
        </is>
      </c>
      <c r="V401" s="7" t="n"/>
      <c r="W401" s="7" t="n"/>
      <c r="X401" s="7" t="inlineStr">
        <is>
          <t>OUT OF SCOPE</t>
        </is>
      </c>
      <c r="Y401" s="7" t="inlineStr">
        <is>
          <t>EXCLUDED</t>
        </is>
      </c>
      <c r="Z401" s="11" t="b">
        <v>0</v>
      </c>
      <c r="AA401" s="8" t="inlineStr">
        <is>
          <t>CURRENT EVIDENCE / STATUS</t>
        </is>
      </c>
    </row>
    <row r="402" ht="15.75" customHeight="1" s="29">
      <c r="A402" s="7" t="inlineStr">
        <is>
          <t>Q-397</t>
        </is>
      </c>
      <c r="B402" s="7" t="inlineStr">
        <is>
          <t>RNR-H50</t>
        </is>
      </c>
      <c r="C402" s="7" t="inlineStr">
        <is>
          <t>Not circumscribed / not contained</t>
        </is>
      </c>
      <c r="D402" s="7" t="inlineStr">
        <is>
          <t>Q</t>
        </is>
      </c>
      <c r="E402" s="7" t="inlineStr">
        <is>
          <t>Anglican</t>
        </is>
      </c>
      <c r="F402" s="7" t="inlineStr">
        <is>
          <t>HISTORICAL ONLY</t>
        </is>
      </c>
      <c r="G402" s="7" t="inlineStr">
        <is>
          <t>OUT OF SCOPE — HISTORICAL ONLY</t>
        </is>
      </c>
      <c r="H402" s="7" t="inlineStr">
        <is>
          <t>EXCLUDED FROM CURRENT BRANCH MAP</t>
        </is>
      </c>
      <c r="I402" s="7" t="n"/>
      <c r="J402" s="7" t="n"/>
      <c r="K402" s="7" t="n"/>
      <c r="L402" s="7" t="n"/>
      <c r="M402" s="7" t="n"/>
      <c r="N402" s="7" t="n"/>
      <c r="O402" s="7" t="n"/>
      <c r="P402" s="7" t="n"/>
      <c r="Q402" s="7" t="inlineStr">
        <is>
          <t>NOT-ASSESSED</t>
        </is>
      </c>
      <c r="R402" s="7" t="n"/>
      <c r="S402" s="7" t="inlineStr">
        <is>
          <t>NOT APPLICABLE</t>
        </is>
      </c>
      <c r="T402" s="7" t="n"/>
      <c r="U402" s="7" t="inlineStr">
        <is>
          <t>H50 historical-only under Session 7/8 source controls.</t>
        </is>
      </c>
      <c r="V402" s="7" t="n"/>
      <c r="W402" s="7" t="n"/>
      <c r="X402" s="7" t="inlineStr">
        <is>
          <t>OUT OF SCOPE</t>
        </is>
      </c>
      <c r="Y402" s="7" t="inlineStr">
        <is>
          <t>EXCLUDED</t>
        </is>
      </c>
      <c r="Z402" s="11" t="b">
        <v>0</v>
      </c>
      <c r="AA402" s="8" t="inlineStr">
        <is>
          <t>CURRENT EVIDENCE / STATUS</t>
        </is>
      </c>
    </row>
    <row r="403" ht="15.75" customHeight="1" s="29">
      <c r="A403" s="7" t="inlineStr">
        <is>
          <t>Q-398</t>
        </is>
      </c>
      <c r="B403" s="7" t="inlineStr">
        <is>
          <t>RNR-H50</t>
        </is>
      </c>
      <c r="C403" s="7" t="inlineStr">
        <is>
          <t>Not circumscribed / not contained</t>
        </is>
      </c>
      <c r="D403" s="7" t="inlineStr">
        <is>
          <t>Q</t>
        </is>
      </c>
      <c r="E403" s="7" t="inlineStr">
        <is>
          <t>Baptist</t>
        </is>
      </c>
      <c r="F403" s="7" t="inlineStr">
        <is>
          <t>HISTORICAL ONLY</t>
        </is>
      </c>
      <c r="G403" s="7" t="inlineStr">
        <is>
          <t>OUT OF SCOPE — HISTORICAL ONLY</t>
        </is>
      </c>
      <c r="H403" s="7" t="inlineStr">
        <is>
          <t>EXCLUDED FROM CURRENT BRANCH MAP</t>
        </is>
      </c>
      <c r="I403" s="7" t="n"/>
      <c r="J403" s="7" t="n"/>
      <c r="K403" s="7" t="n"/>
      <c r="L403" s="7" t="n"/>
      <c r="M403" s="7" t="n"/>
      <c r="N403" s="7" t="n"/>
      <c r="O403" s="7" t="n"/>
      <c r="P403" s="7" t="n"/>
      <c r="Q403" s="7" t="inlineStr">
        <is>
          <t>NOT-ASSESSED</t>
        </is>
      </c>
      <c r="R403" s="7" t="n"/>
      <c r="S403" s="7" t="inlineStr">
        <is>
          <t>NOT APPLICABLE</t>
        </is>
      </c>
      <c r="T403" s="7" t="n"/>
      <c r="U403" s="7" t="inlineStr">
        <is>
          <t>H50 historical-only under Session 7/8 source controls.</t>
        </is>
      </c>
      <c r="V403" s="7" t="n"/>
      <c r="W403" s="7" t="n"/>
      <c r="X403" s="7" t="inlineStr">
        <is>
          <t>OUT OF SCOPE</t>
        </is>
      </c>
      <c r="Y403" s="7" t="inlineStr">
        <is>
          <t>EXCLUDED</t>
        </is>
      </c>
      <c r="Z403" s="11" t="b">
        <v>0</v>
      </c>
      <c r="AA403" s="8" t="inlineStr">
        <is>
          <t>CURRENT EVIDENCE / STATUS</t>
        </is>
      </c>
    </row>
    <row r="404" ht="15.75" customHeight="1" s="29">
      <c r="A404" s="7" t="inlineStr">
        <is>
          <t>Q-399</t>
        </is>
      </c>
      <c r="B404" s="7" t="inlineStr">
        <is>
          <t>RNR-H50</t>
        </is>
      </c>
      <c r="C404" s="7" t="inlineStr">
        <is>
          <t>Not circumscribed / not contained</t>
        </is>
      </c>
      <c r="D404" s="7" t="inlineStr">
        <is>
          <t>Q</t>
        </is>
      </c>
      <c r="E404" s="7" t="inlineStr">
        <is>
          <t>Methodist / Wesleyan</t>
        </is>
      </c>
      <c r="F404" s="7" t="inlineStr">
        <is>
          <t>HISTORICAL ONLY</t>
        </is>
      </c>
      <c r="G404" s="7" t="inlineStr">
        <is>
          <t>OUT OF SCOPE — HISTORICAL ONLY</t>
        </is>
      </c>
      <c r="H404" s="7" t="inlineStr">
        <is>
          <t>EXCLUDED FROM CURRENT BRANCH MAP</t>
        </is>
      </c>
      <c r="I404" s="7" t="n"/>
      <c r="J404" s="7" t="n"/>
      <c r="K404" s="7" t="n"/>
      <c r="L404" s="7" t="n"/>
      <c r="M404" s="7" t="n"/>
      <c r="N404" s="7" t="n"/>
      <c r="O404" s="7" t="n"/>
      <c r="P404" s="7" t="n"/>
      <c r="Q404" s="7" t="inlineStr">
        <is>
          <t>NOT-ASSESSED</t>
        </is>
      </c>
      <c r="R404" s="7" t="n"/>
      <c r="S404" s="7" t="inlineStr">
        <is>
          <t>NOT APPLICABLE</t>
        </is>
      </c>
      <c r="T404" s="7" t="n"/>
      <c r="U404" s="7" t="inlineStr">
        <is>
          <t>H50 historical-only under Session 7/8 source controls.</t>
        </is>
      </c>
      <c r="V404" s="7" t="n"/>
      <c r="W404" s="7" t="n"/>
      <c r="X404" s="7" t="inlineStr">
        <is>
          <t>OUT OF SCOPE</t>
        </is>
      </c>
      <c r="Y404" s="7" t="inlineStr">
        <is>
          <t>EXCLUDED</t>
        </is>
      </c>
      <c r="Z404" s="11" t="b">
        <v>0</v>
      </c>
      <c r="AA404" s="8" t="inlineStr">
        <is>
          <t>CURRENT EVIDENCE / STATUS</t>
        </is>
      </c>
    </row>
    <row r="405" ht="15.75" customHeight="1" s="29">
      <c r="A405" s="7" t="inlineStr">
        <is>
          <t>Q-400</t>
        </is>
      </c>
      <c r="B405" s="7" t="inlineStr">
        <is>
          <t>RNR-H50</t>
        </is>
      </c>
      <c r="C405" s="7" t="inlineStr">
        <is>
          <t>Not circumscribed / not contained</t>
        </is>
      </c>
      <c r="D405" s="7" t="inlineStr">
        <is>
          <t>Q</t>
        </is>
      </c>
      <c r="E405" s="7" t="inlineStr">
        <is>
          <t>Mennonite / Anabaptist</t>
        </is>
      </c>
      <c r="F405" s="7" t="inlineStr">
        <is>
          <t>HISTORICAL ONLY</t>
        </is>
      </c>
      <c r="G405" s="7" t="inlineStr">
        <is>
          <t>OUT OF SCOPE — HISTORICAL ONLY</t>
        </is>
      </c>
      <c r="H405" s="7" t="inlineStr">
        <is>
          <t>EXCLUDED FROM CURRENT BRANCH MAP</t>
        </is>
      </c>
      <c r="I405" s="7" t="n"/>
      <c r="J405" s="7" t="n"/>
      <c r="K405" s="7" t="n"/>
      <c r="L405" s="7" t="n"/>
      <c r="M405" s="7" t="n"/>
      <c r="N405" s="7" t="n"/>
      <c r="O405" s="7" t="n"/>
      <c r="P405" s="7" t="n"/>
      <c r="Q405" s="7" t="inlineStr">
        <is>
          <t>NOT-ASSESSED</t>
        </is>
      </c>
      <c r="R405" s="7" t="n"/>
      <c r="S405" s="7" t="inlineStr">
        <is>
          <t>NOT APPLICABLE</t>
        </is>
      </c>
      <c r="T405" s="7" t="n"/>
      <c r="U405" s="7" t="inlineStr">
        <is>
          <t>H50 historical-only under Session 7/8 source controls.</t>
        </is>
      </c>
      <c r="V405" s="7" t="n"/>
      <c r="W405" s="7" t="n"/>
      <c r="X405" s="7" t="inlineStr">
        <is>
          <t>OUT OF SCOPE</t>
        </is>
      </c>
      <c r="Y405" s="7" t="inlineStr">
        <is>
          <t>EXCLUDED</t>
        </is>
      </c>
      <c r="Z405" s="11" t="b">
        <v>0</v>
      </c>
      <c r="AA405" s="8" t="inlineStr">
        <is>
          <t>CURRENT EVIDENCE / STATUS</t>
        </is>
      </c>
    </row>
    <row r="406" ht="15.75" customHeight="1" s="29">
      <c r="A406" s="7" t="inlineStr">
        <is>
          <t>Q-401</t>
        </is>
      </c>
      <c r="B406" s="7" t="inlineStr">
        <is>
          <t>RNR-H51</t>
        </is>
      </c>
      <c r="C406" s="7" t="inlineStr">
        <is>
          <t>No adequate likeness or comparison</t>
        </is>
      </c>
      <c r="D406" s="7" t="inlineStr">
        <is>
          <t>Q</t>
        </is>
      </c>
      <c r="E406" s="7" t="inlineStr">
        <is>
          <t>Roman Catholic</t>
        </is>
      </c>
      <c r="F406" s="7" t="inlineStr">
        <is>
          <t>EPISTEMIC + GUARD</t>
        </is>
      </c>
      <c r="G406" s="7" t="inlineStr">
        <is>
          <t>TO RECOVER FROM SESSION 9 LEDGER</t>
        </is>
      </c>
      <c r="H406" s="7" t="inlineStr">
        <is>
          <t>NO PUBLIC TILE</t>
        </is>
      </c>
      <c r="I406" s="7" t="n"/>
      <c r="J406" s="7" t="n"/>
      <c r="K406" s="7" t="n"/>
      <c r="L406" s="7" t="n"/>
      <c r="M406" s="7" t="n"/>
      <c r="N406" s="7" t="n"/>
      <c r="O406" s="7" t="n"/>
      <c r="P406" s="7" t="n"/>
      <c r="Q406" s="7" t="inlineStr">
        <is>
          <t>NOT-ASSESSED</t>
        </is>
      </c>
      <c r="R406" s="7" t="n"/>
      <c r="S406" s="7" t="n"/>
      <c r="T406" s="7" t="n"/>
      <c r="U406" s="7" t="n"/>
      <c r="V406" s="7" t="n"/>
      <c r="W406" s="7" t="n"/>
      <c r="X406" s="7" t="inlineStr">
        <is>
          <t>NOT LOCATED — NOT YET RECOVERED</t>
        </is>
      </c>
      <c r="Y406" s="7" t="inlineStr">
        <is>
          <t>EXCLUDED</t>
        </is>
      </c>
      <c r="Z406" s="11" t="b">
        <v>0</v>
      </c>
      <c r="AA406" s="8" t="inlineStr">
        <is>
          <t>CURRENT EVIDENCE / STATUS</t>
        </is>
      </c>
    </row>
    <row r="407" ht="15.75" customHeight="1" s="29">
      <c r="A407" s="7" t="inlineStr">
        <is>
          <t>Q-402</t>
        </is>
      </c>
      <c r="B407" s="7" t="inlineStr">
        <is>
          <t>RNR-H51</t>
        </is>
      </c>
      <c r="C407" s="7" t="inlineStr">
        <is>
          <t>No adequate likeness or comparison</t>
        </is>
      </c>
      <c r="D407" s="7" t="inlineStr">
        <is>
          <t>Q</t>
        </is>
      </c>
      <c r="E407" s="7" t="inlineStr">
        <is>
          <t>Eastern Orthodox</t>
        </is>
      </c>
      <c r="F407" s="7" t="inlineStr">
        <is>
          <t>EPISTEMIC + GUARD</t>
        </is>
      </c>
      <c r="G407" s="7" t="inlineStr">
        <is>
          <t>TO RECOVER FROM SESSION 9 LEDGER</t>
        </is>
      </c>
      <c r="H407" s="7" t="inlineStr">
        <is>
          <t>NO PUBLIC TILE</t>
        </is>
      </c>
      <c r="I407" s="7" t="n"/>
      <c r="J407" s="7" t="n"/>
      <c r="K407" s="7" t="n"/>
      <c r="L407" s="7" t="n"/>
      <c r="M407" s="7" t="n"/>
      <c r="N407" s="7" t="n"/>
      <c r="O407" s="7" t="n"/>
      <c r="P407" s="7" t="n"/>
      <c r="Q407" s="7" t="inlineStr">
        <is>
          <t>NOT-ASSESSED</t>
        </is>
      </c>
      <c r="R407" s="7" t="n"/>
      <c r="S407" s="7" t="n"/>
      <c r="T407" s="7" t="n"/>
      <c r="U407" s="7" t="n"/>
      <c r="V407" s="7" t="n"/>
      <c r="W407" s="7" t="n"/>
      <c r="X407" s="7" t="inlineStr">
        <is>
          <t>NOT LOCATED — NOT YET RECOVERED</t>
        </is>
      </c>
      <c r="Y407" s="7" t="inlineStr">
        <is>
          <t>EXCLUDED</t>
        </is>
      </c>
      <c r="Z407" s="11" t="b">
        <v>0</v>
      </c>
      <c r="AA407" s="8" t="inlineStr">
        <is>
          <t>CURRENT EVIDENCE / STATUS</t>
        </is>
      </c>
    </row>
    <row r="408" ht="15.75" customHeight="1" s="29">
      <c r="A408" s="7" t="inlineStr">
        <is>
          <t>Q-403</t>
        </is>
      </c>
      <c r="B408" s="7" t="inlineStr">
        <is>
          <t>RNR-H51</t>
        </is>
      </c>
      <c r="C408" s="7" t="inlineStr">
        <is>
          <t>No adequate likeness or comparison</t>
        </is>
      </c>
      <c r="D408" s="7" t="inlineStr">
        <is>
          <t>Q</t>
        </is>
      </c>
      <c r="E408" s="7" t="inlineStr">
        <is>
          <t>Lutheran</t>
        </is>
      </c>
      <c r="F408" s="7" t="inlineStr">
        <is>
          <t>EPISTEMIC + GUARD</t>
        </is>
      </c>
      <c r="G408" s="7" t="inlineStr">
        <is>
          <t>TO RECOVER FROM SESSION 9 LEDGER</t>
        </is>
      </c>
      <c r="H408" s="7" t="inlineStr">
        <is>
          <t>NO PUBLIC TILE</t>
        </is>
      </c>
      <c r="I408" s="7" t="n"/>
      <c r="J408" s="7" t="n"/>
      <c r="K408" s="7" t="n"/>
      <c r="L408" s="7" t="n"/>
      <c r="M408" s="7" t="n"/>
      <c r="N408" s="7" t="n"/>
      <c r="O408" s="7" t="n"/>
      <c r="P408" s="7" t="n"/>
      <c r="Q408" s="7" t="inlineStr">
        <is>
          <t>NOT-ASSESSED</t>
        </is>
      </c>
      <c r="R408" s="7" t="n"/>
      <c r="S408" s="7" t="n"/>
      <c r="T408" s="7" t="n"/>
      <c r="U408" s="7" t="n"/>
      <c r="V408" s="7" t="n"/>
      <c r="W408" s="7" t="n"/>
      <c r="X408" s="7" t="inlineStr">
        <is>
          <t>NOT LOCATED — NOT YET RECOVERED</t>
        </is>
      </c>
      <c r="Y408" s="7" t="inlineStr">
        <is>
          <t>EXCLUDED</t>
        </is>
      </c>
      <c r="Z408" s="11" t="b">
        <v>0</v>
      </c>
      <c r="AA408" s="8" t="inlineStr">
        <is>
          <t>CURRENT EVIDENCE / STATUS</t>
        </is>
      </c>
    </row>
    <row r="409" ht="15.75" customHeight="1" s="29">
      <c r="A409" s="7" t="inlineStr">
        <is>
          <t>Q-404</t>
        </is>
      </c>
      <c r="B409" s="7" t="inlineStr">
        <is>
          <t>RNR-H51</t>
        </is>
      </c>
      <c r="C409" s="7" t="inlineStr">
        <is>
          <t>No adequate likeness or comparison</t>
        </is>
      </c>
      <c r="D409" s="7" t="inlineStr">
        <is>
          <t>Q</t>
        </is>
      </c>
      <c r="E409" s="7" t="inlineStr">
        <is>
          <t>Reformed / Presbyterian</t>
        </is>
      </c>
      <c r="F409" s="7" t="inlineStr">
        <is>
          <t>EPISTEMIC + GUARD</t>
        </is>
      </c>
      <c r="G409" s="7" t="inlineStr">
        <is>
          <t>TO RECOVER FROM SESSION 9 LEDGER</t>
        </is>
      </c>
      <c r="H409" s="7" t="inlineStr">
        <is>
          <t>NO PUBLIC TILE</t>
        </is>
      </c>
      <c r="I409" s="7" t="n"/>
      <c r="J409" s="7" t="n"/>
      <c r="K409" s="7" t="n"/>
      <c r="L409" s="7" t="n"/>
      <c r="M409" s="7" t="n"/>
      <c r="N409" s="7" t="n"/>
      <c r="O409" s="7" t="n"/>
      <c r="P409" s="7" t="n"/>
      <c r="Q409" s="7" t="inlineStr">
        <is>
          <t>NOT-ASSESSED</t>
        </is>
      </c>
      <c r="R409" s="7" t="n"/>
      <c r="S409" s="7" t="n"/>
      <c r="T409" s="7" t="n"/>
      <c r="U409" s="7" t="n"/>
      <c r="V409" s="7" t="n"/>
      <c r="W409" s="7" t="n"/>
      <c r="X409" s="7" t="inlineStr">
        <is>
          <t>NOT LOCATED — NOT YET RECOVERED</t>
        </is>
      </c>
      <c r="Y409" s="7" t="inlineStr">
        <is>
          <t>EXCLUDED</t>
        </is>
      </c>
      <c r="Z409" s="11" t="b">
        <v>0</v>
      </c>
      <c r="AA409" s="8" t="inlineStr">
        <is>
          <t>CURRENT EVIDENCE / STATUS</t>
        </is>
      </c>
    </row>
    <row r="410" ht="15.75" customHeight="1" s="29">
      <c r="A410" s="7" t="inlineStr">
        <is>
          <t>Q-405</t>
        </is>
      </c>
      <c r="B410" s="7" t="inlineStr">
        <is>
          <t>RNR-H51</t>
        </is>
      </c>
      <c r="C410" s="7" t="inlineStr">
        <is>
          <t>No adequate likeness or comparison</t>
        </is>
      </c>
      <c r="D410" s="7" t="inlineStr">
        <is>
          <t>Q</t>
        </is>
      </c>
      <c r="E410" s="7" t="inlineStr">
        <is>
          <t>Anglican</t>
        </is>
      </c>
      <c r="F410" s="7" t="inlineStr">
        <is>
          <t>EPISTEMIC + GUARD</t>
        </is>
      </c>
      <c r="G410" s="7" t="inlineStr">
        <is>
          <t>TO RECOVER FROM SESSION 9 LEDGER</t>
        </is>
      </c>
      <c r="H410" s="7" t="inlineStr">
        <is>
          <t>NO PUBLIC TILE</t>
        </is>
      </c>
      <c r="I410" s="7" t="n"/>
      <c r="J410" s="7" t="n"/>
      <c r="K410" s="7" t="n"/>
      <c r="L410" s="7" t="n"/>
      <c r="M410" s="7" t="n"/>
      <c r="N410" s="7" t="n"/>
      <c r="O410" s="7" t="n"/>
      <c r="P410" s="7" t="n"/>
      <c r="Q410" s="7" t="inlineStr">
        <is>
          <t>NOT-ASSESSED</t>
        </is>
      </c>
      <c r="R410" s="7" t="n"/>
      <c r="S410" s="7" t="n"/>
      <c r="T410" s="7" t="n"/>
      <c r="U410" s="7" t="n"/>
      <c r="V410" s="7" t="n"/>
      <c r="W410" s="7" t="n"/>
      <c r="X410" s="7" t="inlineStr">
        <is>
          <t>NOT LOCATED — NOT YET RECOVERED</t>
        </is>
      </c>
      <c r="Y410" s="7" t="inlineStr">
        <is>
          <t>EXCLUDED</t>
        </is>
      </c>
      <c r="Z410" s="11" t="b">
        <v>0</v>
      </c>
      <c r="AA410" s="8" t="inlineStr">
        <is>
          <t>CURRENT EVIDENCE / STATUS</t>
        </is>
      </c>
    </row>
    <row r="411" ht="15.75" customHeight="1" s="29">
      <c r="A411" s="7" t="inlineStr">
        <is>
          <t>Q-406</t>
        </is>
      </c>
      <c r="B411" s="7" t="inlineStr">
        <is>
          <t>RNR-H51</t>
        </is>
      </c>
      <c r="C411" s="7" t="inlineStr">
        <is>
          <t>No adequate likeness or comparison</t>
        </is>
      </c>
      <c r="D411" s="7" t="inlineStr">
        <is>
          <t>Q</t>
        </is>
      </c>
      <c r="E411" s="7" t="inlineStr">
        <is>
          <t>Baptist</t>
        </is>
      </c>
      <c r="F411" s="7" t="inlineStr">
        <is>
          <t>EPISTEMIC + GUARD</t>
        </is>
      </c>
      <c r="G411" s="7" t="inlineStr">
        <is>
          <t>TO RECOVER FROM SESSION 9 LEDGER</t>
        </is>
      </c>
      <c r="H411" s="7" t="inlineStr">
        <is>
          <t>NO PUBLIC TILE</t>
        </is>
      </c>
      <c r="I411" s="7" t="n"/>
      <c r="J411" s="7" t="n"/>
      <c r="K411" s="7" t="n"/>
      <c r="L411" s="7" t="n"/>
      <c r="M411" s="7" t="n"/>
      <c r="N411" s="7" t="n"/>
      <c r="O411" s="7" t="n"/>
      <c r="P411" s="7" t="n"/>
      <c r="Q411" s="7" t="inlineStr">
        <is>
          <t>NOT-ASSESSED</t>
        </is>
      </c>
      <c r="R411" s="7" t="n"/>
      <c r="S411" s="7" t="n"/>
      <c r="T411" s="7" t="n"/>
      <c r="U411" s="7" t="n"/>
      <c r="V411" s="7" t="n"/>
      <c r="W411" s="7" t="n"/>
      <c r="X411" s="7" t="inlineStr">
        <is>
          <t>NOT LOCATED — NOT YET RECOVERED</t>
        </is>
      </c>
      <c r="Y411" s="7" t="inlineStr">
        <is>
          <t>EXCLUDED</t>
        </is>
      </c>
      <c r="Z411" s="11" t="b">
        <v>0</v>
      </c>
      <c r="AA411" s="8" t="inlineStr">
        <is>
          <t>CURRENT EVIDENCE / STATUS</t>
        </is>
      </c>
    </row>
    <row r="412" ht="15.75" customHeight="1" s="29">
      <c r="A412" s="7" t="inlineStr">
        <is>
          <t>Q-407</t>
        </is>
      </c>
      <c r="B412" s="7" t="inlineStr">
        <is>
          <t>RNR-H51</t>
        </is>
      </c>
      <c r="C412" s="7" t="inlineStr">
        <is>
          <t>No adequate likeness or comparison</t>
        </is>
      </c>
      <c r="D412" s="7" t="inlineStr">
        <is>
          <t>Q</t>
        </is>
      </c>
      <c r="E412" s="7" t="inlineStr">
        <is>
          <t>Methodist / Wesleyan</t>
        </is>
      </c>
      <c r="F412" s="7" t="inlineStr">
        <is>
          <t>EPISTEMIC + GUARD</t>
        </is>
      </c>
      <c r="G412" s="7" t="inlineStr">
        <is>
          <t>TO RECOVER FROM SESSION 9 LEDGER</t>
        </is>
      </c>
      <c r="H412" s="7" t="inlineStr">
        <is>
          <t>NO PUBLIC TILE</t>
        </is>
      </c>
      <c r="I412" s="7" t="n"/>
      <c r="J412" s="7" t="n"/>
      <c r="K412" s="7" t="n"/>
      <c r="L412" s="7" t="n"/>
      <c r="M412" s="7" t="n"/>
      <c r="N412" s="7" t="n"/>
      <c r="O412" s="7" t="n"/>
      <c r="P412" s="7" t="n"/>
      <c r="Q412" s="7" t="inlineStr">
        <is>
          <t>NOT-ASSESSED</t>
        </is>
      </c>
      <c r="R412" s="7" t="n"/>
      <c r="S412" s="7" t="n"/>
      <c r="T412" s="7" t="n"/>
      <c r="U412" s="7" t="n"/>
      <c r="V412" s="7" t="n"/>
      <c r="W412" s="7" t="n"/>
      <c r="X412" s="7" t="inlineStr">
        <is>
          <t>NOT LOCATED — NOT YET RECOVERED</t>
        </is>
      </c>
      <c r="Y412" s="7" t="inlineStr">
        <is>
          <t>EXCLUDED</t>
        </is>
      </c>
      <c r="Z412" s="11" t="b">
        <v>0</v>
      </c>
      <c r="AA412" s="8" t="inlineStr">
        <is>
          <t>CURRENT EVIDENCE / STATUS</t>
        </is>
      </c>
    </row>
    <row r="413" ht="15.75" customHeight="1" s="29">
      <c r="A413" s="7" t="inlineStr">
        <is>
          <t>Q-408</t>
        </is>
      </c>
      <c r="B413" s="7" t="inlineStr">
        <is>
          <t>RNR-H51</t>
        </is>
      </c>
      <c r="C413" s="7" t="inlineStr">
        <is>
          <t>No adequate likeness or comparison</t>
        </is>
      </c>
      <c r="D413" s="7" t="inlineStr">
        <is>
          <t>Q</t>
        </is>
      </c>
      <c r="E413" s="7" t="inlineStr">
        <is>
          <t>Mennonite / Anabaptist</t>
        </is>
      </c>
      <c r="F413" s="7" t="inlineStr">
        <is>
          <t>EPISTEMIC + GUARD</t>
        </is>
      </c>
      <c r="G413" s="7" t="inlineStr">
        <is>
          <t>TO RECOVER FROM SESSION 9 LEDGER</t>
        </is>
      </c>
      <c r="H413" s="7" t="inlineStr">
        <is>
          <t>NO PUBLIC TILE</t>
        </is>
      </c>
      <c r="I413" s="7" t="n"/>
      <c r="J413" s="7" t="n"/>
      <c r="K413" s="7" t="n"/>
      <c r="L413" s="7" t="n"/>
      <c r="M413" s="7" t="n"/>
      <c r="N413" s="7" t="n"/>
      <c r="O413" s="7" t="n"/>
      <c r="P413" s="7" t="n"/>
      <c r="Q413" s="7" t="inlineStr">
        <is>
          <t>NOT-ASSESSED</t>
        </is>
      </c>
      <c r="R413" s="7" t="n"/>
      <c r="S413" s="7" t="n"/>
      <c r="T413" s="7" t="n"/>
      <c r="U413" s="7" t="n"/>
      <c r="V413" s="7" t="n"/>
      <c r="W413" s="7" t="n"/>
      <c r="X413" s="7" t="inlineStr">
        <is>
          <t>NOT LOCATED — NOT YET RECOVERED</t>
        </is>
      </c>
      <c r="Y413" s="7" t="inlineStr">
        <is>
          <t>EXCLUDED</t>
        </is>
      </c>
      <c r="Z413" s="11" t="b">
        <v>0</v>
      </c>
      <c r="AA413" s="8" t="inlineStr">
        <is>
          <t>CURRENT EVIDENCE / STATUS</t>
        </is>
      </c>
    </row>
    <row r="414" ht="15.75" customHeight="1" s="29">
      <c r="A414" s="7" t="inlineStr">
        <is>
          <t>Q-409</t>
        </is>
      </c>
      <c r="B414" s="7" t="inlineStr">
        <is>
          <t>RNR-H52</t>
        </is>
      </c>
      <c r="C414" s="7" t="inlineStr">
        <is>
          <t>Without confusion</t>
        </is>
      </c>
      <c r="D414" s="7" t="inlineStr">
        <is>
          <t>Q</t>
        </is>
      </c>
      <c r="E414" s="7" t="inlineStr">
        <is>
          <t>Roman Catholic</t>
        </is>
      </c>
      <c r="F414" s="7" t="inlineStr">
        <is>
          <t>SINGLE</t>
        </is>
      </c>
      <c r="G414" s="7" t="inlineStr">
        <is>
          <t>TO RECOVER FROM SESSION 9 LEDGER</t>
        </is>
      </c>
      <c r="H414" s="7" t="inlineStr">
        <is>
          <t>NO PUBLIC TILE</t>
        </is>
      </c>
      <c r="I414" s="7" t="n"/>
      <c r="J414" s="7" t="n"/>
      <c r="K414" s="7" t="n"/>
      <c r="L414" s="7" t="n"/>
      <c r="M414" s="7" t="n"/>
      <c r="N414" s="7" t="n"/>
      <c r="O414" s="7" t="n"/>
      <c r="P414" s="7" t="n"/>
      <c r="Q414" s="7" t="inlineStr">
        <is>
          <t>NOT-ASSESSED</t>
        </is>
      </c>
      <c r="R414" s="7" t="n"/>
      <c r="S414" s="7" t="n"/>
      <c r="T414" s="7" t="n"/>
      <c r="U414" s="7" t="n"/>
      <c r="V414" s="7" t="n"/>
      <c r="W414" s="7" t="n"/>
      <c r="X414" s="7" t="inlineStr">
        <is>
          <t>NOT LOCATED — NOT YET RECOVERED</t>
        </is>
      </c>
      <c r="Y414" s="7" t="inlineStr">
        <is>
          <t>EXCLUDED</t>
        </is>
      </c>
      <c r="Z414" s="11" t="b">
        <v>0</v>
      </c>
      <c r="AA414" s="8" t="inlineStr">
        <is>
          <t>CURRENT EVIDENCE / STATUS</t>
        </is>
      </c>
    </row>
    <row r="415" ht="15.75" customHeight="1" s="29">
      <c r="A415" s="7" t="inlineStr">
        <is>
          <t>Q-410</t>
        </is>
      </c>
      <c r="B415" s="7" t="inlineStr">
        <is>
          <t>RNR-H52</t>
        </is>
      </c>
      <c r="C415" s="7" t="inlineStr">
        <is>
          <t>Without confusion</t>
        </is>
      </c>
      <c r="D415" s="7" t="inlineStr">
        <is>
          <t>Q</t>
        </is>
      </c>
      <c r="E415" s="7" t="inlineStr">
        <is>
          <t>Eastern Orthodox</t>
        </is>
      </c>
      <c r="F415" s="7" t="inlineStr">
        <is>
          <t>SINGLE</t>
        </is>
      </c>
      <c r="G415" s="7" t="inlineStr">
        <is>
          <t>TO RECOVER FROM SESSION 9 LEDGER</t>
        </is>
      </c>
      <c r="H415" s="7" t="inlineStr">
        <is>
          <t>NO PUBLIC TILE</t>
        </is>
      </c>
      <c r="I415" s="7" t="n"/>
      <c r="J415" s="7" t="n"/>
      <c r="K415" s="7" t="n"/>
      <c r="L415" s="7" t="n"/>
      <c r="M415" s="7" t="n"/>
      <c r="N415" s="7" t="n"/>
      <c r="O415" s="7" t="n"/>
      <c r="P415" s="7" t="n"/>
      <c r="Q415" s="7" t="inlineStr">
        <is>
          <t>NOT-ASSESSED</t>
        </is>
      </c>
      <c r="R415" s="7" t="n"/>
      <c r="S415" s="7" t="n"/>
      <c r="T415" s="7" t="n"/>
      <c r="U415" s="7" t="n"/>
      <c r="V415" s="7" t="n"/>
      <c r="W415" s="7" t="n"/>
      <c r="X415" s="7" t="inlineStr">
        <is>
          <t>NOT LOCATED — NOT YET RECOVERED</t>
        </is>
      </c>
      <c r="Y415" s="7" t="inlineStr">
        <is>
          <t>EXCLUDED</t>
        </is>
      </c>
      <c r="Z415" s="11" t="b">
        <v>0</v>
      </c>
      <c r="AA415" s="8" t="inlineStr">
        <is>
          <t>CURRENT EVIDENCE / STATUS</t>
        </is>
      </c>
    </row>
    <row r="416" ht="15.75" customHeight="1" s="29">
      <c r="A416" s="7" t="inlineStr">
        <is>
          <t>Q-411</t>
        </is>
      </c>
      <c r="B416" s="7" t="inlineStr">
        <is>
          <t>RNR-H52</t>
        </is>
      </c>
      <c r="C416" s="7" t="inlineStr">
        <is>
          <t>Without confusion</t>
        </is>
      </c>
      <c r="D416" s="7" t="inlineStr">
        <is>
          <t>Q</t>
        </is>
      </c>
      <c r="E416" s="7" t="inlineStr">
        <is>
          <t>Lutheran</t>
        </is>
      </c>
      <c r="F416" s="7" t="inlineStr">
        <is>
          <t>SINGLE</t>
        </is>
      </c>
      <c r="G416" s="7" t="inlineStr">
        <is>
          <t>TO RECOVER FROM SESSION 9 LEDGER</t>
        </is>
      </c>
      <c r="H416" s="7" t="inlineStr">
        <is>
          <t>NO PUBLIC TILE</t>
        </is>
      </c>
      <c r="I416" s="7" t="n"/>
      <c r="J416" s="7" t="n"/>
      <c r="K416" s="7" t="n"/>
      <c r="L416" s="7" t="n"/>
      <c r="M416" s="7" t="n"/>
      <c r="N416" s="7" t="n"/>
      <c r="O416" s="7" t="n"/>
      <c r="P416" s="7" t="n"/>
      <c r="Q416" s="7" t="inlineStr">
        <is>
          <t>NOT-ASSESSED</t>
        </is>
      </c>
      <c r="R416" s="7" t="n"/>
      <c r="S416" s="7" t="n"/>
      <c r="T416" s="7" t="n"/>
      <c r="U416" s="7" t="n"/>
      <c r="V416" s="7" t="n"/>
      <c r="W416" s="7" t="n"/>
      <c r="X416" s="7" t="inlineStr">
        <is>
          <t>NOT LOCATED — NOT YET RECOVERED</t>
        </is>
      </c>
      <c r="Y416" s="7" t="inlineStr">
        <is>
          <t>EXCLUDED</t>
        </is>
      </c>
      <c r="Z416" s="11" t="b">
        <v>0</v>
      </c>
      <c r="AA416" s="8" t="inlineStr">
        <is>
          <t>CURRENT EVIDENCE / STATUS</t>
        </is>
      </c>
    </row>
    <row r="417" ht="15.75" customHeight="1" s="29">
      <c r="A417" s="7" t="inlineStr">
        <is>
          <t>Q-412</t>
        </is>
      </c>
      <c r="B417" s="7" t="inlineStr">
        <is>
          <t>RNR-H52</t>
        </is>
      </c>
      <c r="C417" s="7" t="inlineStr">
        <is>
          <t>Without confusion</t>
        </is>
      </c>
      <c r="D417" s="7" t="inlineStr">
        <is>
          <t>Q</t>
        </is>
      </c>
      <c r="E417" s="7" t="inlineStr">
        <is>
          <t>Reformed / Presbyterian</t>
        </is>
      </c>
      <c r="F417" s="7" t="inlineStr">
        <is>
          <t>SINGLE</t>
        </is>
      </c>
      <c r="G417" s="7" t="inlineStr">
        <is>
          <t>TO RECOVER FROM SESSION 9 LEDGER</t>
        </is>
      </c>
      <c r="H417" s="7" t="inlineStr">
        <is>
          <t>NO PUBLIC TILE</t>
        </is>
      </c>
      <c r="I417" s="7" t="n"/>
      <c r="J417" s="7" t="n"/>
      <c r="K417" s="7" t="n"/>
      <c r="L417" s="7" t="n"/>
      <c r="M417" s="7" t="n"/>
      <c r="N417" s="7" t="n"/>
      <c r="O417" s="7" t="n"/>
      <c r="P417" s="7" t="n"/>
      <c r="Q417" s="7" t="inlineStr">
        <is>
          <t>NOT-ASSESSED</t>
        </is>
      </c>
      <c r="R417" s="7" t="n"/>
      <c r="S417" s="7" t="n"/>
      <c r="T417" s="7" t="n"/>
      <c r="U417" s="7" t="n"/>
      <c r="V417" s="7" t="n"/>
      <c r="W417" s="7" t="n"/>
      <c r="X417" s="7" t="inlineStr">
        <is>
          <t>NOT LOCATED — NOT YET RECOVERED</t>
        </is>
      </c>
      <c r="Y417" s="7" t="inlineStr">
        <is>
          <t>EXCLUDED</t>
        </is>
      </c>
      <c r="Z417" s="11" t="b">
        <v>0</v>
      </c>
      <c r="AA417" s="8" t="inlineStr">
        <is>
          <t>CURRENT EVIDENCE / STATUS</t>
        </is>
      </c>
    </row>
    <row r="418" ht="15.75" customHeight="1" s="29">
      <c r="A418" s="7" t="inlineStr">
        <is>
          <t>Q-413</t>
        </is>
      </c>
      <c r="B418" s="7" t="inlineStr">
        <is>
          <t>RNR-H52</t>
        </is>
      </c>
      <c r="C418" s="7" t="inlineStr">
        <is>
          <t>Without confusion</t>
        </is>
      </c>
      <c r="D418" s="7" t="inlineStr">
        <is>
          <t>Q</t>
        </is>
      </c>
      <c r="E418" s="7" t="inlineStr">
        <is>
          <t>Anglican</t>
        </is>
      </c>
      <c r="F418" s="7" t="inlineStr">
        <is>
          <t>SINGLE</t>
        </is>
      </c>
      <c r="G418" s="7" t="inlineStr">
        <is>
          <t>TO RECOVER FROM SESSION 9 LEDGER</t>
        </is>
      </c>
      <c r="H418" s="7" t="inlineStr">
        <is>
          <t>NO PUBLIC TILE</t>
        </is>
      </c>
      <c r="I418" s="7" t="n"/>
      <c r="J418" s="7" t="n"/>
      <c r="K418" s="7" t="n"/>
      <c r="L418" s="7" t="n"/>
      <c r="M418" s="7" t="n"/>
      <c r="N418" s="7" t="n"/>
      <c r="O418" s="7" t="n"/>
      <c r="P418" s="7" t="n"/>
      <c r="Q418" s="7" t="inlineStr">
        <is>
          <t>NOT-ASSESSED</t>
        </is>
      </c>
      <c r="R418" s="7" t="n"/>
      <c r="S418" s="7" t="n"/>
      <c r="T418" s="7" t="n"/>
      <c r="U418" s="7" t="n"/>
      <c r="V418" s="7" t="n"/>
      <c r="W418" s="7" t="n"/>
      <c r="X418" s="7" t="inlineStr">
        <is>
          <t>NOT LOCATED — NOT YET RECOVERED</t>
        </is>
      </c>
      <c r="Y418" s="7" t="inlineStr">
        <is>
          <t>EXCLUDED</t>
        </is>
      </c>
      <c r="Z418" s="11" t="b">
        <v>0</v>
      </c>
      <c r="AA418" s="8" t="inlineStr">
        <is>
          <t>CURRENT EVIDENCE / STATUS</t>
        </is>
      </c>
    </row>
    <row r="419" ht="15.75" customHeight="1" s="29">
      <c r="A419" s="7" t="inlineStr">
        <is>
          <t>Q-414</t>
        </is>
      </c>
      <c r="B419" s="7" t="inlineStr">
        <is>
          <t>RNR-H52</t>
        </is>
      </c>
      <c r="C419" s="7" t="inlineStr">
        <is>
          <t>Without confusion</t>
        </is>
      </c>
      <c r="D419" s="7" t="inlineStr">
        <is>
          <t>Q</t>
        </is>
      </c>
      <c r="E419" s="7" t="inlineStr">
        <is>
          <t>Baptist</t>
        </is>
      </c>
      <c r="F419" s="7" t="inlineStr">
        <is>
          <t>SINGLE</t>
        </is>
      </c>
      <c r="G419" s="7" t="inlineStr">
        <is>
          <t>TO RECOVER FROM SESSION 9 LEDGER</t>
        </is>
      </c>
      <c r="H419" s="7" t="inlineStr">
        <is>
          <t>NO PUBLIC TILE</t>
        </is>
      </c>
      <c r="I419" s="7" t="n"/>
      <c r="J419" s="7" t="n"/>
      <c r="K419" s="7" t="n"/>
      <c r="L419" s="7" t="n"/>
      <c r="M419" s="7" t="n"/>
      <c r="N419" s="7" t="n"/>
      <c r="O419" s="7" t="n"/>
      <c r="P419" s="7" t="n"/>
      <c r="Q419" s="7" t="inlineStr">
        <is>
          <t>NOT-ASSESSED</t>
        </is>
      </c>
      <c r="R419" s="7" t="n"/>
      <c r="S419" s="7" t="n"/>
      <c r="T419" s="7" t="n"/>
      <c r="U419" s="7" t="n"/>
      <c r="V419" s="7" t="n"/>
      <c r="W419" s="7" t="n"/>
      <c r="X419" s="7" t="inlineStr">
        <is>
          <t>NOT LOCATED — NOT YET RECOVERED</t>
        </is>
      </c>
      <c r="Y419" s="7" t="inlineStr">
        <is>
          <t>EXCLUDED</t>
        </is>
      </c>
      <c r="Z419" s="11" t="b">
        <v>0</v>
      </c>
      <c r="AA419" s="8" t="inlineStr">
        <is>
          <t>CURRENT EVIDENCE / STATUS</t>
        </is>
      </c>
    </row>
    <row r="420" ht="15.75" customHeight="1" s="29">
      <c r="A420" s="7" t="inlineStr">
        <is>
          <t>Q-415</t>
        </is>
      </c>
      <c r="B420" s="7" t="inlineStr">
        <is>
          <t>RNR-H52</t>
        </is>
      </c>
      <c r="C420" s="7" t="inlineStr">
        <is>
          <t>Without confusion</t>
        </is>
      </c>
      <c r="D420" s="7" t="inlineStr">
        <is>
          <t>Q</t>
        </is>
      </c>
      <c r="E420" s="7" t="inlineStr">
        <is>
          <t>Methodist / Wesleyan</t>
        </is>
      </c>
      <c r="F420" s="7" t="inlineStr">
        <is>
          <t>SINGLE</t>
        </is>
      </c>
      <c r="G420" s="7" t="inlineStr">
        <is>
          <t>TO RECOVER FROM SESSION 9 LEDGER</t>
        </is>
      </c>
      <c r="H420" s="7" t="inlineStr">
        <is>
          <t>NO PUBLIC TILE</t>
        </is>
      </c>
      <c r="I420" s="7" t="n"/>
      <c r="J420" s="7" t="n"/>
      <c r="K420" s="7" t="n"/>
      <c r="L420" s="7" t="n"/>
      <c r="M420" s="7" t="n"/>
      <c r="N420" s="7" t="n"/>
      <c r="O420" s="7" t="n"/>
      <c r="P420" s="7" t="n"/>
      <c r="Q420" s="7" t="inlineStr">
        <is>
          <t>NOT-ASSESSED</t>
        </is>
      </c>
      <c r="R420" s="7" t="n"/>
      <c r="S420" s="7" t="n"/>
      <c r="T420" s="7" t="n"/>
      <c r="U420" s="7" t="n"/>
      <c r="V420" s="7" t="n"/>
      <c r="W420" s="7" t="n"/>
      <c r="X420" s="7" t="inlineStr">
        <is>
          <t>NOT LOCATED — NOT YET RECOVERED</t>
        </is>
      </c>
      <c r="Y420" s="7" t="inlineStr">
        <is>
          <t>EXCLUDED</t>
        </is>
      </c>
      <c r="Z420" s="11" t="b">
        <v>0</v>
      </c>
      <c r="AA420" s="8" t="inlineStr">
        <is>
          <t>CURRENT EVIDENCE / STATUS</t>
        </is>
      </c>
    </row>
    <row r="421" ht="15.75" customHeight="1" s="29">
      <c r="A421" s="7" t="inlineStr">
        <is>
          <t>Q-416</t>
        </is>
      </c>
      <c r="B421" s="7" t="inlineStr">
        <is>
          <t>RNR-H52</t>
        </is>
      </c>
      <c r="C421" s="7" t="inlineStr">
        <is>
          <t>Without confusion</t>
        </is>
      </c>
      <c r="D421" s="7" t="inlineStr">
        <is>
          <t>Q</t>
        </is>
      </c>
      <c r="E421" s="7" t="inlineStr">
        <is>
          <t>Mennonite / Anabaptist</t>
        </is>
      </c>
      <c r="F421" s="7" t="inlineStr">
        <is>
          <t>SINGLE</t>
        </is>
      </c>
      <c r="G421" s="7" t="inlineStr">
        <is>
          <t>TO RECOVER FROM SESSION 9 LEDGER</t>
        </is>
      </c>
      <c r="H421" s="7" t="inlineStr">
        <is>
          <t>NO PUBLIC TILE</t>
        </is>
      </c>
      <c r="I421" s="7" t="n"/>
      <c r="J421" s="7" t="n"/>
      <c r="K421" s="7" t="n"/>
      <c r="L421" s="7" t="n"/>
      <c r="M421" s="7" t="n"/>
      <c r="N421" s="7" t="n"/>
      <c r="O421" s="7" t="n"/>
      <c r="P421" s="7" t="n"/>
      <c r="Q421" s="7" t="inlineStr">
        <is>
          <t>NOT-ASSESSED</t>
        </is>
      </c>
      <c r="R421" s="7" t="n"/>
      <c r="S421" s="7" t="n"/>
      <c r="T421" s="7" t="n"/>
      <c r="U421" s="7" t="n"/>
      <c r="V421" s="7" t="n"/>
      <c r="W421" s="7" t="n"/>
      <c r="X421" s="7" t="inlineStr">
        <is>
          <t>NOT LOCATED — NOT YET RECOVERED</t>
        </is>
      </c>
      <c r="Y421" s="7" t="inlineStr">
        <is>
          <t>EXCLUDED</t>
        </is>
      </c>
      <c r="Z421" s="11" t="b">
        <v>0</v>
      </c>
      <c r="AA421" s="8" t="inlineStr">
        <is>
          <t>CURRENT EVIDENCE / STATUS</t>
        </is>
      </c>
    </row>
    <row r="422" ht="15.75" customHeight="1" s="29">
      <c r="A422" s="7" t="inlineStr">
        <is>
          <t>Q-417</t>
        </is>
      </c>
      <c r="B422" s="7" t="inlineStr">
        <is>
          <t>RNR-H53</t>
        </is>
      </c>
      <c r="C422" s="7" t="inlineStr">
        <is>
          <t>Without change</t>
        </is>
      </c>
      <c r="D422" s="7" t="inlineStr">
        <is>
          <t>Q</t>
        </is>
      </c>
      <c r="E422" s="7" t="inlineStr">
        <is>
          <t>Roman Catholic</t>
        </is>
      </c>
      <c r="F422" s="7" t="inlineStr">
        <is>
          <t>SINGLE</t>
        </is>
      </c>
      <c r="G422" s="7" t="inlineStr">
        <is>
          <t>TO RECOVER FROM SESSION 9 LEDGER</t>
        </is>
      </c>
      <c r="H422" s="7" t="inlineStr">
        <is>
          <t>NO PUBLIC TILE</t>
        </is>
      </c>
      <c r="I422" s="7" t="n"/>
      <c r="J422" s="7" t="n"/>
      <c r="K422" s="7" t="n"/>
      <c r="L422" s="7" t="n"/>
      <c r="M422" s="7" t="n"/>
      <c r="N422" s="7" t="n"/>
      <c r="O422" s="7" t="n"/>
      <c r="P422" s="7" t="n"/>
      <c r="Q422" s="7" t="inlineStr">
        <is>
          <t>NOT-ASSESSED</t>
        </is>
      </c>
      <c r="R422" s="7" t="n"/>
      <c r="S422" s="7" t="n"/>
      <c r="T422" s="7" t="n"/>
      <c r="U422" s="7" t="n"/>
      <c r="V422" s="7" t="n"/>
      <c r="W422" s="7" t="n"/>
      <c r="X422" s="7" t="inlineStr">
        <is>
          <t>NOT LOCATED — NOT YET RECOVERED</t>
        </is>
      </c>
      <c r="Y422" s="7" t="inlineStr">
        <is>
          <t>EXCLUDED</t>
        </is>
      </c>
      <c r="Z422" s="11" t="b">
        <v>0</v>
      </c>
      <c r="AA422" s="8" t="inlineStr">
        <is>
          <t>CURRENT EVIDENCE / STATUS</t>
        </is>
      </c>
    </row>
    <row r="423" ht="15.75" customHeight="1" s="29">
      <c r="A423" s="7" t="inlineStr">
        <is>
          <t>Q-418</t>
        </is>
      </c>
      <c r="B423" s="7" t="inlineStr">
        <is>
          <t>RNR-H53</t>
        </is>
      </c>
      <c r="C423" s="7" t="inlineStr">
        <is>
          <t>Without change</t>
        </is>
      </c>
      <c r="D423" s="7" t="inlineStr">
        <is>
          <t>Q</t>
        </is>
      </c>
      <c r="E423" s="7" t="inlineStr">
        <is>
          <t>Eastern Orthodox</t>
        </is>
      </c>
      <c r="F423" s="7" t="inlineStr">
        <is>
          <t>SINGLE</t>
        </is>
      </c>
      <c r="G423" s="7" t="inlineStr">
        <is>
          <t>TO RECOVER FROM SESSION 9 LEDGER</t>
        </is>
      </c>
      <c r="H423" s="7" t="inlineStr">
        <is>
          <t>NO PUBLIC TILE</t>
        </is>
      </c>
      <c r="I423" s="7" t="n"/>
      <c r="J423" s="7" t="n"/>
      <c r="K423" s="7" t="n"/>
      <c r="L423" s="7" t="n"/>
      <c r="M423" s="7" t="n"/>
      <c r="N423" s="7" t="n"/>
      <c r="O423" s="7" t="n"/>
      <c r="P423" s="7" t="n"/>
      <c r="Q423" s="7" t="inlineStr">
        <is>
          <t>NOT-ASSESSED</t>
        </is>
      </c>
      <c r="R423" s="7" t="n"/>
      <c r="S423" s="7" t="n"/>
      <c r="T423" s="7" t="n"/>
      <c r="U423" s="7" t="n"/>
      <c r="V423" s="7" t="n"/>
      <c r="W423" s="7" t="n"/>
      <c r="X423" s="7" t="inlineStr">
        <is>
          <t>NOT LOCATED — NOT YET RECOVERED</t>
        </is>
      </c>
      <c r="Y423" s="7" t="inlineStr">
        <is>
          <t>EXCLUDED</t>
        </is>
      </c>
      <c r="Z423" s="11" t="b">
        <v>0</v>
      </c>
      <c r="AA423" s="8" t="inlineStr">
        <is>
          <t>CURRENT EVIDENCE / STATUS</t>
        </is>
      </c>
    </row>
    <row r="424" ht="15.75" customHeight="1" s="29">
      <c r="A424" s="7" t="inlineStr">
        <is>
          <t>Q-419</t>
        </is>
      </c>
      <c r="B424" s="7" t="inlineStr">
        <is>
          <t>RNR-H53</t>
        </is>
      </c>
      <c r="C424" s="7" t="inlineStr">
        <is>
          <t>Without change</t>
        </is>
      </c>
      <c r="D424" s="7" t="inlineStr">
        <is>
          <t>Q</t>
        </is>
      </c>
      <c r="E424" s="7" t="inlineStr">
        <is>
          <t>Lutheran</t>
        </is>
      </c>
      <c r="F424" s="7" t="inlineStr">
        <is>
          <t>SINGLE</t>
        </is>
      </c>
      <c r="G424" s="7" t="inlineStr">
        <is>
          <t>TO RECOVER FROM SESSION 9 LEDGER</t>
        </is>
      </c>
      <c r="H424" s="7" t="inlineStr">
        <is>
          <t>NO PUBLIC TILE</t>
        </is>
      </c>
      <c r="I424" s="7" t="n"/>
      <c r="J424" s="7" t="n"/>
      <c r="K424" s="7" t="n"/>
      <c r="L424" s="7" t="n"/>
      <c r="M424" s="7" t="n"/>
      <c r="N424" s="7" t="n"/>
      <c r="O424" s="7" t="n"/>
      <c r="P424" s="7" t="n"/>
      <c r="Q424" s="7" t="inlineStr">
        <is>
          <t>NOT-ASSESSED</t>
        </is>
      </c>
      <c r="R424" s="7" t="n"/>
      <c r="S424" s="7" t="n"/>
      <c r="T424" s="7" t="n"/>
      <c r="U424" s="7" t="n"/>
      <c r="V424" s="7" t="n"/>
      <c r="W424" s="7" t="n"/>
      <c r="X424" s="7" t="inlineStr">
        <is>
          <t>NOT LOCATED — NOT YET RECOVERED</t>
        </is>
      </c>
      <c r="Y424" s="7" t="inlineStr">
        <is>
          <t>EXCLUDED</t>
        </is>
      </c>
      <c r="Z424" s="11" t="b">
        <v>0</v>
      </c>
      <c r="AA424" s="8" t="inlineStr">
        <is>
          <t>CURRENT EVIDENCE / STATUS</t>
        </is>
      </c>
    </row>
    <row r="425" ht="15.75" customHeight="1" s="29">
      <c r="A425" s="7" t="inlineStr">
        <is>
          <t>Q-420</t>
        </is>
      </c>
      <c r="B425" s="7" t="inlineStr">
        <is>
          <t>RNR-H53</t>
        </is>
      </c>
      <c r="C425" s="7" t="inlineStr">
        <is>
          <t>Without change</t>
        </is>
      </c>
      <c r="D425" s="7" t="inlineStr">
        <is>
          <t>Q</t>
        </is>
      </c>
      <c r="E425" s="7" t="inlineStr">
        <is>
          <t>Reformed / Presbyterian</t>
        </is>
      </c>
      <c r="F425" s="7" t="inlineStr">
        <is>
          <t>SINGLE</t>
        </is>
      </c>
      <c r="G425" s="7" t="inlineStr">
        <is>
          <t>TO RECOVER FROM SESSION 9 LEDGER</t>
        </is>
      </c>
      <c r="H425" s="7" t="inlineStr">
        <is>
          <t>NO PUBLIC TILE</t>
        </is>
      </c>
      <c r="I425" s="7" t="n"/>
      <c r="J425" s="7" t="n"/>
      <c r="K425" s="7" t="n"/>
      <c r="L425" s="7" t="n"/>
      <c r="M425" s="7" t="n"/>
      <c r="N425" s="7" t="n"/>
      <c r="O425" s="7" t="n"/>
      <c r="P425" s="7" t="n"/>
      <c r="Q425" s="7" t="inlineStr">
        <is>
          <t>NOT-ASSESSED</t>
        </is>
      </c>
      <c r="R425" s="7" t="n"/>
      <c r="S425" s="7" t="n"/>
      <c r="T425" s="7" t="n"/>
      <c r="U425" s="7" t="n"/>
      <c r="V425" s="7" t="n"/>
      <c r="W425" s="7" t="n"/>
      <c r="X425" s="7" t="inlineStr">
        <is>
          <t>NOT LOCATED — NOT YET RECOVERED</t>
        </is>
      </c>
      <c r="Y425" s="7" t="inlineStr">
        <is>
          <t>EXCLUDED</t>
        </is>
      </c>
      <c r="Z425" s="11" t="b">
        <v>0</v>
      </c>
      <c r="AA425" s="8" t="inlineStr">
        <is>
          <t>CURRENT EVIDENCE / STATUS</t>
        </is>
      </c>
    </row>
    <row r="426" ht="15.75" customHeight="1" s="29">
      <c r="A426" s="7" t="inlineStr">
        <is>
          <t>Q-421</t>
        </is>
      </c>
      <c r="B426" s="7" t="inlineStr">
        <is>
          <t>RNR-H53</t>
        </is>
      </c>
      <c r="C426" s="7" t="inlineStr">
        <is>
          <t>Without change</t>
        </is>
      </c>
      <c r="D426" s="7" t="inlineStr">
        <is>
          <t>Q</t>
        </is>
      </c>
      <c r="E426" s="7" t="inlineStr">
        <is>
          <t>Anglican</t>
        </is>
      </c>
      <c r="F426" s="7" t="inlineStr">
        <is>
          <t>SINGLE</t>
        </is>
      </c>
      <c r="G426" s="7" t="inlineStr">
        <is>
          <t>TO RECOVER FROM SESSION 9 LEDGER</t>
        </is>
      </c>
      <c r="H426" s="7" t="inlineStr">
        <is>
          <t>NO PUBLIC TILE</t>
        </is>
      </c>
      <c r="I426" s="7" t="n"/>
      <c r="J426" s="7" t="n"/>
      <c r="K426" s="7" t="n"/>
      <c r="L426" s="7" t="n"/>
      <c r="M426" s="7" t="n"/>
      <c r="N426" s="7" t="n"/>
      <c r="O426" s="7" t="n"/>
      <c r="P426" s="7" t="n"/>
      <c r="Q426" s="7" t="inlineStr">
        <is>
          <t>NOT-ASSESSED</t>
        </is>
      </c>
      <c r="R426" s="7" t="n"/>
      <c r="S426" s="7" t="n"/>
      <c r="T426" s="7" t="n"/>
      <c r="U426" s="7" t="n"/>
      <c r="V426" s="7" t="n"/>
      <c r="W426" s="7" t="n"/>
      <c r="X426" s="7" t="inlineStr">
        <is>
          <t>NOT LOCATED — NOT YET RECOVERED</t>
        </is>
      </c>
      <c r="Y426" s="7" t="inlineStr">
        <is>
          <t>EXCLUDED</t>
        </is>
      </c>
      <c r="Z426" s="11" t="b">
        <v>0</v>
      </c>
      <c r="AA426" s="8" t="inlineStr">
        <is>
          <t>CURRENT EVIDENCE / STATUS</t>
        </is>
      </c>
    </row>
    <row r="427" ht="15.75" customHeight="1" s="29">
      <c r="A427" s="7" t="inlineStr">
        <is>
          <t>Q-422</t>
        </is>
      </c>
      <c r="B427" s="7" t="inlineStr">
        <is>
          <t>RNR-H53</t>
        </is>
      </c>
      <c r="C427" s="7" t="inlineStr">
        <is>
          <t>Without change</t>
        </is>
      </c>
      <c r="D427" s="7" t="inlineStr">
        <is>
          <t>Q</t>
        </is>
      </c>
      <c r="E427" s="7" t="inlineStr">
        <is>
          <t>Baptist</t>
        </is>
      </c>
      <c r="F427" s="7" t="inlineStr">
        <is>
          <t>SINGLE</t>
        </is>
      </c>
      <c r="G427" s="7" t="inlineStr">
        <is>
          <t>TO RECOVER FROM SESSION 9 LEDGER</t>
        </is>
      </c>
      <c r="H427" s="7" t="inlineStr">
        <is>
          <t>NO PUBLIC TILE</t>
        </is>
      </c>
      <c r="I427" s="7" t="n"/>
      <c r="J427" s="7" t="n"/>
      <c r="K427" s="7" t="n"/>
      <c r="L427" s="7" t="n"/>
      <c r="M427" s="7" t="n"/>
      <c r="N427" s="7" t="n"/>
      <c r="O427" s="7" t="n"/>
      <c r="P427" s="7" t="n"/>
      <c r="Q427" s="7" t="inlineStr">
        <is>
          <t>NOT-ASSESSED</t>
        </is>
      </c>
      <c r="R427" s="7" t="n"/>
      <c r="S427" s="7" t="n"/>
      <c r="T427" s="7" t="n"/>
      <c r="U427" s="7" t="n"/>
      <c r="V427" s="7" t="n"/>
      <c r="W427" s="7" t="n"/>
      <c r="X427" s="7" t="inlineStr">
        <is>
          <t>NOT LOCATED — NOT YET RECOVERED</t>
        </is>
      </c>
      <c r="Y427" s="7" t="inlineStr">
        <is>
          <t>EXCLUDED</t>
        </is>
      </c>
      <c r="Z427" s="11" t="b">
        <v>0</v>
      </c>
      <c r="AA427" s="8" t="inlineStr">
        <is>
          <t>CURRENT EVIDENCE / STATUS</t>
        </is>
      </c>
    </row>
    <row r="428" ht="15.75" customHeight="1" s="29">
      <c r="A428" s="7" t="inlineStr">
        <is>
          <t>Q-423</t>
        </is>
      </c>
      <c r="B428" s="7" t="inlineStr">
        <is>
          <t>RNR-H53</t>
        </is>
      </c>
      <c r="C428" s="7" t="inlineStr">
        <is>
          <t>Without change</t>
        </is>
      </c>
      <c r="D428" s="7" t="inlineStr">
        <is>
          <t>Q</t>
        </is>
      </c>
      <c r="E428" s="7" t="inlineStr">
        <is>
          <t>Methodist / Wesleyan</t>
        </is>
      </c>
      <c r="F428" s="7" t="inlineStr">
        <is>
          <t>SINGLE</t>
        </is>
      </c>
      <c r="G428" s="7" t="inlineStr">
        <is>
          <t>TO RECOVER FROM SESSION 9 LEDGER</t>
        </is>
      </c>
      <c r="H428" s="7" t="inlineStr">
        <is>
          <t>NO PUBLIC TILE</t>
        </is>
      </c>
      <c r="I428" s="7" t="n"/>
      <c r="J428" s="7" t="n"/>
      <c r="K428" s="7" t="n"/>
      <c r="L428" s="7" t="n"/>
      <c r="M428" s="7" t="n"/>
      <c r="N428" s="7" t="n"/>
      <c r="O428" s="7" t="n"/>
      <c r="P428" s="7" t="n"/>
      <c r="Q428" s="7" t="inlineStr">
        <is>
          <t>NOT-ASSESSED</t>
        </is>
      </c>
      <c r="R428" s="7" t="n"/>
      <c r="S428" s="7" t="n"/>
      <c r="T428" s="7" t="n"/>
      <c r="U428" s="7" t="n"/>
      <c r="V428" s="7" t="n"/>
      <c r="W428" s="7" t="n"/>
      <c r="X428" s="7" t="inlineStr">
        <is>
          <t>NOT LOCATED — NOT YET RECOVERED</t>
        </is>
      </c>
      <c r="Y428" s="7" t="inlineStr">
        <is>
          <t>EXCLUDED</t>
        </is>
      </c>
      <c r="Z428" s="11" t="b">
        <v>0</v>
      </c>
      <c r="AA428" s="8" t="inlineStr">
        <is>
          <t>CURRENT EVIDENCE / STATUS</t>
        </is>
      </c>
    </row>
    <row r="429" ht="15.75" customHeight="1" s="29">
      <c r="A429" s="7" t="inlineStr">
        <is>
          <t>Q-424</t>
        </is>
      </c>
      <c r="B429" s="7" t="inlineStr">
        <is>
          <t>RNR-H53</t>
        </is>
      </c>
      <c r="C429" s="7" t="inlineStr">
        <is>
          <t>Without change</t>
        </is>
      </c>
      <c r="D429" s="7" t="inlineStr">
        <is>
          <t>Q</t>
        </is>
      </c>
      <c r="E429" s="7" t="inlineStr">
        <is>
          <t>Mennonite / Anabaptist</t>
        </is>
      </c>
      <c r="F429" s="7" t="inlineStr">
        <is>
          <t>SINGLE</t>
        </is>
      </c>
      <c r="G429" s="7" t="inlineStr">
        <is>
          <t>TO RECOVER FROM SESSION 9 LEDGER</t>
        </is>
      </c>
      <c r="H429" s="7" t="inlineStr">
        <is>
          <t>NO PUBLIC TILE</t>
        </is>
      </c>
      <c r="I429" s="7" t="n"/>
      <c r="J429" s="7" t="n"/>
      <c r="K429" s="7" t="n"/>
      <c r="L429" s="7" t="n"/>
      <c r="M429" s="7" t="n"/>
      <c r="N429" s="7" t="n"/>
      <c r="O429" s="7" t="n"/>
      <c r="P429" s="7" t="n"/>
      <c r="Q429" s="7" t="inlineStr">
        <is>
          <t>NOT-ASSESSED</t>
        </is>
      </c>
      <c r="R429" s="7" t="n"/>
      <c r="S429" s="7" t="n"/>
      <c r="T429" s="7" t="n"/>
      <c r="U429" s="7" t="n"/>
      <c r="V429" s="7" t="n"/>
      <c r="W429" s="7" t="n"/>
      <c r="X429" s="7" t="inlineStr">
        <is>
          <t>NOT LOCATED — NOT YET RECOVERED</t>
        </is>
      </c>
      <c r="Y429" s="7" t="inlineStr">
        <is>
          <t>EXCLUDED</t>
        </is>
      </c>
      <c r="Z429" s="11" t="b">
        <v>0</v>
      </c>
      <c r="AA429" s="8" t="inlineStr">
        <is>
          <t>CURRENT EVIDENCE / STATUS</t>
        </is>
      </c>
    </row>
    <row r="430" ht="15.75" customHeight="1" s="29">
      <c r="A430" s="7" t="inlineStr">
        <is>
          <t>Q-425</t>
        </is>
      </c>
      <c r="B430" s="7" t="inlineStr">
        <is>
          <t>RNR-H54</t>
        </is>
      </c>
      <c r="C430" s="7" t="inlineStr">
        <is>
          <t>Without division</t>
        </is>
      </c>
      <c r="D430" s="7" t="inlineStr">
        <is>
          <t>Q</t>
        </is>
      </c>
      <c r="E430" s="7" t="inlineStr">
        <is>
          <t>Roman Catholic</t>
        </is>
      </c>
      <c r="F430" s="7" t="inlineStr">
        <is>
          <t>SINGLE</t>
        </is>
      </c>
      <c r="G430" s="7" t="inlineStr">
        <is>
          <t>TO RECOVER FROM SESSION 9 LEDGER</t>
        </is>
      </c>
      <c r="H430" s="7" t="inlineStr">
        <is>
          <t>NO PUBLIC TILE</t>
        </is>
      </c>
      <c r="I430" s="7" t="n"/>
      <c r="J430" s="7" t="n"/>
      <c r="K430" s="7" t="n"/>
      <c r="L430" s="7" t="n"/>
      <c r="M430" s="7" t="n"/>
      <c r="N430" s="7" t="n"/>
      <c r="O430" s="7" t="n"/>
      <c r="P430" s="7" t="n"/>
      <c r="Q430" s="7" t="inlineStr">
        <is>
          <t>NOT-ASSESSED</t>
        </is>
      </c>
      <c r="R430" s="7" t="n"/>
      <c r="S430" s="7" t="n"/>
      <c r="T430" s="7" t="n"/>
      <c r="U430" s="7" t="n"/>
      <c r="V430" s="7" t="n"/>
      <c r="W430" s="7" t="n"/>
      <c r="X430" s="7" t="inlineStr">
        <is>
          <t>NOT LOCATED — NOT YET RECOVERED</t>
        </is>
      </c>
      <c r="Y430" s="7" t="inlineStr">
        <is>
          <t>EXCLUDED</t>
        </is>
      </c>
      <c r="Z430" s="11" t="b">
        <v>0</v>
      </c>
      <c r="AA430" s="8" t="inlineStr">
        <is>
          <t>CURRENT EVIDENCE / STATUS</t>
        </is>
      </c>
    </row>
    <row r="431" ht="15.75" customHeight="1" s="29">
      <c r="A431" s="7" t="inlineStr">
        <is>
          <t>Q-426</t>
        </is>
      </c>
      <c r="B431" s="7" t="inlineStr">
        <is>
          <t>RNR-H54</t>
        </is>
      </c>
      <c r="C431" s="7" t="inlineStr">
        <is>
          <t>Without division</t>
        </is>
      </c>
      <c r="D431" s="7" t="inlineStr">
        <is>
          <t>Q</t>
        </is>
      </c>
      <c r="E431" s="7" t="inlineStr">
        <is>
          <t>Eastern Orthodox</t>
        </is>
      </c>
      <c r="F431" s="7" t="inlineStr">
        <is>
          <t>SINGLE</t>
        </is>
      </c>
      <c r="G431" s="7" t="inlineStr">
        <is>
          <t>TO RECOVER FROM SESSION 9 LEDGER</t>
        </is>
      </c>
      <c r="H431" s="7" t="inlineStr">
        <is>
          <t>NO PUBLIC TILE</t>
        </is>
      </c>
      <c r="I431" s="7" t="n"/>
      <c r="J431" s="7" t="n"/>
      <c r="K431" s="7" t="n"/>
      <c r="L431" s="7" t="n"/>
      <c r="M431" s="7" t="n"/>
      <c r="N431" s="7" t="n"/>
      <c r="O431" s="7" t="n"/>
      <c r="P431" s="7" t="n"/>
      <c r="Q431" s="7" t="inlineStr">
        <is>
          <t>NOT-ASSESSED</t>
        </is>
      </c>
      <c r="R431" s="7" t="n"/>
      <c r="S431" s="7" t="n"/>
      <c r="T431" s="7" t="n"/>
      <c r="U431" s="7" t="n"/>
      <c r="V431" s="7" t="n"/>
      <c r="W431" s="7" t="n"/>
      <c r="X431" s="7" t="inlineStr">
        <is>
          <t>NOT LOCATED — NOT YET RECOVERED</t>
        </is>
      </c>
      <c r="Y431" s="7" t="inlineStr">
        <is>
          <t>EXCLUDED</t>
        </is>
      </c>
      <c r="Z431" s="11" t="b">
        <v>0</v>
      </c>
      <c r="AA431" s="8" t="inlineStr">
        <is>
          <t>CURRENT EVIDENCE / STATUS</t>
        </is>
      </c>
    </row>
    <row r="432" ht="15.75" customHeight="1" s="29">
      <c r="A432" s="7" t="inlineStr">
        <is>
          <t>Q-427</t>
        </is>
      </c>
      <c r="B432" s="7" t="inlineStr">
        <is>
          <t>RNR-H54</t>
        </is>
      </c>
      <c r="C432" s="7" t="inlineStr">
        <is>
          <t>Without division</t>
        </is>
      </c>
      <c r="D432" s="7" t="inlineStr">
        <is>
          <t>Q</t>
        </is>
      </c>
      <c r="E432" s="7" t="inlineStr">
        <is>
          <t>Lutheran</t>
        </is>
      </c>
      <c r="F432" s="7" t="inlineStr">
        <is>
          <t>SINGLE</t>
        </is>
      </c>
      <c r="G432" s="7" t="inlineStr">
        <is>
          <t>TO RECOVER FROM SESSION 9 LEDGER</t>
        </is>
      </c>
      <c r="H432" s="7" t="inlineStr">
        <is>
          <t>NO PUBLIC TILE</t>
        </is>
      </c>
      <c r="I432" s="7" t="n"/>
      <c r="J432" s="7" t="n"/>
      <c r="K432" s="7" t="n"/>
      <c r="L432" s="7" t="n"/>
      <c r="M432" s="7" t="n"/>
      <c r="N432" s="7" t="n"/>
      <c r="O432" s="7" t="n"/>
      <c r="P432" s="7" t="n"/>
      <c r="Q432" s="7" t="inlineStr">
        <is>
          <t>NOT-ASSESSED</t>
        </is>
      </c>
      <c r="R432" s="7" t="n"/>
      <c r="S432" s="7" t="n"/>
      <c r="T432" s="7" t="n"/>
      <c r="U432" s="7" t="n"/>
      <c r="V432" s="7" t="n"/>
      <c r="W432" s="7" t="n"/>
      <c r="X432" s="7" t="inlineStr">
        <is>
          <t>NOT LOCATED — NOT YET RECOVERED</t>
        </is>
      </c>
      <c r="Y432" s="7" t="inlineStr">
        <is>
          <t>EXCLUDED</t>
        </is>
      </c>
      <c r="Z432" s="11" t="b">
        <v>0</v>
      </c>
      <c r="AA432" s="8" t="inlineStr">
        <is>
          <t>CURRENT EVIDENCE / STATUS</t>
        </is>
      </c>
    </row>
    <row r="433" ht="15.75" customHeight="1" s="29">
      <c r="A433" s="7" t="inlineStr">
        <is>
          <t>Q-428</t>
        </is>
      </c>
      <c r="B433" s="7" t="inlineStr">
        <is>
          <t>RNR-H54</t>
        </is>
      </c>
      <c r="C433" s="7" t="inlineStr">
        <is>
          <t>Without division</t>
        </is>
      </c>
      <c r="D433" s="7" t="inlineStr">
        <is>
          <t>Q</t>
        </is>
      </c>
      <c r="E433" s="7" t="inlineStr">
        <is>
          <t>Reformed / Presbyterian</t>
        </is>
      </c>
      <c r="F433" s="7" t="inlineStr">
        <is>
          <t>SINGLE</t>
        </is>
      </c>
      <c r="G433" s="7" t="inlineStr">
        <is>
          <t>TO RECOVER FROM SESSION 9 LEDGER</t>
        </is>
      </c>
      <c r="H433" s="7" t="inlineStr">
        <is>
          <t>NO PUBLIC TILE</t>
        </is>
      </c>
      <c r="I433" s="7" t="n"/>
      <c r="J433" s="7" t="n"/>
      <c r="K433" s="7" t="n"/>
      <c r="L433" s="7" t="n"/>
      <c r="M433" s="7" t="n"/>
      <c r="N433" s="7" t="n"/>
      <c r="O433" s="7" t="n"/>
      <c r="P433" s="7" t="n"/>
      <c r="Q433" s="7" t="inlineStr">
        <is>
          <t>NOT-ASSESSED</t>
        </is>
      </c>
      <c r="R433" s="7" t="n"/>
      <c r="S433" s="7" t="n"/>
      <c r="T433" s="7" t="n"/>
      <c r="U433" s="7" t="n"/>
      <c r="V433" s="7" t="n"/>
      <c r="W433" s="7" t="n"/>
      <c r="X433" s="7" t="inlineStr">
        <is>
          <t>NOT LOCATED — NOT YET RECOVERED</t>
        </is>
      </c>
      <c r="Y433" s="7" t="inlineStr">
        <is>
          <t>EXCLUDED</t>
        </is>
      </c>
      <c r="Z433" s="11" t="b">
        <v>0</v>
      </c>
      <c r="AA433" s="8" t="inlineStr">
        <is>
          <t>CURRENT EVIDENCE / STATUS</t>
        </is>
      </c>
    </row>
    <row r="434" ht="15.75" customHeight="1" s="29">
      <c r="A434" s="7" t="inlineStr">
        <is>
          <t>Q-429</t>
        </is>
      </c>
      <c r="B434" s="7" t="inlineStr">
        <is>
          <t>RNR-H54</t>
        </is>
      </c>
      <c r="C434" s="7" t="inlineStr">
        <is>
          <t>Without division</t>
        </is>
      </c>
      <c r="D434" s="7" t="inlineStr">
        <is>
          <t>Q</t>
        </is>
      </c>
      <c r="E434" s="7" t="inlineStr">
        <is>
          <t>Anglican</t>
        </is>
      </c>
      <c r="F434" s="7" t="inlineStr">
        <is>
          <t>SINGLE</t>
        </is>
      </c>
      <c r="G434" s="7" t="inlineStr">
        <is>
          <t>TO RECOVER FROM SESSION 9 LEDGER</t>
        </is>
      </c>
      <c r="H434" s="7" t="inlineStr">
        <is>
          <t>NO PUBLIC TILE</t>
        </is>
      </c>
      <c r="I434" s="7" t="n"/>
      <c r="J434" s="7" t="n"/>
      <c r="K434" s="7" t="n"/>
      <c r="L434" s="7" t="n"/>
      <c r="M434" s="7" t="n"/>
      <c r="N434" s="7" t="n"/>
      <c r="O434" s="7" t="n"/>
      <c r="P434" s="7" t="n"/>
      <c r="Q434" s="7" t="inlineStr">
        <is>
          <t>NOT-ASSESSED</t>
        </is>
      </c>
      <c r="R434" s="7" t="n"/>
      <c r="S434" s="7" t="n"/>
      <c r="T434" s="7" t="n"/>
      <c r="U434" s="7" t="n"/>
      <c r="V434" s="7" t="n"/>
      <c r="W434" s="7" t="n"/>
      <c r="X434" s="7" t="inlineStr">
        <is>
          <t>NOT LOCATED — NOT YET RECOVERED</t>
        </is>
      </c>
      <c r="Y434" s="7" t="inlineStr">
        <is>
          <t>EXCLUDED</t>
        </is>
      </c>
      <c r="Z434" s="11" t="b">
        <v>0</v>
      </c>
      <c r="AA434" s="8" t="inlineStr">
        <is>
          <t>CURRENT EVIDENCE / STATUS</t>
        </is>
      </c>
    </row>
    <row r="435" ht="15.75" customHeight="1" s="29">
      <c r="A435" s="7" t="inlineStr">
        <is>
          <t>Q-430</t>
        </is>
      </c>
      <c r="B435" s="7" t="inlineStr">
        <is>
          <t>RNR-H54</t>
        </is>
      </c>
      <c r="C435" s="7" t="inlineStr">
        <is>
          <t>Without division</t>
        </is>
      </c>
      <c r="D435" s="7" t="inlineStr">
        <is>
          <t>Q</t>
        </is>
      </c>
      <c r="E435" s="7" t="inlineStr">
        <is>
          <t>Baptist</t>
        </is>
      </c>
      <c r="F435" s="7" t="inlineStr">
        <is>
          <t>SINGLE</t>
        </is>
      </c>
      <c r="G435" s="7" t="inlineStr">
        <is>
          <t>TO RECOVER FROM SESSION 9 LEDGER</t>
        </is>
      </c>
      <c r="H435" s="7" t="inlineStr">
        <is>
          <t>NO PUBLIC TILE</t>
        </is>
      </c>
      <c r="I435" s="7" t="n"/>
      <c r="J435" s="7" t="n"/>
      <c r="K435" s="7" t="n"/>
      <c r="L435" s="7" t="n"/>
      <c r="M435" s="7" t="n"/>
      <c r="N435" s="7" t="n"/>
      <c r="O435" s="7" t="n"/>
      <c r="P435" s="7" t="n"/>
      <c r="Q435" s="7" t="inlineStr">
        <is>
          <t>NOT-ASSESSED</t>
        </is>
      </c>
      <c r="R435" s="7" t="n"/>
      <c r="S435" s="7" t="n"/>
      <c r="T435" s="7" t="n"/>
      <c r="U435" s="7" t="n"/>
      <c r="V435" s="7" t="n"/>
      <c r="W435" s="7" t="n"/>
      <c r="X435" s="7" t="inlineStr">
        <is>
          <t>NOT LOCATED — NOT YET RECOVERED</t>
        </is>
      </c>
      <c r="Y435" s="7" t="inlineStr">
        <is>
          <t>EXCLUDED</t>
        </is>
      </c>
      <c r="Z435" s="11" t="b">
        <v>0</v>
      </c>
      <c r="AA435" s="8" t="inlineStr">
        <is>
          <t>CURRENT EVIDENCE / STATUS</t>
        </is>
      </c>
    </row>
    <row r="436" ht="15.75" customHeight="1" s="29">
      <c r="A436" s="7" t="inlineStr">
        <is>
          <t>Q-431</t>
        </is>
      </c>
      <c r="B436" s="7" t="inlineStr">
        <is>
          <t>RNR-H54</t>
        </is>
      </c>
      <c r="C436" s="7" t="inlineStr">
        <is>
          <t>Without division</t>
        </is>
      </c>
      <c r="D436" s="7" t="inlineStr">
        <is>
          <t>Q</t>
        </is>
      </c>
      <c r="E436" s="7" t="inlineStr">
        <is>
          <t>Methodist / Wesleyan</t>
        </is>
      </c>
      <c r="F436" s="7" t="inlineStr">
        <is>
          <t>SINGLE</t>
        </is>
      </c>
      <c r="G436" s="7" t="inlineStr">
        <is>
          <t>TO RECOVER FROM SESSION 9 LEDGER</t>
        </is>
      </c>
      <c r="H436" s="7" t="inlineStr">
        <is>
          <t>NO PUBLIC TILE</t>
        </is>
      </c>
      <c r="I436" s="7" t="n"/>
      <c r="J436" s="7" t="n"/>
      <c r="K436" s="7" t="n"/>
      <c r="L436" s="7" t="n"/>
      <c r="M436" s="7" t="n"/>
      <c r="N436" s="7" t="n"/>
      <c r="O436" s="7" t="n"/>
      <c r="P436" s="7" t="n"/>
      <c r="Q436" s="7" t="inlineStr">
        <is>
          <t>NOT-ASSESSED</t>
        </is>
      </c>
      <c r="R436" s="7" t="n"/>
      <c r="S436" s="7" t="n"/>
      <c r="T436" s="7" t="n"/>
      <c r="U436" s="7" t="n"/>
      <c r="V436" s="7" t="n"/>
      <c r="W436" s="7" t="n"/>
      <c r="X436" s="7" t="inlineStr">
        <is>
          <t>NOT LOCATED — NOT YET RECOVERED</t>
        </is>
      </c>
      <c r="Y436" s="7" t="inlineStr">
        <is>
          <t>EXCLUDED</t>
        </is>
      </c>
      <c r="Z436" s="11" t="b">
        <v>0</v>
      </c>
      <c r="AA436" s="8" t="inlineStr">
        <is>
          <t>CURRENT EVIDENCE / STATUS</t>
        </is>
      </c>
    </row>
    <row r="437" ht="15.75" customHeight="1" s="29">
      <c r="A437" s="7" t="inlineStr">
        <is>
          <t>Q-432</t>
        </is>
      </c>
      <c r="B437" s="7" t="inlineStr">
        <is>
          <t>RNR-H54</t>
        </is>
      </c>
      <c r="C437" s="7" t="inlineStr">
        <is>
          <t>Without division</t>
        </is>
      </c>
      <c r="D437" s="7" t="inlineStr">
        <is>
          <t>Q</t>
        </is>
      </c>
      <c r="E437" s="7" t="inlineStr">
        <is>
          <t>Mennonite / Anabaptist</t>
        </is>
      </c>
      <c r="F437" s="7" t="inlineStr">
        <is>
          <t>SINGLE</t>
        </is>
      </c>
      <c r="G437" s="7" t="inlineStr">
        <is>
          <t>TO RECOVER FROM SESSION 9 LEDGER</t>
        </is>
      </c>
      <c r="H437" s="7" t="inlineStr">
        <is>
          <t>NO PUBLIC TILE</t>
        </is>
      </c>
      <c r="I437" s="7" t="n"/>
      <c r="J437" s="7" t="n"/>
      <c r="K437" s="7" t="n"/>
      <c r="L437" s="7" t="n"/>
      <c r="M437" s="7" t="n"/>
      <c r="N437" s="7" t="n"/>
      <c r="O437" s="7" t="n"/>
      <c r="P437" s="7" t="n"/>
      <c r="Q437" s="7" t="inlineStr">
        <is>
          <t>NOT-ASSESSED</t>
        </is>
      </c>
      <c r="R437" s="7" t="n"/>
      <c r="S437" s="7" t="n"/>
      <c r="T437" s="7" t="n"/>
      <c r="U437" s="7" t="n"/>
      <c r="V437" s="7" t="n"/>
      <c r="W437" s="7" t="n"/>
      <c r="X437" s="7" t="inlineStr">
        <is>
          <t>NOT LOCATED — NOT YET RECOVERED</t>
        </is>
      </c>
      <c r="Y437" s="7" t="inlineStr">
        <is>
          <t>EXCLUDED</t>
        </is>
      </c>
      <c r="Z437" s="11" t="b">
        <v>0</v>
      </c>
      <c r="AA437" s="8" t="inlineStr">
        <is>
          <t>CURRENT EVIDENCE / STATUS</t>
        </is>
      </c>
    </row>
    <row r="438" ht="15.75" customHeight="1" s="29">
      <c r="A438" s="7" t="inlineStr">
        <is>
          <t>Q-433</t>
        </is>
      </c>
      <c r="B438" s="7" t="inlineStr">
        <is>
          <t>RNR-H55</t>
        </is>
      </c>
      <c r="C438" s="7" t="inlineStr">
        <is>
          <t>Without separation</t>
        </is>
      </c>
      <c r="D438" s="7" t="inlineStr">
        <is>
          <t>Q</t>
        </is>
      </c>
      <c r="E438" s="7" t="inlineStr">
        <is>
          <t>Roman Catholic</t>
        </is>
      </c>
      <c r="F438" s="7" t="inlineStr">
        <is>
          <t>SINGLE</t>
        </is>
      </c>
      <c r="G438" s="7" t="inlineStr">
        <is>
          <t>SESSION 9 SOURCE ROW RECOVERED</t>
        </is>
      </c>
      <c r="H438" s="7" t="inlineStr">
        <is>
          <t>PUBLIC-CERTIFIED</t>
        </is>
      </c>
      <c r="I438" s="7" t="inlineStr">
        <is>
          <t>RNR-H55a</t>
        </is>
      </c>
      <c r="J438" s="7" t="inlineStr">
        <is>
          <t>Q</t>
        </is>
      </c>
      <c r="K438" s="7" t="inlineStr">
        <is>
          <t>Roman Catholic Church</t>
        </is>
      </c>
      <c r="L438" s="7" t="inlineStr">
        <is>
          <t>Third Council of Constantinople / CCC restatement</t>
        </is>
      </c>
      <c r="M438" s="7" t="inlineStr">
        <is>
          <t>CCC 475</t>
        </is>
      </c>
      <c r="N438" s="7" t="inlineStr">
        <is>
          <t>https://www.vatican.va/content/catechism/en/part_one/section_two/chapter_two/artcile_3.html</t>
        </is>
      </c>
      <c r="O438" s="7" t="inlineStr">
        <is>
          <t>https://www.vatican.va/content/catechism/en/part_one/section_two/chapter_two/artcile_3.html</t>
        </is>
      </c>
      <c r="P438" s="7" t="inlineStr">
        <is>
          <t>S9-IA-0328 / S8-IA-0328</t>
        </is>
      </c>
      <c r="Q438" s="7" t="inlineStr">
        <is>
          <t>HIGH</t>
        </is>
      </c>
      <c r="R438" s="7" t="inlineStr">
        <is>
          <t>Catholic scope.</t>
        </is>
      </c>
      <c r="S438" s="7" t="inlineStr">
        <is>
          <t>NO</t>
        </is>
      </c>
      <c r="T438" s="7" t="inlineStr">
        <is>
          <t>Q</t>
        </is>
      </c>
      <c r="U438" s="7" t="n"/>
      <c r="V438" s="7" t="inlineStr">
        <is>
          <t>CERTIFIED</t>
        </is>
      </c>
      <c r="W438" s="7" t="n"/>
      <c r="X438" s="7" t="inlineStr">
        <is>
          <t>Q</t>
        </is>
      </c>
      <c r="Y438" s="7" t="inlineStr">
        <is>
          <t>Q</t>
        </is>
      </c>
      <c r="Z438" s="11" t="b">
        <v>0</v>
      </c>
      <c r="AA438" s="8" t="inlineStr">
        <is>
          <t>CURRENT EVIDENCE / STATUS</t>
        </is>
      </c>
    </row>
    <row r="439" ht="15.75" customHeight="1" s="29">
      <c r="A439" s="7" t="inlineStr">
        <is>
          <t>Q-434</t>
        </is>
      </c>
      <c r="B439" s="7" t="inlineStr">
        <is>
          <t>RNR-H55</t>
        </is>
      </c>
      <c r="C439" s="7" t="inlineStr">
        <is>
          <t>Without separation</t>
        </is>
      </c>
      <c r="D439" s="7" t="inlineStr">
        <is>
          <t>Q</t>
        </is>
      </c>
      <c r="E439" s="7" t="inlineStr">
        <is>
          <t>Eastern Orthodox</t>
        </is>
      </c>
      <c r="F439" s="7" t="inlineStr">
        <is>
          <t>SINGLE</t>
        </is>
      </c>
      <c r="G439" s="7" t="inlineStr">
        <is>
          <t>SESSION 9 SOURCE ROW RECOVERED</t>
        </is>
      </c>
      <c r="H439" s="7" t="inlineStr">
        <is>
          <t>PUBLIC-CERTIFIED</t>
        </is>
      </c>
      <c r="I439" s="7" t="inlineStr">
        <is>
          <t>RNR-H55a</t>
        </is>
      </c>
      <c r="J439" s="7" t="inlineStr">
        <is>
          <t>Q</t>
        </is>
      </c>
      <c r="K439" s="7" t="inlineStr">
        <is>
          <t>Orthodox Church in America</t>
        </is>
      </c>
      <c r="L439" s="7" t="inlineStr">
        <is>
          <t>Third Council of Constantinople</t>
        </is>
      </c>
      <c r="M439" s="7" t="inlineStr">
        <is>
          <t>Sixth Ecumenical Council</t>
        </is>
      </c>
      <c r="N439" s="7" t="inlineStr">
        <is>
          <t>https://www.oca.org/orthodoxy/the-orthodox-faith/church-history/seventh-century/the-sixth-ecumenical-council</t>
        </is>
      </c>
      <c r="O439" s="7" t="inlineStr">
        <is>
          <t>https://www.oca.org/orthodoxy/the-orthodox-faith/church-history/seventh-century/the-sixth-ecumenical-council</t>
        </is>
      </c>
      <c r="P439" s="7" t="inlineStr">
        <is>
          <t>S9-IA-0329 / S8-IA-0329</t>
        </is>
      </c>
      <c r="Q439" s="7" t="inlineStr">
        <is>
          <t>HIGH</t>
        </is>
      </c>
      <c r="R439" s="7" t="inlineStr">
        <is>
          <t>OCA scope.</t>
        </is>
      </c>
      <c r="S439" s="7" t="inlineStr">
        <is>
          <t>NO</t>
        </is>
      </c>
      <c r="T439" s="7" t="inlineStr">
        <is>
          <t>Q</t>
        </is>
      </c>
      <c r="U439" s="7" t="n"/>
      <c r="V439" s="7" t="inlineStr">
        <is>
          <t>CERTIFIED</t>
        </is>
      </c>
      <c r="W439" s="7" t="n"/>
      <c r="X439" s="7" t="inlineStr">
        <is>
          <t>Q</t>
        </is>
      </c>
      <c r="Y439" s="7" t="inlineStr">
        <is>
          <t>Q</t>
        </is>
      </c>
      <c r="Z439" s="11" t="b">
        <v>0</v>
      </c>
      <c r="AA439" s="8" t="inlineStr">
        <is>
          <t>CURRENT EVIDENCE / STATUS</t>
        </is>
      </c>
    </row>
    <row r="440" ht="15.75" customHeight="1" s="29">
      <c r="A440" s="7" t="inlineStr">
        <is>
          <t>Q-435</t>
        </is>
      </c>
      <c r="B440" s="7" t="inlineStr">
        <is>
          <t>RNR-H55</t>
        </is>
      </c>
      <c r="C440" s="7" t="inlineStr">
        <is>
          <t>Without separation</t>
        </is>
      </c>
      <c r="D440" s="7" t="inlineStr">
        <is>
          <t>Q</t>
        </is>
      </c>
      <c r="E440" s="7" t="inlineStr">
        <is>
          <t>Lutheran</t>
        </is>
      </c>
      <c r="F440" s="7" t="inlineStr">
        <is>
          <t>SINGLE</t>
        </is>
      </c>
      <c r="G440" s="7" t="inlineStr">
        <is>
          <t>TO RECOVER FROM SESSION 9 LEDGER</t>
        </is>
      </c>
      <c r="H440" s="7" t="inlineStr">
        <is>
          <t>NO PUBLIC TILE</t>
        </is>
      </c>
      <c r="I440" s="7" t="n"/>
      <c r="J440" s="7" t="n"/>
      <c r="K440" s="7" t="n"/>
      <c r="L440" s="7" t="n"/>
      <c r="M440" s="7" t="n"/>
      <c r="N440" s="7" t="n"/>
      <c r="O440" s="7" t="n"/>
      <c r="P440" s="7" t="n"/>
      <c r="Q440" s="7" t="inlineStr">
        <is>
          <t>NOT-ASSESSED</t>
        </is>
      </c>
      <c r="R440" s="7" t="n"/>
      <c r="S440" s="7" t="n"/>
      <c r="T440" s="7" t="n"/>
      <c r="U440" s="7" t="n"/>
      <c r="V440" s="7" t="n"/>
      <c r="W440" s="7" t="n"/>
      <c r="X440" s="7" t="inlineStr">
        <is>
          <t>NOT LOCATED — NOT YET RECOVERED</t>
        </is>
      </c>
      <c r="Y440" s="7" t="inlineStr">
        <is>
          <t>EXCLUDED</t>
        </is>
      </c>
      <c r="Z440" s="11" t="b">
        <v>0</v>
      </c>
      <c r="AA440" s="8" t="inlineStr">
        <is>
          <t>CURRENT EVIDENCE / STATUS</t>
        </is>
      </c>
    </row>
    <row r="441" ht="15.75" customHeight="1" s="29">
      <c r="A441" s="7" t="inlineStr">
        <is>
          <t>Q-436</t>
        </is>
      </c>
      <c r="B441" s="7" t="inlineStr">
        <is>
          <t>RNR-H55</t>
        </is>
      </c>
      <c r="C441" s="7" t="inlineStr">
        <is>
          <t>Without separation</t>
        </is>
      </c>
      <c r="D441" s="7" t="inlineStr">
        <is>
          <t>Q</t>
        </is>
      </c>
      <c r="E441" s="7" t="inlineStr">
        <is>
          <t>Reformed / Presbyterian</t>
        </is>
      </c>
      <c r="F441" s="7" t="inlineStr">
        <is>
          <t>SINGLE</t>
        </is>
      </c>
      <c r="G441" s="7" t="inlineStr">
        <is>
          <t>TO RECOVER FROM SESSION 9 LEDGER</t>
        </is>
      </c>
      <c r="H441" s="7" t="inlineStr">
        <is>
          <t>NO PUBLIC TILE</t>
        </is>
      </c>
      <c r="I441" s="7" t="n"/>
      <c r="J441" s="7" t="n"/>
      <c r="K441" s="7" t="n"/>
      <c r="L441" s="7" t="n"/>
      <c r="M441" s="7" t="n"/>
      <c r="N441" s="7" t="n"/>
      <c r="O441" s="7" t="n"/>
      <c r="P441" s="7" t="n"/>
      <c r="Q441" s="7" t="inlineStr">
        <is>
          <t>NOT-ASSESSED</t>
        </is>
      </c>
      <c r="R441" s="7" t="n"/>
      <c r="S441" s="7" t="n"/>
      <c r="T441" s="7" t="n"/>
      <c r="U441" s="7" t="n"/>
      <c r="V441" s="7" t="n"/>
      <c r="W441" s="7" t="n"/>
      <c r="X441" s="7" t="inlineStr">
        <is>
          <t>NOT LOCATED — NOT YET RECOVERED</t>
        </is>
      </c>
      <c r="Y441" s="7" t="inlineStr">
        <is>
          <t>EXCLUDED</t>
        </is>
      </c>
      <c r="Z441" s="11" t="b">
        <v>0</v>
      </c>
      <c r="AA441" s="8" t="inlineStr">
        <is>
          <t>CURRENT EVIDENCE / STATUS</t>
        </is>
      </c>
    </row>
    <row r="442" ht="15.75" customHeight="1" s="29">
      <c r="A442" s="7" t="inlineStr">
        <is>
          <t>Q-437</t>
        </is>
      </c>
      <c r="B442" s="7" t="inlineStr">
        <is>
          <t>RNR-H55</t>
        </is>
      </c>
      <c r="C442" s="7" t="inlineStr">
        <is>
          <t>Without separation</t>
        </is>
      </c>
      <c r="D442" s="7" t="inlineStr">
        <is>
          <t>Q</t>
        </is>
      </c>
      <c r="E442" s="7" t="inlineStr">
        <is>
          <t>Anglican</t>
        </is>
      </c>
      <c r="F442" s="7" t="inlineStr">
        <is>
          <t>SINGLE</t>
        </is>
      </c>
      <c r="G442" s="7" t="inlineStr">
        <is>
          <t>TO RECOVER FROM SESSION 9 LEDGER</t>
        </is>
      </c>
      <c r="H442" s="7" t="inlineStr">
        <is>
          <t>NO PUBLIC TILE</t>
        </is>
      </c>
      <c r="I442" s="7" t="n"/>
      <c r="J442" s="7" t="n"/>
      <c r="K442" s="7" t="n"/>
      <c r="L442" s="7" t="n"/>
      <c r="M442" s="7" t="n"/>
      <c r="N442" s="7" t="n"/>
      <c r="O442" s="7" t="n"/>
      <c r="P442" s="7" t="n"/>
      <c r="Q442" s="7" t="inlineStr">
        <is>
          <t>NOT-ASSESSED</t>
        </is>
      </c>
      <c r="R442" s="7" t="n"/>
      <c r="S442" s="7" t="n"/>
      <c r="T442" s="7" t="n"/>
      <c r="U442" s="7" t="n"/>
      <c r="V442" s="7" t="n"/>
      <c r="W442" s="7" t="n"/>
      <c r="X442" s="7" t="inlineStr">
        <is>
          <t>NOT LOCATED — NOT YET RECOVERED</t>
        </is>
      </c>
      <c r="Y442" s="7" t="inlineStr">
        <is>
          <t>EXCLUDED</t>
        </is>
      </c>
      <c r="Z442" s="11" t="b">
        <v>0</v>
      </c>
      <c r="AA442" s="8" t="inlineStr">
        <is>
          <t>CURRENT EVIDENCE / STATUS</t>
        </is>
      </c>
    </row>
    <row r="443" ht="15.75" customHeight="1" s="29">
      <c r="A443" s="7" t="inlineStr">
        <is>
          <t>Q-438</t>
        </is>
      </c>
      <c r="B443" s="7" t="inlineStr">
        <is>
          <t>RNR-H55</t>
        </is>
      </c>
      <c r="C443" s="7" t="inlineStr">
        <is>
          <t>Without separation</t>
        </is>
      </c>
      <c r="D443" s="7" t="inlineStr">
        <is>
          <t>Q</t>
        </is>
      </c>
      <c r="E443" s="7" t="inlineStr">
        <is>
          <t>Baptist</t>
        </is>
      </c>
      <c r="F443" s="7" t="inlineStr">
        <is>
          <t>SINGLE</t>
        </is>
      </c>
      <c r="G443" s="7" t="inlineStr">
        <is>
          <t>TO RECOVER FROM SESSION 9 LEDGER</t>
        </is>
      </c>
      <c r="H443" s="7" t="inlineStr">
        <is>
          <t>NO PUBLIC TILE</t>
        </is>
      </c>
      <c r="I443" s="7" t="n"/>
      <c r="J443" s="7" t="n"/>
      <c r="K443" s="7" t="n"/>
      <c r="L443" s="7" t="n"/>
      <c r="M443" s="7" t="n"/>
      <c r="N443" s="7" t="n"/>
      <c r="O443" s="7" t="n"/>
      <c r="P443" s="7" t="n"/>
      <c r="Q443" s="7" t="inlineStr">
        <is>
          <t>NOT-ASSESSED</t>
        </is>
      </c>
      <c r="R443" s="7" t="n"/>
      <c r="S443" s="7" t="n"/>
      <c r="T443" s="7" t="n"/>
      <c r="U443" s="7" t="n"/>
      <c r="V443" s="7" t="n"/>
      <c r="W443" s="7" t="n"/>
      <c r="X443" s="7" t="inlineStr">
        <is>
          <t>NOT LOCATED — NOT YET RECOVERED</t>
        </is>
      </c>
      <c r="Y443" s="7" t="inlineStr">
        <is>
          <t>EXCLUDED</t>
        </is>
      </c>
      <c r="Z443" s="11" t="b">
        <v>0</v>
      </c>
      <c r="AA443" s="8" t="inlineStr">
        <is>
          <t>CURRENT EVIDENCE / STATUS</t>
        </is>
      </c>
    </row>
    <row r="444" ht="15.75" customHeight="1" s="29">
      <c r="A444" s="7" t="inlineStr">
        <is>
          <t>Q-439</t>
        </is>
      </c>
      <c r="B444" s="7" t="inlineStr">
        <is>
          <t>RNR-H55</t>
        </is>
      </c>
      <c r="C444" s="7" t="inlineStr">
        <is>
          <t>Without separation</t>
        </is>
      </c>
      <c r="D444" s="7" t="inlineStr">
        <is>
          <t>Q</t>
        </is>
      </c>
      <c r="E444" s="7" t="inlineStr">
        <is>
          <t>Methodist / Wesleyan</t>
        </is>
      </c>
      <c r="F444" s="7" t="inlineStr">
        <is>
          <t>SINGLE</t>
        </is>
      </c>
      <c r="G444" s="7" t="inlineStr">
        <is>
          <t>TO RECOVER FROM SESSION 9 LEDGER</t>
        </is>
      </c>
      <c r="H444" s="7" t="inlineStr">
        <is>
          <t>NO PUBLIC TILE</t>
        </is>
      </c>
      <c r="I444" s="7" t="n"/>
      <c r="J444" s="7" t="n"/>
      <c r="K444" s="7" t="n"/>
      <c r="L444" s="7" t="n"/>
      <c r="M444" s="7" t="n"/>
      <c r="N444" s="7" t="n"/>
      <c r="O444" s="7" t="n"/>
      <c r="P444" s="7" t="n"/>
      <c r="Q444" s="7" t="inlineStr">
        <is>
          <t>NOT-ASSESSED</t>
        </is>
      </c>
      <c r="R444" s="7" t="n"/>
      <c r="S444" s="7" t="n"/>
      <c r="T444" s="7" t="n"/>
      <c r="U444" s="7" t="n"/>
      <c r="V444" s="7" t="n"/>
      <c r="W444" s="7" t="n"/>
      <c r="X444" s="7" t="inlineStr">
        <is>
          <t>NOT LOCATED — NOT YET RECOVERED</t>
        </is>
      </c>
      <c r="Y444" s="7" t="inlineStr">
        <is>
          <t>EXCLUDED</t>
        </is>
      </c>
      <c r="Z444" s="11" t="b">
        <v>0</v>
      </c>
      <c r="AA444" s="8" t="inlineStr">
        <is>
          <t>CURRENT EVIDENCE / STATUS</t>
        </is>
      </c>
    </row>
    <row r="445" ht="15.75" customHeight="1" s="29">
      <c r="A445" s="7" t="inlineStr">
        <is>
          <t>Q-440</t>
        </is>
      </c>
      <c r="B445" s="7" t="inlineStr">
        <is>
          <t>RNR-H55</t>
        </is>
      </c>
      <c r="C445" s="7" t="inlineStr">
        <is>
          <t>Without separation</t>
        </is>
      </c>
      <c r="D445" s="7" t="inlineStr">
        <is>
          <t>Q</t>
        </is>
      </c>
      <c r="E445" s="7" t="inlineStr">
        <is>
          <t>Mennonite / Anabaptist</t>
        </is>
      </c>
      <c r="F445" s="7" t="inlineStr">
        <is>
          <t>SINGLE</t>
        </is>
      </c>
      <c r="G445" s="7" t="inlineStr">
        <is>
          <t>TO RECOVER FROM SESSION 9 LEDGER</t>
        </is>
      </c>
      <c r="H445" s="7" t="inlineStr">
        <is>
          <t>NO PUBLIC TILE</t>
        </is>
      </c>
      <c r="I445" s="7" t="n"/>
      <c r="J445" s="7" t="n"/>
      <c r="K445" s="7" t="n"/>
      <c r="L445" s="7" t="n"/>
      <c r="M445" s="7" t="n"/>
      <c r="N445" s="7" t="n"/>
      <c r="O445" s="7" t="n"/>
      <c r="P445" s="7" t="n"/>
      <c r="Q445" s="7" t="inlineStr">
        <is>
          <t>NOT-ASSESSED</t>
        </is>
      </c>
      <c r="R445" s="7" t="n"/>
      <c r="S445" s="7" t="n"/>
      <c r="T445" s="7" t="n"/>
      <c r="U445" s="7" t="n"/>
      <c r="V445" s="7" t="n"/>
      <c r="W445" s="7" t="n"/>
      <c r="X445" s="7" t="inlineStr">
        <is>
          <t>NOT LOCATED — NOT YET RECOVERED</t>
        </is>
      </c>
      <c r="Y445" s="7" t="inlineStr">
        <is>
          <t>EXCLUDED</t>
        </is>
      </c>
      <c r="Z445" s="11" t="b">
        <v>0</v>
      </c>
      <c r="AA445" s="8" t="inlineStr">
        <is>
          <t>CURRENT EVIDENCE / STATUS</t>
        </is>
      </c>
    </row>
    <row r="446" ht="15.75" customHeight="1" s="29">
      <c r="A446" s="7" t="inlineStr">
        <is>
          <t>Q-441</t>
        </is>
      </c>
      <c r="B446" s="7" t="inlineStr">
        <is>
          <t>RNR-H56</t>
        </is>
      </c>
      <c r="C446" s="7" t="inlineStr">
        <is>
          <t>Neither confounding nor dividing</t>
        </is>
      </c>
      <c r="D446" s="7" t="inlineStr">
        <is>
          <t>Q</t>
        </is>
      </c>
      <c r="E446" s="7" t="inlineStr">
        <is>
          <t>Roman Catholic</t>
        </is>
      </c>
      <c r="F446" s="7" t="inlineStr">
        <is>
          <t>VECTOR REQUIRED</t>
        </is>
      </c>
      <c r="G446" s="7" t="inlineStr">
        <is>
          <t>TO RECOVER FROM SESSION 9 LEDGER</t>
        </is>
      </c>
      <c r="H446" s="7" t="inlineStr">
        <is>
          <t>NO PUBLIC TILE</t>
        </is>
      </c>
      <c r="I446" s="7" t="n"/>
      <c r="J446" s="7" t="n"/>
      <c r="K446" s="7" t="n"/>
      <c r="L446" s="7" t="n"/>
      <c r="M446" s="7" t="n"/>
      <c r="N446" s="7" t="n"/>
      <c r="O446" s="7" t="n"/>
      <c r="P446" s="7" t="n"/>
      <c r="Q446" s="7" t="inlineStr">
        <is>
          <t>NOT-ASSESSED</t>
        </is>
      </c>
      <c r="R446" s="7" t="n"/>
      <c r="S446" s="7" t="n"/>
      <c r="T446" s="7" t="n"/>
      <c r="U446" s="7" t="n"/>
      <c r="V446" s="7" t="n"/>
      <c r="W446" s="7" t="n"/>
      <c r="X446" s="7" t="inlineStr">
        <is>
          <t>NOT LOCATED — NOT YET RECOVERED</t>
        </is>
      </c>
      <c r="Y446" s="7" t="inlineStr">
        <is>
          <t>EXCLUDED</t>
        </is>
      </c>
      <c r="Z446" s="11" t="b">
        <v>0</v>
      </c>
      <c r="AA446" s="8" t="inlineStr">
        <is>
          <t>CURRENT EVIDENCE / STATUS</t>
        </is>
      </c>
    </row>
    <row r="447" ht="15.75" customHeight="1" s="29">
      <c r="A447" s="7" t="inlineStr">
        <is>
          <t>Q-442</t>
        </is>
      </c>
      <c r="B447" s="7" t="inlineStr">
        <is>
          <t>RNR-H56</t>
        </is>
      </c>
      <c r="C447" s="7" t="inlineStr">
        <is>
          <t>Neither confounding nor dividing</t>
        </is>
      </c>
      <c r="D447" s="7" t="inlineStr">
        <is>
          <t>Q</t>
        </is>
      </c>
      <c r="E447" s="7" t="inlineStr">
        <is>
          <t>Eastern Orthodox</t>
        </is>
      </c>
      <c r="F447" s="7" t="inlineStr">
        <is>
          <t>VECTOR REQUIRED</t>
        </is>
      </c>
      <c r="G447" s="7" t="inlineStr">
        <is>
          <t>TO RECOVER FROM SESSION 9 LEDGER</t>
        </is>
      </c>
      <c r="H447" s="7" t="inlineStr">
        <is>
          <t>NO PUBLIC TILE</t>
        </is>
      </c>
      <c r="I447" s="7" t="n"/>
      <c r="J447" s="7" t="n"/>
      <c r="K447" s="7" t="n"/>
      <c r="L447" s="7" t="n"/>
      <c r="M447" s="7" t="n"/>
      <c r="N447" s="7" t="n"/>
      <c r="O447" s="7" t="n"/>
      <c r="P447" s="7" t="n"/>
      <c r="Q447" s="7" t="inlineStr">
        <is>
          <t>NOT-ASSESSED</t>
        </is>
      </c>
      <c r="R447" s="7" t="n"/>
      <c r="S447" s="7" t="n"/>
      <c r="T447" s="7" t="n"/>
      <c r="U447" s="7" t="n"/>
      <c r="V447" s="7" t="n"/>
      <c r="W447" s="7" t="n"/>
      <c r="X447" s="7" t="inlineStr">
        <is>
          <t>NOT LOCATED — NOT YET RECOVERED</t>
        </is>
      </c>
      <c r="Y447" s="7" t="inlineStr">
        <is>
          <t>EXCLUDED</t>
        </is>
      </c>
      <c r="Z447" s="11" t="b">
        <v>0</v>
      </c>
      <c r="AA447" s="8" t="inlineStr">
        <is>
          <t>CURRENT EVIDENCE / STATUS</t>
        </is>
      </c>
    </row>
    <row r="448" ht="15.75" customHeight="1" s="29">
      <c r="A448" s="7" t="inlineStr">
        <is>
          <t>Q-443</t>
        </is>
      </c>
      <c r="B448" s="7" t="inlineStr">
        <is>
          <t>RNR-H56</t>
        </is>
      </c>
      <c r="C448" s="7" t="inlineStr">
        <is>
          <t>Neither confounding nor dividing</t>
        </is>
      </c>
      <c r="D448" s="7" t="inlineStr">
        <is>
          <t>Q</t>
        </is>
      </c>
      <c r="E448" s="7" t="inlineStr">
        <is>
          <t>Lutheran</t>
        </is>
      </c>
      <c r="F448" s="7" t="inlineStr">
        <is>
          <t>VECTOR REQUIRED</t>
        </is>
      </c>
      <c r="G448" s="7" t="inlineStr">
        <is>
          <t>SESSION 9 SOURCE ROW RECOVERED</t>
        </is>
      </c>
      <c r="H448" s="7" t="inlineStr">
        <is>
          <t>ATOMIC VECTOR — NOT YET FAMILY TILE</t>
        </is>
      </c>
      <c r="I448" s="7" t="inlineStr">
        <is>
          <t>RNR-H56a + RNR-H56b</t>
        </is>
      </c>
      <c r="J448" s="7" t="inlineStr">
        <is>
          <t>A + D</t>
        </is>
      </c>
      <c r="K448" s="7" t="inlineStr">
        <is>
          <t>Lutheran Church—Missouri Synod</t>
        </is>
      </c>
      <c r="L448" s="7" t="inlineStr">
        <is>
          <t>Athanasian Creed</t>
        </is>
      </c>
      <c r="M448" s="7" t="inlineStr">
        <is>
          <t>Trinity and person/substance clauses</t>
        </is>
      </c>
      <c r="N448" s="7" t="inlineStr">
        <is>
          <t>https://www.lcms.org/about/beliefs/lutheran-confessions</t>
        </is>
      </c>
      <c r="O448" s="7" t="inlineStr">
        <is>
          <t>https://bookofconcord.org/ecumenical-creeds/athanasian-creed/</t>
        </is>
      </c>
      <c r="P448" s="7" t="inlineStr">
        <is>
          <t>S9-IA-0330 &amp; S9-IA-0332</t>
        </is>
      </c>
      <c r="Q448" s="7" t="inlineStr">
        <is>
          <t>HIGH</t>
        </is>
      </c>
      <c r="R448" s="7" t="inlineStr">
        <is>
          <t>LCMS scope; two distinct semantic layers.</t>
        </is>
      </c>
      <c r="S448" s="7" t="inlineStr">
        <is>
          <t>YES</t>
        </is>
      </c>
      <c r="T448" s="7" t="n"/>
      <c r="U448" s="7" t="inlineStr">
        <is>
          <t>H56a relational distinction = A; H56b one-substance metaphysics = D. Public family must be vector.</t>
        </is>
      </c>
      <c r="V448" s="7" t="inlineStr">
        <is>
          <t>PENDING REVIEW</t>
        </is>
      </c>
      <c r="W448" s="7" t="n"/>
      <c r="X448" s="7" t="inlineStr">
        <is>
          <t>VECTOR PENDING</t>
        </is>
      </c>
      <c r="Y448" s="7" t="inlineStr">
        <is>
          <t>EXCLUDED</t>
        </is>
      </c>
      <c r="Z448" s="11" t="b">
        <v>0</v>
      </c>
      <c r="AA448" s="8" t="inlineStr">
        <is>
          <t>CURRENT EVIDENCE / STATUS</t>
        </is>
      </c>
    </row>
    <row r="449" ht="15.75" customHeight="1" s="29">
      <c r="A449" s="7" t="inlineStr">
        <is>
          <t>Q-444</t>
        </is>
      </c>
      <c r="B449" s="7" t="inlineStr">
        <is>
          <t>RNR-H56</t>
        </is>
      </c>
      <c r="C449" s="7" t="inlineStr">
        <is>
          <t>Neither confounding nor dividing</t>
        </is>
      </c>
      <c r="D449" s="7" t="inlineStr">
        <is>
          <t>Q</t>
        </is>
      </c>
      <c r="E449" s="7" t="inlineStr">
        <is>
          <t>Reformed / Presbyterian</t>
        </is>
      </c>
      <c r="F449" s="7" t="inlineStr">
        <is>
          <t>VECTOR REQUIRED</t>
        </is>
      </c>
      <c r="G449" s="7" t="inlineStr">
        <is>
          <t>SESSION 9 SOURCE ROW RECOVERED</t>
        </is>
      </c>
      <c r="H449" s="7" t="inlineStr">
        <is>
          <t>ATOMIC VECTOR — NOT YET FAMILY TILE</t>
        </is>
      </c>
      <c r="I449" s="7" t="inlineStr">
        <is>
          <t>RNR-H56a + RNR-H56b</t>
        </is>
      </c>
      <c r="J449" s="7" t="inlineStr">
        <is>
          <t>A + D</t>
        </is>
      </c>
      <c r="K449" s="7" t="inlineStr">
        <is>
          <t>Presbyterian Church (U.S.A.)</t>
        </is>
      </c>
      <c r="L449" s="7" t="inlineStr">
        <is>
          <t>Second Helvetic Confession</t>
        </is>
      </c>
      <c r="M449" s="7" t="inlineStr">
        <is>
          <t>Chapter III / 5.001 onward</t>
        </is>
      </c>
      <c r="N449" s="7" t="inlineStr">
        <is>
          <t>https://pcusa.org/about-pcusa/agencies-entities/life-witness/ministry-areas/constitutional-interpretation/constitution</t>
        </is>
      </c>
      <c r="O449" s="7" t="inlineStr">
        <is>
          <t>https://pcusa.org/sites/default/files/boc2016.pdf</t>
        </is>
      </c>
      <c r="P449" s="7" t="inlineStr">
        <is>
          <t>S9-IA-0331 &amp; S9-IA-0333</t>
        </is>
      </c>
      <c r="Q449" s="7" t="inlineStr">
        <is>
          <t>MEDIUM-HIGH</t>
        </is>
      </c>
      <c r="R449" s="7" t="inlineStr">
        <is>
          <t>PC(USA) scope; two distinct semantic layers.</t>
        </is>
      </c>
      <c r="S449" s="7" t="inlineStr">
        <is>
          <t>YES</t>
        </is>
      </c>
      <c r="T449" s="7" t="n"/>
      <c r="U449" s="7" t="inlineStr">
        <is>
          <t>H56a relational distinction = A; H56b one-substance metaphysics = D. Public family must be vector. | PC(USA) authority page and direct Book of Confessions PDF repaired in v2.9. | PC(USA) Text URL repaired to live Book of Confessions PDF in v2.10.</t>
        </is>
      </c>
      <c r="V449" s="7" t="inlineStr">
        <is>
          <t>PENDING REVIEW</t>
        </is>
      </c>
      <c r="W449" s="7" t="n"/>
      <c r="X449" s="7" t="inlineStr">
        <is>
          <t>VECTOR PENDING</t>
        </is>
      </c>
      <c r="Y449" s="7" t="inlineStr">
        <is>
          <t>EXCLUDED</t>
        </is>
      </c>
      <c r="Z449" s="11" t="b">
        <v>0</v>
      </c>
      <c r="AA449" s="8" t="inlineStr">
        <is>
          <t>CURRENT EVIDENCE / STATUS</t>
        </is>
      </c>
    </row>
    <row r="450" ht="15.75" customHeight="1" s="29">
      <c r="A450" s="7" t="inlineStr">
        <is>
          <t>Q-445</t>
        </is>
      </c>
      <c r="B450" s="7" t="inlineStr">
        <is>
          <t>RNR-H56</t>
        </is>
      </c>
      <c r="C450" s="7" t="inlineStr">
        <is>
          <t>Neither confounding nor dividing</t>
        </is>
      </c>
      <c r="D450" s="7" t="inlineStr">
        <is>
          <t>Q</t>
        </is>
      </c>
      <c r="E450" s="7" t="inlineStr">
        <is>
          <t>Anglican</t>
        </is>
      </c>
      <c r="F450" s="7" t="inlineStr">
        <is>
          <t>VECTOR REQUIRED</t>
        </is>
      </c>
      <c r="G450" s="7" t="inlineStr">
        <is>
          <t>TO RECOVER FROM SESSION 9 LEDGER</t>
        </is>
      </c>
      <c r="H450" s="7" t="inlineStr">
        <is>
          <t>NO PUBLIC TILE</t>
        </is>
      </c>
      <c r="I450" s="7" t="n"/>
      <c r="J450" s="7" t="n"/>
      <c r="K450" s="7" t="n"/>
      <c r="L450" s="7" t="n"/>
      <c r="M450" s="7" t="n"/>
      <c r="N450" s="7" t="n"/>
      <c r="O450" s="7" t="n"/>
      <c r="P450" s="7" t="n"/>
      <c r="Q450" s="7" t="inlineStr">
        <is>
          <t>NOT-ASSESSED</t>
        </is>
      </c>
      <c r="R450" s="7" t="n"/>
      <c r="S450" s="7" t="n"/>
      <c r="T450" s="7" t="n"/>
      <c r="U450" s="7" t="n"/>
      <c r="V450" s="7" t="n"/>
      <c r="W450" s="7" t="n"/>
      <c r="X450" s="7" t="inlineStr">
        <is>
          <t>NOT LOCATED — NOT YET RECOVERED</t>
        </is>
      </c>
      <c r="Y450" s="7" t="inlineStr">
        <is>
          <t>EXCLUDED</t>
        </is>
      </c>
      <c r="Z450" s="11" t="b">
        <v>0</v>
      </c>
      <c r="AA450" s="8" t="inlineStr">
        <is>
          <t>CURRENT EVIDENCE / STATUS</t>
        </is>
      </c>
    </row>
    <row r="451" ht="15.75" customHeight="1" s="29">
      <c r="A451" s="7" t="inlineStr">
        <is>
          <t>Q-446</t>
        </is>
      </c>
      <c r="B451" s="7" t="inlineStr">
        <is>
          <t>RNR-H56</t>
        </is>
      </c>
      <c r="C451" s="7" t="inlineStr">
        <is>
          <t>Neither confounding nor dividing</t>
        </is>
      </c>
      <c r="D451" s="7" t="inlineStr">
        <is>
          <t>Q</t>
        </is>
      </c>
      <c r="E451" s="7" t="inlineStr">
        <is>
          <t>Baptist</t>
        </is>
      </c>
      <c r="F451" s="7" t="inlineStr">
        <is>
          <t>VECTOR REQUIRED</t>
        </is>
      </c>
      <c r="G451" s="7" t="inlineStr">
        <is>
          <t>CURRENT OFFICIAL SOURCE RECOVERED — WEB VERIFIED</t>
        </is>
      </c>
      <c r="H451" s="7" t="inlineStr">
        <is>
          <t>ATOMIC VECTOR — COMPLETE</t>
        </is>
      </c>
      <c r="I451" s="7" t="inlineStr">
        <is>
          <t>RNR-H56a + RNR-H56b</t>
        </is>
      </c>
      <c r="J451" s="7" t="inlineStr">
        <is>
          <t>A + D</t>
        </is>
      </c>
      <c r="K451" s="7" t="inlineStr">
        <is>
          <t>Southern Baptist Convention</t>
        </is>
      </c>
      <c r="L451" s="7" t="inlineStr">
        <is>
          <t>Baptist Faith and Message 2000</t>
        </is>
      </c>
      <c r="M451" s="7" t="inlineStr">
        <is>
          <t>II. God — distinct personal attributes; without division of nature, essence, or being</t>
        </is>
      </c>
      <c r="N451" s="7" t="inlineStr">
        <is>
          <t>https://bfm.sbc.net/bfm2000/</t>
        </is>
      </c>
      <c r="O451" s="7" t="inlineStr">
        <is>
          <t>https://bfm.sbc.net/bfm2000/</t>
        </is>
      </c>
      <c r="P451" s="7" t="inlineStr">
        <is>
          <t>Current official-source recovery, web-verified against Baptist Faith &amp; Message 2000; source role N2 per project institutional authority roster.</t>
        </is>
      </c>
      <c r="Q451" s="7" t="inlineStr">
        <is>
          <t>HIGH</t>
        </is>
      </c>
      <c r="R451" s="7" t="inlineStr">
        <is>
          <t>Southern Baptist Convention cooperative identity under BF&amp;M 2000; not all Baptist churches or Baptist traditions.</t>
        </is>
      </c>
      <c r="S451" s="7" t="inlineStr">
        <is>
          <t>VECTOR</t>
        </is>
      </c>
      <c r="T451" s="7" t="n"/>
      <c r="U451" s="7" t="inlineStr">
        <is>
          <t>Vector complete: relational distinction/unity layer = A; one-nature/essence/being metaphysical layer = D.</t>
        </is>
      </c>
      <c r="V451" s="7" t="inlineStr">
        <is>
          <t>PENDING REVIEW</t>
        </is>
      </c>
      <c r="W451" s="7" t="n"/>
      <c r="X451" s="7" t="inlineStr">
        <is>
          <t>VECTOR COMPLETE</t>
        </is>
      </c>
      <c r="Y451" s="7" t="inlineStr">
        <is>
          <t>EXCLUDED</t>
        </is>
      </c>
      <c r="Z451" s="11" t="b">
        <v>0</v>
      </c>
      <c r="AA451" s="8" t="inlineStr">
        <is>
          <t>CURRENT EVIDENCE / STATUS</t>
        </is>
      </c>
    </row>
    <row r="452" ht="15.75" customHeight="1" s="29">
      <c r="A452" s="7" t="inlineStr">
        <is>
          <t>Q-447</t>
        </is>
      </c>
      <c r="B452" s="7" t="inlineStr">
        <is>
          <t>RNR-H56</t>
        </is>
      </c>
      <c r="C452" s="7" t="inlineStr">
        <is>
          <t>Neither confounding nor dividing</t>
        </is>
      </c>
      <c r="D452" s="7" t="inlineStr">
        <is>
          <t>Q</t>
        </is>
      </c>
      <c r="E452" s="7" t="inlineStr">
        <is>
          <t>Methodist / Wesleyan</t>
        </is>
      </c>
      <c r="F452" s="7" t="inlineStr">
        <is>
          <t>VECTOR REQUIRED</t>
        </is>
      </c>
      <c r="G452" s="7" t="inlineStr">
        <is>
          <t>TO RECOVER FROM SESSION 9 LEDGER</t>
        </is>
      </c>
      <c r="H452" s="7" t="inlineStr">
        <is>
          <t>NO PUBLIC TILE</t>
        </is>
      </c>
      <c r="I452" s="7" t="n"/>
      <c r="J452" s="7" t="n"/>
      <c r="K452" s="7" t="n"/>
      <c r="L452" s="7" t="n"/>
      <c r="M452" s="7" t="n"/>
      <c r="N452" s="7" t="n"/>
      <c r="O452" s="7" t="n"/>
      <c r="P452" s="7" t="n"/>
      <c r="Q452" s="7" t="inlineStr">
        <is>
          <t>NOT-ASSESSED</t>
        </is>
      </c>
      <c r="R452" s="7" t="n"/>
      <c r="S452" s="7" t="n"/>
      <c r="T452" s="7" t="n"/>
      <c r="U452" s="7" t="n"/>
      <c r="V452" s="7" t="n"/>
      <c r="W452" s="7" t="n"/>
      <c r="X452" s="7" t="inlineStr">
        <is>
          <t>NOT LOCATED — NOT YET RECOVERED</t>
        </is>
      </c>
      <c r="Y452" s="7" t="inlineStr">
        <is>
          <t>EXCLUDED</t>
        </is>
      </c>
      <c r="Z452" s="11" t="b">
        <v>0</v>
      </c>
      <c r="AA452" s="8" t="inlineStr">
        <is>
          <t>CURRENT EVIDENCE / STATUS</t>
        </is>
      </c>
    </row>
    <row r="453" ht="15.75" customHeight="1" s="29">
      <c r="A453" s="7" t="inlineStr">
        <is>
          <t>Q-448</t>
        </is>
      </c>
      <c r="B453" s="7" t="inlineStr">
        <is>
          <t>RNR-H56</t>
        </is>
      </c>
      <c r="C453" s="7" t="inlineStr">
        <is>
          <t>Neither confounding nor dividing</t>
        </is>
      </c>
      <c r="D453" s="7" t="inlineStr">
        <is>
          <t>Q</t>
        </is>
      </c>
      <c r="E453" s="7" t="inlineStr">
        <is>
          <t>Mennonite / Anabaptist</t>
        </is>
      </c>
      <c r="F453" s="7" t="inlineStr">
        <is>
          <t>VECTOR REQUIRED</t>
        </is>
      </c>
      <c r="G453" s="7" t="inlineStr">
        <is>
          <t>TO RECOVER FROM SESSION 9 LEDGER</t>
        </is>
      </c>
      <c r="H453" s="7" t="inlineStr">
        <is>
          <t>NO PUBLIC TILE</t>
        </is>
      </c>
      <c r="I453" s="7" t="n"/>
      <c r="J453" s="7" t="n"/>
      <c r="K453" s="7" t="n"/>
      <c r="L453" s="7" t="n"/>
      <c r="M453" s="7" t="n"/>
      <c r="N453" s="7" t="n"/>
      <c r="O453" s="7" t="n"/>
      <c r="P453" s="7" t="n"/>
      <c r="Q453" s="7" t="inlineStr">
        <is>
          <t>NOT-ASSESSED</t>
        </is>
      </c>
      <c r="R453" s="7" t="n"/>
      <c r="S453" s="7" t="n"/>
      <c r="T453" s="7" t="n"/>
      <c r="U453" s="7" t="n"/>
      <c r="V453" s="7" t="n"/>
      <c r="W453" s="7" t="n"/>
      <c r="X453" s="7" t="inlineStr">
        <is>
          <t>NOT LOCATED — NOT YET RECOVERED</t>
        </is>
      </c>
      <c r="Y453" s="7" t="inlineStr">
        <is>
          <t>EXCLUDED</t>
        </is>
      </c>
      <c r="Z453" s="11" t="b">
        <v>0</v>
      </c>
      <c r="AA453" s="8" t="inlineStr">
        <is>
          <t>CURRENT EVIDENCE / STATUS</t>
        </is>
      </c>
    </row>
    <row r="454" ht="15.75" customHeight="1" s="29">
      <c r="A454" s="7" t="inlineStr">
        <is>
          <t>Q-449</t>
        </is>
      </c>
      <c r="B454" s="7" t="inlineStr">
        <is>
          <t>RNR-H57</t>
        </is>
      </c>
      <c r="C454" s="7" t="inlineStr">
        <is>
          <t>Greater dissimilarity than similarity</t>
        </is>
      </c>
      <c r="D454" s="7" t="inlineStr">
        <is>
          <t>D</t>
        </is>
      </c>
      <c r="E454" s="7" t="inlineStr">
        <is>
          <t>Roman Catholic</t>
        </is>
      </c>
      <c r="F454" s="7" t="inlineStr">
        <is>
          <t>SINGLE</t>
        </is>
      </c>
      <c r="G454" s="7" t="inlineStr">
        <is>
          <t>SESSION 9 SOURCE ROW RECOVERED</t>
        </is>
      </c>
      <c r="H454" s="7" t="inlineStr">
        <is>
          <t>PUBLIC-CERTIFIED</t>
        </is>
      </c>
      <c r="I454" s="7" t="inlineStr">
        <is>
          <t>RNR-H57a</t>
        </is>
      </c>
      <c r="J454" s="7" t="inlineStr">
        <is>
          <t>D</t>
        </is>
      </c>
      <c r="K454" s="7" t="inlineStr">
        <is>
          <t>Roman Catholic Church</t>
        </is>
      </c>
      <c r="L454" s="7" t="inlineStr">
        <is>
          <t>Fourth Lateran Council</t>
        </is>
      </c>
      <c r="M454" s="7" t="inlineStr">
        <is>
          <t>Constitution 1, Firmiter credimus</t>
        </is>
      </c>
      <c r="N454" s="7" t="inlineStr">
        <is>
          <t>https://www.vatican.va/content/catechism/en/part_one/section_one/chapter_one/iv_how_can_we_speak_about_god.html</t>
        </is>
      </c>
      <c r="O454" s="7" t="inlineStr">
        <is>
          <t>https://sourcebooks.web.fordham.edu/basis/lateran4.asp</t>
        </is>
      </c>
      <c r="P454" s="7" t="inlineStr">
        <is>
          <t>S9-IA-0334 / S8-IA-0334</t>
        </is>
      </c>
      <c r="Q454" s="7" t="inlineStr">
        <is>
          <t>HIGH</t>
        </is>
      </c>
      <c r="R454" s="7" t="inlineStr">
        <is>
          <t>Official Latin controls; English repository is non-controlling witness.</t>
        </is>
      </c>
      <c r="S454" s="7" t="inlineStr">
        <is>
          <t>NO</t>
        </is>
      </c>
      <c r="T454" s="7" t="inlineStr">
        <is>
          <t>D</t>
        </is>
      </c>
      <c r="U454" s="7" t="n"/>
      <c r="V454" s="7" t="inlineStr">
        <is>
          <t>CERTIFIED</t>
        </is>
      </c>
      <c r="W454" s="7" t="n"/>
      <c r="X454" s="7" t="inlineStr">
        <is>
          <t>D</t>
        </is>
      </c>
      <c r="Y454" s="7" t="inlineStr">
        <is>
          <t>D</t>
        </is>
      </c>
      <c r="Z454" s="11" t="b">
        <v>0</v>
      </c>
      <c r="AA454" s="8" t="inlineStr">
        <is>
          <t>CURRENT EVIDENCE / STATUS</t>
        </is>
      </c>
    </row>
    <row r="455" ht="15.75" customHeight="1" s="29">
      <c r="A455" s="7" t="inlineStr">
        <is>
          <t>Q-450</t>
        </is>
      </c>
      <c r="B455" s="7" t="inlineStr">
        <is>
          <t>RNR-H57</t>
        </is>
      </c>
      <c r="C455" s="7" t="inlineStr">
        <is>
          <t>Greater dissimilarity than similarity</t>
        </is>
      </c>
      <c r="D455" s="7" t="inlineStr">
        <is>
          <t>D</t>
        </is>
      </c>
      <c r="E455" s="7" t="inlineStr">
        <is>
          <t>Eastern Orthodox</t>
        </is>
      </c>
      <c r="F455" s="7" t="inlineStr">
        <is>
          <t>SINGLE</t>
        </is>
      </c>
      <c r="G455" s="7" t="inlineStr">
        <is>
          <t>TO RECOVER FROM SESSION 9 LEDGER</t>
        </is>
      </c>
      <c r="H455" s="7" t="inlineStr">
        <is>
          <t>NO PUBLIC TILE</t>
        </is>
      </c>
      <c r="I455" s="7" t="n"/>
      <c r="J455" s="7" t="n"/>
      <c r="K455" s="7" t="n"/>
      <c r="L455" s="7" t="n"/>
      <c r="M455" s="7" t="n"/>
      <c r="N455" s="7" t="n"/>
      <c r="O455" s="7" t="n"/>
      <c r="P455" s="7" t="n"/>
      <c r="Q455" s="7" t="inlineStr">
        <is>
          <t>NOT-ASSESSED</t>
        </is>
      </c>
      <c r="R455" s="7" t="n"/>
      <c r="S455" s="7" t="n"/>
      <c r="T455" s="7" t="n"/>
      <c r="U455" s="7" t="n"/>
      <c r="V455" s="7" t="n"/>
      <c r="W455" s="7" t="n"/>
      <c r="X455" s="7" t="inlineStr">
        <is>
          <t>NOT LOCATED — NOT YET RECOVERED</t>
        </is>
      </c>
      <c r="Y455" s="7" t="inlineStr">
        <is>
          <t>EXCLUDED</t>
        </is>
      </c>
      <c r="Z455" s="11" t="b">
        <v>0</v>
      </c>
      <c r="AA455" s="8" t="inlineStr">
        <is>
          <t>CURRENT EVIDENCE / STATUS</t>
        </is>
      </c>
    </row>
    <row r="456" ht="15.75" customHeight="1" s="29">
      <c r="A456" s="7" t="inlineStr">
        <is>
          <t>Q-451</t>
        </is>
      </c>
      <c r="B456" s="7" t="inlineStr">
        <is>
          <t>RNR-H57</t>
        </is>
      </c>
      <c r="C456" s="7" t="inlineStr">
        <is>
          <t>Greater dissimilarity than similarity</t>
        </is>
      </c>
      <c r="D456" s="7" t="inlineStr">
        <is>
          <t>D</t>
        </is>
      </c>
      <c r="E456" s="7" t="inlineStr">
        <is>
          <t>Lutheran</t>
        </is>
      </c>
      <c r="F456" s="7" t="inlineStr">
        <is>
          <t>SINGLE</t>
        </is>
      </c>
      <c r="G456" s="7" t="inlineStr">
        <is>
          <t>TO RECOVER FROM SESSION 9 LEDGER</t>
        </is>
      </c>
      <c r="H456" s="7" t="inlineStr">
        <is>
          <t>NO PUBLIC TILE</t>
        </is>
      </c>
      <c r="I456" s="7" t="n"/>
      <c r="J456" s="7" t="n"/>
      <c r="K456" s="7" t="n"/>
      <c r="L456" s="7" t="n"/>
      <c r="M456" s="7" t="n"/>
      <c r="N456" s="7" t="n"/>
      <c r="O456" s="7" t="n"/>
      <c r="P456" s="7" t="n"/>
      <c r="Q456" s="7" t="inlineStr">
        <is>
          <t>NOT-ASSESSED</t>
        </is>
      </c>
      <c r="R456" s="7" t="n"/>
      <c r="S456" s="7" t="n"/>
      <c r="T456" s="7" t="n"/>
      <c r="U456" s="7" t="n"/>
      <c r="V456" s="7" t="n"/>
      <c r="W456" s="7" t="n"/>
      <c r="X456" s="7" t="inlineStr">
        <is>
          <t>NOT LOCATED — NOT YET RECOVERED</t>
        </is>
      </c>
      <c r="Y456" s="7" t="inlineStr">
        <is>
          <t>EXCLUDED</t>
        </is>
      </c>
      <c r="Z456" s="11" t="b">
        <v>0</v>
      </c>
      <c r="AA456" s="8" t="inlineStr">
        <is>
          <t>CURRENT EVIDENCE / STATUS</t>
        </is>
      </c>
    </row>
    <row r="457" ht="15.75" customHeight="1" s="29">
      <c r="A457" s="7" t="inlineStr">
        <is>
          <t>Q-452</t>
        </is>
      </c>
      <c r="B457" s="7" t="inlineStr">
        <is>
          <t>RNR-H57</t>
        </is>
      </c>
      <c r="C457" s="7" t="inlineStr">
        <is>
          <t>Greater dissimilarity than similarity</t>
        </is>
      </c>
      <c r="D457" s="7" t="inlineStr">
        <is>
          <t>D</t>
        </is>
      </c>
      <c r="E457" s="7" t="inlineStr">
        <is>
          <t>Reformed / Presbyterian</t>
        </is>
      </c>
      <c r="F457" s="7" t="inlineStr">
        <is>
          <t>SINGLE</t>
        </is>
      </c>
      <c r="G457" s="7" t="inlineStr">
        <is>
          <t>TO RECOVER FROM SESSION 9 LEDGER</t>
        </is>
      </c>
      <c r="H457" s="7" t="inlineStr">
        <is>
          <t>NO PUBLIC TILE</t>
        </is>
      </c>
      <c r="I457" s="7" t="n"/>
      <c r="J457" s="7" t="n"/>
      <c r="K457" s="7" t="n"/>
      <c r="L457" s="7" t="n"/>
      <c r="M457" s="7" t="n"/>
      <c r="N457" s="7" t="n"/>
      <c r="O457" s="7" t="n"/>
      <c r="P457" s="7" t="n"/>
      <c r="Q457" s="7" t="inlineStr">
        <is>
          <t>NOT-ASSESSED</t>
        </is>
      </c>
      <c r="R457" s="7" t="n"/>
      <c r="S457" s="7" t="n"/>
      <c r="T457" s="7" t="n"/>
      <c r="U457" s="7" t="n"/>
      <c r="V457" s="7" t="n"/>
      <c r="W457" s="7" t="n"/>
      <c r="X457" s="7" t="inlineStr">
        <is>
          <t>NOT LOCATED — NOT YET RECOVERED</t>
        </is>
      </c>
      <c r="Y457" s="7" t="inlineStr">
        <is>
          <t>EXCLUDED</t>
        </is>
      </c>
      <c r="Z457" s="11" t="b">
        <v>0</v>
      </c>
      <c r="AA457" s="8" t="inlineStr">
        <is>
          <t>CURRENT EVIDENCE / STATUS</t>
        </is>
      </c>
    </row>
    <row r="458" ht="15.75" customHeight="1" s="29">
      <c r="A458" s="7" t="inlineStr">
        <is>
          <t>Q-453</t>
        </is>
      </c>
      <c r="B458" s="7" t="inlineStr">
        <is>
          <t>RNR-H57</t>
        </is>
      </c>
      <c r="C458" s="7" t="inlineStr">
        <is>
          <t>Greater dissimilarity than similarity</t>
        </is>
      </c>
      <c r="D458" s="7" t="inlineStr">
        <is>
          <t>D</t>
        </is>
      </c>
      <c r="E458" s="7" t="inlineStr">
        <is>
          <t>Anglican</t>
        </is>
      </c>
      <c r="F458" s="7" t="inlineStr">
        <is>
          <t>SINGLE</t>
        </is>
      </c>
      <c r="G458" s="7" t="inlineStr">
        <is>
          <t>TO RECOVER FROM SESSION 9 LEDGER</t>
        </is>
      </c>
      <c r="H458" s="7" t="inlineStr">
        <is>
          <t>NO PUBLIC TILE</t>
        </is>
      </c>
      <c r="I458" s="7" t="n"/>
      <c r="J458" s="7" t="n"/>
      <c r="K458" s="7" t="n"/>
      <c r="L458" s="7" t="n"/>
      <c r="M458" s="7" t="n"/>
      <c r="N458" s="7" t="n"/>
      <c r="O458" s="7" t="n"/>
      <c r="P458" s="7" t="n"/>
      <c r="Q458" s="7" t="inlineStr">
        <is>
          <t>NOT-ASSESSED</t>
        </is>
      </c>
      <c r="R458" s="7" t="n"/>
      <c r="S458" s="7" t="n"/>
      <c r="T458" s="7" t="n"/>
      <c r="U458" s="7" t="n"/>
      <c r="V458" s="7" t="n"/>
      <c r="W458" s="7" t="n"/>
      <c r="X458" s="7" t="inlineStr">
        <is>
          <t>NOT LOCATED — NOT YET RECOVERED</t>
        </is>
      </c>
      <c r="Y458" s="7" t="inlineStr">
        <is>
          <t>EXCLUDED</t>
        </is>
      </c>
      <c r="Z458" s="11" t="b">
        <v>0</v>
      </c>
      <c r="AA458" s="8" t="inlineStr">
        <is>
          <t>CURRENT EVIDENCE / STATUS</t>
        </is>
      </c>
    </row>
    <row r="459" ht="15.75" customHeight="1" s="29">
      <c r="A459" s="7" t="inlineStr">
        <is>
          <t>Q-454</t>
        </is>
      </c>
      <c r="B459" s="7" t="inlineStr">
        <is>
          <t>RNR-H57</t>
        </is>
      </c>
      <c r="C459" s="7" t="inlineStr">
        <is>
          <t>Greater dissimilarity than similarity</t>
        </is>
      </c>
      <c r="D459" s="7" t="inlineStr">
        <is>
          <t>D</t>
        </is>
      </c>
      <c r="E459" s="7" t="inlineStr">
        <is>
          <t>Baptist</t>
        </is>
      </c>
      <c r="F459" s="7" t="inlineStr">
        <is>
          <t>SINGLE</t>
        </is>
      </c>
      <c r="G459" s="7" t="inlineStr">
        <is>
          <t>TO RECOVER FROM SESSION 9 LEDGER</t>
        </is>
      </c>
      <c r="H459" s="7" t="inlineStr">
        <is>
          <t>NO PUBLIC TILE</t>
        </is>
      </c>
      <c r="I459" s="7" t="n"/>
      <c r="J459" s="7" t="n"/>
      <c r="K459" s="7" t="n"/>
      <c r="L459" s="7" t="n"/>
      <c r="M459" s="7" t="n"/>
      <c r="N459" s="7" t="n"/>
      <c r="O459" s="7" t="n"/>
      <c r="P459" s="7" t="n"/>
      <c r="Q459" s="7" t="inlineStr">
        <is>
          <t>NOT-ASSESSED</t>
        </is>
      </c>
      <c r="R459" s="7" t="n"/>
      <c r="S459" s="7" t="n"/>
      <c r="T459" s="7" t="n"/>
      <c r="U459" s="7" t="n"/>
      <c r="V459" s="7" t="n"/>
      <c r="W459" s="7" t="n"/>
      <c r="X459" s="7" t="inlineStr">
        <is>
          <t>NOT LOCATED — NOT YET RECOVERED</t>
        </is>
      </c>
      <c r="Y459" s="7" t="inlineStr">
        <is>
          <t>EXCLUDED</t>
        </is>
      </c>
      <c r="Z459" s="11" t="b">
        <v>0</v>
      </c>
      <c r="AA459" s="8" t="inlineStr">
        <is>
          <t>CURRENT EVIDENCE / STATUS</t>
        </is>
      </c>
    </row>
    <row r="460" ht="15.75" customHeight="1" s="29">
      <c r="A460" s="7" t="inlineStr">
        <is>
          <t>Q-455</t>
        </is>
      </c>
      <c r="B460" s="7" t="inlineStr">
        <is>
          <t>RNR-H57</t>
        </is>
      </c>
      <c r="C460" s="7" t="inlineStr">
        <is>
          <t>Greater dissimilarity than similarity</t>
        </is>
      </c>
      <c r="D460" s="7" t="inlineStr">
        <is>
          <t>D</t>
        </is>
      </c>
      <c r="E460" s="7" t="inlineStr">
        <is>
          <t>Methodist / Wesleyan</t>
        </is>
      </c>
      <c r="F460" s="7" t="inlineStr">
        <is>
          <t>SINGLE</t>
        </is>
      </c>
      <c r="G460" s="7" t="inlineStr">
        <is>
          <t>TO RECOVER FROM SESSION 9 LEDGER</t>
        </is>
      </c>
      <c r="H460" s="7" t="inlineStr">
        <is>
          <t>NO PUBLIC TILE</t>
        </is>
      </c>
      <c r="I460" s="7" t="n"/>
      <c r="J460" s="7" t="n"/>
      <c r="K460" s="7" t="n"/>
      <c r="L460" s="7" t="n"/>
      <c r="M460" s="7" t="n"/>
      <c r="N460" s="7" t="n"/>
      <c r="O460" s="7" t="n"/>
      <c r="P460" s="7" t="n"/>
      <c r="Q460" s="7" t="inlineStr">
        <is>
          <t>NOT-ASSESSED</t>
        </is>
      </c>
      <c r="R460" s="7" t="n"/>
      <c r="S460" s="7" t="n"/>
      <c r="T460" s="7" t="n"/>
      <c r="U460" s="7" t="n"/>
      <c r="V460" s="7" t="n"/>
      <c r="W460" s="7" t="n"/>
      <c r="X460" s="7" t="inlineStr">
        <is>
          <t>NOT LOCATED — NOT YET RECOVERED</t>
        </is>
      </c>
      <c r="Y460" s="7" t="inlineStr">
        <is>
          <t>EXCLUDED</t>
        </is>
      </c>
      <c r="Z460" s="11" t="b">
        <v>0</v>
      </c>
      <c r="AA460" s="8" t="inlineStr">
        <is>
          <t>CURRENT EVIDENCE / STATUS</t>
        </is>
      </c>
    </row>
    <row r="461" ht="15.75" customHeight="1" s="29">
      <c r="A461" s="7" t="inlineStr">
        <is>
          <t>Q-456</t>
        </is>
      </c>
      <c r="B461" s="7" t="inlineStr">
        <is>
          <t>RNR-H57</t>
        </is>
      </c>
      <c r="C461" s="7" t="inlineStr">
        <is>
          <t>Greater dissimilarity than similarity</t>
        </is>
      </c>
      <c r="D461" s="7" t="inlineStr">
        <is>
          <t>D</t>
        </is>
      </c>
      <c r="E461" s="7" t="inlineStr">
        <is>
          <t>Mennonite / Anabaptist</t>
        </is>
      </c>
      <c r="F461" s="7" t="inlineStr">
        <is>
          <t>SINGLE</t>
        </is>
      </c>
      <c r="G461" s="7" t="inlineStr">
        <is>
          <t>TO RECOVER FROM SESSION 9 LEDGER</t>
        </is>
      </c>
      <c r="H461" s="7" t="inlineStr">
        <is>
          <t>NO PUBLIC TILE</t>
        </is>
      </c>
      <c r="I461" s="7" t="n"/>
      <c r="J461" s="7" t="n"/>
      <c r="K461" s="7" t="n"/>
      <c r="L461" s="7" t="n"/>
      <c r="M461" s="7" t="n"/>
      <c r="N461" s="7" t="n"/>
      <c r="O461" s="7" t="n"/>
      <c r="P461" s="7" t="n"/>
      <c r="Q461" s="7" t="inlineStr">
        <is>
          <t>NOT-ASSESSED</t>
        </is>
      </c>
      <c r="R461" s="7" t="n"/>
      <c r="S461" s="7" t="n"/>
      <c r="T461" s="7" t="n"/>
      <c r="U461" s="7" t="n"/>
      <c r="V461" s="7" t="n"/>
      <c r="W461" s="7" t="n"/>
      <c r="X461" s="7" t="inlineStr">
        <is>
          <t>NOT LOCATED — NOT YET RECOVERED</t>
        </is>
      </c>
      <c r="Y461" s="7" t="inlineStr">
        <is>
          <t>EXCLUDED</t>
        </is>
      </c>
      <c r="Z461" s="11" t="b">
        <v>0</v>
      </c>
      <c r="AA461" s="8" t="inlineStr">
        <is>
          <t>CURRENT EVIDENCE / STATUS</t>
        </is>
      </c>
    </row>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X6:X461">
    <cfRule type="expression" priority="1" dxfId="5">
      <formula>X6="A"</formula>
    </cfRule>
    <cfRule type="expression" priority="2" dxfId="14">
      <formula>X6="A-SF"</formula>
    </cfRule>
    <cfRule type="expression" priority="3" dxfId="7">
      <formula>X6="Q"</formula>
    </cfRule>
    <cfRule type="expression" priority="4" dxfId="6">
      <formula>X6="D"</formula>
    </cfRule>
    <cfRule type="expression" priority="5" dxfId="15">
      <formula>ISNUMBER(SEARCH("VECTOR",X6))</formula>
    </cfRule>
    <cfRule type="expression" priority="6" dxfId="8">
      <formula>OR(ISNUMBER(SEARCH("PENDING",X6)),ISNUMBER(SEARCH("HOLD",X6)))</formula>
    </cfRule>
    <cfRule type="expression" priority="7" dxfId="16">
      <formula>ISNUMBER(SEARCH("NOT LOCATED",X6))</formula>
    </cfRule>
    <cfRule type="expression" priority="8" dxfId="17">
      <formula>X6="OUT OF SCOPE"</formula>
    </cfRule>
  </conditionalFormatting>
  <conditionalFormatting sqref="Z6:Z461">
    <cfRule type="expression" priority="9" dxfId="18">
      <formula>Z6=TRUE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32" customWidth="1" style="29" min="3" max="3"/>
    <col width="24" customWidth="1" style="29" min="4" max="4"/>
    <col width="30" customWidth="1" style="29" min="5" max="5"/>
    <col width="42" customWidth="1" style="29" min="6" max="6"/>
    <col width="16" customWidth="1" style="29" min="7" max="7"/>
    <col width="15" customWidth="1" style="29" min="8" max="8"/>
    <col width="48" customWidth="1" style="29" min="9" max="9"/>
    <col width="18" customWidth="1" style="29" min="10" max="10"/>
    <col width="8.630000000000001" customWidth="1" style="29" min="11" max="26"/>
  </cols>
  <sheetData>
    <row r="1">
      <c r="A1" s="5" t="inlineStr">
        <is>
          <t>Queue ID</t>
        </is>
      </c>
      <c r="B1" s="5" t="inlineStr">
        <is>
          <t>Family ID</t>
        </is>
      </c>
      <c r="C1" s="5" t="inlineStr">
        <is>
          <t>Predicate</t>
        </is>
      </c>
      <c r="D1" s="5" t="inlineStr">
        <is>
          <t>Teaching branch</t>
        </is>
      </c>
      <c r="E1" s="5" t="inlineStr">
        <is>
          <t>Final decision</t>
        </is>
      </c>
      <c r="F1" s="5" t="inlineStr">
        <is>
          <t>Rendered State</t>
        </is>
      </c>
      <c r="G1" s="5" t="inlineStr">
        <is>
          <t>Metric Class</t>
        </is>
      </c>
      <c r="H1" s="5" t="inlineStr">
        <is>
          <t>Master family</t>
        </is>
      </c>
      <c r="I1" s="5" t="inlineStr">
        <is>
          <t>Recovery / source status</t>
        </is>
      </c>
      <c r="J1" s="5" t="inlineStr">
        <is>
          <t>Public use</t>
        </is>
      </c>
    </row>
    <row r="2">
      <c r="A2" s="7" t="inlineStr">
        <is>
          <t>Q-289</t>
        </is>
      </c>
      <c r="B2" s="7" t="inlineStr">
        <is>
          <t>RNR-H37</t>
        </is>
      </c>
      <c r="C2" s="7" t="inlineStr">
        <is>
          <t>Unbegotten</t>
        </is>
      </c>
      <c r="D2" s="7" t="inlineStr">
        <is>
          <t>Roman Catholic</t>
        </is>
      </c>
      <c r="E2" s="7" t="inlineStr">
        <is>
          <t>RECONCILED</t>
        </is>
      </c>
      <c r="F2" s="7" t="inlineStr">
        <is>
          <t>Q</t>
        </is>
      </c>
      <c r="G2" s="7" t="inlineStr">
        <is>
          <t>Q</t>
        </is>
      </c>
      <c r="H2" s="7" t="inlineStr">
        <is>
          <t>Q</t>
        </is>
      </c>
      <c r="I2" s="7" t="inlineStr">
        <is>
          <t>CURRENT OFFICIAL SOURCE RECOVERED — WEB VERIFIED</t>
        </is>
      </c>
      <c r="J2" s="7" t="inlineStr">
        <is>
          <t>RELEASE</t>
        </is>
      </c>
    </row>
    <row r="3">
      <c r="A3" s="7" t="inlineStr">
        <is>
          <t>Q-290</t>
        </is>
      </c>
      <c r="B3" s="7" t="inlineStr">
        <is>
          <t>RNR-H37</t>
        </is>
      </c>
      <c r="C3" s="7" t="inlineStr">
        <is>
          <t>Unbegotten</t>
        </is>
      </c>
      <c r="D3" s="7" t="inlineStr">
        <is>
          <t>Eastern Orthodox</t>
        </is>
      </c>
      <c r="E3" s="7" t="inlineStr">
        <is>
          <t>RECONCILED — AUTHOR SOURCE-ROLE APPROVAL</t>
        </is>
      </c>
      <c r="F3" s="7" t="inlineStr">
        <is>
          <t>Q</t>
        </is>
      </c>
      <c r="G3" s="7" t="inlineStr">
        <is>
          <t>Q</t>
        </is>
      </c>
      <c r="H3" s="7" t="inlineStr">
        <is>
          <t>Q</t>
        </is>
      </c>
      <c r="I3" s="7" t="inlineStr">
        <is>
          <t>OCA official catechesis (The Orthodox Faith Vol. I); web verified 2026-09-09</t>
        </is>
      </c>
      <c r="J3" s="7" t="inlineStr">
        <is>
          <t>Release (OCA scope)</t>
        </is>
      </c>
    </row>
    <row r="4">
      <c r="A4" s="7" t="inlineStr">
        <is>
          <t>Q-291</t>
        </is>
      </c>
      <c r="B4" s="7" t="inlineStr">
        <is>
          <t>RNR-H37</t>
        </is>
      </c>
      <c r="C4" s="7" t="inlineStr">
        <is>
          <t>Unbegotten</t>
        </is>
      </c>
      <c r="D4" s="7" t="inlineStr">
        <is>
          <t>Lutheran</t>
        </is>
      </c>
      <c r="E4" s="7" t="inlineStr">
        <is>
          <t>RECONCILED</t>
        </is>
      </c>
      <c r="F4" s="7" t="inlineStr">
        <is>
          <t>Q</t>
        </is>
      </c>
      <c r="G4" s="7" t="inlineStr">
        <is>
          <t>Q</t>
        </is>
      </c>
      <c r="H4" s="7" t="inlineStr">
        <is>
          <t>Q</t>
        </is>
      </c>
      <c r="I4" s="7" t="inlineStr">
        <is>
          <t>SESSION 9 SOURCE ROW RECOVERED</t>
        </is>
      </c>
      <c r="J4" s="7" t="inlineStr">
        <is>
          <t>RELEASE</t>
        </is>
      </c>
    </row>
    <row r="5">
      <c r="A5" s="7" t="inlineStr">
        <is>
          <t>Q-292</t>
        </is>
      </c>
      <c r="B5" s="7" t="inlineStr">
        <is>
          <t>RNR-H37</t>
        </is>
      </c>
      <c r="C5" s="7" t="inlineStr">
        <is>
          <t>Unbegotten</t>
        </is>
      </c>
      <c r="D5" s="7" t="inlineStr">
        <is>
          <t>Reformed / Presbyterian</t>
        </is>
      </c>
      <c r="E5" s="7" t="inlineStr">
        <is>
          <t>RECONCILED</t>
        </is>
      </c>
      <c r="F5" s="7" t="inlineStr">
        <is>
          <t>Q</t>
        </is>
      </c>
      <c r="G5" s="7" t="inlineStr">
        <is>
          <t>Q</t>
        </is>
      </c>
      <c r="H5" s="7" t="inlineStr">
        <is>
          <t>Q</t>
        </is>
      </c>
      <c r="I5" s="7" t="inlineStr">
        <is>
          <t>SESSION 9 SOURCE ROW RECOVERED</t>
        </is>
      </c>
      <c r="J5" s="7" t="inlineStr">
        <is>
          <t>RELEASE</t>
        </is>
      </c>
    </row>
    <row r="6">
      <c r="A6" s="7" t="inlineStr">
        <is>
          <t>Q-293</t>
        </is>
      </c>
      <c r="B6" s="7" t="inlineStr">
        <is>
          <t>RNR-H37</t>
        </is>
      </c>
      <c r="C6" s="7" t="inlineStr">
        <is>
          <t>Unbegotten</t>
        </is>
      </c>
      <c r="D6" s="7" t="inlineStr">
        <is>
          <t>Anglican</t>
        </is>
      </c>
      <c r="E6" s="7" t="inlineStr">
        <is>
          <t>RECONCILED</t>
        </is>
      </c>
      <c r="F6" s="7" t="inlineStr">
        <is>
          <t>Q</t>
        </is>
      </c>
      <c r="G6" s="7" t="inlineStr">
        <is>
          <t>Q</t>
        </is>
      </c>
      <c r="H6" s="7" t="inlineStr">
        <is>
          <t>Q</t>
        </is>
      </c>
      <c r="I6" s="7" t="inlineStr">
        <is>
          <t>CURRENT AUTHORIZED FORMULARY RECOVERED — WEB VERIFIED</t>
        </is>
      </c>
      <c r="J6" s="7" t="inlineStr">
        <is>
          <t>RELEASE</t>
        </is>
      </c>
    </row>
    <row r="7">
      <c r="A7" s="7" t="inlineStr">
        <is>
          <t>Q-294</t>
        </is>
      </c>
      <c r="B7" s="7" t="inlineStr">
        <is>
          <t>RNR-H37</t>
        </is>
      </c>
      <c r="C7" s="7" t="inlineStr">
        <is>
          <t>Unbegotten</t>
        </is>
      </c>
      <c r="D7" s="7" t="inlineStr">
        <is>
          <t>Baptist</t>
        </is>
      </c>
      <c r="E7" s="7" t="inlineStr">
        <is>
          <t>CLOSED — NOT ATTESTED</t>
        </is>
      </c>
      <c r="F7" s="7" t="inlineStr">
        <is>
          <t>NOT LOCATED — CURRENT STANDARD REVIEWED</t>
        </is>
      </c>
      <c r="G7" s="7" t="inlineStr">
        <is>
          <t>EXCLUDED</t>
        </is>
      </c>
      <c r="H7" s="7" t="inlineStr">
        <is>
          <t>Q</t>
        </is>
      </c>
      <c r="I7" s="7" t="inlineStr">
        <is>
          <t>CURRENT STANDARD REVIEWED — PROPOSITION NOT ATTESTED</t>
        </is>
      </c>
      <c r="J7" s="7" t="inlineStr">
        <is>
          <t>GAP ONLY</t>
        </is>
      </c>
    </row>
    <row r="8">
      <c r="A8" s="7" t="inlineStr">
        <is>
          <t>Q-295</t>
        </is>
      </c>
      <c r="B8" s="7" t="inlineStr">
        <is>
          <t>RNR-H37</t>
        </is>
      </c>
      <c r="C8" s="7" t="inlineStr">
        <is>
          <t>Unbegotten</t>
        </is>
      </c>
      <c r="D8" s="7" t="inlineStr">
        <is>
          <t>Methodist / Wesleyan</t>
        </is>
      </c>
      <c r="E8" s="7" t="inlineStr">
        <is>
          <t>CLOSED — NOT ATTESTED</t>
        </is>
      </c>
      <c r="F8" s="7" t="inlineStr">
        <is>
          <t>NOT LOCATED — CURRENT STANDARD REVIEWED</t>
        </is>
      </c>
      <c r="G8" s="7" t="inlineStr">
        <is>
          <t>EXCLUDED</t>
        </is>
      </c>
      <c r="H8" s="7" t="inlineStr">
        <is>
          <t>Q</t>
        </is>
      </c>
      <c r="I8" s="7" t="inlineStr">
        <is>
          <t>CURRENT STANDARD REVIEWED — PROPOSITION NOT ATTESTED</t>
        </is>
      </c>
      <c r="J8" s="7" t="inlineStr">
        <is>
          <t>GAP ONLY</t>
        </is>
      </c>
    </row>
    <row r="9">
      <c r="A9" s="7" t="inlineStr">
        <is>
          <t>Q-296</t>
        </is>
      </c>
      <c r="B9" s="7" t="inlineStr">
        <is>
          <t>RNR-H37</t>
        </is>
      </c>
      <c r="C9" s="7" t="inlineStr">
        <is>
          <t>Unbegotten</t>
        </is>
      </c>
      <c r="D9" s="7" t="inlineStr">
        <is>
          <t>Mennonite / Anabaptist</t>
        </is>
      </c>
      <c r="E9" s="7" t="inlineStr">
        <is>
          <t>CLOSED — NOT ATTESTED</t>
        </is>
      </c>
      <c r="F9" s="7" t="inlineStr">
        <is>
          <t>NOT LOCATED — CURRENT STANDARD REVIEWED</t>
        </is>
      </c>
      <c r="G9" s="7" t="inlineStr">
        <is>
          <t>EXCLUDED</t>
        </is>
      </c>
      <c r="H9" s="7" t="inlineStr">
        <is>
          <t>Q</t>
        </is>
      </c>
      <c r="I9" s="7" t="inlineStr">
        <is>
          <t>CURRENT STANDARD REVIEWED — PROPOSITION NOT ATTESTED</t>
        </is>
      </c>
      <c r="J9" s="7" t="inlineStr">
        <is>
          <t>GAP ONLY</t>
        </is>
      </c>
    </row>
    <row r="10">
      <c r="A10" s="7" t="inlineStr">
        <is>
          <t>Q-305</t>
        </is>
      </c>
      <c r="B10" s="7" t="inlineStr">
        <is>
          <t>RNR-H39</t>
        </is>
      </c>
      <c r="C10" s="7" t="inlineStr">
        <is>
          <t>Infinite</t>
        </is>
      </c>
      <c r="D10" s="7" t="inlineStr">
        <is>
          <t>Roman Catholic</t>
        </is>
      </c>
      <c r="E10" s="7" t="inlineStr">
        <is>
          <t>RECONCILED</t>
        </is>
      </c>
      <c r="F10" s="7" t="inlineStr">
        <is>
          <t>A-SF</t>
        </is>
      </c>
      <c r="G10" s="7" t="inlineStr">
        <is>
          <t>A</t>
        </is>
      </c>
      <c r="H10" s="7" t="inlineStr">
        <is>
          <t>Q</t>
        </is>
      </c>
      <c r="I10" s="7" t="inlineStr">
        <is>
          <t>SESSION 9 SOURCE ROW RECOVERED</t>
        </is>
      </c>
      <c r="J10" s="7" t="inlineStr">
        <is>
          <t>RELEASE</t>
        </is>
      </c>
    </row>
    <row r="11">
      <c r="A11" s="7" t="inlineStr">
        <is>
          <t>Q-306</t>
        </is>
      </c>
      <c r="B11" s="7" t="inlineStr">
        <is>
          <t>RNR-H39</t>
        </is>
      </c>
      <c r="C11" s="7" t="inlineStr">
        <is>
          <t>Infinite</t>
        </is>
      </c>
      <c r="D11" s="7" t="inlineStr">
        <is>
          <t>Eastern Orthodox</t>
        </is>
      </c>
      <c r="E11" s="7" t="inlineStr">
        <is>
          <t>RECONCILED</t>
        </is>
      </c>
      <c r="F11" s="7" t="inlineStr">
        <is>
          <t>Q</t>
        </is>
      </c>
      <c r="G11" s="7" t="inlineStr">
        <is>
          <t>Q</t>
        </is>
      </c>
      <c r="H11" s="7" t="inlineStr">
        <is>
          <t>Q</t>
        </is>
      </c>
      <c r="I11" s="7" t="inlineStr">
        <is>
          <t>CURRENT OFFICIAL CATECHETICAL SOURCE RECOVERED — WEB VERIFIED</t>
        </is>
      </c>
      <c r="J11" s="7" t="inlineStr">
        <is>
          <t>RELEASE</t>
        </is>
      </c>
    </row>
    <row r="12">
      <c r="A12" s="7" t="inlineStr">
        <is>
          <t>Q-307</t>
        </is>
      </c>
      <c r="B12" s="7" t="inlineStr">
        <is>
          <t>RNR-H39</t>
        </is>
      </c>
      <c r="C12" s="7" t="inlineStr">
        <is>
          <t>Infinite</t>
        </is>
      </c>
      <c r="D12" s="7" t="inlineStr">
        <is>
          <t>Lutheran</t>
        </is>
      </c>
      <c r="E12" s="7" t="inlineStr">
        <is>
          <t>RECONCILED</t>
        </is>
      </c>
      <c r="F12" s="7" t="inlineStr">
        <is>
          <t>A-SF</t>
        </is>
      </c>
      <c r="G12" s="7" t="inlineStr">
        <is>
          <t>A</t>
        </is>
      </c>
      <c r="H12" s="7" t="inlineStr">
        <is>
          <t>Q</t>
        </is>
      </c>
      <c r="I12" s="7" t="inlineStr">
        <is>
          <t>SESSION 9 SOURCE ROW RECOVERED</t>
        </is>
      </c>
      <c r="J12" s="7" t="inlineStr">
        <is>
          <t>RELEASE</t>
        </is>
      </c>
    </row>
    <row r="13">
      <c r="A13" s="7" t="inlineStr">
        <is>
          <t>Q-308</t>
        </is>
      </c>
      <c r="B13" s="7" t="inlineStr">
        <is>
          <t>RNR-H39</t>
        </is>
      </c>
      <c r="C13" s="7" t="inlineStr">
        <is>
          <t>Infinite</t>
        </is>
      </c>
      <c r="D13" s="7" t="inlineStr">
        <is>
          <t>Reformed / Presbyterian</t>
        </is>
      </c>
      <c r="E13" s="7" t="inlineStr">
        <is>
          <t>RECONCILED</t>
        </is>
      </c>
      <c r="F13" s="7" t="inlineStr">
        <is>
          <t>Q</t>
        </is>
      </c>
      <c r="G13" s="7" t="inlineStr">
        <is>
          <t>Q</t>
        </is>
      </c>
      <c r="H13" s="7" t="inlineStr">
        <is>
          <t>Q</t>
        </is>
      </c>
      <c r="I13" s="7" t="inlineStr">
        <is>
          <t>SESSION 9 SOURCE ROW RECOVERED</t>
        </is>
      </c>
      <c r="J13" s="7" t="inlineStr">
        <is>
          <t>RELEASE</t>
        </is>
      </c>
    </row>
    <row r="14">
      <c r="A14" s="7" t="inlineStr">
        <is>
          <t>Q-309</t>
        </is>
      </c>
      <c r="B14" s="7" t="inlineStr">
        <is>
          <t>RNR-H39</t>
        </is>
      </c>
      <c r="C14" s="7" t="inlineStr">
        <is>
          <t>Infinite</t>
        </is>
      </c>
      <c r="D14" s="7" t="inlineStr">
        <is>
          <t>Anglican</t>
        </is>
      </c>
      <c r="E14" s="7" t="inlineStr">
        <is>
          <t>RECONCILED</t>
        </is>
      </c>
      <c r="F14" s="7" t="inlineStr">
        <is>
          <t>A-SF</t>
        </is>
      </c>
      <c r="G14" s="7" t="inlineStr">
        <is>
          <t>A</t>
        </is>
      </c>
      <c r="H14" s="7" t="inlineStr">
        <is>
          <t>Q</t>
        </is>
      </c>
      <c r="I14" s="7" t="inlineStr">
        <is>
          <t>CURRENT AUTHORIZED FORMULARY RECOVERED — WEB VERIFIED</t>
        </is>
      </c>
      <c r="J14" s="7" t="inlineStr">
        <is>
          <t>RELEASE</t>
        </is>
      </c>
    </row>
    <row r="15">
      <c r="A15" s="7" t="inlineStr">
        <is>
          <t>Q-310</t>
        </is>
      </c>
      <c r="B15" s="7" t="inlineStr">
        <is>
          <t>RNR-H39</t>
        </is>
      </c>
      <c r="C15" s="7" t="inlineStr">
        <is>
          <t>Infinite</t>
        </is>
      </c>
      <c r="D15" s="7" t="inlineStr">
        <is>
          <t>Baptist</t>
        </is>
      </c>
      <c r="E15" s="7" t="inlineStr">
        <is>
          <t>RECONCILED</t>
        </is>
      </c>
      <c r="F15" s="7" t="inlineStr">
        <is>
          <t>A-SF</t>
        </is>
      </c>
      <c r="G15" s="7" t="inlineStr">
        <is>
          <t>A</t>
        </is>
      </c>
      <c r="H15" s="7" t="inlineStr">
        <is>
          <t>Q</t>
        </is>
      </c>
      <c r="I15" s="7" t="inlineStr">
        <is>
          <t>CURRENT OFFICIAL SOURCE RECOVERED — WEB VERIFIED</t>
        </is>
      </c>
      <c r="J15" s="7" t="inlineStr">
        <is>
          <t>RELEASE</t>
        </is>
      </c>
    </row>
    <row r="16">
      <c r="A16" s="7" t="inlineStr">
        <is>
          <t>Q-311</t>
        </is>
      </c>
      <c r="B16" s="7" t="inlineStr">
        <is>
          <t>RNR-H39</t>
        </is>
      </c>
      <c r="C16" s="7" t="inlineStr">
        <is>
          <t>Infinite</t>
        </is>
      </c>
      <c r="D16" s="7" t="inlineStr">
        <is>
          <t>Methodist / Wesleyan</t>
        </is>
      </c>
      <c r="E16" s="7" t="inlineStr">
        <is>
          <t>RECONCILED</t>
        </is>
      </c>
      <c r="F16" s="7" t="inlineStr">
        <is>
          <t>A-SF</t>
        </is>
      </c>
      <c r="G16" s="7" t="inlineStr">
        <is>
          <t>A</t>
        </is>
      </c>
      <c r="H16" s="7" t="inlineStr">
        <is>
          <t>Q</t>
        </is>
      </c>
      <c r="I16" s="7" t="inlineStr">
        <is>
          <t>SESSION 9 SOURCE ROW RECOVERED</t>
        </is>
      </c>
      <c r="J16" s="7" t="inlineStr">
        <is>
          <t>RELEASE</t>
        </is>
      </c>
    </row>
    <row r="17">
      <c r="A17" s="7" t="inlineStr">
        <is>
          <t>Q-312</t>
        </is>
      </c>
      <c r="B17" s="7" t="inlineStr">
        <is>
          <t>RNR-H39</t>
        </is>
      </c>
      <c r="C17" s="7" t="inlineStr">
        <is>
          <t>Infinite</t>
        </is>
      </c>
      <c r="D17" s="7" t="inlineStr">
        <is>
          <t>Mennonite / Anabaptist</t>
        </is>
      </c>
      <c r="E17" s="7" t="inlineStr">
        <is>
          <t>RECONCILED</t>
        </is>
      </c>
      <c r="F17" s="7" t="inlineStr">
        <is>
          <t>A-SF</t>
        </is>
      </c>
      <c r="G17" s="7" t="inlineStr">
        <is>
          <t>A</t>
        </is>
      </c>
      <c r="H17" s="7" t="inlineStr">
        <is>
          <t>Q</t>
        </is>
      </c>
      <c r="I17" s="7" t="inlineStr">
        <is>
          <t>CURRENT OFFICIAL SOURCE RECOVERED — WEB VERIFIED</t>
        </is>
      </c>
      <c r="J17" s="7" t="inlineStr">
        <is>
          <t>RELEASE</t>
        </is>
      </c>
    </row>
    <row r="18">
      <c r="A18" s="7" t="inlineStr">
        <is>
          <t>Q-353</t>
        </is>
      </c>
      <c r="B18" s="7" t="inlineStr">
        <is>
          <t>RNR-H45</t>
        </is>
      </c>
      <c r="C18" s="7" t="inlineStr">
        <is>
          <t>Immutable / unchangeable</t>
        </is>
      </c>
      <c r="D18" s="7" t="inlineStr">
        <is>
          <t>Roman Catholic</t>
        </is>
      </c>
      <c r="E18" s="7" t="inlineStr">
        <is>
          <t>RECONCILED</t>
        </is>
      </c>
      <c r="F18" s="7" t="inlineStr">
        <is>
          <t>Q</t>
        </is>
      </c>
      <c r="G18" s="7" t="inlineStr">
        <is>
          <t>Q</t>
        </is>
      </c>
      <c r="H18" s="7" t="inlineStr">
        <is>
          <t>Q</t>
        </is>
      </c>
      <c r="I18" s="7" t="inlineStr">
        <is>
          <t>SESSION 9 SOURCE ROW RECOVERED</t>
        </is>
      </c>
      <c r="J18" s="7" t="inlineStr">
        <is>
          <t>RELEASE</t>
        </is>
      </c>
    </row>
    <row r="19">
      <c r="A19" s="7" t="inlineStr">
        <is>
          <t>Q-354</t>
        </is>
      </c>
      <c r="B19" s="7" t="inlineStr">
        <is>
          <t>RNR-H45</t>
        </is>
      </c>
      <c r="C19" s="7" t="inlineStr">
        <is>
          <t>Immutable / unchangeable</t>
        </is>
      </c>
      <c r="D19" s="7" t="inlineStr">
        <is>
          <t>Eastern Orthodox</t>
        </is>
      </c>
      <c r="E19" s="7" t="inlineStr">
        <is>
          <t>RECONCILED</t>
        </is>
      </c>
      <c r="F19" s="7" t="inlineStr">
        <is>
          <t>Q</t>
        </is>
      </c>
      <c r="G19" s="7" t="inlineStr">
        <is>
          <t>Q</t>
        </is>
      </c>
      <c r="H19" s="7" t="inlineStr">
        <is>
          <t>Q</t>
        </is>
      </c>
      <c r="I19" s="7" t="inlineStr">
        <is>
          <t>CURRENT OFFICIAL CATECHETICAL/LITURGICAL SOURCE RECOVERED — WEB VERIFIED</t>
        </is>
      </c>
      <c r="J19" s="7" t="inlineStr">
        <is>
          <t>RELEASE</t>
        </is>
      </c>
    </row>
    <row r="20">
      <c r="A20" s="7" t="inlineStr">
        <is>
          <t>Q-355</t>
        </is>
      </c>
      <c r="B20" s="7" t="inlineStr">
        <is>
          <t>RNR-H45</t>
        </is>
      </c>
      <c r="C20" s="7" t="inlineStr">
        <is>
          <t>Immutable / unchangeable</t>
        </is>
      </c>
      <c r="D20" s="7" t="inlineStr">
        <is>
          <t>Lutheran</t>
        </is>
      </c>
      <c r="E20" s="7" t="inlineStr">
        <is>
          <t>RECONCILED</t>
        </is>
      </c>
      <c r="F20" s="7" t="inlineStr">
        <is>
          <t>Q</t>
        </is>
      </c>
      <c r="G20" s="7" t="inlineStr">
        <is>
          <t>Q</t>
        </is>
      </c>
      <c r="H20" s="7" t="inlineStr">
        <is>
          <t>Q</t>
        </is>
      </c>
      <c r="I20" s="7" t="inlineStr">
        <is>
          <t>CURRENT CONFESSIONAL SOURCE RECOVERED — WEB VERIFIED</t>
        </is>
      </c>
      <c r="J20" s="7" t="inlineStr">
        <is>
          <t>RELEASE</t>
        </is>
      </c>
    </row>
    <row r="21" ht="15.75" customHeight="1" s="29">
      <c r="A21" s="7" t="inlineStr">
        <is>
          <t>Q-356</t>
        </is>
      </c>
      <c r="B21" s="7" t="inlineStr">
        <is>
          <t>RNR-H45</t>
        </is>
      </c>
      <c r="C21" s="7" t="inlineStr">
        <is>
          <t>Immutable / unchangeable</t>
        </is>
      </c>
      <c r="D21" s="7" t="inlineStr">
        <is>
          <t>Reformed / Presbyterian</t>
        </is>
      </c>
      <c r="E21" s="7" t="inlineStr">
        <is>
          <t>RECONCILED</t>
        </is>
      </c>
      <c r="F21" s="7" t="inlineStr">
        <is>
          <t>Q</t>
        </is>
      </c>
      <c r="G21" s="7" t="inlineStr">
        <is>
          <t>Q</t>
        </is>
      </c>
      <c r="H21" s="7" t="inlineStr">
        <is>
          <t>Q</t>
        </is>
      </c>
      <c r="I21" s="7" t="inlineStr">
        <is>
          <t>SESSION 9 SOURCE ROW RECOVERED</t>
        </is>
      </c>
      <c r="J21" s="7" t="inlineStr">
        <is>
          <t>RELEASE</t>
        </is>
      </c>
    </row>
    <row r="22" ht="15.75" customHeight="1" s="29">
      <c r="A22" s="7" t="inlineStr">
        <is>
          <t>Q-357</t>
        </is>
      </c>
      <c r="B22" s="7" t="inlineStr">
        <is>
          <t>RNR-H45</t>
        </is>
      </c>
      <c r="C22" s="7" t="inlineStr">
        <is>
          <t>Immutable / unchangeable</t>
        </is>
      </c>
      <c r="D22" s="7" t="inlineStr">
        <is>
          <t>Anglican</t>
        </is>
      </c>
      <c r="E22" s="7" t="inlineStr">
        <is>
          <t>CLOSED — NOT ATTESTED</t>
        </is>
      </c>
      <c r="F22" s="7" t="inlineStr">
        <is>
          <t>NOT LOCATED — CURRENT STANDARD REVIEWED</t>
        </is>
      </c>
      <c r="G22" s="7" t="inlineStr">
        <is>
          <t>EXCLUDED</t>
        </is>
      </c>
      <c r="H22" s="7" t="inlineStr">
        <is>
          <t>Q</t>
        </is>
      </c>
      <c r="I22" s="7" t="inlineStr">
        <is>
          <t>CURRENT STANDARD REVIEWED — PROPOSITION NOT ATTESTED</t>
        </is>
      </c>
      <c r="J22" s="7" t="inlineStr">
        <is>
          <t>GAP ONLY</t>
        </is>
      </c>
    </row>
    <row r="23" ht="15.75" customHeight="1" s="29">
      <c r="A23" s="7" t="inlineStr">
        <is>
          <t>Q-358</t>
        </is>
      </c>
      <c r="B23" s="7" t="inlineStr">
        <is>
          <t>RNR-H45</t>
        </is>
      </c>
      <c r="C23" s="7" t="inlineStr">
        <is>
          <t>Immutable / unchangeable</t>
        </is>
      </c>
      <c r="D23" s="7" t="inlineStr">
        <is>
          <t>Baptist</t>
        </is>
      </c>
      <c r="E23" s="7" t="inlineStr">
        <is>
          <t>CLOSED — NOT ATTESTED</t>
        </is>
      </c>
      <c r="F23" s="7" t="inlineStr">
        <is>
          <t>NOT LOCATED — CURRENT STANDARD REVIEWED</t>
        </is>
      </c>
      <c r="G23" s="7" t="inlineStr">
        <is>
          <t>EXCLUDED</t>
        </is>
      </c>
      <c r="H23" s="7" t="inlineStr">
        <is>
          <t>Q</t>
        </is>
      </c>
      <c r="I23" s="7" t="inlineStr">
        <is>
          <t>CURRENT STANDARD REVIEWED — PROPOSITION NOT ATTESTED</t>
        </is>
      </c>
      <c r="J23" s="7" t="inlineStr">
        <is>
          <t>GAP ONLY</t>
        </is>
      </c>
    </row>
    <row r="24" ht="15.75" customHeight="1" s="29">
      <c r="A24" s="7" t="inlineStr">
        <is>
          <t>Q-359</t>
        </is>
      </c>
      <c r="B24" s="7" t="inlineStr">
        <is>
          <t>RNR-H45</t>
        </is>
      </c>
      <c r="C24" s="7" t="inlineStr">
        <is>
          <t>Immutable / unchangeable</t>
        </is>
      </c>
      <c r="D24" s="7" t="inlineStr">
        <is>
          <t>Methodist / Wesleyan</t>
        </is>
      </c>
      <c r="E24" s="7" t="inlineStr">
        <is>
          <t>CLOSED — NOT ATTESTED</t>
        </is>
      </c>
      <c r="F24" s="7" t="inlineStr">
        <is>
          <t>NOT LOCATED — CURRENT STANDARD REVIEWED</t>
        </is>
      </c>
      <c r="G24" s="7" t="inlineStr">
        <is>
          <t>EXCLUDED</t>
        </is>
      </c>
      <c r="H24" s="7" t="inlineStr">
        <is>
          <t>Q</t>
        </is>
      </c>
      <c r="I24" s="7" t="inlineStr">
        <is>
          <t>CURRENT STANDARD REVIEWED — PROPOSITION NOT ATTESTED</t>
        </is>
      </c>
      <c r="J24" s="7" t="inlineStr">
        <is>
          <t>GAP ONLY</t>
        </is>
      </c>
    </row>
    <row r="25" ht="15.75" customHeight="1" s="29">
      <c r="A25" s="7" t="inlineStr">
        <is>
          <t>Q-360</t>
        </is>
      </c>
      <c r="B25" s="7" t="inlineStr">
        <is>
          <t>RNR-H45</t>
        </is>
      </c>
      <c r="C25" s="7" t="inlineStr">
        <is>
          <t>Immutable / unchangeable</t>
        </is>
      </c>
      <c r="D25" s="7" t="inlineStr">
        <is>
          <t>Mennonite / Anabaptist</t>
        </is>
      </c>
      <c r="E25" s="7" t="inlineStr">
        <is>
          <t>CLOSED — NOT ATTESTED</t>
        </is>
      </c>
      <c r="F25" s="7" t="inlineStr">
        <is>
          <t>NOT LOCATED — CURRENT STANDARD REVIEWED</t>
        </is>
      </c>
      <c r="G25" s="7" t="inlineStr">
        <is>
          <t>EXCLUDED</t>
        </is>
      </c>
      <c r="H25" s="7" t="inlineStr">
        <is>
          <t>Q</t>
        </is>
      </c>
      <c r="I25" s="7" t="inlineStr">
        <is>
          <t>CURRENT STANDARD REVIEWED — PROPOSITION NOT ATTESTED</t>
        </is>
      </c>
      <c r="J25" s="7" t="inlineStr">
        <is>
          <t>GAP ONLY</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46" customWidth="1" style="29" min="4" max="4"/>
    <col width="36" customWidth="1" style="29" min="5" max="5"/>
    <col width="48" customWidth="1" style="29" min="6" max="6"/>
    <col width="44" customWidth="1" style="29" min="7" max="7"/>
    <col width="62" customWidth="1" style="29" min="8" max="8"/>
    <col width="56" customWidth="1" style="29" min="9" max="9"/>
    <col width="30" customWidth="1" style="29" min="10" max="10"/>
    <col width="42" customWidth="1" style="29" min="11" max="11"/>
    <col width="16" customWidth="1" style="29" min="12" max="12"/>
    <col width="18" customWidth="1" style="29" min="13" max="13"/>
    <col width="72" customWidth="1" style="29" min="14" max="14"/>
    <col width="8.630000000000001" customWidth="1" style="29" min="15" max="26"/>
  </cols>
  <sheetData>
    <row r="1">
      <c r="A1" s="5" t="inlineStr">
        <is>
          <t>Queue ID</t>
        </is>
      </c>
      <c r="B1" s="5" t="inlineStr">
        <is>
          <t>Family ID</t>
        </is>
      </c>
      <c r="C1" s="5" t="inlineStr">
        <is>
          <t>Teaching branch</t>
        </is>
      </c>
      <c r="D1" s="5" t="inlineStr">
        <is>
          <t>Recovery state</t>
        </is>
      </c>
      <c r="E1" s="5" t="inlineStr">
        <is>
          <t>Institution</t>
        </is>
      </c>
      <c r="F1" s="5" t="inlineStr">
        <is>
          <t>Document</t>
        </is>
      </c>
      <c r="G1" s="5" t="inlineStr">
        <is>
          <t>Locator</t>
        </is>
      </c>
      <c r="H1" s="5" t="inlineStr">
        <is>
          <t>Authority URL</t>
        </is>
      </c>
      <c r="I1" s="5" t="inlineStr">
        <is>
          <t>Scope</t>
        </is>
      </c>
      <c r="J1" s="5" t="inlineStr">
        <is>
          <t>Final decision</t>
        </is>
      </c>
      <c r="K1" s="5" t="inlineStr">
        <is>
          <t>Rendered State</t>
        </is>
      </c>
      <c r="L1" s="5" t="inlineStr">
        <is>
          <t>Metric Class</t>
        </is>
      </c>
      <c r="M1" s="5" t="inlineStr">
        <is>
          <t>Confidence</t>
        </is>
      </c>
      <c r="N1" s="5" t="inlineStr">
        <is>
          <t>Reasoning / source note</t>
        </is>
      </c>
    </row>
    <row r="2">
      <c r="A2" s="7" t="inlineStr">
        <is>
          <t>Q-289</t>
        </is>
      </c>
      <c r="B2" s="7" t="inlineStr">
        <is>
          <t>RNR-H37</t>
        </is>
      </c>
      <c r="C2" s="7" t="inlineStr">
        <is>
          <t>Roman Catholic</t>
        </is>
      </c>
      <c r="D2" s="7" t="inlineStr">
        <is>
          <t>CURRENT OFFICIAL SOURCE RECOVERED — WEB VERIFIED</t>
        </is>
      </c>
      <c r="E2" s="7" t="inlineStr">
        <is>
          <t>Roman Catholic Church</t>
        </is>
      </c>
      <c r="F2" s="7" t="inlineStr">
        <is>
          <t>Compendium of the Catechism of the Catholic Church</t>
        </is>
      </c>
      <c r="G2" s="7" t="inlineStr">
        <is>
          <t>Q47 — Father as 'principle without a principle' and origin of all trinitarian life</t>
        </is>
      </c>
      <c r="H2" s="7" t="inlineStr">
        <is>
          <t>https://www.vatican.va/archive/compendium_ccc/documents/archive_2005_compendium-ccc_en.html</t>
        </is>
      </c>
      <c r="I2" s="7" t="inlineStr">
        <is>
          <t>Universal Catholic Church; Compendium summarizes Catechism teaching.</t>
        </is>
      </c>
      <c r="J2" s="7" t="inlineStr">
        <is>
          <t>RECONCILED</t>
        </is>
      </c>
      <c r="K2" s="7" t="inlineStr">
        <is>
          <t>Q</t>
        </is>
      </c>
      <c r="L2" s="7" t="inlineStr">
        <is>
          <t>Q</t>
        </is>
      </c>
      <c r="M2" s="7" t="inlineStr">
        <is>
          <t>HIGH</t>
        </is>
      </c>
      <c r="N2" s="7" t="inlineStr">
        <is>
          <t>RNR-H37: historical Session 9 comparison state (U / U-HOLD) differs from current family state (Q); branch display prohibited until reconciliation is completed. | Source reaches current H37 source-status/origin floor.</t>
        </is>
      </c>
    </row>
    <row r="3">
      <c r="A3" s="7" t="inlineStr">
        <is>
          <t>Q-290</t>
        </is>
      </c>
      <c r="B3" s="7" t="inlineStr">
        <is>
          <t>RNR-H37</t>
        </is>
      </c>
      <c r="C3" s="7" t="inlineStr">
        <is>
          <t>Eastern Orthodox</t>
        </is>
      </c>
      <c r="D3" s="7" t="inlineStr">
        <is>
          <t>CURRENT OFFICIAL CATECHETICAL SOURCE RECOVERED — WEB VERIFIED</t>
        </is>
      </c>
      <c r="E3" s="7" t="inlineStr">
        <is>
          <t>Orthodox Church in America</t>
        </is>
      </c>
      <c r="F3" s="7" t="inlineStr">
        <is>
          <t>The Orthodox Faith, Vol. I — The Holy Trinity: One God, One Father (OCA official catechesis)</t>
        </is>
      </c>
      <c r="G3" s="7" t="inlineStr">
        <is>
          <t>"One God, One Father" — the Son is born from the Father and the Spirit proceeds from the Father in the timeless and eternal action of the Father's own being</t>
        </is>
      </c>
      <c r="H3" s="7" t="inlineStr">
        <is>
          <t>https://www.oca.org/orthodoxy/the-orthodox-faith/doctrine-scripture/the-holy-trinity/one-god-one-father</t>
        </is>
      </c>
      <c r="I3" s="7" t="inlineStr">
        <is>
          <t>OCA official catechetical witness — jurisdictional</t>
        </is>
      </c>
      <c r="J3" s="7" t="inlineStr">
        <is>
          <t>RECONCILED — AUTHOR SOURCE-ROLE APPROVAL; SOURCE STRENGTHENED</t>
        </is>
      </c>
      <c r="K3" s="7" t="inlineStr">
        <is>
          <t>Q</t>
        </is>
      </c>
      <c r="L3" s="7" t="inlineStr">
        <is>
          <t>Q</t>
        </is>
      </c>
      <c r="M3" s="7" t="inlineStr">
        <is>
          <t>High</t>
        </is>
      </c>
      <c r="N3" s="7" t="inlineStr">
        <is>
          <t>Father as unoriginate source (monarchy of the Father) reaches the H37 source-status floor; absolute from-none vs antecedent divine lineage remains the Q qualification. There is only one God because there is only one Father</t>
        </is>
      </c>
    </row>
    <row r="4">
      <c r="A4" s="7" t="inlineStr">
        <is>
          <t>Q-293</t>
        </is>
      </c>
      <c r="B4" s="7" t="inlineStr">
        <is>
          <t>RNR-H37</t>
        </is>
      </c>
      <c r="C4" s="7" t="inlineStr">
        <is>
          <t>Anglican</t>
        </is>
      </c>
      <c r="D4" s="7" t="inlineStr">
        <is>
          <t>CURRENT AUTHORIZED FORMULARY RECOVERED — WEB VERIFIED</t>
        </is>
      </c>
      <c r="E4" s="7" t="inlineStr">
        <is>
          <t>Church of England</t>
        </is>
      </c>
      <c r="F4" s="7" t="inlineStr">
        <is>
          <t>Creed of S. Athanasius, Book of Common Prayer</t>
        </is>
      </c>
      <c r="G4" s="7" t="inlineStr">
        <is>
          <t>The Father is made of none: neither created, nor begotten</t>
        </is>
      </c>
      <c r="H4" s="7" t="inlineStr">
        <is>
          <t>https://ccel.org/ccel/creeds/athanasian.creed.html</t>
        </is>
      </c>
      <c r="I4" s="7" t="inlineStr">
        <is>
          <t>Church of England only; not automatically Anglican Communion-wide.</t>
        </is>
      </c>
      <c r="J4" s="7" t="inlineStr">
        <is>
          <t>RECONCILED</t>
        </is>
      </c>
      <c r="K4" s="7" t="inlineStr">
        <is>
          <t>Q</t>
        </is>
      </c>
      <c r="L4" s="7" t="inlineStr">
        <is>
          <t>Q</t>
        </is>
      </c>
      <c r="M4" s="7" t="inlineStr">
        <is>
          <t>HIGH</t>
        </is>
      </c>
      <c r="N4" s="7" t="inlineStr">
        <is>
          <t>RNR-H37: historical Session 9 comparison state (U / U-HOLD) differs from current family state (Q); branch display prohibited until reconciliation is completed. | Exact H37 wording recovered.</t>
        </is>
      </c>
    </row>
    <row r="5">
      <c r="A5" s="7" t="inlineStr">
        <is>
          <t>Q-294</t>
        </is>
      </c>
      <c r="B5" s="7" t="inlineStr">
        <is>
          <t>RNR-H37</t>
        </is>
      </c>
      <c r="C5" s="7" t="inlineStr">
        <is>
          <t>Baptist</t>
        </is>
      </c>
      <c r="D5" s="7" t="inlineStr">
        <is>
          <t>CURRENT STANDARD REVIEWED — PROPOSITION NOT ATTESTED</t>
        </is>
      </c>
      <c r="E5" s="7" t="inlineStr">
        <is>
          <t>Southern Baptist Convention</t>
        </is>
      </c>
      <c r="F5" s="7" t="inlineStr">
        <is>
          <t>Baptist Faith and Message 2000</t>
        </is>
      </c>
      <c r="G5" s="7" t="inlineStr">
        <is>
          <t>Article II: God</t>
        </is>
      </c>
      <c r="H5" s="7" t="inlineStr">
        <is>
          <t>https://bfm.sbc.net/bfm2000/</t>
        </is>
      </c>
      <c r="I5" s="7" t="inlineStr">
        <is>
          <t>SBC cooperative identity; not all Baptists.</t>
        </is>
      </c>
      <c r="J5" s="7" t="inlineStr">
        <is>
          <t>CLOSED — NOT ATTESTED</t>
        </is>
      </c>
      <c r="K5" s="7" t="inlineStr">
        <is>
          <t>NOT LOCATED — CURRENT STANDARD REVIEWED</t>
        </is>
      </c>
      <c r="L5" s="7" t="inlineStr">
        <is>
          <t>EXCLUDED</t>
        </is>
      </c>
      <c r="M5" s="7" t="inlineStr">
        <is>
          <t>HIGH</t>
        </is>
      </c>
      <c r="N5" s="7" t="inlineStr">
        <is>
          <t>RNR-H37: historical Session 9 comparison state (U / U-HOLD) differs from current family state (Q); branch display prohibited until reconciliation is completed. | Current standard reviewed; exact predicate not attested. Comparison gap, not denial.</t>
        </is>
      </c>
    </row>
    <row r="6">
      <c r="A6" s="7" t="inlineStr">
        <is>
          <t>Q-295</t>
        </is>
      </c>
      <c r="B6" s="7" t="inlineStr">
        <is>
          <t>RNR-H37</t>
        </is>
      </c>
      <c r="C6" s="7" t="inlineStr">
        <is>
          <t>Methodist / Wesleyan</t>
        </is>
      </c>
      <c r="D6" s="7" t="inlineStr">
        <is>
          <t>CURRENT STANDARD REVIEWED — PROPOSITION NOT ATTESTED</t>
        </is>
      </c>
      <c r="E6" s="7" t="inlineStr">
        <is>
          <t>The United Methodist Church</t>
        </is>
      </c>
      <c r="F6" s="7" t="inlineStr">
        <is>
          <t>Articles of Religion + Confession of Faith</t>
        </is>
      </c>
      <c r="G6" s="7" t="inlineStr">
        <is>
          <t>Article I / Article I</t>
        </is>
      </c>
      <c r="H6" s="7" t="inlineStr">
        <is>
          <t>https://www.umc.org/en/content/foundational-documents</t>
        </is>
      </c>
      <c r="I6" s="7" t="inlineStr">
        <is>
          <t>UMC doctrinal-standard scope; not every Wesleyan body.</t>
        </is>
      </c>
      <c r="J6" s="7" t="inlineStr">
        <is>
          <t>CLOSED — NOT ATTESTED</t>
        </is>
      </c>
      <c r="K6" s="7" t="inlineStr">
        <is>
          <t>NOT LOCATED — CURRENT STANDARD REVIEWED</t>
        </is>
      </c>
      <c r="L6" s="7" t="inlineStr">
        <is>
          <t>EXCLUDED</t>
        </is>
      </c>
      <c r="M6" s="7" t="inlineStr">
        <is>
          <t>HIGH</t>
        </is>
      </c>
      <c r="N6" s="7" t="inlineStr">
        <is>
          <t>RNR-H37: historical Session 9 comparison state (U / U-HOLD) differs from current family state (Q); branch display prohibited until reconciliation is completed. | Current standard reviewed; exact predicate not attested. Comparison gap, not denial.</t>
        </is>
      </c>
    </row>
    <row r="7">
      <c r="A7" s="7" t="inlineStr">
        <is>
          <t>Q-296</t>
        </is>
      </c>
      <c r="B7" s="7" t="inlineStr">
        <is>
          <t>RNR-H37</t>
        </is>
      </c>
      <c r="C7" s="7" t="inlineStr">
        <is>
          <t>Mennonite / Anabaptist</t>
        </is>
      </c>
      <c r="D7" s="7" t="inlineStr">
        <is>
          <t>CURRENT STANDARD REVIEWED — PROPOSITION NOT ATTESTED</t>
        </is>
      </c>
      <c r="E7" s="7" t="inlineStr">
        <is>
          <t>Mennonite Church USA</t>
        </is>
      </c>
      <c r="F7" s="7" t="inlineStr">
        <is>
          <t>Confession of Faith in a Mennonite Perspective (1995)</t>
        </is>
      </c>
      <c r="G7" s="7" t="inlineStr">
        <is>
          <t>Article 1: God</t>
        </is>
      </c>
      <c r="H7" s="7" t="inlineStr">
        <is>
          <t>https://www.mennoniteusa.org/who-are-mennonites/what-we-believe/confession-of-faith/god/</t>
        </is>
      </c>
      <c r="I7" s="7" t="inlineStr">
        <is>
          <t>MC USA / adopting-body scope; not all Mennonite or Anabaptist bodies.</t>
        </is>
      </c>
      <c r="J7" s="7" t="inlineStr">
        <is>
          <t>CLOSED — NOT ATTESTED</t>
        </is>
      </c>
      <c r="K7" s="7" t="inlineStr">
        <is>
          <t>NOT LOCATED — CURRENT STANDARD REVIEWED</t>
        </is>
      </c>
      <c r="L7" s="7" t="inlineStr">
        <is>
          <t>EXCLUDED</t>
        </is>
      </c>
      <c r="M7" s="7" t="inlineStr">
        <is>
          <t>HIGH</t>
        </is>
      </c>
      <c r="N7" s="7" t="inlineStr">
        <is>
          <t>RNR-H37: historical Session 9 comparison state (U / U-HOLD) differs from current family state (Q); branch display prohibited until reconciliation is completed. | Current standard reviewed; exact predicate not attested. Comparison gap, not denial.</t>
        </is>
      </c>
    </row>
    <row r="8">
      <c r="A8" s="7" t="inlineStr">
        <is>
          <t>Q-306</t>
        </is>
      </c>
      <c r="B8" s="7" t="inlineStr">
        <is>
          <t>RNR-H39</t>
        </is>
      </c>
      <c r="C8" s="7" t="inlineStr">
        <is>
          <t>Eastern Orthodox</t>
        </is>
      </c>
      <c r="D8" s="7" t="inlineStr">
        <is>
          <t>CURRENT OFFICIAL CATECHETICAL SOURCE RECOVERED — WEB VERIFIED</t>
        </is>
      </c>
      <c r="E8" s="7" t="inlineStr">
        <is>
          <t>Orthodox Church in America</t>
        </is>
      </c>
      <c r="F8" s="7" t="inlineStr">
        <is>
          <t>The Orthodox Faith, Vol. I — The Holy Trinity</t>
        </is>
      </c>
      <c r="G8" s="7" t="inlineStr">
        <is>
          <t>Timeless, spaceless, sizeless super-essential existence; absolute divine perfection</t>
        </is>
      </c>
      <c r="H8" s="7" t="inlineStr">
        <is>
          <t>https://www.oca.org/orthodoxy/the-orthodox-faith/doctrine-scripture/the-holy-trinity/the-three-divine-persons</t>
        </is>
      </c>
      <c r="I8" s="7" t="inlineStr">
        <is>
          <t>OCA catechetical witness; not a proxy for every autocephalous church.</t>
        </is>
      </c>
      <c r="J8" s="7" t="inlineStr">
        <is>
          <t>RECONCILED</t>
        </is>
      </c>
      <c r="K8" s="7" t="inlineStr">
        <is>
          <t>Q</t>
        </is>
      </c>
      <c r="L8" s="7" t="inlineStr">
        <is>
          <t>Q</t>
        </is>
      </c>
      <c r="M8" s="7" t="inlineStr">
        <is>
          <t>HIGH</t>
        </is>
      </c>
      <c r="N8" s="7" t="inlineStr">
        <is>
          <t>RNR-H39: historical Session 9 comparison state (A) differs from current family state (Q); branch display prohibited until reconciliation is completed. | Broad ontological non-finitude reaches H39 Q boundary.</t>
        </is>
      </c>
    </row>
    <row r="9">
      <c r="A9" s="7" t="inlineStr">
        <is>
          <t>Q-307</t>
        </is>
      </c>
      <c r="B9" s="7" t="inlineStr">
        <is>
          <t>RNR-H39</t>
        </is>
      </c>
      <c r="C9" s="7" t="inlineStr">
        <is>
          <t>Lutheran</t>
        </is>
      </c>
      <c r="D9" s="7" t="inlineStr">
        <is>
          <t>SESSION 9 SOURCE ROW RECOVERED</t>
        </is>
      </c>
      <c r="E9" s="7" t="inlineStr">
        <is>
          <t>Lutheran Church—Missouri Synod</t>
        </is>
      </c>
      <c r="F9" s="7" t="inlineStr">
        <is>
          <t>Augsburg Confession</t>
        </is>
      </c>
      <c r="G9" s="7" t="inlineStr">
        <is>
          <t>Article I, God</t>
        </is>
      </c>
      <c r="H9" s="7" t="inlineStr">
        <is>
          <t>https://bookofconcord.org/augsburg-confession/of-god/</t>
        </is>
      </c>
      <c r="I9" s="7" t="inlineStr">
        <is>
          <t>LCMS confessional subscription; not all Lutherans.</t>
        </is>
      </c>
      <c r="J9" s="7" t="inlineStr">
        <is>
          <t>RECONCILED</t>
        </is>
      </c>
      <c r="K9" s="7" t="inlineStr">
        <is>
          <t>A-SF</t>
        </is>
      </c>
      <c r="L9" s="7" t="inlineStr">
        <is>
          <t>A</t>
        </is>
      </c>
      <c r="M9" s="7" t="inlineStr">
        <is>
          <t>MEDIUM-HIGH</t>
        </is>
      </c>
      <c r="N9" s="7" t="inlineStr">
        <is>
          <t>RNR-H39: historical Session 9 comparison state (A) differs from current family state (Q); branch display prohibited until reconciliation is completed. | Infinite power, wisdom, goodness supports A-SF.</t>
        </is>
      </c>
    </row>
    <row r="10">
      <c r="A10" s="7" t="inlineStr">
        <is>
          <t>Q-309</t>
        </is>
      </c>
      <c r="B10" s="7" t="inlineStr">
        <is>
          <t>RNR-H39</t>
        </is>
      </c>
      <c r="C10" s="7" t="inlineStr">
        <is>
          <t>Anglican</t>
        </is>
      </c>
      <c r="D10" s="7" t="inlineStr">
        <is>
          <t>CURRENT AUTHORIZED FORMULARY RECOVERED — WEB VERIFIED</t>
        </is>
      </c>
      <c r="E10" s="7" t="inlineStr">
        <is>
          <t>Church of England</t>
        </is>
      </c>
      <c r="F10" s="7" t="inlineStr">
        <is>
          <t>Thirty-Nine Articles</t>
        </is>
      </c>
      <c r="G10" s="7" t="inlineStr">
        <is>
          <t>Article I — infinite power, wisdom, and goodness</t>
        </is>
      </c>
      <c r="H10" s="7" t="inlineStr">
        <is>
          <t>https://www.churchofengland.org/prayer-and-worship/worship-texts-and-resources/book-common-prayer/articles-religion</t>
        </is>
      </c>
      <c r="I10" s="7" t="inlineStr">
        <is>
          <t>Church of England only; not automatically Anglican Communion-wide.</t>
        </is>
      </c>
      <c r="J10" s="7" t="inlineStr">
        <is>
          <t>RECONCILED</t>
        </is>
      </c>
      <c r="K10" s="7" t="inlineStr">
        <is>
          <t>A-SF</t>
        </is>
      </c>
      <c r="L10" s="7" t="inlineStr">
        <is>
          <t>A</t>
        </is>
      </c>
      <c r="M10" s="7" t="inlineStr">
        <is>
          <t>HIGH</t>
        </is>
      </c>
      <c r="N10" s="7" t="inlineStr">
        <is>
          <t>RNR-H39: historical Session 9 comparison state (A) differs from current family state (Q); branch display prohibited until reconciliation is completed. | Perfection-scope infinity supports A-SF.</t>
        </is>
      </c>
    </row>
    <row r="11">
      <c r="A11" s="7" t="inlineStr">
        <is>
          <t>Q-312</t>
        </is>
      </c>
      <c r="B11" s="7" t="inlineStr">
        <is>
          <t>RNR-H39</t>
        </is>
      </c>
      <c r="C11" s="7" t="inlineStr">
        <is>
          <t>Mennonite / Anabaptist</t>
        </is>
      </c>
      <c r="D11" s="7" t="inlineStr">
        <is>
          <t>CURRENT OFFICIAL SOURCE RECOVERED — WEB VERIFIED</t>
        </is>
      </c>
      <c r="E11" s="7" t="inlineStr">
        <is>
          <t>Mennonite Church USA</t>
        </is>
      </c>
      <c r="F11" s="7" t="inlineStr">
        <is>
          <t>Confession of Faith in a Mennonite Perspective (1995)</t>
        </is>
      </c>
      <c r="G11" s="7" t="inlineStr">
        <is>
          <t>Article 1 — infinite freedom; unlimited justice; sovereign power and knowledge</t>
        </is>
      </c>
      <c r="H11" s="7" t="inlineStr">
        <is>
          <t>https://www.mennoniteusa.org/who-are-mennonites/what-we-believe/confession-of-faith/god/</t>
        </is>
      </c>
      <c r="I11" s="7" t="inlineStr">
        <is>
          <t>MC USA / adopting-body scope; not all Mennonite or Anabaptist bodies.</t>
        </is>
      </c>
      <c r="J11" s="7" t="inlineStr">
        <is>
          <t>RECONCILED</t>
        </is>
      </c>
      <c r="K11" s="7" t="inlineStr">
        <is>
          <t>A-SF</t>
        </is>
      </c>
      <c r="L11" s="7" t="inlineStr">
        <is>
          <t>A</t>
        </is>
      </c>
      <c r="M11" s="7" t="inlineStr">
        <is>
          <t>MEDIUM-HIGH</t>
        </is>
      </c>
      <c r="N11" s="7" t="inlineStr">
        <is>
          <t>RNR-H39: historical Session 9 comparison state (A) differs from current family state (Q); branch display prohibited until reconciliation is completed. | Perfection-scope infinity supports A-SF.</t>
        </is>
      </c>
    </row>
    <row r="12">
      <c r="A12" s="7" t="inlineStr">
        <is>
          <t>Q-354</t>
        </is>
      </c>
      <c r="B12" s="7" t="inlineStr">
        <is>
          <t>RNR-H45</t>
        </is>
      </c>
      <c r="C12" s="7" t="inlineStr">
        <is>
          <t>Eastern Orthodox</t>
        </is>
      </c>
      <c r="D12" s="7" t="inlineStr">
        <is>
          <t>CURRENT OFFICIAL CATECHETICAL/LITURGICAL SOURCE RECOVERED — WEB VERIFIED</t>
        </is>
      </c>
      <c r="E12" s="7" t="inlineStr">
        <is>
          <t>Orthodox Church in America</t>
        </is>
      </c>
      <c r="F12" s="7" t="inlineStr">
        <is>
          <t>The Orthodox Faith / Divine Liturgy</t>
        </is>
      </c>
      <c r="G12" s="7" t="inlineStr">
        <is>
          <t>Ever-existing and eternally the same; perfect and unchanging</t>
        </is>
      </c>
      <c r="H12" s="7" t="inlineStr">
        <is>
          <t>https://www.oca.org/orthodoxy/the-orthodox-faith/doctrine-scripture/the-holy-trinity/one-god-one-divine-nature-and-being</t>
        </is>
      </c>
      <c r="I12" s="7" t="inlineStr">
        <is>
          <t>OCA witness; not proxy for every autocephalous Orthodox church.</t>
        </is>
      </c>
      <c r="J12" s="7" t="inlineStr">
        <is>
          <t>RECONCILED</t>
        </is>
      </c>
      <c r="K12" s="7" t="inlineStr">
        <is>
          <t>Q</t>
        </is>
      </c>
      <c r="L12" s="7" t="inlineStr">
        <is>
          <t>Q</t>
        </is>
      </c>
      <c r="M12" s="7" t="inlineStr">
        <is>
          <t>HIGH</t>
        </is>
      </c>
      <c r="N12" s="7" t="inlineStr">
        <is>
          <t>RNR-H45: historical Session 9 comparison state (A) differs from current family state (Q); branch display prohibited until reconciliation is completed. | Strong sameness/unchangeability supports Q.</t>
        </is>
      </c>
    </row>
    <row r="13">
      <c r="A13" s="7" t="inlineStr">
        <is>
          <t>Q-355</t>
        </is>
      </c>
      <c r="B13" s="7" t="inlineStr">
        <is>
          <t>RNR-H45</t>
        </is>
      </c>
      <c r="C13" s="7" t="inlineStr">
        <is>
          <t>Lutheran</t>
        </is>
      </c>
      <c r="D13" s="7" t="inlineStr">
        <is>
          <t>CURRENT CONFESSIONAL SOURCE RECOVERED — WEB VERIFIED</t>
        </is>
      </c>
      <c r="E13" s="7" t="inlineStr">
        <is>
          <t>Lutheran Church—Missouri Synod</t>
        </is>
      </c>
      <c r="F13" s="7" t="inlineStr">
        <is>
          <t>Formula of Concord, Solid Declaration</t>
        </is>
      </c>
      <c r="G13" s="7" t="inlineStr">
        <is>
          <t>Divine nature: 'since in God there is no change'</t>
        </is>
      </c>
      <c r="H13" s="7" t="inlineStr">
        <is>
          <t>https://bookofconcord.org/solid-declaration/</t>
        </is>
      </c>
      <c r="I13" s="7" t="inlineStr">
        <is>
          <t>LCMS confessional subscription; not all Lutherans.</t>
        </is>
      </c>
      <c r="J13" s="7" t="inlineStr">
        <is>
          <t>RECONCILED</t>
        </is>
      </c>
      <c r="K13" s="7" t="inlineStr">
        <is>
          <t>Q</t>
        </is>
      </c>
      <c r="L13" s="7" t="inlineStr">
        <is>
          <t>Q</t>
        </is>
      </c>
      <c r="M13" s="7" t="inlineStr">
        <is>
          <t>HIGH</t>
        </is>
      </c>
      <c r="N13" s="7" t="inlineStr">
        <is>
          <t>RNR-H45: historical Session 9 comparison state (A) differs from current family state (Q); branch display prohibited until reconciliation is completed. | Explicit no-change claim supports Q.</t>
        </is>
      </c>
    </row>
    <row r="14">
      <c r="A14" s="7" t="inlineStr">
        <is>
          <t>Q-357</t>
        </is>
      </c>
      <c r="B14" s="7" t="inlineStr">
        <is>
          <t>RNR-H45</t>
        </is>
      </c>
      <c r="C14" s="7" t="inlineStr">
        <is>
          <t>Anglican</t>
        </is>
      </c>
      <c r="D14" s="7" t="inlineStr">
        <is>
          <t>CURRENT STANDARD REVIEWED — PROPOSITION NOT ATTESTED</t>
        </is>
      </c>
      <c r="E14" s="7" t="inlineStr">
        <is>
          <t>Church of England</t>
        </is>
      </c>
      <c r="F14" s="7" t="inlineStr">
        <is>
          <t>Thirty-Nine Articles + received Athanasian Creed</t>
        </is>
      </c>
      <c r="G14" s="7" t="inlineStr">
        <is>
          <t>Article I / Article VIII + Athanasian Creed</t>
        </is>
      </c>
      <c r="H14" s="7" t="inlineStr">
        <is>
          <t>https://www.churchofengland.org/prayer-and-worship/worship-texts-and-resources/book-common-prayer/articles-religion</t>
        </is>
      </c>
      <c r="I14" s="7" t="inlineStr">
        <is>
          <t>Church of England only; not all Anglican Communion provinces.</t>
        </is>
      </c>
      <c r="J14" s="7" t="inlineStr">
        <is>
          <t>CLOSED — NOT ATTESTED</t>
        </is>
      </c>
      <c r="K14" s="7" t="inlineStr">
        <is>
          <t>NOT LOCATED — CURRENT STANDARD REVIEWED</t>
        </is>
      </c>
      <c r="L14" s="7" t="inlineStr">
        <is>
          <t>EXCLUDED</t>
        </is>
      </c>
      <c r="M14" s="7" t="inlineStr">
        <is>
          <t>HIGH</t>
        </is>
      </c>
      <c r="N14" s="7" t="inlineStr">
        <is>
          <t>RNR-H45: historical Session 9 comparison state (A) differs from current family state (Q); branch display prohibited until reconciliation is completed. | Current standard reviewed; exact predicate not attested. Comparison gap, not denial.</t>
        </is>
      </c>
    </row>
    <row r="15">
      <c r="A15" s="7" t="inlineStr">
        <is>
          <t>Q-358</t>
        </is>
      </c>
      <c r="B15" s="7" t="inlineStr">
        <is>
          <t>RNR-H45</t>
        </is>
      </c>
      <c r="C15" s="7" t="inlineStr">
        <is>
          <t>Baptist</t>
        </is>
      </c>
      <c r="D15" s="7" t="inlineStr">
        <is>
          <t>CURRENT STANDARD REVIEWED — PROPOSITION NOT ATTESTED</t>
        </is>
      </c>
      <c r="E15" s="7" t="inlineStr">
        <is>
          <t>Southern Baptist Convention</t>
        </is>
      </c>
      <c r="F15" s="7" t="inlineStr">
        <is>
          <t>Baptist Faith and Message 2000</t>
        </is>
      </c>
      <c r="G15" s="7" t="inlineStr">
        <is>
          <t>Article II: God</t>
        </is>
      </c>
      <c r="H15" s="7" t="inlineStr">
        <is>
          <t>https://bfm.sbc.net/bfm2000/</t>
        </is>
      </c>
      <c r="I15" s="7" t="inlineStr">
        <is>
          <t>SBC cooperative identity; not all Baptists.</t>
        </is>
      </c>
      <c r="J15" s="7" t="inlineStr">
        <is>
          <t>CLOSED — NOT ATTESTED</t>
        </is>
      </c>
      <c r="K15" s="7" t="inlineStr">
        <is>
          <t>NOT LOCATED — CURRENT STANDARD REVIEWED</t>
        </is>
      </c>
      <c r="L15" s="7" t="inlineStr">
        <is>
          <t>EXCLUDED</t>
        </is>
      </c>
      <c r="M15" s="7" t="inlineStr">
        <is>
          <t>HIGH</t>
        </is>
      </c>
      <c r="N15" s="7" t="inlineStr">
        <is>
          <t>RNR-H45: historical Session 9 comparison state (A) differs from current family state (Q); branch display prohibited until reconciliation is completed. | Current standard reviewed; exact predicate not attested. Comparison gap, not denial.</t>
        </is>
      </c>
    </row>
    <row r="16">
      <c r="A16" s="7" t="inlineStr">
        <is>
          <t>Q-359</t>
        </is>
      </c>
      <c r="B16" s="7" t="inlineStr">
        <is>
          <t>RNR-H45</t>
        </is>
      </c>
      <c r="C16" s="7" t="inlineStr">
        <is>
          <t>Methodist / Wesleyan</t>
        </is>
      </c>
      <c r="D16" s="7" t="inlineStr">
        <is>
          <t>CURRENT STANDARD REVIEWED — PROPOSITION NOT ATTESTED</t>
        </is>
      </c>
      <c r="E16" s="7" t="inlineStr">
        <is>
          <t>The United Methodist Church</t>
        </is>
      </c>
      <c r="F16" s="7" t="inlineStr">
        <is>
          <t>Articles of Religion + Confession of Faith</t>
        </is>
      </c>
      <c r="G16" s="7" t="inlineStr">
        <is>
          <t>Article I / Article I</t>
        </is>
      </c>
      <c r="H16" s="7" t="inlineStr">
        <is>
          <t>https://www.umc.org/en/content/foundational-documents</t>
        </is>
      </c>
      <c r="I16" s="7" t="inlineStr">
        <is>
          <t>UMC doctrinal-standard scope; not every Wesleyan body.</t>
        </is>
      </c>
      <c r="J16" s="7" t="inlineStr">
        <is>
          <t>CLOSED — NOT ATTESTED</t>
        </is>
      </c>
      <c r="K16" s="7" t="inlineStr">
        <is>
          <t>NOT LOCATED — CURRENT STANDARD REVIEWED</t>
        </is>
      </c>
      <c r="L16" s="7" t="inlineStr">
        <is>
          <t>EXCLUDED</t>
        </is>
      </c>
      <c r="M16" s="7" t="inlineStr">
        <is>
          <t>HIGH</t>
        </is>
      </c>
      <c r="N16" s="7" t="inlineStr">
        <is>
          <t>RNR-H45: historical Session 9 comparison state (A) differs from current family state (Q); branch display prohibited until reconciliation is completed. | Current standard reviewed; exact predicate not attested. Comparison gap, not denial.</t>
        </is>
      </c>
    </row>
    <row r="17">
      <c r="A17" s="7" t="inlineStr">
        <is>
          <t>Q-360</t>
        </is>
      </c>
      <c r="B17" s="7" t="inlineStr">
        <is>
          <t>RNR-H45</t>
        </is>
      </c>
      <c r="C17" s="7" t="inlineStr">
        <is>
          <t>Mennonite / Anabaptist</t>
        </is>
      </c>
      <c r="D17" s="7" t="inlineStr">
        <is>
          <t>CURRENT STANDARD REVIEWED — PROPOSITION NOT ATTESTED</t>
        </is>
      </c>
      <c r="E17" s="7" t="inlineStr">
        <is>
          <t>Mennonite Church USA</t>
        </is>
      </c>
      <c r="F17" s="7" t="inlineStr">
        <is>
          <t>Confession of Faith in a Mennonite Perspective (1995)</t>
        </is>
      </c>
      <c r="G17" s="7" t="inlineStr">
        <is>
          <t>Article 1: God</t>
        </is>
      </c>
      <c r="H17" s="7" t="inlineStr">
        <is>
          <t>https://www.mennoniteusa.org/who-are-mennonites/what-we-believe/confession-of-faith/god/</t>
        </is>
      </c>
      <c r="I17" s="7" t="inlineStr">
        <is>
          <t>MC USA / adopting-body scope; not all Mennonite or Anabaptist bodies.</t>
        </is>
      </c>
      <c r="J17" s="7" t="inlineStr">
        <is>
          <t>CLOSED — NOT ATTESTED</t>
        </is>
      </c>
      <c r="K17" s="7" t="inlineStr">
        <is>
          <t>NOT LOCATED — CURRENT STANDARD REVIEWED</t>
        </is>
      </c>
      <c r="L17" s="7" t="inlineStr">
        <is>
          <t>EXCLUDED</t>
        </is>
      </c>
      <c r="M17" s="7" t="inlineStr">
        <is>
          <t>HIGH</t>
        </is>
      </c>
      <c r="N17" s="7" t="inlineStr">
        <is>
          <t>RNR-H45: historical Session 9 comparison state (A) differs from current family state (Q); branch display prohibited until reconciliation is completed. | Current standard reviewed; exact predicate not attested. Comparison gap, not denial.</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B3" sqref="B3"/>
    </sheetView>
  </sheetViews>
  <sheetFormatPr baseColWidth="8" defaultColWidth="12.63" defaultRowHeight="15" customHeight="1"/>
  <cols>
    <col width="27" customWidth="1" style="29" min="1" max="1"/>
    <col width="8" customWidth="1" style="29" min="2" max="2"/>
    <col width="10" customWidth="1" style="29" min="3" max="3"/>
    <col width="8" customWidth="1" style="29" min="4" max="5"/>
    <col width="16" customWidth="1" style="29" min="6" max="7"/>
    <col width="15" customWidth="1" style="29" min="8" max="8"/>
    <col width="18" customWidth="1" style="29" min="9" max="9"/>
    <col width="16" customWidth="1" style="29" min="10" max="10"/>
    <col width="14" customWidth="1" style="29" min="11" max="11"/>
    <col width="13" customWidth="1" style="29" min="12" max="12"/>
    <col width="16" customWidth="1" style="29" min="13" max="13"/>
    <col width="11" customWidth="1" style="29" min="14" max="14"/>
    <col width="8.630000000000001" customWidth="1" style="29" min="15" max="15"/>
    <col width="46" customWidth="1" style="29" min="16" max="17"/>
    <col width="8.630000000000001" customWidth="1" style="29" min="18" max="26"/>
  </cols>
  <sheetData>
    <row r="1">
      <c r="A1" s="5" t="inlineStr">
        <is>
          <t>Teaching branch</t>
        </is>
      </c>
      <c r="B1" s="5" t="inlineStr">
        <is>
          <t>A</t>
        </is>
      </c>
      <c r="C1" s="5" t="inlineStr">
        <is>
          <t>A-SF</t>
        </is>
      </c>
      <c r="D1" s="5" t="inlineStr">
        <is>
          <t>Q</t>
        </is>
      </c>
      <c r="E1" s="5" t="inlineStr">
        <is>
          <t>D</t>
        </is>
      </c>
      <c r="F1" s="5" t="inlineStr">
        <is>
          <t>Vector complete</t>
        </is>
      </c>
      <c r="G1" s="5" t="inlineStr">
        <is>
          <t>Vector pending</t>
        </is>
      </c>
      <c r="H1" s="5" t="inlineStr">
        <is>
          <t>Pending review</t>
        </is>
      </c>
      <c r="I1" s="5" t="inlineStr">
        <is>
          <t>Source-role hold</t>
        </is>
      </c>
      <c r="J1" s="5" t="inlineStr">
        <is>
          <t>Not located</t>
        </is>
      </c>
      <c r="K1" s="5" t="inlineStr">
        <is>
          <t>Out of scope</t>
        </is>
      </c>
      <c r="L1" s="5" t="inlineStr">
        <is>
          <t>Total states</t>
        </is>
      </c>
      <c r="M1" s="5" t="inlineStr">
        <is>
          <t>Released results</t>
        </is>
      </c>
      <c r="N1" s="5" t="inlineStr">
        <is>
          <t>QA</t>
        </is>
      </c>
      <c r="P1" s="6" t="inlineStr">
        <is>
          <t>QA interpretation</t>
        </is>
      </c>
      <c r="Q1" s="6" t="inlineStr">
        <is>
          <t>Meaning</t>
        </is>
      </c>
    </row>
    <row r="2">
      <c r="A2" s="7" t="inlineStr">
        <is>
          <t>Roman Catholic</t>
        </is>
      </c>
      <c r="B2" s="7">
        <f>COUNTIFS('Evidence-First Cell Queue'!$E$6:$E$461,$A2,'Evidence-First Cell Queue'!$X$6:$X$461,"A")</f>
        <v/>
      </c>
      <c r="C2" s="7">
        <f>COUNTIFS('Evidence-First Cell Queue'!$E$6:$E$461,$A2,'Evidence-First Cell Queue'!$X$6:$X$461,"A-SF")</f>
        <v/>
      </c>
      <c r="D2" s="7">
        <f>COUNTIFS('Evidence-First Cell Queue'!$E$6:$E$461,$A2,'Evidence-First Cell Queue'!$X$6:$X$461,"Q")</f>
        <v/>
      </c>
      <c r="E2" s="7">
        <f>COUNTIFS('Evidence-First Cell Queue'!$E$6:$E$461,$A2,'Evidence-First Cell Queue'!$X$6:$X$461,"D")</f>
        <v/>
      </c>
      <c r="F2" s="7">
        <f>COUNTIFS('Evidence-First Cell Queue'!$E$6:$E$461,$A2,'Evidence-First Cell Queue'!$X$6:$X$461,"VECTOR COMPLETE")</f>
        <v/>
      </c>
      <c r="G2" s="7">
        <f>COUNTIFS('Evidence-First Cell Queue'!$E$6:$E$461,$A2,'Evidence-First Cell Queue'!$X$6:$X$461,"VECTOR PENDING")</f>
        <v/>
      </c>
      <c r="H2" s="7">
        <f>COUNTIFS('Evidence-First Cell Queue'!$E$6:$E$461,$A2,'Evidence-First Cell Queue'!$X$6:$X$461,"PENDING REVIEW")</f>
        <v/>
      </c>
      <c r="I2" s="7">
        <f>COUNTIFS('Evidence-First Cell Queue'!$E$6:$E$461,$A2,'Evidence-First Cell Queue'!$X$6:$X$461,"RECONCILIATION HOLD — SOURCE ROLE")</f>
        <v/>
      </c>
      <c r="J2" s="7">
        <f>COUNTIFS('Evidence-First Cell Queue'!$E$6:$E$461,$A2,'Evidence-First Cell Queue'!$X$6:$X$461,"NOT LOCATED — CURRENT SOURCE")+COUNTIFS('Evidence-First Cell Queue'!$E$6:$E$461,$A2,'Evidence-First Cell Queue'!$X$6:$X$461,"NOT LOCATED — CURRENT STANDARD REVIEWED")+COUNTIFS('Evidence-First Cell Queue'!$E$6:$E$461,$A2,'Evidence-First Cell Queue'!$X$6:$X$461,"NOT LOCATED — NOT YET RECOVERED")+COUNTIFS('Evidence-First Cell Queue'!$E$6:$E$461,$A2,'Evidence-First Cell Queue'!$X$6:$X$461,"NOT LOCATED — NO PUBLIC EVIDENCE")</f>
        <v/>
      </c>
      <c r="K2" s="7">
        <f>COUNTIFS('Evidence-First Cell Queue'!$E$6:$E$461,$A2,'Evidence-First Cell Queue'!$X$6:$X$461,"OUT OF SCOPE")</f>
        <v/>
      </c>
      <c r="L2" s="7">
        <f>SUM(B2:K2)</f>
        <v/>
      </c>
      <c r="M2" s="7">
        <f>COUNTIFS('Evidence-First Cell Queue'!$E$6:$E$461,$A2,'Evidence-First Cell Queue'!$Y$6:$Y$461,"&lt;&gt;EXCLUDED")</f>
        <v/>
      </c>
      <c r="N2" s="7">
        <f>IF(L2=57,"MATCH","REVIEW")</f>
        <v/>
      </c>
      <c r="P2" s="4" t="inlineStr">
        <is>
          <t>MATCH</t>
        </is>
      </c>
      <c r="Q2" s="4" t="inlineStr">
        <is>
          <t>Partition/completeness check only: the explicit states sum to 57.</t>
        </is>
      </c>
    </row>
    <row r="3">
      <c r="A3" s="7" t="inlineStr">
        <is>
          <t>Eastern Orthodox</t>
        </is>
      </c>
      <c r="B3" s="7">
        <f>COUNTIFS('Evidence-First Cell Queue'!$E$6:$E$461,$A3,'Evidence-First Cell Queue'!$X$6:$X$461,"A")</f>
        <v/>
      </c>
      <c r="C3" s="7">
        <f>COUNTIFS('Evidence-First Cell Queue'!$E$6:$E$461,$A3,'Evidence-First Cell Queue'!$X$6:$X$461,"A-SF")</f>
        <v/>
      </c>
      <c r="D3" s="7">
        <f>COUNTIFS('Evidence-First Cell Queue'!$E$6:$E$461,$A3,'Evidence-First Cell Queue'!$X$6:$X$461,"Q")</f>
        <v/>
      </c>
      <c r="E3" s="7">
        <f>COUNTIFS('Evidence-First Cell Queue'!$E$6:$E$461,$A3,'Evidence-First Cell Queue'!$X$6:$X$461,"D")</f>
        <v/>
      </c>
      <c r="F3" s="7">
        <f>COUNTIFS('Evidence-First Cell Queue'!$E$6:$E$461,$A3,'Evidence-First Cell Queue'!$X$6:$X$461,"VECTOR COMPLETE")</f>
        <v/>
      </c>
      <c r="G3" s="7">
        <f>COUNTIFS('Evidence-First Cell Queue'!$E$6:$E$461,$A3,'Evidence-First Cell Queue'!$X$6:$X$461,"VECTOR PENDING")</f>
        <v/>
      </c>
      <c r="H3" s="7">
        <f>COUNTIFS('Evidence-First Cell Queue'!$E$6:$E$461,$A3,'Evidence-First Cell Queue'!$X$6:$X$461,"PENDING REVIEW")</f>
        <v/>
      </c>
      <c r="I3" s="7">
        <f>COUNTIFS('Evidence-First Cell Queue'!$E$6:$E$461,$A3,'Evidence-First Cell Queue'!$X$6:$X$461,"RECONCILIATION HOLD — SOURCE ROLE")</f>
        <v/>
      </c>
      <c r="J3" s="7">
        <f>COUNTIFS('Evidence-First Cell Queue'!$E$6:$E$461,$A3,'Evidence-First Cell Queue'!$X$6:$X$461,"NOT LOCATED — CURRENT SOURCE")+COUNTIFS('Evidence-First Cell Queue'!$E$6:$E$461,$A3,'Evidence-First Cell Queue'!$X$6:$X$461,"NOT LOCATED — CURRENT STANDARD REVIEWED")+COUNTIFS('Evidence-First Cell Queue'!$E$6:$E$461,$A3,'Evidence-First Cell Queue'!$X$6:$X$461,"NOT LOCATED — NOT YET RECOVERED")+COUNTIFS('Evidence-First Cell Queue'!$E$6:$E$461,$A3,'Evidence-First Cell Queue'!$X$6:$X$461,"NOT LOCATED — NO PUBLIC EVIDENCE")</f>
        <v/>
      </c>
      <c r="K3" s="7">
        <f>COUNTIFS('Evidence-First Cell Queue'!$E$6:$E$461,$A3,'Evidence-First Cell Queue'!$X$6:$X$461,"OUT OF SCOPE")</f>
        <v/>
      </c>
      <c r="L3" s="7">
        <f>SUM(B3:K3)</f>
        <v/>
      </c>
      <c r="M3" s="7">
        <f>COUNTIFS('Evidence-First Cell Queue'!$E$6:$E$461,$A3,'Evidence-First Cell Queue'!$Y$6:$Y$461,"&lt;&gt;EXCLUDED")</f>
        <v/>
      </c>
      <c r="N3" s="7">
        <f>IF(L3=57,"MATCH","REVIEW")</f>
        <v/>
      </c>
      <c r="P3" s="4" t="inlineStr">
        <is>
          <t>Not a result-validation check</t>
        </is>
      </c>
      <c r="Q3" s="4" t="inlineStr">
        <is>
          <t>It does not verify correctness of individual branch classifications.</t>
        </is>
      </c>
    </row>
    <row r="4">
      <c r="A4" s="7" t="inlineStr">
        <is>
          <t>Lutheran</t>
        </is>
      </c>
      <c r="B4" s="7">
        <f>COUNTIFS('Evidence-First Cell Queue'!$E$6:$E$461,$A4,'Evidence-First Cell Queue'!$X$6:$X$461,"A")</f>
        <v/>
      </c>
      <c r="C4" s="7">
        <f>COUNTIFS('Evidence-First Cell Queue'!$E$6:$E$461,$A4,'Evidence-First Cell Queue'!$X$6:$X$461,"A-SF")</f>
        <v/>
      </c>
      <c r="D4" s="7">
        <f>COUNTIFS('Evidence-First Cell Queue'!$E$6:$E$461,$A4,'Evidence-First Cell Queue'!$X$6:$X$461,"Q")</f>
        <v/>
      </c>
      <c r="E4" s="7">
        <f>COUNTIFS('Evidence-First Cell Queue'!$E$6:$E$461,$A4,'Evidence-First Cell Queue'!$X$6:$X$461,"D")</f>
        <v/>
      </c>
      <c r="F4" s="7">
        <f>COUNTIFS('Evidence-First Cell Queue'!$E$6:$E$461,$A4,'Evidence-First Cell Queue'!$X$6:$X$461,"VECTOR COMPLETE")</f>
        <v/>
      </c>
      <c r="G4" s="7">
        <f>COUNTIFS('Evidence-First Cell Queue'!$E$6:$E$461,$A4,'Evidence-First Cell Queue'!$X$6:$X$461,"VECTOR PENDING")</f>
        <v/>
      </c>
      <c r="H4" s="7">
        <f>COUNTIFS('Evidence-First Cell Queue'!$E$6:$E$461,$A4,'Evidence-First Cell Queue'!$X$6:$X$461,"PENDING REVIEW")</f>
        <v/>
      </c>
      <c r="I4" s="7">
        <f>COUNTIFS('Evidence-First Cell Queue'!$E$6:$E$461,$A4,'Evidence-First Cell Queue'!$X$6:$X$461,"RECONCILIATION HOLD — SOURCE ROLE")</f>
        <v/>
      </c>
      <c r="J4" s="7">
        <f>COUNTIFS('Evidence-First Cell Queue'!$E$6:$E$461,$A4,'Evidence-First Cell Queue'!$X$6:$X$461,"NOT LOCATED — CURRENT SOURCE")+COUNTIFS('Evidence-First Cell Queue'!$E$6:$E$461,$A4,'Evidence-First Cell Queue'!$X$6:$X$461,"NOT LOCATED — CURRENT STANDARD REVIEWED")+COUNTIFS('Evidence-First Cell Queue'!$E$6:$E$461,$A4,'Evidence-First Cell Queue'!$X$6:$X$461,"NOT LOCATED — NOT YET RECOVERED")+COUNTIFS('Evidence-First Cell Queue'!$E$6:$E$461,$A4,'Evidence-First Cell Queue'!$X$6:$X$461,"NOT LOCATED — NO PUBLIC EVIDENCE")</f>
        <v/>
      </c>
      <c r="K4" s="7">
        <f>COUNTIFS('Evidence-First Cell Queue'!$E$6:$E$461,$A4,'Evidence-First Cell Queue'!$X$6:$X$461,"OUT OF SCOPE")</f>
        <v/>
      </c>
      <c r="L4" s="7">
        <f>SUM(B4:K4)</f>
        <v/>
      </c>
      <c r="M4" s="7">
        <f>COUNTIFS('Evidence-First Cell Queue'!$E$6:$E$461,$A4,'Evidence-First Cell Queue'!$Y$6:$Y$461,"&lt;&gt;EXCLUDED")</f>
        <v/>
      </c>
      <c r="N4" s="7">
        <f>IF(L4=57,"MATCH","REVIEW")</f>
        <v/>
      </c>
    </row>
    <row r="5">
      <c r="A5" s="7" t="inlineStr">
        <is>
          <t>Reformed / Presbyterian</t>
        </is>
      </c>
      <c r="B5" s="7">
        <f>COUNTIFS('Evidence-First Cell Queue'!$E$6:$E$461,$A5,'Evidence-First Cell Queue'!$X$6:$X$461,"A")</f>
        <v/>
      </c>
      <c r="C5" s="7">
        <f>COUNTIFS('Evidence-First Cell Queue'!$E$6:$E$461,$A5,'Evidence-First Cell Queue'!$X$6:$X$461,"A-SF")</f>
        <v/>
      </c>
      <c r="D5" s="7">
        <f>COUNTIFS('Evidence-First Cell Queue'!$E$6:$E$461,$A5,'Evidence-First Cell Queue'!$X$6:$X$461,"Q")</f>
        <v/>
      </c>
      <c r="E5" s="7">
        <f>COUNTIFS('Evidence-First Cell Queue'!$E$6:$E$461,$A5,'Evidence-First Cell Queue'!$X$6:$X$461,"D")</f>
        <v/>
      </c>
      <c r="F5" s="7">
        <f>COUNTIFS('Evidence-First Cell Queue'!$E$6:$E$461,$A5,'Evidence-First Cell Queue'!$X$6:$X$461,"VECTOR COMPLETE")</f>
        <v/>
      </c>
      <c r="G5" s="7">
        <f>COUNTIFS('Evidence-First Cell Queue'!$E$6:$E$461,$A5,'Evidence-First Cell Queue'!$X$6:$X$461,"VECTOR PENDING")</f>
        <v/>
      </c>
      <c r="H5" s="7">
        <f>COUNTIFS('Evidence-First Cell Queue'!$E$6:$E$461,$A5,'Evidence-First Cell Queue'!$X$6:$X$461,"PENDING REVIEW")</f>
        <v/>
      </c>
      <c r="I5" s="7">
        <f>COUNTIFS('Evidence-First Cell Queue'!$E$6:$E$461,$A5,'Evidence-First Cell Queue'!$X$6:$X$461,"RECONCILIATION HOLD — SOURCE ROLE")</f>
        <v/>
      </c>
      <c r="J5" s="7">
        <f>COUNTIFS('Evidence-First Cell Queue'!$E$6:$E$461,$A5,'Evidence-First Cell Queue'!$X$6:$X$461,"NOT LOCATED — CURRENT SOURCE")+COUNTIFS('Evidence-First Cell Queue'!$E$6:$E$461,$A5,'Evidence-First Cell Queue'!$X$6:$X$461,"NOT LOCATED — CURRENT STANDARD REVIEWED")+COUNTIFS('Evidence-First Cell Queue'!$E$6:$E$461,$A5,'Evidence-First Cell Queue'!$X$6:$X$461,"NOT LOCATED — NOT YET RECOVERED")+COUNTIFS('Evidence-First Cell Queue'!$E$6:$E$461,$A5,'Evidence-First Cell Queue'!$X$6:$X$461,"NOT LOCATED — NO PUBLIC EVIDENCE")</f>
        <v/>
      </c>
      <c r="K5" s="7">
        <f>COUNTIFS('Evidence-First Cell Queue'!$E$6:$E$461,$A5,'Evidence-First Cell Queue'!$X$6:$X$461,"OUT OF SCOPE")</f>
        <v/>
      </c>
      <c r="L5" s="7">
        <f>SUM(B5:K5)</f>
        <v/>
      </c>
      <c r="M5" s="7">
        <f>COUNTIFS('Evidence-First Cell Queue'!$E$6:$E$461,$A5,'Evidence-First Cell Queue'!$Y$6:$Y$461,"&lt;&gt;EXCLUDED")</f>
        <v/>
      </c>
      <c r="N5" s="7">
        <f>IF(L5=57,"MATCH","REVIEW")</f>
        <v/>
      </c>
    </row>
    <row r="6">
      <c r="A6" s="7" t="inlineStr">
        <is>
          <t>Anglican</t>
        </is>
      </c>
      <c r="B6" s="7">
        <f>COUNTIFS('Evidence-First Cell Queue'!$E$6:$E$461,$A6,'Evidence-First Cell Queue'!$X$6:$X$461,"A")</f>
        <v/>
      </c>
      <c r="C6" s="7">
        <f>COUNTIFS('Evidence-First Cell Queue'!$E$6:$E$461,$A6,'Evidence-First Cell Queue'!$X$6:$X$461,"A-SF")</f>
        <v/>
      </c>
      <c r="D6" s="7">
        <f>COUNTIFS('Evidence-First Cell Queue'!$E$6:$E$461,$A6,'Evidence-First Cell Queue'!$X$6:$X$461,"Q")</f>
        <v/>
      </c>
      <c r="E6" s="7">
        <f>COUNTIFS('Evidence-First Cell Queue'!$E$6:$E$461,$A6,'Evidence-First Cell Queue'!$X$6:$X$461,"D")</f>
        <v/>
      </c>
      <c r="F6" s="7">
        <f>COUNTIFS('Evidence-First Cell Queue'!$E$6:$E$461,$A6,'Evidence-First Cell Queue'!$X$6:$X$461,"VECTOR COMPLETE")</f>
        <v/>
      </c>
      <c r="G6" s="7">
        <f>COUNTIFS('Evidence-First Cell Queue'!$E$6:$E$461,$A6,'Evidence-First Cell Queue'!$X$6:$X$461,"VECTOR PENDING")</f>
        <v/>
      </c>
      <c r="H6" s="7">
        <f>COUNTIFS('Evidence-First Cell Queue'!$E$6:$E$461,$A6,'Evidence-First Cell Queue'!$X$6:$X$461,"PENDING REVIEW")</f>
        <v/>
      </c>
      <c r="I6" s="7">
        <f>COUNTIFS('Evidence-First Cell Queue'!$E$6:$E$461,$A6,'Evidence-First Cell Queue'!$X$6:$X$461,"RECONCILIATION HOLD — SOURCE ROLE")</f>
        <v/>
      </c>
      <c r="J6" s="7">
        <f>COUNTIFS('Evidence-First Cell Queue'!$E$6:$E$461,$A6,'Evidence-First Cell Queue'!$X$6:$X$461,"NOT LOCATED — CURRENT SOURCE")+COUNTIFS('Evidence-First Cell Queue'!$E$6:$E$461,$A6,'Evidence-First Cell Queue'!$X$6:$X$461,"NOT LOCATED — CURRENT STANDARD REVIEWED")+COUNTIFS('Evidence-First Cell Queue'!$E$6:$E$461,$A6,'Evidence-First Cell Queue'!$X$6:$X$461,"NOT LOCATED — NOT YET RECOVERED")+COUNTIFS('Evidence-First Cell Queue'!$E$6:$E$461,$A6,'Evidence-First Cell Queue'!$X$6:$X$461,"NOT LOCATED — NO PUBLIC EVIDENCE")</f>
        <v/>
      </c>
      <c r="K6" s="7">
        <f>COUNTIFS('Evidence-First Cell Queue'!$E$6:$E$461,$A6,'Evidence-First Cell Queue'!$X$6:$X$461,"OUT OF SCOPE")</f>
        <v/>
      </c>
      <c r="L6" s="7">
        <f>SUM(B6:K6)</f>
        <v/>
      </c>
      <c r="M6" s="7">
        <f>COUNTIFS('Evidence-First Cell Queue'!$E$6:$E$461,$A6,'Evidence-First Cell Queue'!$Y$6:$Y$461,"&lt;&gt;EXCLUDED")</f>
        <v/>
      </c>
      <c r="N6" s="7">
        <f>IF(L6=57,"MATCH","REVIEW")</f>
        <v/>
      </c>
    </row>
    <row r="7">
      <c r="A7" s="7" t="inlineStr">
        <is>
          <t>Baptist</t>
        </is>
      </c>
      <c r="B7" s="7">
        <f>COUNTIFS('Evidence-First Cell Queue'!$E$6:$E$461,$A7,'Evidence-First Cell Queue'!$X$6:$X$461,"A")</f>
        <v/>
      </c>
      <c r="C7" s="7">
        <f>COUNTIFS('Evidence-First Cell Queue'!$E$6:$E$461,$A7,'Evidence-First Cell Queue'!$X$6:$X$461,"A-SF")</f>
        <v/>
      </c>
      <c r="D7" s="7">
        <f>COUNTIFS('Evidence-First Cell Queue'!$E$6:$E$461,$A7,'Evidence-First Cell Queue'!$X$6:$X$461,"Q")</f>
        <v/>
      </c>
      <c r="E7" s="7">
        <f>COUNTIFS('Evidence-First Cell Queue'!$E$6:$E$461,$A7,'Evidence-First Cell Queue'!$X$6:$X$461,"D")</f>
        <v/>
      </c>
      <c r="F7" s="7">
        <f>COUNTIFS('Evidence-First Cell Queue'!$E$6:$E$461,$A7,'Evidence-First Cell Queue'!$X$6:$X$461,"VECTOR COMPLETE")</f>
        <v/>
      </c>
      <c r="G7" s="7">
        <f>COUNTIFS('Evidence-First Cell Queue'!$E$6:$E$461,$A7,'Evidence-First Cell Queue'!$X$6:$X$461,"VECTOR PENDING")</f>
        <v/>
      </c>
      <c r="H7" s="7">
        <f>COUNTIFS('Evidence-First Cell Queue'!$E$6:$E$461,$A7,'Evidence-First Cell Queue'!$X$6:$X$461,"PENDING REVIEW")</f>
        <v/>
      </c>
      <c r="I7" s="7">
        <f>COUNTIFS('Evidence-First Cell Queue'!$E$6:$E$461,$A7,'Evidence-First Cell Queue'!$X$6:$X$461,"RECONCILIATION HOLD — SOURCE ROLE")</f>
        <v/>
      </c>
      <c r="J7" s="7">
        <f>COUNTIFS('Evidence-First Cell Queue'!$E$6:$E$461,$A7,'Evidence-First Cell Queue'!$X$6:$X$461,"NOT LOCATED — CURRENT SOURCE")+COUNTIFS('Evidence-First Cell Queue'!$E$6:$E$461,$A7,'Evidence-First Cell Queue'!$X$6:$X$461,"NOT LOCATED — CURRENT STANDARD REVIEWED")+COUNTIFS('Evidence-First Cell Queue'!$E$6:$E$461,$A7,'Evidence-First Cell Queue'!$X$6:$X$461,"NOT LOCATED — NOT YET RECOVERED")+COUNTIFS('Evidence-First Cell Queue'!$E$6:$E$461,$A7,'Evidence-First Cell Queue'!$X$6:$X$461,"NOT LOCATED — NO PUBLIC EVIDENCE")</f>
        <v/>
      </c>
      <c r="K7" s="7">
        <f>COUNTIFS('Evidence-First Cell Queue'!$E$6:$E$461,$A7,'Evidence-First Cell Queue'!$X$6:$X$461,"OUT OF SCOPE")</f>
        <v/>
      </c>
      <c r="L7" s="7">
        <f>SUM(B7:K7)</f>
        <v/>
      </c>
      <c r="M7" s="7">
        <f>COUNTIFS('Evidence-First Cell Queue'!$E$6:$E$461,$A7,'Evidence-First Cell Queue'!$Y$6:$Y$461,"&lt;&gt;EXCLUDED")</f>
        <v/>
      </c>
      <c r="N7" s="7">
        <f>IF(L7=57,"MATCH","REVIEW")</f>
        <v/>
      </c>
    </row>
    <row r="8">
      <c r="A8" s="7" t="inlineStr">
        <is>
          <t>Methodist / Wesleyan</t>
        </is>
      </c>
      <c r="B8" s="7">
        <f>COUNTIFS('Evidence-First Cell Queue'!$E$6:$E$461,$A8,'Evidence-First Cell Queue'!$X$6:$X$461,"A")</f>
        <v/>
      </c>
      <c r="C8" s="7">
        <f>COUNTIFS('Evidence-First Cell Queue'!$E$6:$E$461,$A8,'Evidence-First Cell Queue'!$X$6:$X$461,"A-SF")</f>
        <v/>
      </c>
      <c r="D8" s="7">
        <f>COUNTIFS('Evidence-First Cell Queue'!$E$6:$E$461,$A8,'Evidence-First Cell Queue'!$X$6:$X$461,"Q")</f>
        <v/>
      </c>
      <c r="E8" s="7">
        <f>COUNTIFS('Evidence-First Cell Queue'!$E$6:$E$461,$A8,'Evidence-First Cell Queue'!$X$6:$X$461,"D")</f>
        <v/>
      </c>
      <c r="F8" s="7">
        <f>COUNTIFS('Evidence-First Cell Queue'!$E$6:$E$461,$A8,'Evidence-First Cell Queue'!$X$6:$X$461,"VECTOR COMPLETE")</f>
        <v/>
      </c>
      <c r="G8" s="7">
        <f>COUNTIFS('Evidence-First Cell Queue'!$E$6:$E$461,$A8,'Evidence-First Cell Queue'!$X$6:$X$461,"VECTOR PENDING")</f>
        <v/>
      </c>
      <c r="H8" s="7">
        <f>COUNTIFS('Evidence-First Cell Queue'!$E$6:$E$461,$A8,'Evidence-First Cell Queue'!$X$6:$X$461,"PENDING REVIEW")</f>
        <v/>
      </c>
      <c r="I8" s="7">
        <f>COUNTIFS('Evidence-First Cell Queue'!$E$6:$E$461,$A8,'Evidence-First Cell Queue'!$X$6:$X$461,"RECONCILIATION HOLD — SOURCE ROLE")</f>
        <v/>
      </c>
      <c r="J8" s="7">
        <f>COUNTIFS('Evidence-First Cell Queue'!$E$6:$E$461,$A8,'Evidence-First Cell Queue'!$X$6:$X$461,"NOT LOCATED — CURRENT SOURCE")+COUNTIFS('Evidence-First Cell Queue'!$E$6:$E$461,$A8,'Evidence-First Cell Queue'!$X$6:$X$461,"NOT LOCATED — CURRENT STANDARD REVIEWED")+COUNTIFS('Evidence-First Cell Queue'!$E$6:$E$461,$A8,'Evidence-First Cell Queue'!$X$6:$X$461,"NOT LOCATED — NOT YET RECOVERED")+COUNTIFS('Evidence-First Cell Queue'!$E$6:$E$461,$A8,'Evidence-First Cell Queue'!$X$6:$X$461,"NOT LOCATED — NO PUBLIC EVIDENCE")</f>
        <v/>
      </c>
      <c r="K8" s="7">
        <f>COUNTIFS('Evidence-First Cell Queue'!$E$6:$E$461,$A8,'Evidence-First Cell Queue'!$X$6:$X$461,"OUT OF SCOPE")</f>
        <v/>
      </c>
      <c r="L8" s="7">
        <f>SUM(B8:K8)</f>
        <v/>
      </c>
      <c r="M8" s="7">
        <f>COUNTIFS('Evidence-First Cell Queue'!$E$6:$E$461,$A8,'Evidence-First Cell Queue'!$Y$6:$Y$461,"&lt;&gt;EXCLUDED")</f>
        <v/>
      </c>
      <c r="N8" s="7">
        <f>IF(L8=57,"MATCH","REVIEW")</f>
        <v/>
      </c>
    </row>
    <row r="9">
      <c r="A9" s="7" t="inlineStr">
        <is>
          <t>Mennonite / Anabaptist</t>
        </is>
      </c>
      <c r="B9" s="7">
        <f>COUNTIFS('Evidence-First Cell Queue'!$E$6:$E$461,$A9,'Evidence-First Cell Queue'!$X$6:$X$461,"A")</f>
        <v/>
      </c>
      <c r="C9" s="7">
        <f>COUNTIFS('Evidence-First Cell Queue'!$E$6:$E$461,$A9,'Evidence-First Cell Queue'!$X$6:$X$461,"A-SF")</f>
        <v/>
      </c>
      <c r="D9" s="7">
        <f>COUNTIFS('Evidence-First Cell Queue'!$E$6:$E$461,$A9,'Evidence-First Cell Queue'!$X$6:$X$461,"Q")</f>
        <v/>
      </c>
      <c r="E9" s="7">
        <f>COUNTIFS('Evidence-First Cell Queue'!$E$6:$E$461,$A9,'Evidence-First Cell Queue'!$X$6:$X$461,"D")</f>
        <v/>
      </c>
      <c r="F9" s="7">
        <f>COUNTIFS('Evidence-First Cell Queue'!$E$6:$E$461,$A9,'Evidence-First Cell Queue'!$X$6:$X$461,"VECTOR COMPLETE")</f>
        <v/>
      </c>
      <c r="G9" s="7">
        <f>COUNTIFS('Evidence-First Cell Queue'!$E$6:$E$461,$A9,'Evidence-First Cell Queue'!$X$6:$X$461,"VECTOR PENDING")</f>
        <v/>
      </c>
      <c r="H9" s="7">
        <f>COUNTIFS('Evidence-First Cell Queue'!$E$6:$E$461,$A9,'Evidence-First Cell Queue'!$X$6:$X$461,"PENDING REVIEW")</f>
        <v/>
      </c>
      <c r="I9" s="7">
        <f>COUNTIFS('Evidence-First Cell Queue'!$E$6:$E$461,$A9,'Evidence-First Cell Queue'!$X$6:$X$461,"RECONCILIATION HOLD — SOURCE ROLE")</f>
        <v/>
      </c>
      <c r="J9" s="7">
        <f>COUNTIFS('Evidence-First Cell Queue'!$E$6:$E$461,$A9,'Evidence-First Cell Queue'!$X$6:$X$461,"NOT LOCATED — CURRENT SOURCE")+COUNTIFS('Evidence-First Cell Queue'!$E$6:$E$461,$A9,'Evidence-First Cell Queue'!$X$6:$X$461,"NOT LOCATED — CURRENT STANDARD REVIEWED")+COUNTIFS('Evidence-First Cell Queue'!$E$6:$E$461,$A9,'Evidence-First Cell Queue'!$X$6:$X$461,"NOT LOCATED — NOT YET RECOVERED")+COUNTIFS('Evidence-First Cell Queue'!$E$6:$E$461,$A9,'Evidence-First Cell Queue'!$X$6:$X$461,"NOT LOCATED — NO PUBLIC EVIDENCE")</f>
        <v/>
      </c>
      <c r="K9" s="7">
        <f>COUNTIFS('Evidence-First Cell Queue'!$E$6:$E$461,$A9,'Evidence-First Cell Queue'!$X$6:$X$461,"OUT OF SCOPE")</f>
        <v/>
      </c>
      <c r="L9" s="7">
        <f>SUM(B9:K9)</f>
        <v/>
      </c>
      <c r="M9" s="7">
        <f>COUNTIFS('Evidence-First Cell Queue'!$E$6:$E$461,$A9,'Evidence-First Cell Queue'!$Y$6:$Y$461,"&lt;&gt;EXCLUDED")</f>
        <v/>
      </c>
      <c r="N9" s="7">
        <f>IF(L9=57,"MATCH","REVIEW")</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9">
    <cfRule type="expression" priority="1" dxfId="5">
      <formula>N2="MATCH"</formula>
    </cfRule>
    <cfRule type="expression" priority="2" dxfId="6">
      <formula>N2="REVIEW"</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80"/>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30" customWidth="1" style="29" min="1" max="1"/>
    <col width="26"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 width="16" customWidth="1" style="29" min="9" max="9"/>
    <col width="16" customWidth="1" style="29" min="10" max="10"/>
    <col width="16" customWidth="1" style="29" min="11" max="11"/>
    <col width="16" customWidth="1" style="29" min="12" max="12"/>
    <col width="16" customWidth="1" style="29" min="13" max="13"/>
    <col width="16" customWidth="1" style="29" min="14" max="14"/>
    <col width="16" customWidth="1" style="29" min="15" max="15"/>
    <col width="16" customWidth="1" style="29" min="16" max="16"/>
    <col width="16" customWidth="1" style="29" min="17" max="17"/>
    <col width="16" customWidth="1" style="29" min="18" max="18"/>
  </cols>
  <sheetData>
    <row r="1">
      <c r="A1" s="30" t="inlineStr">
        <is>
          <t>Branch Study — INTERNAL personal-study analytics (never emitted to the site)</t>
        </is>
      </c>
    </row>
    <row r="2" ht="58" customHeight="1" s="29">
      <c r="A2" s="31" t="inlineStr">
        <is>
          <t>Rule: this sheet exists for the author's private study only. APP CONFIG internal_stats_public = False. The pipeline may write it to data-sources/sjn/branches-internal.json (outside src/_data) and must never template it; sjn-verify asserts that no per-branch count or percent string appears in production HTML. Read every figure as either COVERAGE (how much evidence has been located) or AGREEMENT AMONG LOCATED CELLS — never as a measure of the tradition.</t>
        </is>
      </c>
    </row>
    <row r="4">
      <c r="A4" s="32" t="inlineStr">
        <is>
          <t>branch_eligibility_min_released</t>
        </is>
      </c>
      <c r="B4" s="33" t="n">
        <v>30</v>
      </c>
      <c r="C4" s="0" t="inlineStr">
        <is>
          <t>DRAFT threshold for the "My Tradition" view (Gate 8). Author decision pending in the Decision Console; mirrored in APP CONFIG.</t>
        </is>
      </c>
    </row>
    <row r="6" ht="60" customHeight="1" s="29">
      <c r="A6" s="34" t="inlineStr">
        <is>
          <t>Teaching branch</t>
        </is>
      </c>
      <c r="B6" s="34" t="inlineStr">
        <is>
          <t>Released (A + A-SF + Q + D)</t>
        </is>
      </c>
      <c r="C6" s="34" t="inlineStr">
        <is>
          <t>A (incl. A-SF)</t>
        </is>
      </c>
      <c r="D6" s="34" t="inlineStr">
        <is>
          <t>Q</t>
        </is>
      </c>
      <c r="E6" s="34" t="inlineStr">
        <is>
          <t>D</t>
        </is>
      </c>
      <c r="F6" s="34" t="inlineStr">
        <is>
          <t>Coverage: released ÷ 57</t>
        </is>
      </c>
      <c r="G6" s="34" t="inlineStr">
        <is>
          <t>Coverage: A ÷ 57</t>
        </is>
      </c>
      <c r="H6" s="34" t="inlineStr">
        <is>
          <t>Coverage: Q ÷ 57</t>
        </is>
      </c>
      <c r="I6" s="34" t="inlineStr">
        <is>
          <t>Coverage: D ÷ 57</t>
        </is>
      </c>
      <c r="J6" s="34" t="inlineStr">
        <is>
          <t>Agreement among located: A ÷ released</t>
        </is>
      </c>
      <c r="K6" s="34" t="inlineStr">
        <is>
          <t>Agreement among located: Q ÷ released</t>
        </is>
      </c>
      <c r="L6" s="34" t="inlineStr">
        <is>
          <t>Agreement among located: D ÷ released</t>
        </is>
      </c>
      <c r="M6" s="34" t="inlineStr">
        <is>
          <t>Shared floor among located: (A + Q) ÷ released</t>
        </is>
      </c>
      <c r="N6" s="34" t="inlineStr">
        <is>
          <t>Not located — not yet recovered</t>
        </is>
      </c>
      <c r="O6" s="34" t="inlineStr">
        <is>
          <t>Not located — standard reviewed</t>
        </is>
      </c>
      <c r="P6" s="34" t="inlineStr">
        <is>
          <t>Not located — current source / no public evidence</t>
        </is>
      </c>
      <c r="Q6" s="34" t="inlineStr">
        <is>
          <t>Pending / vector / hold / out of scope</t>
        </is>
      </c>
      <c r="R6" s="34" t="inlineStr">
        <is>
          <t>Eligible for My Tradition view</t>
        </is>
      </c>
    </row>
    <row r="7">
      <c r="A7" s="35" t="inlineStr">
        <is>
          <t>Roman Catholic</t>
        </is>
      </c>
      <c r="B7" s="36">
        <f>C7+D7+E7</f>
        <v/>
      </c>
      <c r="C7" s="36">
        <f>(COUNTIFS('Evidence-First Cell Queue'!$E$6:$E$461,$A7,'Evidence-First Cell Queue'!$X$6:$X$461,"A")+COUNTIFS('Evidence-First Cell Queue'!$E$6:$E$461,$A7,'Evidence-First Cell Queue'!$X$6:$X$461,"A-SF"))</f>
        <v/>
      </c>
      <c r="D7" s="36">
        <f>COUNTIFS('Evidence-First Cell Queue'!$E$6:$E$461,$A7,'Evidence-First Cell Queue'!$X$6:$X$461,"Q")</f>
        <v/>
      </c>
      <c r="E7" s="36">
        <f>COUNTIFS('Evidence-First Cell Queue'!$E$6:$E$461,$A7,'Evidence-First Cell Queue'!$X$6:$X$461,"D")</f>
        <v/>
      </c>
      <c r="F7" s="37">
        <f>B7/57</f>
        <v/>
      </c>
      <c r="G7" s="37">
        <f>C7/57</f>
        <v/>
      </c>
      <c r="H7" s="37">
        <f>D7/57</f>
        <v/>
      </c>
      <c r="I7" s="37">
        <f>E7/57</f>
        <v/>
      </c>
      <c r="J7" s="37">
        <f>IF(B7=0,"",C7/B7)</f>
        <v/>
      </c>
      <c r="K7" s="37">
        <f>IF(B7=0,"",D7/B7)</f>
        <v/>
      </c>
      <c r="L7" s="37">
        <f>IF(B7=0,"",E7/B7)</f>
        <v/>
      </c>
      <c r="M7" s="37">
        <f>IF(B7=0,"",(C7+D7)/B7)</f>
        <v/>
      </c>
      <c r="N7" s="36">
        <f>COUNTIFS('Evidence-First Cell Queue'!$E$6:$E$461,$A7,'Evidence-First Cell Queue'!$X$6:$X$461,"NOT LOCATED — NOT YET RECOVERED")</f>
        <v/>
      </c>
      <c r="O7" s="36">
        <f>COUNTIFS('Evidence-First Cell Queue'!$E$6:$E$461,$A7,'Evidence-First Cell Queue'!$X$6:$X$461,"NOT LOCATED — CURRENT STANDARD REVIEWED")</f>
        <v/>
      </c>
      <c r="P7" s="36">
        <f>COUNTIFS('Evidence-First Cell Queue'!$E$6:$E$461,$A7,'Evidence-First Cell Queue'!$X$6:$X$461,"NOT LOCATED — CURRENT SOURCE")+COUNTIFS('Evidence-First Cell Queue'!$E$6:$E$461,$A7,'Evidence-First Cell Queue'!$X$6:$X$461,"NOT LOCATED — NO PUBLIC EVIDENCE")</f>
        <v/>
      </c>
      <c r="Q7" s="36">
        <f>COUNTIF('Evidence-First Cell Queue'!$E$6:$E$461,$A7)-B7-N7-O7-P7</f>
        <v/>
      </c>
      <c r="R7" s="36">
        <f>IF(B7&gt;=$B$4,"ELIGIBLE","IN PROGRESS")</f>
        <v/>
      </c>
    </row>
    <row r="8">
      <c r="A8" s="35" t="inlineStr">
        <is>
          <t>Eastern Orthodox</t>
        </is>
      </c>
      <c r="B8" s="36">
        <f>C8+D8+E8</f>
        <v/>
      </c>
      <c r="C8" s="36">
        <f>(COUNTIFS('Evidence-First Cell Queue'!$E$6:$E$461,$A8,'Evidence-First Cell Queue'!$X$6:$X$461,"A")+COUNTIFS('Evidence-First Cell Queue'!$E$6:$E$461,$A8,'Evidence-First Cell Queue'!$X$6:$X$461,"A-SF"))</f>
        <v/>
      </c>
      <c r="D8" s="36">
        <f>COUNTIFS('Evidence-First Cell Queue'!$E$6:$E$461,$A8,'Evidence-First Cell Queue'!$X$6:$X$461,"Q")</f>
        <v/>
      </c>
      <c r="E8" s="36">
        <f>COUNTIFS('Evidence-First Cell Queue'!$E$6:$E$461,$A8,'Evidence-First Cell Queue'!$X$6:$X$461,"D")</f>
        <v/>
      </c>
      <c r="F8" s="37">
        <f>B8/57</f>
        <v/>
      </c>
      <c r="G8" s="37">
        <f>C8/57</f>
        <v/>
      </c>
      <c r="H8" s="37">
        <f>D8/57</f>
        <v/>
      </c>
      <c r="I8" s="37">
        <f>E8/57</f>
        <v/>
      </c>
      <c r="J8" s="37">
        <f>IF(B8=0,"",C8/B8)</f>
        <v/>
      </c>
      <c r="K8" s="37">
        <f>IF(B8=0,"",D8/B8)</f>
        <v/>
      </c>
      <c r="L8" s="37">
        <f>IF(B8=0,"",E8/B8)</f>
        <v/>
      </c>
      <c r="M8" s="37">
        <f>IF(B8=0,"",(C8+D8)/B8)</f>
        <v/>
      </c>
      <c r="N8" s="36">
        <f>COUNTIFS('Evidence-First Cell Queue'!$E$6:$E$461,$A8,'Evidence-First Cell Queue'!$X$6:$X$461,"NOT LOCATED — NOT YET RECOVERED")</f>
        <v/>
      </c>
      <c r="O8" s="36">
        <f>COUNTIFS('Evidence-First Cell Queue'!$E$6:$E$461,$A8,'Evidence-First Cell Queue'!$X$6:$X$461,"NOT LOCATED — CURRENT STANDARD REVIEWED")</f>
        <v/>
      </c>
      <c r="P8" s="36">
        <f>COUNTIFS('Evidence-First Cell Queue'!$E$6:$E$461,$A8,'Evidence-First Cell Queue'!$X$6:$X$461,"NOT LOCATED — CURRENT SOURCE")+COUNTIFS('Evidence-First Cell Queue'!$E$6:$E$461,$A8,'Evidence-First Cell Queue'!$X$6:$X$461,"NOT LOCATED — NO PUBLIC EVIDENCE")</f>
        <v/>
      </c>
      <c r="Q8" s="36">
        <f>COUNTIF('Evidence-First Cell Queue'!$E$6:$E$461,$A8)-B8-N8-O8-P8</f>
        <v/>
      </c>
      <c r="R8" s="36">
        <f>IF(B8&gt;=$B$4,"ELIGIBLE","IN PROGRESS")</f>
        <v/>
      </c>
    </row>
    <row r="9">
      <c r="A9" s="35" t="inlineStr">
        <is>
          <t>Lutheran</t>
        </is>
      </c>
      <c r="B9" s="36">
        <f>C9+D9+E9</f>
        <v/>
      </c>
      <c r="C9" s="36">
        <f>(COUNTIFS('Evidence-First Cell Queue'!$E$6:$E$461,$A9,'Evidence-First Cell Queue'!$X$6:$X$461,"A")+COUNTIFS('Evidence-First Cell Queue'!$E$6:$E$461,$A9,'Evidence-First Cell Queue'!$X$6:$X$461,"A-SF"))</f>
        <v/>
      </c>
      <c r="D9" s="36">
        <f>COUNTIFS('Evidence-First Cell Queue'!$E$6:$E$461,$A9,'Evidence-First Cell Queue'!$X$6:$X$461,"Q")</f>
        <v/>
      </c>
      <c r="E9" s="36">
        <f>COUNTIFS('Evidence-First Cell Queue'!$E$6:$E$461,$A9,'Evidence-First Cell Queue'!$X$6:$X$461,"D")</f>
        <v/>
      </c>
      <c r="F9" s="37">
        <f>B9/57</f>
        <v/>
      </c>
      <c r="G9" s="37">
        <f>C9/57</f>
        <v/>
      </c>
      <c r="H9" s="37">
        <f>D9/57</f>
        <v/>
      </c>
      <c r="I9" s="37">
        <f>E9/57</f>
        <v/>
      </c>
      <c r="J9" s="37">
        <f>IF(B9=0,"",C9/B9)</f>
        <v/>
      </c>
      <c r="K9" s="37">
        <f>IF(B9=0,"",D9/B9)</f>
        <v/>
      </c>
      <c r="L9" s="37">
        <f>IF(B9=0,"",E9/B9)</f>
        <v/>
      </c>
      <c r="M9" s="37">
        <f>IF(B9=0,"",(C9+D9)/B9)</f>
        <v/>
      </c>
      <c r="N9" s="36">
        <f>COUNTIFS('Evidence-First Cell Queue'!$E$6:$E$461,$A9,'Evidence-First Cell Queue'!$X$6:$X$461,"NOT LOCATED — NOT YET RECOVERED")</f>
        <v/>
      </c>
      <c r="O9" s="36">
        <f>COUNTIFS('Evidence-First Cell Queue'!$E$6:$E$461,$A9,'Evidence-First Cell Queue'!$X$6:$X$461,"NOT LOCATED — CURRENT STANDARD REVIEWED")</f>
        <v/>
      </c>
      <c r="P9" s="36">
        <f>COUNTIFS('Evidence-First Cell Queue'!$E$6:$E$461,$A9,'Evidence-First Cell Queue'!$X$6:$X$461,"NOT LOCATED — CURRENT SOURCE")+COUNTIFS('Evidence-First Cell Queue'!$E$6:$E$461,$A9,'Evidence-First Cell Queue'!$X$6:$X$461,"NOT LOCATED — NO PUBLIC EVIDENCE")</f>
        <v/>
      </c>
      <c r="Q9" s="36">
        <f>COUNTIF('Evidence-First Cell Queue'!$E$6:$E$461,$A9)-B9-N9-O9-P9</f>
        <v/>
      </c>
      <c r="R9" s="36">
        <f>IF(B9&gt;=$B$4,"ELIGIBLE","IN PROGRESS")</f>
        <v/>
      </c>
    </row>
    <row r="10">
      <c r="A10" s="35" t="inlineStr">
        <is>
          <t>Reformed / Presbyterian</t>
        </is>
      </c>
      <c r="B10" s="36">
        <f>C10+D10+E10</f>
        <v/>
      </c>
      <c r="C10" s="36">
        <f>(COUNTIFS('Evidence-First Cell Queue'!$E$6:$E$461,$A10,'Evidence-First Cell Queue'!$X$6:$X$461,"A")+COUNTIFS('Evidence-First Cell Queue'!$E$6:$E$461,$A10,'Evidence-First Cell Queue'!$X$6:$X$461,"A-SF"))</f>
        <v/>
      </c>
      <c r="D10" s="36">
        <f>COUNTIFS('Evidence-First Cell Queue'!$E$6:$E$461,$A10,'Evidence-First Cell Queue'!$X$6:$X$461,"Q")</f>
        <v/>
      </c>
      <c r="E10" s="36">
        <f>COUNTIFS('Evidence-First Cell Queue'!$E$6:$E$461,$A10,'Evidence-First Cell Queue'!$X$6:$X$461,"D")</f>
        <v/>
      </c>
      <c r="F10" s="37">
        <f>B10/57</f>
        <v/>
      </c>
      <c r="G10" s="37">
        <f>C10/57</f>
        <v/>
      </c>
      <c r="H10" s="37">
        <f>D10/57</f>
        <v/>
      </c>
      <c r="I10" s="37">
        <f>E10/57</f>
        <v/>
      </c>
      <c r="J10" s="37">
        <f>IF(B10=0,"",C10/B10)</f>
        <v/>
      </c>
      <c r="K10" s="37">
        <f>IF(B10=0,"",D10/B10)</f>
        <v/>
      </c>
      <c r="L10" s="37">
        <f>IF(B10=0,"",E10/B10)</f>
        <v/>
      </c>
      <c r="M10" s="37">
        <f>IF(B10=0,"",(C10+D10)/B10)</f>
        <v/>
      </c>
      <c r="N10" s="36">
        <f>COUNTIFS('Evidence-First Cell Queue'!$E$6:$E$461,$A10,'Evidence-First Cell Queue'!$X$6:$X$461,"NOT LOCATED — NOT YET RECOVERED")</f>
        <v/>
      </c>
      <c r="O10" s="36">
        <f>COUNTIFS('Evidence-First Cell Queue'!$E$6:$E$461,$A10,'Evidence-First Cell Queue'!$X$6:$X$461,"NOT LOCATED — CURRENT STANDARD REVIEWED")</f>
        <v/>
      </c>
      <c r="P10" s="36">
        <f>COUNTIFS('Evidence-First Cell Queue'!$E$6:$E$461,$A10,'Evidence-First Cell Queue'!$X$6:$X$461,"NOT LOCATED — CURRENT SOURCE")+COUNTIFS('Evidence-First Cell Queue'!$E$6:$E$461,$A10,'Evidence-First Cell Queue'!$X$6:$X$461,"NOT LOCATED — NO PUBLIC EVIDENCE")</f>
        <v/>
      </c>
      <c r="Q10" s="36">
        <f>COUNTIF('Evidence-First Cell Queue'!$E$6:$E$461,$A10)-B10-N10-O10-P10</f>
        <v/>
      </c>
      <c r="R10" s="36">
        <f>IF(B10&gt;=$B$4,"ELIGIBLE","IN PROGRESS")</f>
        <v/>
      </c>
    </row>
    <row r="11">
      <c r="A11" s="35" t="inlineStr">
        <is>
          <t>Anglican</t>
        </is>
      </c>
      <c r="B11" s="36">
        <f>C11+D11+E11</f>
        <v/>
      </c>
      <c r="C11" s="36">
        <f>(COUNTIFS('Evidence-First Cell Queue'!$E$6:$E$461,$A11,'Evidence-First Cell Queue'!$X$6:$X$461,"A")+COUNTIFS('Evidence-First Cell Queue'!$E$6:$E$461,$A11,'Evidence-First Cell Queue'!$X$6:$X$461,"A-SF"))</f>
        <v/>
      </c>
      <c r="D11" s="36">
        <f>COUNTIFS('Evidence-First Cell Queue'!$E$6:$E$461,$A11,'Evidence-First Cell Queue'!$X$6:$X$461,"Q")</f>
        <v/>
      </c>
      <c r="E11" s="36">
        <f>COUNTIFS('Evidence-First Cell Queue'!$E$6:$E$461,$A11,'Evidence-First Cell Queue'!$X$6:$X$461,"D")</f>
        <v/>
      </c>
      <c r="F11" s="37">
        <f>B11/57</f>
        <v/>
      </c>
      <c r="G11" s="37">
        <f>C11/57</f>
        <v/>
      </c>
      <c r="H11" s="37">
        <f>D11/57</f>
        <v/>
      </c>
      <c r="I11" s="37">
        <f>E11/57</f>
        <v/>
      </c>
      <c r="J11" s="37">
        <f>IF(B11=0,"",C11/B11)</f>
        <v/>
      </c>
      <c r="K11" s="37">
        <f>IF(B11=0,"",D11/B11)</f>
        <v/>
      </c>
      <c r="L11" s="37">
        <f>IF(B11=0,"",E11/B11)</f>
        <v/>
      </c>
      <c r="M11" s="37">
        <f>IF(B11=0,"",(C11+D11)/B11)</f>
        <v/>
      </c>
      <c r="N11" s="36">
        <f>COUNTIFS('Evidence-First Cell Queue'!$E$6:$E$461,$A11,'Evidence-First Cell Queue'!$X$6:$X$461,"NOT LOCATED — NOT YET RECOVERED")</f>
        <v/>
      </c>
      <c r="O11" s="36">
        <f>COUNTIFS('Evidence-First Cell Queue'!$E$6:$E$461,$A11,'Evidence-First Cell Queue'!$X$6:$X$461,"NOT LOCATED — CURRENT STANDARD REVIEWED")</f>
        <v/>
      </c>
      <c r="P11" s="36">
        <f>COUNTIFS('Evidence-First Cell Queue'!$E$6:$E$461,$A11,'Evidence-First Cell Queue'!$X$6:$X$461,"NOT LOCATED — CURRENT SOURCE")+COUNTIFS('Evidence-First Cell Queue'!$E$6:$E$461,$A11,'Evidence-First Cell Queue'!$X$6:$X$461,"NOT LOCATED — NO PUBLIC EVIDENCE")</f>
        <v/>
      </c>
      <c r="Q11" s="36">
        <f>COUNTIF('Evidence-First Cell Queue'!$E$6:$E$461,$A11)-B11-N11-O11-P11</f>
        <v/>
      </c>
      <c r="R11" s="36">
        <f>IF(B11&gt;=$B$4,"ELIGIBLE","IN PROGRESS")</f>
        <v/>
      </c>
    </row>
    <row r="12">
      <c r="A12" s="35" t="inlineStr">
        <is>
          <t>Baptist</t>
        </is>
      </c>
      <c r="B12" s="36">
        <f>C12+D12+E12</f>
        <v/>
      </c>
      <c r="C12" s="36">
        <f>(COUNTIFS('Evidence-First Cell Queue'!$E$6:$E$461,$A12,'Evidence-First Cell Queue'!$X$6:$X$461,"A")+COUNTIFS('Evidence-First Cell Queue'!$E$6:$E$461,$A12,'Evidence-First Cell Queue'!$X$6:$X$461,"A-SF"))</f>
        <v/>
      </c>
      <c r="D12" s="36">
        <f>COUNTIFS('Evidence-First Cell Queue'!$E$6:$E$461,$A12,'Evidence-First Cell Queue'!$X$6:$X$461,"Q")</f>
        <v/>
      </c>
      <c r="E12" s="36">
        <f>COUNTIFS('Evidence-First Cell Queue'!$E$6:$E$461,$A12,'Evidence-First Cell Queue'!$X$6:$X$461,"D")</f>
        <v/>
      </c>
      <c r="F12" s="37">
        <f>B12/57</f>
        <v/>
      </c>
      <c r="G12" s="37">
        <f>C12/57</f>
        <v/>
      </c>
      <c r="H12" s="37">
        <f>D12/57</f>
        <v/>
      </c>
      <c r="I12" s="37">
        <f>E12/57</f>
        <v/>
      </c>
      <c r="J12" s="37">
        <f>IF(B12=0,"",C12/B12)</f>
        <v/>
      </c>
      <c r="K12" s="37">
        <f>IF(B12=0,"",D12/B12)</f>
        <v/>
      </c>
      <c r="L12" s="37">
        <f>IF(B12=0,"",E12/B12)</f>
        <v/>
      </c>
      <c r="M12" s="37">
        <f>IF(B12=0,"",(C12+D12)/B12)</f>
        <v/>
      </c>
      <c r="N12" s="36">
        <f>COUNTIFS('Evidence-First Cell Queue'!$E$6:$E$461,$A12,'Evidence-First Cell Queue'!$X$6:$X$461,"NOT LOCATED — NOT YET RECOVERED")</f>
        <v/>
      </c>
      <c r="O12" s="36">
        <f>COUNTIFS('Evidence-First Cell Queue'!$E$6:$E$461,$A12,'Evidence-First Cell Queue'!$X$6:$X$461,"NOT LOCATED — CURRENT STANDARD REVIEWED")</f>
        <v/>
      </c>
      <c r="P12" s="36">
        <f>COUNTIFS('Evidence-First Cell Queue'!$E$6:$E$461,$A12,'Evidence-First Cell Queue'!$X$6:$X$461,"NOT LOCATED — CURRENT SOURCE")+COUNTIFS('Evidence-First Cell Queue'!$E$6:$E$461,$A12,'Evidence-First Cell Queue'!$X$6:$X$461,"NOT LOCATED — NO PUBLIC EVIDENCE")</f>
        <v/>
      </c>
      <c r="Q12" s="36">
        <f>COUNTIF('Evidence-First Cell Queue'!$E$6:$E$461,$A12)-B12-N12-O12-P12</f>
        <v/>
      </c>
      <c r="R12" s="36">
        <f>IF(B12&gt;=$B$4,"ELIGIBLE","IN PROGRESS")</f>
        <v/>
      </c>
    </row>
    <row r="13">
      <c r="A13" s="35" t="inlineStr">
        <is>
          <t>Methodist / Wesleyan</t>
        </is>
      </c>
      <c r="B13" s="36">
        <f>C13+D13+E13</f>
        <v/>
      </c>
      <c r="C13" s="36">
        <f>(COUNTIFS('Evidence-First Cell Queue'!$E$6:$E$461,$A13,'Evidence-First Cell Queue'!$X$6:$X$461,"A")+COUNTIFS('Evidence-First Cell Queue'!$E$6:$E$461,$A13,'Evidence-First Cell Queue'!$X$6:$X$461,"A-SF"))</f>
        <v/>
      </c>
      <c r="D13" s="36">
        <f>COUNTIFS('Evidence-First Cell Queue'!$E$6:$E$461,$A13,'Evidence-First Cell Queue'!$X$6:$X$461,"Q")</f>
        <v/>
      </c>
      <c r="E13" s="36">
        <f>COUNTIFS('Evidence-First Cell Queue'!$E$6:$E$461,$A13,'Evidence-First Cell Queue'!$X$6:$X$461,"D")</f>
        <v/>
      </c>
      <c r="F13" s="37">
        <f>B13/57</f>
        <v/>
      </c>
      <c r="G13" s="37">
        <f>C13/57</f>
        <v/>
      </c>
      <c r="H13" s="37">
        <f>D13/57</f>
        <v/>
      </c>
      <c r="I13" s="37">
        <f>E13/57</f>
        <v/>
      </c>
      <c r="J13" s="37">
        <f>IF(B13=0,"",C13/B13)</f>
        <v/>
      </c>
      <c r="K13" s="37">
        <f>IF(B13=0,"",D13/B13)</f>
        <v/>
      </c>
      <c r="L13" s="37">
        <f>IF(B13=0,"",E13/B13)</f>
        <v/>
      </c>
      <c r="M13" s="37">
        <f>IF(B13=0,"",(C13+D13)/B13)</f>
        <v/>
      </c>
      <c r="N13" s="36">
        <f>COUNTIFS('Evidence-First Cell Queue'!$E$6:$E$461,$A13,'Evidence-First Cell Queue'!$X$6:$X$461,"NOT LOCATED — NOT YET RECOVERED")</f>
        <v/>
      </c>
      <c r="O13" s="36">
        <f>COUNTIFS('Evidence-First Cell Queue'!$E$6:$E$461,$A13,'Evidence-First Cell Queue'!$X$6:$X$461,"NOT LOCATED — CURRENT STANDARD REVIEWED")</f>
        <v/>
      </c>
      <c r="P13" s="36">
        <f>COUNTIFS('Evidence-First Cell Queue'!$E$6:$E$461,$A13,'Evidence-First Cell Queue'!$X$6:$X$461,"NOT LOCATED — CURRENT SOURCE")+COUNTIFS('Evidence-First Cell Queue'!$E$6:$E$461,$A13,'Evidence-First Cell Queue'!$X$6:$X$461,"NOT LOCATED — NO PUBLIC EVIDENCE")</f>
        <v/>
      </c>
      <c r="Q13" s="36">
        <f>COUNTIF('Evidence-First Cell Queue'!$E$6:$E$461,$A13)-B13-N13-O13-P13</f>
        <v/>
      </c>
      <c r="R13" s="36">
        <f>IF(B13&gt;=$B$4,"ELIGIBLE","IN PROGRESS")</f>
        <v/>
      </c>
    </row>
    <row r="14">
      <c r="A14" s="35" t="inlineStr">
        <is>
          <t>Mennonite / Anabaptist</t>
        </is>
      </c>
      <c r="B14" s="36">
        <f>C14+D14+E14</f>
        <v/>
      </c>
      <c r="C14" s="36">
        <f>(COUNTIFS('Evidence-First Cell Queue'!$E$6:$E$461,$A14,'Evidence-First Cell Queue'!$X$6:$X$461,"A")+COUNTIFS('Evidence-First Cell Queue'!$E$6:$E$461,$A14,'Evidence-First Cell Queue'!$X$6:$X$461,"A-SF"))</f>
        <v/>
      </c>
      <c r="D14" s="36">
        <f>COUNTIFS('Evidence-First Cell Queue'!$E$6:$E$461,$A14,'Evidence-First Cell Queue'!$X$6:$X$461,"Q")</f>
        <v/>
      </c>
      <c r="E14" s="36">
        <f>COUNTIFS('Evidence-First Cell Queue'!$E$6:$E$461,$A14,'Evidence-First Cell Queue'!$X$6:$X$461,"D")</f>
        <v/>
      </c>
      <c r="F14" s="37">
        <f>B14/57</f>
        <v/>
      </c>
      <c r="G14" s="37">
        <f>C14/57</f>
        <v/>
      </c>
      <c r="H14" s="37">
        <f>D14/57</f>
        <v/>
      </c>
      <c r="I14" s="37">
        <f>E14/57</f>
        <v/>
      </c>
      <c r="J14" s="37">
        <f>IF(B14=0,"",C14/B14)</f>
        <v/>
      </c>
      <c r="K14" s="37">
        <f>IF(B14=0,"",D14/B14)</f>
        <v/>
      </c>
      <c r="L14" s="37">
        <f>IF(B14=0,"",E14/B14)</f>
        <v/>
      </c>
      <c r="M14" s="37">
        <f>IF(B14=0,"",(C14+D14)/B14)</f>
        <v/>
      </c>
      <c r="N14" s="36">
        <f>COUNTIFS('Evidence-First Cell Queue'!$E$6:$E$461,$A14,'Evidence-First Cell Queue'!$X$6:$X$461,"NOT LOCATED — NOT YET RECOVERED")</f>
        <v/>
      </c>
      <c r="O14" s="36">
        <f>COUNTIFS('Evidence-First Cell Queue'!$E$6:$E$461,$A14,'Evidence-First Cell Queue'!$X$6:$X$461,"NOT LOCATED — CURRENT STANDARD REVIEWED")</f>
        <v/>
      </c>
      <c r="P14" s="36">
        <f>COUNTIFS('Evidence-First Cell Queue'!$E$6:$E$461,$A14,'Evidence-First Cell Queue'!$X$6:$X$461,"NOT LOCATED — CURRENT SOURCE")+COUNTIFS('Evidence-First Cell Queue'!$E$6:$E$461,$A14,'Evidence-First Cell Queue'!$X$6:$X$461,"NOT LOCATED — NO PUBLIC EVIDENCE")</f>
        <v/>
      </c>
      <c r="Q14" s="36">
        <f>COUNTIF('Evidence-First Cell Queue'!$E$6:$E$461,$A14)-B14-N14-O14-P14</f>
        <v/>
      </c>
      <c r="R14" s="36">
        <f>IF(B14&gt;=$B$4,"ELIGIBLE","IN PROGRESS")</f>
        <v/>
      </c>
    </row>
    <row r="15">
      <c r="A15" s="35" t="inlineStr">
        <is>
          <t>All branches (456 cells)</t>
        </is>
      </c>
      <c r="B15" s="35">
        <f>SUM(B7:B14)</f>
        <v/>
      </c>
      <c r="C15" s="35">
        <f>SUM(C7:C14)</f>
        <v/>
      </c>
      <c r="D15" s="35">
        <f>SUM(D7:D14)</f>
        <v/>
      </c>
      <c r="E15" s="35">
        <f>SUM(E7:E14)</f>
        <v/>
      </c>
      <c r="F15" s="38">
        <f>B15/456</f>
        <v/>
      </c>
      <c r="G15" s="38">
        <f>C15/456</f>
        <v/>
      </c>
      <c r="H15" s="38">
        <f>D15/456</f>
        <v/>
      </c>
      <c r="I15" s="38">
        <f>E15/456</f>
        <v/>
      </c>
      <c r="J15" s="38">
        <f>C15/B15</f>
        <v/>
      </c>
      <c r="K15" s="38">
        <f>D15/B15</f>
        <v/>
      </c>
      <c r="L15" s="38">
        <f>E15/B15</f>
        <v/>
      </c>
      <c r="M15" s="38">
        <f>(C15+D15)/B15</f>
        <v/>
      </c>
      <c r="N15" s="35">
        <f>SUM(N7:N14)</f>
        <v/>
      </c>
      <c r="O15" s="35">
        <f>SUM(O7:O14)</f>
        <v/>
      </c>
      <c r="P15" s="35">
        <f>SUM(P7:P14)</f>
        <v/>
      </c>
      <c r="Q15" s="35">
        <f>SUM(Q7:Q14)</f>
        <v/>
      </c>
      <c r="R15" s="35">
        <f>COUNTIF(R7:R14,"ELIGIBLE")&amp;" eligible"</f>
        <v/>
      </c>
    </row>
    <row r="17">
      <c r="A17" s="32" t="inlineStr">
        <is>
          <t>Integrity</t>
        </is>
      </c>
    </row>
    <row r="18">
      <c r="A18" s="0" t="inlineStr">
        <is>
          <t>Row totals reconcile to 57 per branch</t>
        </is>
      </c>
      <c r="B18" s="0">
        <f>IF(SUMPRODUCT((B7:B14+N7:N14+O7:O14+P7:P14+Q7:Q14)=57)=8,"PASS","FAIL")</f>
        <v/>
      </c>
    </row>
    <row r="19">
      <c r="A19" s="0" t="inlineStr">
        <is>
          <t>Released total matches Family Summary / Evidence Map (141 at v2.18)</t>
        </is>
      </c>
      <c r="B19" s="0">
        <f>B15</f>
        <v/>
      </c>
    </row>
    <row r="20">
      <c r="A20" s="0" t="inlineStr">
        <is>
          <t>Cross-check vs Branch State Summary released</t>
        </is>
      </c>
      <c r="B20" s="0">
        <f>IF(B15=SUM('Branch State Summary'!B2:E9),"PASS","FAIL")</f>
        <v/>
      </c>
    </row>
    <row r="22">
      <c r="A22" s="32" t="inlineStr">
        <is>
          <t>Per-predicate grid — rendered state by branch (internal only; lookup on Queue ID pattern Family × Branch)</t>
        </is>
      </c>
    </row>
    <row r="23">
      <c r="A23" s="39" t="inlineStr">
        <is>
          <t>Family ID</t>
        </is>
      </c>
      <c r="B23" s="39" t="inlineStr">
        <is>
          <t>Predicate</t>
        </is>
      </c>
      <c r="C23" s="39" t="inlineStr">
        <is>
          <t>Family code</t>
        </is>
      </c>
      <c r="D23" s="39" t="inlineStr">
        <is>
          <t>Roman Catholic</t>
        </is>
      </c>
      <c r="E23" s="39" t="inlineStr">
        <is>
          <t>Eastern Orthodox</t>
        </is>
      </c>
      <c r="F23" s="39" t="inlineStr">
        <is>
          <t>Lutheran</t>
        </is>
      </c>
      <c r="G23" s="39" t="inlineStr">
        <is>
          <t>Reformed / Presbyterian</t>
        </is>
      </c>
      <c r="H23" s="39" t="inlineStr">
        <is>
          <t>Anglican</t>
        </is>
      </c>
      <c r="I23" s="39" t="inlineStr">
        <is>
          <t>Baptist</t>
        </is>
      </c>
      <c r="J23" s="39" t="inlineStr">
        <is>
          <t>Methodist / Wesleyan</t>
        </is>
      </c>
      <c r="K23" s="39" t="inlineStr">
        <is>
          <t>Mennonite / Anabaptist</t>
        </is>
      </c>
    </row>
    <row r="24">
      <c r="A24" s="0" t="inlineStr">
        <is>
          <t>RNR-H01</t>
        </is>
      </c>
      <c r="B24" s="0">
        <f>INDEX('Evidence-First Cell Queue'!$C$6:$C$461,MATCH($A24,'Evidence-First Cell Queue'!$B$6:$B$461,0))</f>
        <v/>
      </c>
      <c r="C24" s="0">
        <f>INDEX('Evidence-First Cell Queue'!$D$6:$D$461,MATCH($A24,'Evidence-First Cell Queue'!$B$6:$B$461,0))</f>
        <v/>
      </c>
      <c r="D24" s="36">
        <f>LOOKUP(2,1/(('Evidence-First Cell Queue'!$B$6:$B$461=$A24)*('Evidence-First Cell Queue'!$E$6:$E$461=D$23)),'Evidence-First Cell Queue'!$X$6:$X$461)</f>
        <v/>
      </c>
      <c r="E24" s="36">
        <f>LOOKUP(2,1/(('Evidence-First Cell Queue'!$B$6:$B$461=$A24)*('Evidence-First Cell Queue'!$E$6:$E$461=E$23)),'Evidence-First Cell Queue'!$X$6:$X$461)</f>
        <v/>
      </c>
      <c r="F24" s="36">
        <f>LOOKUP(2,1/(('Evidence-First Cell Queue'!$B$6:$B$461=$A24)*('Evidence-First Cell Queue'!$E$6:$E$461=F$23)),'Evidence-First Cell Queue'!$X$6:$X$461)</f>
        <v/>
      </c>
      <c r="G24" s="36">
        <f>LOOKUP(2,1/(('Evidence-First Cell Queue'!$B$6:$B$461=$A24)*('Evidence-First Cell Queue'!$E$6:$E$461=G$23)),'Evidence-First Cell Queue'!$X$6:$X$461)</f>
        <v/>
      </c>
      <c r="H24" s="36">
        <f>LOOKUP(2,1/(('Evidence-First Cell Queue'!$B$6:$B$461=$A24)*('Evidence-First Cell Queue'!$E$6:$E$461=H$23)),'Evidence-First Cell Queue'!$X$6:$X$461)</f>
        <v/>
      </c>
      <c r="I24" s="36">
        <f>LOOKUP(2,1/(('Evidence-First Cell Queue'!$B$6:$B$461=$A24)*('Evidence-First Cell Queue'!$E$6:$E$461=I$23)),'Evidence-First Cell Queue'!$X$6:$X$461)</f>
        <v/>
      </c>
      <c r="J24" s="36">
        <f>LOOKUP(2,1/(('Evidence-First Cell Queue'!$B$6:$B$461=$A24)*('Evidence-First Cell Queue'!$E$6:$E$461=J$23)),'Evidence-First Cell Queue'!$X$6:$X$461)</f>
        <v/>
      </c>
      <c r="K24" s="36">
        <f>LOOKUP(2,1/(('Evidence-First Cell Queue'!$B$6:$B$461=$A24)*('Evidence-First Cell Queue'!$E$6:$E$461=K$23)),'Evidence-First Cell Queue'!$X$6:$X$461)</f>
        <v/>
      </c>
    </row>
    <row r="25">
      <c r="A25" s="0" t="inlineStr">
        <is>
          <t>RNR-H02</t>
        </is>
      </c>
      <c r="B25" s="0">
        <f>INDEX('Evidence-First Cell Queue'!$C$6:$C$461,MATCH($A25,'Evidence-First Cell Queue'!$B$6:$B$461,0))</f>
        <v/>
      </c>
      <c r="C25" s="0">
        <f>INDEX('Evidence-First Cell Queue'!$D$6:$D$461,MATCH($A25,'Evidence-First Cell Queue'!$B$6:$B$461,0))</f>
        <v/>
      </c>
      <c r="D25" s="36">
        <f>LOOKUP(2,1/(('Evidence-First Cell Queue'!$B$6:$B$461=$A25)*('Evidence-First Cell Queue'!$E$6:$E$461=D$23)),'Evidence-First Cell Queue'!$X$6:$X$461)</f>
        <v/>
      </c>
      <c r="E25" s="36">
        <f>LOOKUP(2,1/(('Evidence-First Cell Queue'!$B$6:$B$461=$A25)*('Evidence-First Cell Queue'!$E$6:$E$461=E$23)),'Evidence-First Cell Queue'!$X$6:$X$461)</f>
        <v/>
      </c>
      <c r="F25" s="36">
        <f>LOOKUP(2,1/(('Evidence-First Cell Queue'!$B$6:$B$461=$A25)*('Evidence-First Cell Queue'!$E$6:$E$461=F$23)),'Evidence-First Cell Queue'!$X$6:$X$461)</f>
        <v/>
      </c>
      <c r="G25" s="36">
        <f>LOOKUP(2,1/(('Evidence-First Cell Queue'!$B$6:$B$461=$A25)*('Evidence-First Cell Queue'!$E$6:$E$461=G$23)),'Evidence-First Cell Queue'!$X$6:$X$461)</f>
        <v/>
      </c>
      <c r="H25" s="36">
        <f>LOOKUP(2,1/(('Evidence-First Cell Queue'!$B$6:$B$461=$A25)*('Evidence-First Cell Queue'!$E$6:$E$461=H$23)),'Evidence-First Cell Queue'!$X$6:$X$461)</f>
        <v/>
      </c>
      <c r="I25" s="36">
        <f>LOOKUP(2,1/(('Evidence-First Cell Queue'!$B$6:$B$461=$A25)*('Evidence-First Cell Queue'!$E$6:$E$461=I$23)),'Evidence-First Cell Queue'!$X$6:$X$461)</f>
        <v/>
      </c>
      <c r="J25" s="36">
        <f>LOOKUP(2,1/(('Evidence-First Cell Queue'!$B$6:$B$461=$A25)*('Evidence-First Cell Queue'!$E$6:$E$461=J$23)),'Evidence-First Cell Queue'!$X$6:$X$461)</f>
        <v/>
      </c>
      <c r="K25" s="36">
        <f>LOOKUP(2,1/(('Evidence-First Cell Queue'!$B$6:$B$461=$A25)*('Evidence-First Cell Queue'!$E$6:$E$461=K$23)),'Evidence-First Cell Queue'!$X$6:$X$461)</f>
        <v/>
      </c>
    </row>
    <row r="26">
      <c r="A26" s="0" t="inlineStr">
        <is>
          <t>RNR-H03</t>
        </is>
      </c>
      <c r="B26" s="0">
        <f>INDEX('Evidence-First Cell Queue'!$C$6:$C$461,MATCH($A26,'Evidence-First Cell Queue'!$B$6:$B$461,0))</f>
        <v/>
      </c>
      <c r="C26" s="0">
        <f>INDEX('Evidence-First Cell Queue'!$D$6:$D$461,MATCH($A26,'Evidence-First Cell Queue'!$B$6:$B$461,0))</f>
        <v/>
      </c>
      <c r="D26" s="36">
        <f>LOOKUP(2,1/(('Evidence-First Cell Queue'!$B$6:$B$461=$A26)*('Evidence-First Cell Queue'!$E$6:$E$461=D$23)),'Evidence-First Cell Queue'!$X$6:$X$461)</f>
        <v/>
      </c>
      <c r="E26" s="36">
        <f>LOOKUP(2,1/(('Evidence-First Cell Queue'!$B$6:$B$461=$A26)*('Evidence-First Cell Queue'!$E$6:$E$461=E$23)),'Evidence-First Cell Queue'!$X$6:$X$461)</f>
        <v/>
      </c>
      <c r="F26" s="36">
        <f>LOOKUP(2,1/(('Evidence-First Cell Queue'!$B$6:$B$461=$A26)*('Evidence-First Cell Queue'!$E$6:$E$461=F$23)),'Evidence-First Cell Queue'!$X$6:$X$461)</f>
        <v/>
      </c>
      <c r="G26" s="36">
        <f>LOOKUP(2,1/(('Evidence-First Cell Queue'!$B$6:$B$461=$A26)*('Evidence-First Cell Queue'!$E$6:$E$461=G$23)),'Evidence-First Cell Queue'!$X$6:$X$461)</f>
        <v/>
      </c>
      <c r="H26" s="36">
        <f>LOOKUP(2,1/(('Evidence-First Cell Queue'!$B$6:$B$461=$A26)*('Evidence-First Cell Queue'!$E$6:$E$461=H$23)),'Evidence-First Cell Queue'!$X$6:$X$461)</f>
        <v/>
      </c>
      <c r="I26" s="36">
        <f>LOOKUP(2,1/(('Evidence-First Cell Queue'!$B$6:$B$461=$A26)*('Evidence-First Cell Queue'!$E$6:$E$461=I$23)),'Evidence-First Cell Queue'!$X$6:$X$461)</f>
        <v/>
      </c>
      <c r="J26" s="36">
        <f>LOOKUP(2,1/(('Evidence-First Cell Queue'!$B$6:$B$461=$A26)*('Evidence-First Cell Queue'!$E$6:$E$461=J$23)),'Evidence-First Cell Queue'!$X$6:$X$461)</f>
        <v/>
      </c>
      <c r="K26" s="36">
        <f>LOOKUP(2,1/(('Evidence-First Cell Queue'!$B$6:$B$461=$A26)*('Evidence-First Cell Queue'!$E$6:$E$461=K$23)),'Evidence-First Cell Queue'!$X$6:$X$461)</f>
        <v/>
      </c>
    </row>
    <row r="27">
      <c r="A27" s="0" t="inlineStr">
        <is>
          <t>RNR-H04</t>
        </is>
      </c>
      <c r="B27" s="0">
        <f>INDEX('Evidence-First Cell Queue'!$C$6:$C$461,MATCH($A27,'Evidence-First Cell Queue'!$B$6:$B$461,0))</f>
        <v/>
      </c>
      <c r="C27" s="0">
        <f>INDEX('Evidence-First Cell Queue'!$D$6:$D$461,MATCH($A27,'Evidence-First Cell Queue'!$B$6:$B$461,0))</f>
        <v/>
      </c>
      <c r="D27" s="36">
        <f>LOOKUP(2,1/(('Evidence-First Cell Queue'!$B$6:$B$461=$A27)*('Evidence-First Cell Queue'!$E$6:$E$461=D$23)),'Evidence-First Cell Queue'!$X$6:$X$461)</f>
        <v/>
      </c>
      <c r="E27" s="36">
        <f>LOOKUP(2,1/(('Evidence-First Cell Queue'!$B$6:$B$461=$A27)*('Evidence-First Cell Queue'!$E$6:$E$461=E$23)),'Evidence-First Cell Queue'!$X$6:$X$461)</f>
        <v/>
      </c>
      <c r="F27" s="36">
        <f>LOOKUP(2,1/(('Evidence-First Cell Queue'!$B$6:$B$461=$A27)*('Evidence-First Cell Queue'!$E$6:$E$461=F$23)),'Evidence-First Cell Queue'!$X$6:$X$461)</f>
        <v/>
      </c>
      <c r="G27" s="36">
        <f>LOOKUP(2,1/(('Evidence-First Cell Queue'!$B$6:$B$461=$A27)*('Evidence-First Cell Queue'!$E$6:$E$461=G$23)),'Evidence-First Cell Queue'!$X$6:$X$461)</f>
        <v/>
      </c>
      <c r="H27" s="36">
        <f>LOOKUP(2,1/(('Evidence-First Cell Queue'!$B$6:$B$461=$A27)*('Evidence-First Cell Queue'!$E$6:$E$461=H$23)),'Evidence-First Cell Queue'!$X$6:$X$461)</f>
        <v/>
      </c>
      <c r="I27" s="36">
        <f>LOOKUP(2,1/(('Evidence-First Cell Queue'!$B$6:$B$461=$A27)*('Evidence-First Cell Queue'!$E$6:$E$461=I$23)),'Evidence-First Cell Queue'!$X$6:$X$461)</f>
        <v/>
      </c>
      <c r="J27" s="36">
        <f>LOOKUP(2,1/(('Evidence-First Cell Queue'!$B$6:$B$461=$A27)*('Evidence-First Cell Queue'!$E$6:$E$461=J$23)),'Evidence-First Cell Queue'!$X$6:$X$461)</f>
        <v/>
      </c>
      <c r="K27" s="36">
        <f>LOOKUP(2,1/(('Evidence-First Cell Queue'!$B$6:$B$461=$A27)*('Evidence-First Cell Queue'!$E$6:$E$461=K$23)),'Evidence-First Cell Queue'!$X$6:$X$461)</f>
        <v/>
      </c>
    </row>
    <row r="28">
      <c r="A28" s="0" t="inlineStr">
        <is>
          <t>RNR-H05</t>
        </is>
      </c>
      <c r="B28" s="0">
        <f>INDEX('Evidence-First Cell Queue'!$C$6:$C$461,MATCH($A28,'Evidence-First Cell Queue'!$B$6:$B$461,0))</f>
        <v/>
      </c>
      <c r="C28" s="0">
        <f>INDEX('Evidence-First Cell Queue'!$D$6:$D$461,MATCH($A28,'Evidence-First Cell Queue'!$B$6:$B$461,0))</f>
        <v/>
      </c>
      <c r="D28" s="36">
        <f>LOOKUP(2,1/(('Evidence-First Cell Queue'!$B$6:$B$461=$A28)*('Evidence-First Cell Queue'!$E$6:$E$461=D$23)),'Evidence-First Cell Queue'!$X$6:$X$461)</f>
        <v/>
      </c>
      <c r="E28" s="36">
        <f>LOOKUP(2,1/(('Evidence-First Cell Queue'!$B$6:$B$461=$A28)*('Evidence-First Cell Queue'!$E$6:$E$461=E$23)),'Evidence-First Cell Queue'!$X$6:$X$461)</f>
        <v/>
      </c>
      <c r="F28" s="36">
        <f>LOOKUP(2,1/(('Evidence-First Cell Queue'!$B$6:$B$461=$A28)*('Evidence-First Cell Queue'!$E$6:$E$461=F$23)),'Evidence-First Cell Queue'!$X$6:$X$461)</f>
        <v/>
      </c>
      <c r="G28" s="36">
        <f>LOOKUP(2,1/(('Evidence-First Cell Queue'!$B$6:$B$461=$A28)*('Evidence-First Cell Queue'!$E$6:$E$461=G$23)),'Evidence-First Cell Queue'!$X$6:$X$461)</f>
        <v/>
      </c>
      <c r="H28" s="36">
        <f>LOOKUP(2,1/(('Evidence-First Cell Queue'!$B$6:$B$461=$A28)*('Evidence-First Cell Queue'!$E$6:$E$461=H$23)),'Evidence-First Cell Queue'!$X$6:$X$461)</f>
        <v/>
      </c>
      <c r="I28" s="36">
        <f>LOOKUP(2,1/(('Evidence-First Cell Queue'!$B$6:$B$461=$A28)*('Evidence-First Cell Queue'!$E$6:$E$461=I$23)),'Evidence-First Cell Queue'!$X$6:$X$461)</f>
        <v/>
      </c>
      <c r="J28" s="36">
        <f>LOOKUP(2,1/(('Evidence-First Cell Queue'!$B$6:$B$461=$A28)*('Evidence-First Cell Queue'!$E$6:$E$461=J$23)),'Evidence-First Cell Queue'!$X$6:$X$461)</f>
        <v/>
      </c>
      <c r="K28" s="36">
        <f>LOOKUP(2,1/(('Evidence-First Cell Queue'!$B$6:$B$461=$A28)*('Evidence-First Cell Queue'!$E$6:$E$461=K$23)),'Evidence-First Cell Queue'!$X$6:$X$461)</f>
        <v/>
      </c>
    </row>
    <row r="29">
      <c r="A29" s="0" t="inlineStr">
        <is>
          <t>RNR-H06</t>
        </is>
      </c>
      <c r="B29" s="0">
        <f>INDEX('Evidence-First Cell Queue'!$C$6:$C$461,MATCH($A29,'Evidence-First Cell Queue'!$B$6:$B$461,0))</f>
        <v/>
      </c>
      <c r="C29" s="0">
        <f>INDEX('Evidence-First Cell Queue'!$D$6:$D$461,MATCH($A29,'Evidence-First Cell Queue'!$B$6:$B$461,0))</f>
        <v/>
      </c>
      <c r="D29" s="36">
        <f>LOOKUP(2,1/(('Evidence-First Cell Queue'!$B$6:$B$461=$A29)*('Evidence-First Cell Queue'!$E$6:$E$461=D$23)),'Evidence-First Cell Queue'!$X$6:$X$461)</f>
        <v/>
      </c>
      <c r="E29" s="36">
        <f>LOOKUP(2,1/(('Evidence-First Cell Queue'!$B$6:$B$461=$A29)*('Evidence-First Cell Queue'!$E$6:$E$461=E$23)),'Evidence-First Cell Queue'!$X$6:$X$461)</f>
        <v/>
      </c>
      <c r="F29" s="36">
        <f>LOOKUP(2,1/(('Evidence-First Cell Queue'!$B$6:$B$461=$A29)*('Evidence-First Cell Queue'!$E$6:$E$461=F$23)),'Evidence-First Cell Queue'!$X$6:$X$461)</f>
        <v/>
      </c>
      <c r="G29" s="36">
        <f>LOOKUP(2,1/(('Evidence-First Cell Queue'!$B$6:$B$461=$A29)*('Evidence-First Cell Queue'!$E$6:$E$461=G$23)),'Evidence-First Cell Queue'!$X$6:$X$461)</f>
        <v/>
      </c>
      <c r="H29" s="36">
        <f>LOOKUP(2,1/(('Evidence-First Cell Queue'!$B$6:$B$461=$A29)*('Evidence-First Cell Queue'!$E$6:$E$461=H$23)),'Evidence-First Cell Queue'!$X$6:$X$461)</f>
        <v/>
      </c>
      <c r="I29" s="36">
        <f>LOOKUP(2,1/(('Evidence-First Cell Queue'!$B$6:$B$461=$A29)*('Evidence-First Cell Queue'!$E$6:$E$461=I$23)),'Evidence-First Cell Queue'!$X$6:$X$461)</f>
        <v/>
      </c>
      <c r="J29" s="36">
        <f>LOOKUP(2,1/(('Evidence-First Cell Queue'!$B$6:$B$461=$A29)*('Evidence-First Cell Queue'!$E$6:$E$461=J$23)),'Evidence-First Cell Queue'!$X$6:$X$461)</f>
        <v/>
      </c>
      <c r="K29" s="36">
        <f>LOOKUP(2,1/(('Evidence-First Cell Queue'!$B$6:$B$461=$A29)*('Evidence-First Cell Queue'!$E$6:$E$461=K$23)),'Evidence-First Cell Queue'!$X$6:$X$461)</f>
        <v/>
      </c>
    </row>
    <row r="30">
      <c r="A30" s="0" t="inlineStr">
        <is>
          <t>RNR-H07</t>
        </is>
      </c>
      <c r="B30" s="0">
        <f>INDEX('Evidence-First Cell Queue'!$C$6:$C$461,MATCH($A30,'Evidence-First Cell Queue'!$B$6:$B$461,0))</f>
        <v/>
      </c>
      <c r="C30" s="0">
        <f>INDEX('Evidence-First Cell Queue'!$D$6:$D$461,MATCH($A30,'Evidence-First Cell Queue'!$B$6:$B$461,0))</f>
        <v/>
      </c>
      <c r="D30" s="36">
        <f>LOOKUP(2,1/(('Evidence-First Cell Queue'!$B$6:$B$461=$A30)*('Evidence-First Cell Queue'!$E$6:$E$461=D$23)),'Evidence-First Cell Queue'!$X$6:$X$461)</f>
        <v/>
      </c>
      <c r="E30" s="36">
        <f>LOOKUP(2,1/(('Evidence-First Cell Queue'!$B$6:$B$461=$A30)*('Evidence-First Cell Queue'!$E$6:$E$461=E$23)),'Evidence-First Cell Queue'!$X$6:$X$461)</f>
        <v/>
      </c>
      <c r="F30" s="36">
        <f>LOOKUP(2,1/(('Evidence-First Cell Queue'!$B$6:$B$461=$A30)*('Evidence-First Cell Queue'!$E$6:$E$461=F$23)),'Evidence-First Cell Queue'!$X$6:$X$461)</f>
        <v/>
      </c>
      <c r="G30" s="36">
        <f>LOOKUP(2,1/(('Evidence-First Cell Queue'!$B$6:$B$461=$A30)*('Evidence-First Cell Queue'!$E$6:$E$461=G$23)),'Evidence-First Cell Queue'!$X$6:$X$461)</f>
        <v/>
      </c>
      <c r="H30" s="36">
        <f>LOOKUP(2,1/(('Evidence-First Cell Queue'!$B$6:$B$461=$A30)*('Evidence-First Cell Queue'!$E$6:$E$461=H$23)),'Evidence-First Cell Queue'!$X$6:$X$461)</f>
        <v/>
      </c>
      <c r="I30" s="36">
        <f>LOOKUP(2,1/(('Evidence-First Cell Queue'!$B$6:$B$461=$A30)*('Evidence-First Cell Queue'!$E$6:$E$461=I$23)),'Evidence-First Cell Queue'!$X$6:$X$461)</f>
        <v/>
      </c>
      <c r="J30" s="36">
        <f>LOOKUP(2,1/(('Evidence-First Cell Queue'!$B$6:$B$461=$A30)*('Evidence-First Cell Queue'!$E$6:$E$461=J$23)),'Evidence-First Cell Queue'!$X$6:$X$461)</f>
        <v/>
      </c>
      <c r="K30" s="36">
        <f>LOOKUP(2,1/(('Evidence-First Cell Queue'!$B$6:$B$461=$A30)*('Evidence-First Cell Queue'!$E$6:$E$461=K$23)),'Evidence-First Cell Queue'!$X$6:$X$461)</f>
        <v/>
      </c>
    </row>
    <row r="31">
      <c r="A31" s="0" t="inlineStr">
        <is>
          <t>RNR-H08</t>
        </is>
      </c>
      <c r="B31" s="0">
        <f>INDEX('Evidence-First Cell Queue'!$C$6:$C$461,MATCH($A31,'Evidence-First Cell Queue'!$B$6:$B$461,0))</f>
        <v/>
      </c>
      <c r="C31" s="0">
        <f>INDEX('Evidence-First Cell Queue'!$D$6:$D$461,MATCH($A31,'Evidence-First Cell Queue'!$B$6:$B$461,0))</f>
        <v/>
      </c>
      <c r="D31" s="36">
        <f>LOOKUP(2,1/(('Evidence-First Cell Queue'!$B$6:$B$461=$A31)*('Evidence-First Cell Queue'!$E$6:$E$461=D$23)),'Evidence-First Cell Queue'!$X$6:$X$461)</f>
        <v/>
      </c>
      <c r="E31" s="36">
        <f>LOOKUP(2,1/(('Evidence-First Cell Queue'!$B$6:$B$461=$A31)*('Evidence-First Cell Queue'!$E$6:$E$461=E$23)),'Evidence-First Cell Queue'!$X$6:$X$461)</f>
        <v/>
      </c>
      <c r="F31" s="36">
        <f>LOOKUP(2,1/(('Evidence-First Cell Queue'!$B$6:$B$461=$A31)*('Evidence-First Cell Queue'!$E$6:$E$461=F$23)),'Evidence-First Cell Queue'!$X$6:$X$461)</f>
        <v/>
      </c>
      <c r="G31" s="36">
        <f>LOOKUP(2,1/(('Evidence-First Cell Queue'!$B$6:$B$461=$A31)*('Evidence-First Cell Queue'!$E$6:$E$461=G$23)),'Evidence-First Cell Queue'!$X$6:$X$461)</f>
        <v/>
      </c>
      <c r="H31" s="36">
        <f>LOOKUP(2,1/(('Evidence-First Cell Queue'!$B$6:$B$461=$A31)*('Evidence-First Cell Queue'!$E$6:$E$461=H$23)),'Evidence-First Cell Queue'!$X$6:$X$461)</f>
        <v/>
      </c>
      <c r="I31" s="36">
        <f>LOOKUP(2,1/(('Evidence-First Cell Queue'!$B$6:$B$461=$A31)*('Evidence-First Cell Queue'!$E$6:$E$461=I$23)),'Evidence-First Cell Queue'!$X$6:$X$461)</f>
        <v/>
      </c>
      <c r="J31" s="36">
        <f>LOOKUP(2,1/(('Evidence-First Cell Queue'!$B$6:$B$461=$A31)*('Evidence-First Cell Queue'!$E$6:$E$461=J$23)),'Evidence-First Cell Queue'!$X$6:$X$461)</f>
        <v/>
      </c>
      <c r="K31" s="36">
        <f>LOOKUP(2,1/(('Evidence-First Cell Queue'!$B$6:$B$461=$A31)*('Evidence-First Cell Queue'!$E$6:$E$461=K$23)),'Evidence-First Cell Queue'!$X$6:$X$461)</f>
        <v/>
      </c>
    </row>
    <row r="32">
      <c r="A32" s="0" t="inlineStr">
        <is>
          <t>RNR-H09</t>
        </is>
      </c>
      <c r="B32" s="0">
        <f>INDEX('Evidence-First Cell Queue'!$C$6:$C$461,MATCH($A32,'Evidence-First Cell Queue'!$B$6:$B$461,0))</f>
        <v/>
      </c>
      <c r="C32" s="0">
        <f>INDEX('Evidence-First Cell Queue'!$D$6:$D$461,MATCH($A32,'Evidence-First Cell Queue'!$B$6:$B$461,0))</f>
        <v/>
      </c>
      <c r="D32" s="36">
        <f>LOOKUP(2,1/(('Evidence-First Cell Queue'!$B$6:$B$461=$A32)*('Evidence-First Cell Queue'!$E$6:$E$461=D$23)),'Evidence-First Cell Queue'!$X$6:$X$461)</f>
        <v/>
      </c>
      <c r="E32" s="36">
        <f>LOOKUP(2,1/(('Evidence-First Cell Queue'!$B$6:$B$461=$A32)*('Evidence-First Cell Queue'!$E$6:$E$461=E$23)),'Evidence-First Cell Queue'!$X$6:$X$461)</f>
        <v/>
      </c>
      <c r="F32" s="36">
        <f>LOOKUP(2,1/(('Evidence-First Cell Queue'!$B$6:$B$461=$A32)*('Evidence-First Cell Queue'!$E$6:$E$461=F$23)),'Evidence-First Cell Queue'!$X$6:$X$461)</f>
        <v/>
      </c>
      <c r="G32" s="36">
        <f>LOOKUP(2,1/(('Evidence-First Cell Queue'!$B$6:$B$461=$A32)*('Evidence-First Cell Queue'!$E$6:$E$461=G$23)),'Evidence-First Cell Queue'!$X$6:$X$461)</f>
        <v/>
      </c>
      <c r="H32" s="36">
        <f>LOOKUP(2,1/(('Evidence-First Cell Queue'!$B$6:$B$461=$A32)*('Evidence-First Cell Queue'!$E$6:$E$461=H$23)),'Evidence-First Cell Queue'!$X$6:$X$461)</f>
        <v/>
      </c>
      <c r="I32" s="36">
        <f>LOOKUP(2,1/(('Evidence-First Cell Queue'!$B$6:$B$461=$A32)*('Evidence-First Cell Queue'!$E$6:$E$461=I$23)),'Evidence-First Cell Queue'!$X$6:$X$461)</f>
        <v/>
      </c>
      <c r="J32" s="36">
        <f>LOOKUP(2,1/(('Evidence-First Cell Queue'!$B$6:$B$461=$A32)*('Evidence-First Cell Queue'!$E$6:$E$461=J$23)),'Evidence-First Cell Queue'!$X$6:$X$461)</f>
        <v/>
      </c>
      <c r="K32" s="36">
        <f>LOOKUP(2,1/(('Evidence-First Cell Queue'!$B$6:$B$461=$A32)*('Evidence-First Cell Queue'!$E$6:$E$461=K$23)),'Evidence-First Cell Queue'!$X$6:$X$461)</f>
        <v/>
      </c>
    </row>
    <row r="33">
      <c r="A33" s="0" t="inlineStr">
        <is>
          <t>RNR-H10</t>
        </is>
      </c>
      <c r="B33" s="0">
        <f>INDEX('Evidence-First Cell Queue'!$C$6:$C$461,MATCH($A33,'Evidence-First Cell Queue'!$B$6:$B$461,0))</f>
        <v/>
      </c>
      <c r="C33" s="0">
        <f>INDEX('Evidence-First Cell Queue'!$D$6:$D$461,MATCH($A33,'Evidence-First Cell Queue'!$B$6:$B$461,0))</f>
        <v/>
      </c>
      <c r="D33" s="36">
        <f>LOOKUP(2,1/(('Evidence-First Cell Queue'!$B$6:$B$461=$A33)*('Evidence-First Cell Queue'!$E$6:$E$461=D$23)),'Evidence-First Cell Queue'!$X$6:$X$461)</f>
        <v/>
      </c>
      <c r="E33" s="36">
        <f>LOOKUP(2,1/(('Evidence-First Cell Queue'!$B$6:$B$461=$A33)*('Evidence-First Cell Queue'!$E$6:$E$461=E$23)),'Evidence-First Cell Queue'!$X$6:$X$461)</f>
        <v/>
      </c>
      <c r="F33" s="36">
        <f>LOOKUP(2,1/(('Evidence-First Cell Queue'!$B$6:$B$461=$A33)*('Evidence-First Cell Queue'!$E$6:$E$461=F$23)),'Evidence-First Cell Queue'!$X$6:$X$461)</f>
        <v/>
      </c>
      <c r="G33" s="36">
        <f>LOOKUP(2,1/(('Evidence-First Cell Queue'!$B$6:$B$461=$A33)*('Evidence-First Cell Queue'!$E$6:$E$461=G$23)),'Evidence-First Cell Queue'!$X$6:$X$461)</f>
        <v/>
      </c>
      <c r="H33" s="36">
        <f>LOOKUP(2,1/(('Evidence-First Cell Queue'!$B$6:$B$461=$A33)*('Evidence-First Cell Queue'!$E$6:$E$461=H$23)),'Evidence-First Cell Queue'!$X$6:$X$461)</f>
        <v/>
      </c>
      <c r="I33" s="36">
        <f>LOOKUP(2,1/(('Evidence-First Cell Queue'!$B$6:$B$461=$A33)*('Evidence-First Cell Queue'!$E$6:$E$461=I$23)),'Evidence-First Cell Queue'!$X$6:$X$461)</f>
        <v/>
      </c>
      <c r="J33" s="36">
        <f>LOOKUP(2,1/(('Evidence-First Cell Queue'!$B$6:$B$461=$A33)*('Evidence-First Cell Queue'!$E$6:$E$461=J$23)),'Evidence-First Cell Queue'!$X$6:$X$461)</f>
        <v/>
      </c>
      <c r="K33" s="36">
        <f>LOOKUP(2,1/(('Evidence-First Cell Queue'!$B$6:$B$461=$A33)*('Evidence-First Cell Queue'!$E$6:$E$461=K$23)),'Evidence-First Cell Queue'!$X$6:$X$461)</f>
        <v/>
      </c>
    </row>
    <row r="34">
      <c r="A34" s="0" t="inlineStr">
        <is>
          <t>RNR-H11</t>
        </is>
      </c>
      <c r="B34" s="0">
        <f>INDEX('Evidence-First Cell Queue'!$C$6:$C$461,MATCH($A34,'Evidence-First Cell Queue'!$B$6:$B$461,0))</f>
        <v/>
      </c>
      <c r="C34" s="0">
        <f>INDEX('Evidence-First Cell Queue'!$D$6:$D$461,MATCH($A34,'Evidence-First Cell Queue'!$B$6:$B$461,0))</f>
        <v/>
      </c>
      <c r="D34" s="36">
        <f>LOOKUP(2,1/(('Evidence-First Cell Queue'!$B$6:$B$461=$A34)*('Evidence-First Cell Queue'!$E$6:$E$461=D$23)),'Evidence-First Cell Queue'!$X$6:$X$461)</f>
        <v/>
      </c>
      <c r="E34" s="36">
        <f>LOOKUP(2,1/(('Evidence-First Cell Queue'!$B$6:$B$461=$A34)*('Evidence-First Cell Queue'!$E$6:$E$461=E$23)),'Evidence-First Cell Queue'!$X$6:$X$461)</f>
        <v/>
      </c>
      <c r="F34" s="36">
        <f>LOOKUP(2,1/(('Evidence-First Cell Queue'!$B$6:$B$461=$A34)*('Evidence-First Cell Queue'!$E$6:$E$461=F$23)),'Evidence-First Cell Queue'!$X$6:$X$461)</f>
        <v/>
      </c>
      <c r="G34" s="36">
        <f>LOOKUP(2,1/(('Evidence-First Cell Queue'!$B$6:$B$461=$A34)*('Evidence-First Cell Queue'!$E$6:$E$461=G$23)),'Evidence-First Cell Queue'!$X$6:$X$461)</f>
        <v/>
      </c>
      <c r="H34" s="36">
        <f>LOOKUP(2,1/(('Evidence-First Cell Queue'!$B$6:$B$461=$A34)*('Evidence-First Cell Queue'!$E$6:$E$461=H$23)),'Evidence-First Cell Queue'!$X$6:$X$461)</f>
        <v/>
      </c>
      <c r="I34" s="36">
        <f>LOOKUP(2,1/(('Evidence-First Cell Queue'!$B$6:$B$461=$A34)*('Evidence-First Cell Queue'!$E$6:$E$461=I$23)),'Evidence-First Cell Queue'!$X$6:$X$461)</f>
        <v/>
      </c>
      <c r="J34" s="36">
        <f>LOOKUP(2,1/(('Evidence-First Cell Queue'!$B$6:$B$461=$A34)*('Evidence-First Cell Queue'!$E$6:$E$461=J$23)),'Evidence-First Cell Queue'!$X$6:$X$461)</f>
        <v/>
      </c>
      <c r="K34" s="36">
        <f>LOOKUP(2,1/(('Evidence-First Cell Queue'!$B$6:$B$461=$A34)*('Evidence-First Cell Queue'!$E$6:$E$461=K$23)),'Evidence-First Cell Queue'!$X$6:$X$461)</f>
        <v/>
      </c>
    </row>
    <row r="35">
      <c r="A35" s="0" t="inlineStr">
        <is>
          <t>RNR-H12</t>
        </is>
      </c>
      <c r="B35" s="0">
        <f>INDEX('Evidence-First Cell Queue'!$C$6:$C$461,MATCH($A35,'Evidence-First Cell Queue'!$B$6:$B$461,0))</f>
        <v/>
      </c>
      <c r="C35" s="0">
        <f>INDEX('Evidence-First Cell Queue'!$D$6:$D$461,MATCH($A35,'Evidence-First Cell Queue'!$B$6:$B$461,0))</f>
        <v/>
      </c>
      <c r="D35" s="36">
        <f>LOOKUP(2,1/(('Evidence-First Cell Queue'!$B$6:$B$461=$A35)*('Evidence-First Cell Queue'!$E$6:$E$461=D$23)),'Evidence-First Cell Queue'!$X$6:$X$461)</f>
        <v/>
      </c>
      <c r="E35" s="36">
        <f>LOOKUP(2,1/(('Evidence-First Cell Queue'!$B$6:$B$461=$A35)*('Evidence-First Cell Queue'!$E$6:$E$461=E$23)),'Evidence-First Cell Queue'!$X$6:$X$461)</f>
        <v/>
      </c>
      <c r="F35" s="36">
        <f>LOOKUP(2,1/(('Evidence-First Cell Queue'!$B$6:$B$461=$A35)*('Evidence-First Cell Queue'!$E$6:$E$461=F$23)),'Evidence-First Cell Queue'!$X$6:$X$461)</f>
        <v/>
      </c>
      <c r="G35" s="36">
        <f>LOOKUP(2,1/(('Evidence-First Cell Queue'!$B$6:$B$461=$A35)*('Evidence-First Cell Queue'!$E$6:$E$461=G$23)),'Evidence-First Cell Queue'!$X$6:$X$461)</f>
        <v/>
      </c>
      <c r="H35" s="36">
        <f>LOOKUP(2,1/(('Evidence-First Cell Queue'!$B$6:$B$461=$A35)*('Evidence-First Cell Queue'!$E$6:$E$461=H$23)),'Evidence-First Cell Queue'!$X$6:$X$461)</f>
        <v/>
      </c>
      <c r="I35" s="36">
        <f>LOOKUP(2,1/(('Evidence-First Cell Queue'!$B$6:$B$461=$A35)*('Evidence-First Cell Queue'!$E$6:$E$461=I$23)),'Evidence-First Cell Queue'!$X$6:$X$461)</f>
        <v/>
      </c>
      <c r="J35" s="36">
        <f>LOOKUP(2,1/(('Evidence-First Cell Queue'!$B$6:$B$461=$A35)*('Evidence-First Cell Queue'!$E$6:$E$461=J$23)),'Evidence-First Cell Queue'!$X$6:$X$461)</f>
        <v/>
      </c>
      <c r="K35" s="36">
        <f>LOOKUP(2,1/(('Evidence-First Cell Queue'!$B$6:$B$461=$A35)*('Evidence-First Cell Queue'!$E$6:$E$461=K$23)),'Evidence-First Cell Queue'!$X$6:$X$461)</f>
        <v/>
      </c>
    </row>
    <row r="36">
      <c r="A36" s="0" t="inlineStr">
        <is>
          <t>RNR-H13</t>
        </is>
      </c>
      <c r="B36" s="0">
        <f>INDEX('Evidence-First Cell Queue'!$C$6:$C$461,MATCH($A36,'Evidence-First Cell Queue'!$B$6:$B$461,0))</f>
        <v/>
      </c>
      <c r="C36" s="0">
        <f>INDEX('Evidence-First Cell Queue'!$D$6:$D$461,MATCH($A36,'Evidence-First Cell Queue'!$B$6:$B$461,0))</f>
        <v/>
      </c>
      <c r="D36" s="36">
        <f>LOOKUP(2,1/(('Evidence-First Cell Queue'!$B$6:$B$461=$A36)*('Evidence-First Cell Queue'!$E$6:$E$461=D$23)),'Evidence-First Cell Queue'!$X$6:$X$461)</f>
        <v/>
      </c>
      <c r="E36" s="36">
        <f>LOOKUP(2,1/(('Evidence-First Cell Queue'!$B$6:$B$461=$A36)*('Evidence-First Cell Queue'!$E$6:$E$461=E$23)),'Evidence-First Cell Queue'!$X$6:$X$461)</f>
        <v/>
      </c>
      <c r="F36" s="36">
        <f>LOOKUP(2,1/(('Evidence-First Cell Queue'!$B$6:$B$461=$A36)*('Evidence-First Cell Queue'!$E$6:$E$461=F$23)),'Evidence-First Cell Queue'!$X$6:$X$461)</f>
        <v/>
      </c>
      <c r="G36" s="36">
        <f>LOOKUP(2,1/(('Evidence-First Cell Queue'!$B$6:$B$461=$A36)*('Evidence-First Cell Queue'!$E$6:$E$461=G$23)),'Evidence-First Cell Queue'!$X$6:$X$461)</f>
        <v/>
      </c>
      <c r="H36" s="36">
        <f>LOOKUP(2,1/(('Evidence-First Cell Queue'!$B$6:$B$461=$A36)*('Evidence-First Cell Queue'!$E$6:$E$461=H$23)),'Evidence-First Cell Queue'!$X$6:$X$461)</f>
        <v/>
      </c>
      <c r="I36" s="36">
        <f>LOOKUP(2,1/(('Evidence-First Cell Queue'!$B$6:$B$461=$A36)*('Evidence-First Cell Queue'!$E$6:$E$461=I$23)),'Evidence-First Cell Queue'!$X$6:$X$461)</f>
        <v/>
      </c>
      <c r="J36" s="36">
        <f>LOOKUP(2,1/(('Evidence-First Cell Queue'!$B$6:$B$461=$A36)*('Evidence-First Cell Queue'!$E$6:$E$461=J$23)),'Evidence-First Cell Queue'!$X$6:$X$461)</f>
        <v/>
      </c>
      <c r="K36" s="36">
        <f>LOOKUP(2,1/(('Evidence-First Cell Queue'!$B$6:$B$461=$A36)*('Evidence-First Cell Queue'!$E$6:$E$461=K$23)),'Evidence-First Cell Queue'!$X$6:$X$461)</f>
        <v/>
      </c>
    </row>
    <row r="37">
      <c r="A37" s="0" t="inlineStr">
        <is>
          <t>RNR-H14</t>
        </is>
      </c>
      <c r="B37" s="0">
        <f>INDEX('Evidence-First Cell Queue'!$C$6:$C$461,MATCH($A37,'Evidence-First Cell Queue'!$B$6:$B$461,0))</f>
        <v/>
      </c>
      <c r="C37" s="0">
        <f>INDEX('Evidence-First Cell Queue'!$D$6:$D$461,MATCH($A37,'Evidence-First Cell Queue'!$B$6:$B$461,0))</f>
        <v/>
      </c>
      <c r="D37" s="36">
        <f>LOOKUP(2,1/(('Evidence-First Cell Queue'!$B$6:$B$461=$A37)*('Evidence-First Cell Queue'!$E$6:$E$461=D$23)),'Evidence-First Cell Queue'!$X$6:$X$461)</f>
        <v/>
      </c>
      <c r="E37" s="36">
        <f>LOOKUP(2,1/(('Evidence-First Cell Queue'!$B$6:$B$461=$A37)*('Evidence-First Cell Queue'!$E$6:$E$461=E$23)),'Evidence-First Cell Queue'!$X$6:$X$461)</f>
        <v/>
      </c>
      <c r="F37" s="36">
        <f>LOOKUP(2,1/(('Evidence-First Cell Queue'!$B$6:$B$461=$A37)*('Evidence-First Cell Queue'!$E$6:$E$461=F$23)),'Evidence-First Cell Queue'!$X$6:$X$461)</f>
        <v/>
      </c>
      <c r="G37" s="36">
        <f>LOOKUP(2,1/(('Evidence-First Cell Queue'!$B$6:$B$461=$A37)*('Evidence-First Cell Queue'!$E$6:$E$461=G$23)),'Evidence-First Cell Queue'!$X$6:$X$461)</f>
        <v/>
      </c>
      <c r="H37" s="36">
        <f>LOOKUP(2,1/(('Evidence-First Cell Queue'!$B$6:$B$461=$A37)*('Evidence-First Cell Queue'!$E$6:$E$461=H$23)),'Evidence-First Cell Queue'!$X$6:$X$461)</f>
        <v/>
      </c>
      <c r="I37" s="36">
        <f>LOOKUP(2,1/(('Evidence-First Cell Queue'!$B$6:$B$461=$A37)*('Evidence-First Cell Queue'!$E$6:$E$461=I$23)),'Evidence-First Cell Queue'!$X$6:$X$461)</f>
        <v/>
      </c>
      <c r="J37" s="36">
        <f>LOOKUP(2,1/(('Evidence-First Cell Queue'!$B$6:$B$461=$A37)*('Evidence-First Cell Queue'!$E$6:$E$461=J$23)),'Evidence-First Cell Queue'!$X$6:$X$461)</f>
        <v/>
      </c>
      <c r="K37" s="36">
        <f>LOOKUP(2,1/(('Evidence-First Cell Queue'!$B$6:$B$461=$A37)*('Evidence-First Cell Queue'!$E$6:$E$461=K$23)),'Evidence-First Cell Queue'!$X$6:$X$461)</f>
        <v/>
      </c>
    </row>
    <row r="38">
      <c r="A38" s="0" t="inlineStr">
        <is>
          <t>RNR-H15</t>
        </is>
      </c>
      <c r="B38" s="0">
        <f>INDEX('Evidence-First Cell Queue'!$C$6:$C$461,MATCH($A38,'Evidence-First Cell Queue'!$B$6:$B$461,0))</f>
        <v/>
      </c>
      <c r="C38" s="0">
        <f>INDEX('Evidence-First Cell Queue'!$D$6:$D$461,MATCH($A38,'Evidence-First Cell Queue'!$B$6:$B$461,0))</f>
        <v/>
      </c>
      <c r="D38" s="36">
        <f>LOOKUP(2,1/(('Evidence-First Cell Queue'!$B$6:$B$461=$A38)*('Evidence-First Cell Queue'!$E$6:$E$461=D$23)),'Evidence-First Cell Queue'!$X$6:$X$461)</f>
        <v/>
      </c>
      <c r="E38" s="36">
        <f>LOOKUP(2,1/(('Evidence-First Cell Queue'!$B$6:$B$461=$A38)*('Evidence-First Cell Queue'!$E$6:$E$461=E$23)),'Evidence-First Cell Queue'!$X$6:$X$461)</f>
        <v/>
      </c>
      <c r="F38" s="36">
        <f>LOOKUP(2,1/(('Evidence-First Cell Queue'!$B$6:$B$461=$A38)*('Evidence-First Cell Queue'!$E$6:$E$461=F$23)),'Evidence-First Cell Queue'!$X$6:$X$461)</f>
        <v/>
      </c>
      <c r="G38" s="36">
        <f>LOOKUP(2,1/(('Evidence-First Cell Queue'!$B$6:$B$461=$A38)*('Evidence-First Cell Queue'!$E$6:$E$461=G$23)),'Evidence-First Cell Queue'!$X$6:$X$461)</f>
        <v/>
      </c>
      <c r="H38" s="36">
        <f>LOOKUP(2,1/(('Evidence-First Cell Queue'!$B$6:$B$461=$A38)*('Evidence-First Cell Queue'!$E$6:$E$461=H$23)),'Evidence-First Cell Queue'!$X$6:$X$461)</f>
        <v/>
      </c>
      <c r="I38" s="36">
        <f>LOOKUP(2,1/(('Evidence-First Cell Queue'!$B$6:$B$461=$A38)*('Evidence-First Cell Queue'!$E$6:$E$461=I$23)),'Evidence-First Cell Queue'!$X$6:$X$461)</f>
        <v/>
      </c>
      <c r="J38" s="36">
        <f>LOOKUP(2,1/(('Evidence-First Cell Queue'!$B$6:$B$461=$A38)*('Evidence-First Cell Queue'!$E$6:$E$461=J$23)),'Evidence-First Cell Queue'!$X$6:$X$461)</f>
        <v/>
      </c>
      <c r="K38" s="36">
        <f>LOOKUP(2,1/(('Evidence-First Cell Queue'!$B$6:$B$461=$A38)*('Evidence-First Cell Queue'!$E$6:$E$461=K$23)),'Evidence-First Cell Queue'!$X$6:$X$461)</f>
        <v/>
      </c>
    </row>
    <row r="39">
      <c r="A39" s="0" t="inlineStr">
        <is>
          <t>RNR-H16</t>
        </is>
      </c>
      <c r="B39" s="0">
        <f>INDEX('Evidence-First Cell Queue'!$C$6:$C$461,MATCH($A39,'Evidence-First Cell Queue'!$B$6:$B$461,0))</f>
        <v/>
      </c>
      <c r="C39" s="0">
        <f>INDEX('Evidence-First Cell Queue'!$D$6:$D$461,MATCH($A39,'Evidence-First Cell Queue'!$B$6:$B$461,0))</f>
        <v/>
      </c>
      <c r="D39" s="36">
        <f>LOOKUP(2,1/(('Evidence-First Cell Queue'!$B$6:$B$461=$A39)*('Evidence-First Cell Queue'!$E$6:$E$461=D$23)),'Evidence-First Cell Queue'!$X$6:$X$461)</f>
        <v/>
      </c>
      <c r="E39" s="36">
        <f>LOOKUP(2,1/(('Evidence-First Cell Queue'!$B$6:$B$461=$A39)*('Evidence-First Cell Queue'!$E$6:$E$461=E$23)),'Evidence-First Cell Queue'!$X$6:$X$461)</f>
        <v/>
      </c>
      <c r="F39" s="36">
        <f>LOOKUP(2,1/(('Evidence-First Cell Queue'!$B$6:$B$461=$A39)*('Evidence-First Cell Queue'!$E$6:$E$461=F$23)),'Evidence-First Cell Queue'!$X$6:$X$461)</f>
        <v/>
      </c>
      <c r="G39" s="36">
        <f>LOOKUP(2,1/(('Evidence-First Cell Queue'!$B$6:$B$461=$A39)*('Evidence-First Cell Queue'!$E$6:$E$461=G$23)),'Evidence-First Cell Queue'!$X$6:$X$461)</f>
        <v/>
      </c>
      <c r="H39" s="36">
        <f>LOOKUP(2,1/(('Evidence-First Cell Queue'!$B$6:$B$461=$A39)*('Evidence-First Cell Queue'!$E$6:$E$461=H$23)),'Evidence-First Cell Queue'!$X$6:$X$461)</f>
        <v/>
      </c>
      <c r="I39" s="36">
        <f>LOOKUP(2,1/(('Evidence-First Cell Queue'!$B$6:$B$461=$A39)*('Evidence-First Cell Queue'!$E$6:$E$461=I$23)),'Evidence-First Cell Queue'!$X$6:$X$461)</f>
        <v/>
      </c>
      <c r="J39" s="36">
        <f>LOOKUP(2,1/(('Evidence-First Cell Queue'!$B$6:$B$461=$A39)*('Evidence-First Cell Queue'!$E$6:$E$461=J$23)),'Evidence-First Cell Queue'!$X$6:$X$461)</f>
        <v/>
      </c>
      <c r="K39" s="36">
        <f>LOOKUP(2,1/(('Evidence-First Cell Queue'!$B$6:$B$461=$A39)*('Evidence-First Cell Queue'!$E$6:$E$461=K$23)),'Evidence-First Cell Queue'!$X$6:$X$461)</f>
        <v/>
      </c>
    </row>
    <row r="40">
      <c r="A40" s="0" t="inlineStr">
        <is>
          <t>RNR-H17</t>
        </is>
      </c>
      <c r="B40" s="0">
        <f>INDEX('Evidence-First Cell Queue'!$C$6:$C$461,MATCH($A40,'Evidence-First Cell Queue'!$B$6:$B$461,0))</f>
        <v/>
      </c>
      <c r="C40" s="0">
        <f>INDEX('Evidence-First Cell Queue'!$D$6:$D$461,MATCH($A40,'Evidence-First Cell Queue'!$B$6:$B$461,0))</f>
        <v/>
      </c>
      <c r="D40" s="36">
        <f>LOOKUP(2,1/(('Evidence-First Cell Queue'!$B$6:$B$461=$A40)*('Evidence-First Cell Queue'!$E$6:$E$461=D$23)),'Evidence-First Cell Queue'!$X$6:$X$461)</f>
        <v/>
      </c>
      <c r="E40" s="36">
        <f>LOOKUP(2,1/(('Evidence-First Cell Queue'!$B$6:$B$461=$A40)*('Evidence-First Cell Queue'!$E$6:$E$461=E$23)),'Evidence-First Cell Queue'!$X$6:$X$461)</f>
        <v/>
      </c>
      <c r="F40" s="36">
        <f>LOOKUP(2,1/(('Evidence-First Cell Queue'!$B$6:$B$461=$A40)*('Evidence-First Cell Queue'!$E$6:$E$461=F$23)),'Evidence-First Cell Queue'!$X$6:$X$461)</f>
        <v/>
      </c>
      <c r="G40" s="36">
        <f>LOOKUP(2,1/(('Evidence-First Cell Queue'!$B$6:$B$461=$A40)*('Evidence-First Cell Queue'!$E$6:$E$461=G$23)),'Evidence-First Cell Queue'!$X$6:$X$461)</f>
        <v/>
      </c>
      <c r="H40" s="36">
        <f>LOOKUP(2,1/(('Evidence-First Cell Queue'!$B$6:$B$461=$A40)*('Evidence-First Cell Queue'!$E$6:$E$461=H$23)),'Evidence-First Cell Queue'!$X$6:$X$461)</f>
        <v/>
      </c>
      <c r="I40" s="36">
        <f>LOOKUP(2,1/(('Evidence-First Cell Queue'!$B$6:$B$461=$A40)*('Evidence-First Cell Queue'!$E$6:$E$461=I$23)),'Evidence-First Cell Queue'!$X$6:$X$461)</f>
        <v/>
      </c>
      <c r="J40" s="36">
        <f>LOOKUP(2,1/(('Evidence-First Cell Queue'!$B$6:$B$461=$A40)*('Evidence-First Cell Queue'!$E$6:$E$461=J$23)),'Evidence-First Cell Queue'!$X$6:$X$461)</f>
        <v/>
      </c>
      <c r="K40" s="36">
        <f>LOOKUP(2,1/(('Evidence-First Cell Queue'!$B$6:$B$461=$A40)*('Evidence-First Cell Queue'!$E$6:$E$461=K$23)),'Evidence-First Cell Queue'!$X$6:$X$461)</f>
        <v/>
      </c>
    </row>
    <row r="41">
      <c r="A41" s="0" t="inlineStr">
        <is>
          <t>RNR-H18</t>
        </is>
      </c>
      <c r="B41" s="0">
        <f>INDEX('Evidence-First Cell Queue'!$C$6:$C$461,MATCH($A41,'Evidence-First Cell Queue'!$B$6:$B$461,0))</f>
        <v/>
      </c>
      <c r="C41" s="0">
        <f>INDEX('Evidence-First Cell Queue'!$D$6:$D$461,MATCH($A41,'Evidence-First Cell Queue'!$B$6:$B$461,0))</f>
        <v/>
      </c>
      <c r="D41" s="36">
        <f>LOOKUP(2,1/(('Evidence-First Cell Queue'!$B$6:$B$461=$A41)*('Evidence-First Cell Queue'!$E$6:$E$461=D$23)),'Evidence-First Cell Queue'!$X$6:$X$461)</f>
        <v/>
      </c>
      <c r="E41" s="36">
        <f>LOOKUP(2,1/(('Evidence-First Cell Queue'!$B$6:$B$461=$A41)*('Evidence-First Cell Queue'!$E$6:$E$461=E$23)),'Evidence-First Cell Queue'!$X$6:$X$461)</f>
        <v/>
      </c>
      <c r="F41" s="36">
        <f>LOOKUP(2,1/(('Evidence-First Cell Queue'!$B$6:$B$461=$A41)*('Evidence-First Cell Queue'!$E$6:$E$461=F$23)),'Evidence-First Cell Queue'!$X$6:$X$461)</f>
        <v/>
      </c>
      <c r="G41" s="36">
        <f>LOOKUP(2,1/(('Evidence-First Cell Queue'!$B$6:$B$461=$A41)*('Evidence-First Cell Queue'!$E$6:$E$461=G$23)),'Evidence-First Cell Queue'!$X$6:$X$461)</f>
        <v/>
      </c>
      <c r="H41" s="36">
        <f>LOOKUP(2,1/(('Evidence-First Cell Queue'!$B$6:$B$461=$A41)*('Evidence-First Cell Queue'!$E$6:$E$461=H$23)),'Evidence-First Cell Queue'!$X$6:$X$461)</f>
        <v/>
      </c>
      <c r="I41" s="36">
        <f>LOOKUP(2,1/(('Evidence-First Cell Queue'!$B$6:$B$461=$A41)*('Evidence-First Cell Queue'!$E$6:$E$461=I$23)),'Evidence-First Cell Queue'!$X$6:$X$461)</f>
        <v/>
      </c>
      <c r="J41" s="36">
        <f>LOOKUP(2,1/(('Evidence-First Cell Queue'!$B$6:$B$461=$A41)*('Evidence-First Cell Queue'!$E$6:$E$461=J$23)),'Evidence-First Cell Queue'!$X$6:$X$461)</f>
        <v/>
      </c>
      <c r="K41" s="36">
        <f>LOOKUP(2,1/(('Evidence-First Cell Queue'!$B$6:$B$461=$A41)*('Evidence-First Cell Queue'!$E$6:$E$461=K$23)),'Evidence-First Cell Queue'!$X$6:$X$461)</f>
        <v/>
      </c>
    </row>
    <row r="42">
      <c r="A42" s="0" t="inlineStr">
        <is>
          <t>RNR-H19</t>
        </is>
      </c>
      <c r="B42" s="0">
        <f>INDEX('Evidence-First Cell Queue'!$C$6:$C$461,MATCH($A42,'Evidence-First Cell Queue'!$B$6:$B$461,0))</f>
        <v/>
      </c>
      <c r="C42" s="0">
        <f>INDEX('Evidence-First Cell Queue'!$D$6:$D$461,MATCH($A42,'Evidence-First Cell Queue'!$B$6:$B$461,0))</f>
        <v/>
      </c>
      <c r="D42" s="36">
        <f>LOOKUP(2,1/(('Evidence-First Cell Queue'!$B$6:$B$461=$A42)*('Evidence-First Cell Queue'!$E$6:$E$461=D$23)),'Evidence-First Cell Queue'!$X$6:$X$461)</f>
        <v/>
      </c>
      <c r="E42" s="36">
        <f>LOOKUP(2,1/(('Evidence-First Cell Queue'!$B$6:$B$461=$A42)*('Evidence-First Cell Queue'!$E$6:$E$461=E$23)),'Evidence-First Cell Queue'!$X$6:$X$461)</f>
        <v/>
      </c>
      <c r="F42" s="36">
        <f>LOOKUP(2,1/(('Evidence-First Cell Queue'!$B$6:$B$461=$A42)*('Evidence-First Cell Queue'!$E$6:$E$461=F$23)),'Evidence-First Cell Queue'!$X$6:$X$461)</f>
        <v/>
      </c>
      <c r="G42" s="36">
        <f>LOOKUP(2,1/(('Evidence-First Cell Queue'!$B$6:$B$461=$A42)*('Evidence-First Cell Queue'!$E$6:$E$461=G$23)),'Evidence-First Cell Queue'!$X$6:$X$461)</f>
        <v/>
      </c>
      <c r="H42" s="36">
        <f>LOOKUP(2,1/(('Evidence-First Cell Queue'!$B$6:$B$461=$A42)*('Evidence-First Cell Queue'!$E$6:$E$461=H$23)),'Evidence-First Cell Queue'!$X$6:$X$461)</f>
        <v/>
      </c>
      <c r="I42" s="36">
        <f>LOOKUP(2,1/(('Evidence-First Cell Queue'!$B$6:$B$461=$A42)*('Evidence-First Cell Queue'!$E$6:$E$461=I$23)),'Evidence-First Cell Queue'!$X$6:$X$461)</f>
        <v/>
      </c>
      <c r="J42" s="36">
        <f>LOOKUP(2,1/(('Evidence-First Cell Queue'!$B$6:$B$461=$A42)*('Evidence-First Cell Queue'!$E$6:$E$461=J$23)),'Evidence-First Cell Queue'!$X$6:$X$461)</f>
        <v/>
      </c>
      <c r="K42" s="36">
        <f>LOOKUP(2,1/(('Evidence-First Cell Queue'!$B$6:$B$461=$A42)*('Evidence-First Cell Queue'!$E$6:$E$461=K$23)),'Evidence-First Cell Queue'!$X$6:$X$461)</f>
        <v/>
      </c>
    </row>
    <row r="43">
      <c r="A43" s="0" t="inlineStr">
        <is>
          <t>RNR-H20</t>
        </is>
      </c>
      <c r="B43" s="0">
        <f>INDEX('Evidence-First Cell Queue'!$C$6:$C$461,MATCH($A43,'Evidence-First Cell Queue'!$B$6:$B$461,0))</f>
        <v/>
      </c>
      <c r="C43" s="0">
        <f>INDEX('Evidence-First Cell Queue'!$D$6:$D$461,MATCH($A43,'Evidence-First Cell Queue'!$B$6:$B$461,0))</f>
        <v/>
      </c>
      <c r="D43" s="36">
        <f>LOOKUP(2,1/(('Evidence-First Cell Queue'!$B$6:$B$461=$A43)*('Evidence-First Cell Queue'!$E$6:$E$461=D$23)),'Evidence-First Cell Queue'!$X$6:$X$461)</f>
        <v/>
      </c>
      <c r="E43" s="36">
        <f>LOOKUP(2,1/(('Evidence-First Cell Queue'!$B$6:$B$461=$A43)*('Evidence-First Cell Queue'!$E$6:$E$461=E$23)),'Evidence-First Cell Queue'!$X$6:$X$461)</f>
        <v/>
      </c>
      <c r="F43" s="36">
        <f>LOOKUP(2,1/(('Evidence-First Cell Queue'!$B$6:$B$461=$A43)*('Evidence-First Cell Queue'!$E$6:$E$461=F$23)),'Evidence-First Cell Queue'!$X$6:$X$461)</f>
        <v/>
      </c>
      <c r="G43" s="36">
        <f>LOOKUP(2,1/(('Evidence-First Cell Queue'!$B$6:$B$461=$A43)*('Evidence-First Cell Queue'!$E$6:$E$461=G$23)),'Evidence-First Cell Queue'!$X$6:$X$461)</f>
        <v/>
      </c>
      <c r="H43" s="36">
        <f>LOOKUP(2,1/(('Evidence-First Cell Queue'!$B$6:$B$461=$A43)*('Evidence-First Cell Queue'!$E$6:$E$461=H$23)),'Evidence-First Cell Queue'!$X$6:$X$461)</f>
        <v/>
      </c>
      <c r="I43" s="36">
        <f>LOOKUP(2,1/(('Evidence-First Cell Queue'!$B$6:$B$461=$A43)*('Evidence-First Cell Queue'!$E$6:$E$461=I$23)),'Evidence-First Cell Queue'!$X$6:$X$461)</f>
        <v/>
      </c>
      <c r="J43" s="36">
        <f>LOOKUP(2,1/(('Evidence-First Cell Queue'!$B$6:$B$461=$A43)*('Evidence-First Cell Queue'!$E$6:$E$461=J$23)),'Evidence-First Cell Queue'!$X$6:$X$461)</f>
        <v/>
      </c>
      <c r="K43" s="36">
        <f>LOOKUP(2,1/(('Evidence-First Cell Queue'!$B$6:$B$461=$A43)*('Evidence-First Cell Queue'!$E$6:$E$461=K$23)),'Evidence-First Cell Queue'!$X$6:$X$461)</f>
        <v/>
      </c>
    </row>
    <row r="44">
      <c r="A44" s="0" t="inlineStr">
        <is>
          <t>RNR-H21</t>
        </is>
      </c>
      <c r="B44" s="0">
        <f>INDEX('Evidence-First Cell Queue'!$C$6:$C$461,MATCH($A44,'Evidence-First Cell Queue'!$B$6:$B$461,0))</f>
        <v/>
      </c>
      <c r="C44" s="0">
        <f>INDEX('Evidence-First Cell Queue'!$D$6:$D$461,MATCH($A44,'Evidence-First Cell Queue'!$B$6:$B$461,0))</f>
        <v/>
      </c>
      <c r="D44" s="36">
        <f>LOOKUP(2,1/(('Evidence-First Cell Queue'!$B$6:$B$461=$A44)*('Evidence-First Cell Queue'!$E$6:$E$461=D$23)),'Evidence-First Cell Queue'!$X$6:$X$461)</f>
        <v/>
      </c>
      <c r="E44" s="36">
        <f>LOOKUP(2,1/(('Evidence-First Cell Queue'!$B$6:$B$461=$A44)*('Evidence-First Cell Queue'!$E$6:$E$461=E$23)),'Evidence-First Cell Queue'!$X$6:$X$461)</f>
        <v/>
      </c>
      <c r="F44" s="36">
        <f>LOOKUP(2,1/(('Evidence-First Cell Queue'!$B$6:$B$461=$A44)*('Evidence-First Cell Queue'!$E$6:$E$461=F$23)),'Evidence-First Cell Queue'!$X$6:$X$461)</f>
        <v/>
      </c>
      <c r="G44" s="36">
        <f>LOOKUP(2,1/(('Evidence-First Cell Queue'!$B$6:$B$461=$A44)*('Evidence-First Cell Queue'!$E$6:$E$461=G$23)),'Evidence-First Cell Queue'!$X$6:$X$461)</f>
        <v/>
      </c>
      <c r="H44" s="36">
        <f>LOOKUP(2,1/(('Evidence-First Cell Queue'!$B$6:$B$461=$A44)*('Evidence-First Cell Queue'!$E$6:$E$461=H$23)),'Evidence-First Cell Queue'!$X$6:$X$461)</f>
        <v/>
      </c>
      <c r="I44" s="36">
        <f>LOOKUP(2,1/(('Evidence-First Cell Queue'!$B$6:$B$461=$A44)*('Evidence-First Cell Queue'!$E$6:$E$461=I$23)),'Evidence-First Cell Queue'!$X$6:$X$461)</f>
        <v/>
      </c>
      <c r="J44" s="36">
        <f>LOOKUP(2,1/(('Evidence-First Cell Queue'!$B$6:$B$461=$A44)*('Evidence-First Cell Queue'!$E$6:$E$461=J$23)),'Evidence-First Cell Queue'!$X$6:$X$461)</f>
        <v/>
      </c>
      <c r="K44" s="36">
        <f>LOOKUP(2,1/(('Evidence-First Cell Queue'!$B$6:$B$461=$A44)*('Evidence-First Cell Queue'!$E$6:$E$461=K$23)),'Evidence-First Cell Queue'!$X$6:$X$461)</f>
        <v/>
      </c>
    </row>
    <row r="45">
      <c r="A45" s="0" t="inlineStr">
        <is>
          <t>RNR-H22</t>
        </is>
      </c>
      <c r="B45" s="0">
        <f>INDEX('Evidence-First Cell Queue'!$C$6:$C$461,MATCH($A45,'Evidence-First Cell Queue'!$B$6:$B$461,0))</f>
        <v/>
      </c>
      <c r="C45" s="0">
        <f>INDEX('Evidence-First Cell Queue'!$D$6:$D$461,MATCH($A45,'Evidence-First Cell Queue'!$B$6:$B$461,0))</f>
        <v/>
      </c>
      <c r="D45" s="36">
        <f>LOOKUP(2,1/(('Evidence-First Cell Queue'!$B$6:$B$461=$A45)*('Evidence-First Cell Queue'!$E$6:$E$461=D$23)),'Evidence-First Cell Queue'!$X$6:$X$461)</f>
        <v/>
      </c>
      <c r="E45" s="36">
        <f>LOOKUP(2,1/(('Evidence-First Cell Queue'!$B$6:$B$461=$A45)*('Evidence-First Cell Queue'!$E$6:$E$461=E$23)),'Evidence-First Cell Queue'!$X$6:$X$461)</f>
        <v/>
      </c>
      <c r="F45" s="36">
        <f>LOOKUP(2,1/(('Evidence-First Cell Queue'!$B$6:$B$461=$A45)*('Evidence-First Cell Queue'!$E$6:$E$461=F$23)),'Evidence-First Cell Queue'!$X$6:$X$461)</f>
        <v/>
      </c>
      <c r="G45" s="36">
        <f>LOOKUP(2,1/(('Evidence-First Cell Queue'!$B$6:$B$461=$A45)*('Evidence-First Cell Queue'!$E$6:$E$461=G$23)),'Evidence-First Cell Queue'!$X$6:$X$461)</f>
        <v/>
      </c>
      <c r="H45" s="36">
        <f>LOOKUP(2,1/(('Evidence-First Cell Queue'!$B$6:$B$461=$A45)*('Evidence-First Cell Queue'!$E$6:$E$461=H$23)),'Evidence-First Cell Queue'!$X$6:$X$461)</f>
        <v/>
      </c>
      <c r="I45" s="36">
        <f>LOOKUP(2,1/(('Evidence-First Cell Queue'!$B$6:$B$461=$A45)*('Evidence-First Cell Queue'!$E$6:$E$461=I$23)),'Evidence-First Cell Queue'!$X$6:$X$461)</f>
        <v/>
      </c>
      <c r="J45" s="36">
        <f>LOOKUP(2,1/(('Evidence-First Cell Queue'!$B$6:$B$461=$A45)*('Evidence-First Cell Queue'!$E$6:$E$461=J$23)),'Evidence-First Cell Queue'!$X$6:$X$461)</f>
        <v/>
      </c>
      <c r="K45" s="36">
        <f>LOOKUP(2,1/(('Evidence-First Cell Queue'!$B$6:$B$461=$A45)*('Evidence-First Cell Queue'!$E$6:$E$461=K$23)),'Evidence-First Cell Queue'!$X$6:$X$461)</f>
        <v/>
      </c>
    </row>
    <row r="46">
      <c r="A46" s="0" t="inlineStr">
        <is>
          <t>RNR-H23</t>
        </is>
      </c>
      <c r="B46" s="0">
        <f>INDEX('Evidence-First Cell Queue'!$C$6:$C$461,MATCH($A46,'Evidence-First Cell Queue'!$B$6:$B$461,0))</f>
        <v/>
      </c>
      <c r="C46" s="0">
        <f>INDEX('Evidence-First Cell Queue'!$D$6:$D$461,MATCH($A46,'Evidence-First Cell Queue'!$B$6:$B$461,0))</f>
        <v/>
      </c>
      <c r="D46" s="36">
        <f>LOOKUP(2,1/(('Evidence-First Cell Queue'!$B$6:$B$461=$A46)*('Evidence-First Cell Queue'!$E$6:$E$461=D$23)),'Evidence-First Cell Queue'!$X$6:$X$461)</f>
        <v/>
      </c>
      <c r="E46" s="36">
        <f>LOOKUP(2,1/(('Evidence-First Cell Queue'!$B$6:$B$461=$A46)*('Evidence-First Cell Queue'!$E$6:$E$461=E$23)),'Evidence-First Cell Queue'!$X$6:$X$461)</f>
        <v/>
      </c>
      <c r="F46" s="36">
        <f>LOOKUP(2,1/(('Evidence-First Cell Queue'!$B$6:$B$461=$A46)*('Evidence-First Cell Queue'!$E$6:$E$461=F$23)),'Evidence-First Cell Queue'!$X$6:$X$461)</f>
        <v/>
      </c>
      <c r="G46" s="36">
        <f>LOOKUP(2,1/(('Evidence-First Cell Queue'!$B$6:$B$461=$A46)*('Evidence-First Cell Queue'!$E$6:$E$461=G$23)),'Evidence-First Cell Queue'!$X$6:$X$461)</f>
        <v/>
      </c>
      <c r="H46" s="36">
        <f>LOOKUP(2,1/(('Evidence-First Cell Queue'!$B$6:$B$461=$A46)*('Evidence-First Cell Queue'!$E$6:$E$461=H$23)),'Evidence-First Cell Queue'!$X$6:$X$461)</f>
        <v/>
      </c>
      <c r="I46" s="36">
        <f>LOOKUP(2,1/(('Evidence-First Cell Queue'!$B$6:$B$461=$A46)*('Evidence-First Cell Queue'!$E$6:$E$461=I$23)),'Evidence-First Cell Queue'!$X$6:$X$461)</f>
        <v/>
      </c>
      <c r="J46" s="36">
        <f>LOOKUP(2,1/(('Evidence-First Cell Queue'!$B$6:$B$461=$A46)*('Evidence-First Cell Queue'!$E$6:$E$461=J$23)),'Evidence-First Cell Queue'!$X$6:$X$461)</f>
        <v/>
      </c>
      <c r="K46" s="36">
        <f>LOOKUP(2,1/(('Evidence-First Cell Queue'!$B$6:$B$461=$A46)*('Evidence-First Cell Queue'!$E$6:$E$461=K$23)),'Evidence-First Cell Queue'!$X$6:$X$461)</f>
        <v/>
      </c>
    </row>
    <row r="47">
      <c r="A47" s="0" t="inlineStr">
        <is>
          <t>RNR-H24</t>
        </is>
      </c>
      <c r="B47" s="0">
        <f>INDEX('Evidence-First Cell Queue'!$C$6:$C$461,MATCH($A47,'Evidence-First Cell Queue'!$B$6:$B$461,0))</f>
        <v/>
      </c>
      <c r="C47" s="0">
        <f>INDEX('Evidence-First Cell Queue'!$D$6:$D$461,MATCH($A47,'Evidence-First Cell Queue'!$B$6:$B$461,0))</f>
        <v/>
      </c>
      <c r="D47" s="36">
        <f>LOOKUP(2,1/(('Evidence-First Cell Queue'!$B$6:$B$461=$A47)*('Evidence-First Cell Queue'!$E$6:$E$461=D$23)),'Evidence-First Cell Queue'!$X$6:$X$461)</f>
        <v/>
      </c>
      <c r="E47" s="36">
        <f>LOOKUP(2,1/(('Evidence-First Cell Queue'!$B$6:$B$461=$A47)*('Evidence-First Cell Queue'!$E$6:$E$461=E$23)),'Evidence-First Cell Queue'!$X$6:$X$461)</f>
        <v/>
      </c>
      <c r="F47" s="36">
        <f>LOOKUP(2,1/(('Evidence-First Cell Queue'!$B$6:$B$461=$A47)*('Evidence-First Cell Queue'!$E$6:$E$461=F$23)),'Evidence-First Cell Queue'!$X$6:$X$461)</f>
        <v/>
      </c>
      <c r="G47" s="36">
        <f>LOOKUP(2,1/(('Evidence-First Cell Queue'!$B$6:$B$461=$A47)*('Evidence-First Cell Queue'!$E$6:$E$461=G$23)),'Evidence-First Cell Queue'!$X$6:$X$461)</f>
        <v/>
      </c>
      <c r="H47" s="36">
        <f>LOOKUP(2,1/(('Evidence-First Cell Queue'!$B$6:$B$461=$A47)*('Evidence-First Cell Queue'!$E$6:$E$461=H$23)),'Evidence-First Cell Queue'!$X$6:$X$461)</f>
        <v/>
      </c>
      <c r="I47" s="36">
        <f>LOOKUP(2,1/(('Evidence-First Cell Queue'!$B$6:$B$461=$A47)*('Evidence-First Cell Queue'!$E$6:$E$461=I$23)),'Evidence-First Cell Queue'!$X$6:$X$461)</f>
        <v/>
      </c>
      <c r="J47" s="36">
        <f>LOOKUP(2,1/(('Evidence-First Cell Queue'!$B$6:$B$461=$A47)*('Evidence-First Cell Queue'!$E$6:$E$461=J$23)),'Evidence-First Cell Queue'!$X$6:$X$461)</f>
        <v/>
      </c>
      <c r="K47" s="36">
        <f>LOOKUP(2,1/(('Evidence-First Cell Queue'!$B$6:$B$461=$A47)*('Evidence-First Cell Queue'!$E$6:$E$461=K$23)),'Evidence-First Cell Queue'!$X$6:$X$461)</f>
        <v/>
      </c>
    </row>
    <row r="48">
      <c r="A48" s="0" t="inlineStr">
        <is>
          <t>RNR-H25</t>
        </is>
      </c>
      <c r="B48" s="0">
        <f>INDEX('Evidence-First Cell Queue'!$C$6:$C$461,MATCH($A48,'Evidence-First Cell Queue'!$B$6:$B$461,0))</f>
        <v/>
      </c>
      <c r="C48" s="0">
        <f>INDEX('Evidence-First Cell Queue'!$D$6:$D$461,MATCH($A48,'Evidence-First Cell Queue'!$B$6:$B$461,0))</f>
        <v/>
      </c>
      <c r="D48" s="36">
        <f>LOOKUP(2,1/(('Evidence-First Cell Queue'!$B$6:$B$461=$A48)*('Evidence-First Cell Queue'!$E$6:$E$461=D$23)),'Evidence-First Cell Queue'!$X$6:$X$461)</f>
        <v/>
      </c>
      <c r="E48" s="36">
        <f>LOOKUP(2,1/(('Evidence-First Cell Queue'!$B$6:$B$461=$A48)*('Evidence-First Cell Queue'!$E$6:$E$461=E$23)),'Evidence-First Cell Queue'!$X$6:$X$461)</f>
        <v/>
      </c>
      <c r="F48" s="36">
        <f>LOOKUP(2,1/(('Evidence-First Cell Queue'!$B$6:$B$461=$A48)*('Evidence-First Cell Queue'!$E$6:$E$461=F$23)),'Evidence-First Cell Queue'!$X$6:$X$461)</f>
        <v/>
      </c>
      <c r="G48" s="36">
        <f>LOOKUP(2,1/(('Evidence-First Cell Queue'!$B$6:$B$461=$A48)*('Evidence-First Cell Queue'!$E$6:$E$461=G$23)),'Evidence-First Cell Queue'!$X$6:$X$461)</f>
        <v/>
      </c>
      <c r="H48" s="36">
        <f>LOOKUP(2,1/(('Evidence-First Cell Queue'!$B$6:$B$461=$A48)*('Evidence-First Cell Queue'!$E$6:$E$461=H$23)),'Evidence-First Cell Queue'!$X$6:$X$461)</f>
        <v/>
      </c>
      <c r="I48" s="36">
        <f>LOOKUP(2,1/(('Evidence-First Cell Queue'!$B$6:$B$461=$A48)*('Evidence-First Cell Queue'!$E$6:$E$461=I$23)),'Evidence-First Cell Queue'!$X$6:$X$461)</f>
        <v/>
      </c>
      <c r="J48" s="36">
        <f>LOOKUP(2,1/(('Evidence-First Cell Queue'!$B$6:$B$461=$A48)*('Evidence-First Cell Queue'!$E$6:$E$461=J$23)),'Evidence-First Cell Queue'!$X$6:$X$461)</f>
        <v/>
      </c>
      <c r="K48" s="36">
        <f>LOOKUP(2,1/(('Evidence-First Cell Queue'!$B$6:$B$461=$A48)*('Evidence-First Cell Queue'!$E$6:$E$461=K$23)),'Evidence-First Cell Queue'!$X$6:$X$461)</f>
        <v/>
      </c>
    </row>
    <row r="49">
      <c r="A49" s="0" t="inlineStr">
        <is>
          <t>RNR-H26</t>
        </is>
      </c>
      <c r="B49" s="0">
        <f>INDEX('Evidence-First Cell Queue'!$C$6:$C$461,MATCH($A49,'Evidence-First Cell Queue'!$B$6:$B$461,0))</f>
        <v/>
      </c>
      <c r="C49" s="0">
        <f>INDEX('Evidence-First Cell Queue'!$D$6:$D$461,MATCH($A49,'Evidence-First Cell Queue'!$B$6:$B$461,0))</f>
        <v/>
      </c>
      <c r="D49" s="36">
        <f>LOOKUP(2,1/(('Evidence-First Cell Queue'!$B$6:$B$461=$A49)*('Evidence-First Cell Queue'!$E$6:$E$461=D$23)),'Evidence-First Cell Queue'!$X$6:$X$461)</f>
        <v/>
      </c>
      <c r="E49" s="36">
        <f>LOOKUP(2,1/(('Evidence-First Cell Queue'!$B$6:$B$461=$A49)*('Evidence-First Cell Queue'!$E$6:$E$461=E$23)),'Evidence-First Cell Queue'!$X$6:$X$461)</f>
        <v/>
      </c>
      <c r="F49" s="36">
        <f>LOOKUP(2,1/(('Evidence-First Cell Queue'!$B$6:$B$461=$A49)*('Evidence-First Cell Queue'!$E$6:$E$461=F$23)),'Evidence-First Cell Queue'!$X$6:$X$461)</f>
        <v/>
      </c>
      <c r="G49" s="36">
        <f>LOOKUP(2,1/(('Evidence-First Cell Queue'!$B$6:$B$461=$A49)*('Evidence-First Cell Queue'!$E$6:$E$461=G$23)),'Evidence-First Cell Queue'!$X$6:$X$461)</f>
        <v/>
      </c>
      <c r="H49" s="36">
        <f>LOOKUP(2,1/(('Evidence-First Cell Queue'!$B$6:$B$461=$A49)*('Evidence-First Cell Queue'!$E$6:$E$461=H$23)),'Evidence-First Cell Queue'!$X$6:$X$461)</f>
        <v/>
      </c>
      <c r="I49" s="36">
        <f>LOOKUP(2,1/(('Evidence-First Cell Queue'!$B$6:$B$461=$A49)*('Evidence-First Cell Queue'!$E$6:$E$461=I$23)),'Evidence-First Cell Queue'!$X$6:$X$461)</f>
        <v/>
      </c>
      <c r="J49" s="36">
        <f>LOOKUP(2,1/(('Evidence-First Cell Queue'!$B$6:$B$461=$A49)*('Evidence-First Cell Queue'!$E$6:$E$461=J$23)),'Evidence-First Cell Queue'!$X$6:$X$461)</f>
        <v/>
      </c>
      <c r="K49" s="36">
        <f>LOOKUP(2,1/(('Evidence-First Cell Queue'!$B$6:$B$461=$A49)*('Evidence-First Cell Queue'!$E$6:$E$461=K$23)),'Evidence-First Cell Queue'!$X$6:$X$461)</f>
        <v/>
      </c>
    </row>
    <row r="50">
      <c r="A50" s="0" t="inlineStr">
        <is>
          <t>RNR-H27</t>
        </is>
      </c>
      <c r="B50" s="0">
        <f>INDEX('Evidence-First Cell Queue'!$C$6:$C$461,MATCH($A50,'Evidence-First Cell Queue'!$B$6:$B$461,0))</f>
        <v/>
      </c>
      <c r="C50" s="0">
        <f>INDEX('Evidence-First Cell Queue'!$D$6:$D$461,MATCH($A50,'Evidence-First Cell Queue'!$B$6:$B$461,0))</f>
        <v/>
      </c>
      <c r="D50" s="36">
        <f>LOOKUP(2,1/(('Evidence-First Cell Queue'!$B$6:$B$461=$A50)*('Evidence-First Cell Queue'!$E$6:$E$461=D$23)),'Evidence-First Cell Queue'!$X$6:$X$461)</f>
        <v/>
      </c>
      <c r="E50" s="36">
        <f>LOOKUP(2,1/(('Evidence-First Cell Queue'!$B$6:$B$461=$A50)*('Evidence-First Cell Queue'!$E$6:$E$461=E$23)),'Evidence-First Cell Queue'!$X$6:$X$461)</f>
        <v/>
      </c>
      <c r="F50" s="36">
        <f>LOOKUP(2,1/(('Evidence-First Cell Queue'!$B$6:$B$461=$A50)*('Evidence-First Cell Queue'!$E$6:$E$461=F$23)),'Evidence-First Cell Queue'!$X$6:$X$461)</f>
        <v/>
      </c>
      <c r="G50" s="36">
        <f>LOOKUP(2,1/(('Evidence-First Cell Queue'!$B$6:$B$461=$A50)*('Evidence-First Cell Queue'!$E$6:$E$461=G$23)),'Evidence-First Cell Queue'!$X$6:$X$461)</f>
        <v/>
      </c>
      <c r="H50" s="36">
        <f>LOOKUP(2,1/(('Evidence-First Cell Queue'!$B$6:$B$461=$A50)*('Evidence-First Cell Queue'!$E$6:$E$461=H$23)),'Evidence-First Cell Queue'!$X$6:$X$461)</f>
        <v/>
      </c>
      <c r="I50" s="36">
        <f>LOOKUP(2,1/(('Evidence-First Cell Queue'!$B$6:$B$461=$A50)*('Evidence-First Cell Queue'!$E$6:$E$461=I$23)),'Evidence-First Cell Queue'!$X$6:$X$461)</f>
        <v/>
      </c>
      <c r="J50" s="36">
        <f>LOOKUP(2,1/(('Evidence-First Cell Queue'!$B$6:$B$461=$A50)*('Evidence-First Cell Queue'!$E$6:$E$461=J$23)),'Evidence-First Cell Queue'!$X$6:$X$461)</f>
        <v/>
      </c>
      <c r="K50" s="36">
        <f>LOOKUP(2,1/(('Evidence-First Cell Queue'!$B$6:$B$461=$A50)*('Evidence-First Cell Queue'!$E$6:$E$461=K$23)),'Evidence-First Cell Queue'!$X$6:$X$461)</f>
        <v/>
      </c>
    </row>
    <row r="51">
      <c r="A51" s="0" t="inlineStr">
        <is>
          <t>RNR-H28</t>
        </is>
      </c>
      <c r="B51" s="0">
        <f>INDEX('Evidence-First Cell Queue'!$C$6:$C$461,MATCH($A51,'Evidence-First Cell Queue'!$B$6:$B$461,0))</f>
        <v/>
      </c>
      <c r="C51" s="0">
        <f>INDEX('Evidence-First Cell Queue'!$D$6:$D$461,MATCH($A51,'Evidence-First Cell Queue'!$B$6:$B$461,0))</f>
        <v/>
      </c>
      <c r="D51" s="36">
        <f>LOOKUP(2,1/(('Evidence-First Cell Queue'!$B$6:$B$461=$A51)*('Evidence-First Cell Queue'!$E$6:$E$461=D$23)),'Evidence-First Cell Queue'!$X$6:$X$461)</f>
        <v/>
      </c>
      <c r="E51" s="36">
        <f>LOOKUP(2,1/(('Evidence-First Cell Queue'!$B$6:$B$461=$A51)*('Evidence-First Cell Queue'!$E$6:$E$461=E$23)),'Evidence-First Cell Queue'!$X$6:$X$461)</f>
        <v/>
      </c>
      <c r="F51" s="36">
        <f>LOOKUP(2,1/(('Evidence-First Cell Queue'!$B$6:$B$461=$A51)*('Evidence-First Cell Queue'!$E$6:$E$461=F$23)),'Evidence-First Cell Queue'!$X$6:$X$461)</f>
        <v/>
      </c>
      <c r="G51" s="36">
        <f>LOOKUP(2,1/(('Evidence-First Cell Queue'!$B$6:$B$461=$A51)*('Evidence-First Cell Queue'!$E$6:$E$461=G$23)),'Evidence-First Cell Queue'!$X$6:$X$461)</f>
        <v/>
      </c>
      <c r="H51" s="36">
        <f>LOOKUP(2,1/(('Evidence-First Cell Queue'!$B$6:$B$461=$A51)*('Evidence-First Cell Queue'!$E$6:$E$461=H$23)),'Evidence-First Cell Queue'!$X$6:$X$461)</f>
        <v/>
      </c>
      <c r="I51" s="36">
        <f>LOOKUP(2,1/(('Evidence-First Cell Queue'!$B$6:$B$461=$A51)*('Evidence-First Cell Queue'!$E$6:$E$461=I$23)),'Evidence-First Cell Queue'!$X$6:$X$461)</f>
        <v/>
      </c>
      <c r="J51" s="36">
        <f>LOOKUP(2,1/(('Evidence-First Cell Queue'!$B$6:$B$461=$A51)*('Evidence-First Cell Queue'!$E$6:$E$461=J$23)),'Evidence-First Cell Queue'!$X$6:$X$461)</f>
        <v/>
      </c>
      <c r="K51" s="36">
        <f>LOOKUP(2,1/(('Evidence-First Cell Queue'!$B$6:$B$461=$A51)*('Evidence-First Cell Queue'!$E$6:$E$461=K$23)),'Evidence-First Cell Queue'!$X$6:$X$461)</f>
        <v/>
      </c>
    </row>
    <row r="52">
      <c r="A52" s="0" t="inlineStr">
        <is>
          <t>RNR-H29</t>
        </is>
      </c>
      <c r="B52" s="0">
        <f>INDEX('Evidence-First Cell Queue'!$C$6:$C$461,MATCH($A52,'Evidence-First Cell Queue'!$B$6:$B$461,0))</f>
        <v/>
      </c>
      <c r="C52" s="0">
        <f>INDEX('Evidence-First Cell Queue'!$D$6:$D$461,MATCH($A52,'Evidence-First Cell Queue'!$B$6:$B$461,0))</f>
        <v/>
      </c>
      <c r="D52" s="36">
        <f>LOOKUP(2,1/(('Evidence-First Cell Queue'!$B$6:$B$461=$A52)*('Evidence-First Cell Queue'!$E$6:$E$461=D$23)),'Evidence-First Cell Queue'!$X$6:$X$461)</f>
        <v/>
      </c>
      <c r="E52" s="36">
        <f>LOOKUP(2,1/(('Evidence-First Cell Queue'!$B$6:$B$461=$A52)*('Evidence-First Cell Queue'!$E$6:$E$461=E$23)),'Evidence-First Cell Queue'!$X$6:$X$461)</f>
        <v/>
      </c>
      <c r="F52" s="36">
        <f>LOOKUP(2,1/(('Evidence-First Cell Queue'!$B$6:$B$461=$A52)*('Evidence-First Cell Queue'!$E$6:$E$461=F$23)),'Evidence-First Cell Queue'!$X$6:$X$461)</f>
        <v/>
      </c>
      <c r="G52" s="36">
        <f>LOOKUP(2,1/(('Evidence-First Cell Queue'!$B$6:$B$461=$A52)*('Evidence-First Cell Queue'!$E$6:$E$461=G$23)),'Evidence-First Cell Queue'!$X$6:$X$461)</f>
        <v/>
      </c>
      <c r="H52" s="36">
        <f>LOOKUP(2,1/(('Evidence-First Cell Queue'!$B$6:$B$461=$A52)*('Evidence-First Cell Queue'!$E$6:$E$461=H$23)),'Evidence-First Cell Queue'!$X$6:$X$461)</f>
        <v/>
      </c>
      <c r="I52" s="36">
        <f>LOOKUP(2,1/(('Evidence-First Cell Queue'!$B$6:$B$461=$A52)*('Evidence-First Cell Queue'!$E$6:$E$461=I$23)),'Evidence-First Cell Queue'!$X$6:$X$461)</f>
        <v/>
      </c>
      <c r="J52" s="36">
        <f>LOOKUP(2,1/(('Evidence-First Cell Queue'!$B$6:$B$461=$A52)*('Evidence-First Cell Queue'!$E$6:$E$461=J$23)),'Evidence-First Cell Queue'!$X$6:$X$461)</f>
        <v/>
      </c>
      <c r="K52" s="36">
        <f>LOOKUP(2,1/(('Evidence-First Cell Queue'!$B$6:$B$461=$A52)*('Evidence-First Cell Queue'!$E$6:$E$461=K$23)),'Evidence-First Cell Queue'!$X$6:$X$461)</f>
        <v/>
      </c>
    </row>
    <row r="53">
      <c r="A53" s="0" t="inlineStr">
        <is>
          <t>RNR-H30</t>
        </is>
      </c>
      <c r="B53" s="0">
        <f>INDEX('Evidence-First Cell Queue'!$C$6:$C$461,MATCH($A53,'Evidence-First Cell Queue'!$B$6:$B$461,0))</f>
        <v/>
      </c>
      <c r="C53" s="0">
        <f>INDEX('Evidence-First Cell Queue'!$D$6:$D$461,MATCH($A53,'Evidence-First Cell Queue'!$B$6:$B$461,0))</f>
        <v/>
      </c>
      <c r="D53" s="36">
        <f>LOOKUP(2,1/(('Evidence-First Cell Queue'!$B$6:$B$461=$A53)*('Evidence-First Cell Queue'!$E$6:$E$461=D$23)),'Evidence-First Cell Queue'!$X$6:$X$461)</f>
        <v/>
      </c>
      <c r="E53" s="36">
        <f>LOOKUP(2,1/(('Evidence-First Cell Queue'!$B$6:$B$461=$A53)*('Evidence-First Cell Queue'!$E$6:$E$461=E$23)),'Evidence-First Cell Queue'!$X$6:$X$461)</f>
        <v/>
      </c>
      <c r="F53" s="36">
        <f>LOOKUP(2,1/(('Evidence-First Cell Queue'!$B$6:$B$461=$A53)*('Evidence-First Cell Queue'!$E$6:$E$461=F$23)),'Evidence-First Cell Queue'!$X$6:$X$461)</f>
        <v/>
      </c>
      <c r="G53" s="36">
        <f>LOOKUP(2,1/(('Evidence-First Cell Queue'!$B$6:$B$461=$A53)*('Evidence-First Cell Queue'!$E$6:$E$461=G$23)),'Evidence-First Cell Queue'!$X$6:$X$461)</f>
        <v/>
      </c>
      <c r="H53" s="36">
        <f>LOOKUP(2,1/(('Evidence-First Cell Queue'!$B$6:$B$461=$A53)*('Evidence-First Cell Queue'!$E$6:$E$461=H$23)),'Evidence-First Cell Queue'!$X$6:$X$461)</f>
        <v/>
      </c>
      <c r="I53" s="36">
        <f>LOOKUP(2,1/(('Evidence-First Cell Queue'!$B$6:$B$461=$A53)*('Evidence-First Cell Queue'!$E$6:$E$461=I$23)),'Evidence-First Cell Queue'!$X$6:$X$461)</f>
        <v/>
      </c>
      <c r="J53" s="36">
        <f>LOOKUP(2,1/(('Evidence-First Cell Queue'!$B$6:$B$461=$A53)*('Evidence-First Cell Queue'!$E$6:$E$461=J$23)),'Evidence-First Cell Queue'!$X$6:$X$461)</f>
        <v/>
      </c>
      <c r="K53" s="36">
        <f>LOOKUP(2,1/(('Evidence-First Cell Queue'!$B$6:$B$461=$A53)*('Evidence-First Cell Queue'!$E$6:$E$461=K$23)),'Evidence-First Cell Queue'!$X$6:$X$461)</f>
        <v/>
      </c>
    </row>
    <row r="54">
      <c r="A54" s="0" t="inlineStr">
        <is>
          <t>RNR-H31</t>
        </is>
      </c>
      <c r="B54" s="0">
        <f>INDEX('Evidence-First Cell Queue'!$C$6:$C$461,MATCH($A54,'Evidence-First Cell Queue'!$B$6:$B$461,0))</f>
        <v/>
      </c>
      <c r="C54" s="0">
        <f>INDEX('Evidence-First Cell Queue'!$D$6:$D$461,MATCH($A54,'Evidence-First Cell Queue'!$B$6:$B$461,0))</f>
        <v/>
      </c>
      <c r="D54" s="36">
        <f>LOOKUP(2,1/(('Evidence-First Cell Queue'!$B$6:$B$461=$A54)*('Evidence-First Cell Queue'!$E$6:$E$461=D$23)),'Evidence-First Cell Queue'!$X$6:$X$461)</f>
        <v/>
      </c>
      <c r="E54" s="36">
        <f>LOOKUP(2,1/(('Evidence-First Cell Queue'!$B$6:$B$461=$A54)*('Evidence-First Cell Queue'!$E$6:$E$461=E$23)),'Evidence-First Cell Queue'!$X$6:$X$461)</f>
        <v/>
      </c>
      <c r="F54" s="36">
        <f>LOOKUP(2,1/(('Evidence-First Cell Queue'!$B$6:$B$461=$A54)*('Evidence-First Cell Queue'!$E$6:$E$461=F$23)),'Evidence-First Cell Queue'!$X$6:$X$461)</f>
        <v/>
      </c>
      <c r="G54" s="36">
        <f>LOOKUP(2,1/(('Evidence-First Cell Queue'!$B$6:$B$461=$A54)*('Evidence-First Cell Queue'!$E$6:$E$461=G$23)),'Evidence-First Cell Queue'!$X$6:$X$461)</f>
        <v/>
      </c>
      <c r="H54" s="36">
        <f>LOOKUP(2,1/(('Evidence-First Cell Queue'!$B$6:$B$461=$A54)*('Evidence-First Cell Queue'!$E$6:$E$461=H$23)),'Evidence-First Cell Queue'!$X$6:$X$461)</f>
        <v/>
      </c>
      <c r="I54" s="36">
        <f>LOOKUP(2,1/(('Evidence-First Cell Queue'!$B$6:$B$461=$A54)*('Evidence-First Cell Queue'!$E$6:$E$461=I$23)),'Evidence-First Cell Queue'!$X$6:$X$461)</f>
        <v/>
      </c>
      <c r="J54" s="36">
        <f>LOOKUP(2,1/(('Evidence-First Cell Queue'!$B$6:$B$461=$A54)*('Evidence-First Cell Queue'!$E$6:$E$461=J$23)),'Evidence-First Cell Queue'!$X$6:$X$461)</f>
        <v/>
      </c>
      <c r="K54" s="36">
        <f>LOOKUP(2,1/(('Evidence-First Cell Queue'!$B$6:$B$461=$A54)*('Evidence-First Cell Queue'!$E$6:$E$461=K$23)),'Evidence-First Cell Queue'!$X$6:$X$461)</f>
        <v/>
      </c>
    </row>
    <row r="55">
      <c r="A55" s="0" t="inlineStr">
        <is>
          <t>RNR-H32</t>
        </is>
      </c>
      <c r="B55" s="0">
        <f>INDEX('Evidence-First Cell Queue'!$C$6:$C$461,MATCH($A55,'Evidence-First Cell Queue'!$B$6:$B$461,0))</f>
        <v/>
      </c>
      <c r="C55" s="0">
        <f>INDEX('Evidence-First Cell Queue'!$D$6:$D$461,MATCH($A55,'Evidence-First Cell Queue'!$B$6:$B$461,0))</f>
        <v/>
      </c>
      <c r="D55" s="36">
        <f>LOOKUP(2,1/(('Evidence-First Cell Queue'!$B$6:$B$461=$A55)*('Evidence-First Cell Queue'!$E$6:$E$461=D$23)),'Evidence-First Cell Queue'!$X$6:$X$461)</f>
        <v/>
      </c>
      <c r="E55" s="36">
        <f>LOOKUP(2,1/(('Evidence-First Cell Queue'!$B$6:$B$461=$A55)*('Evidence-First Cell Queue'!$E$6:$E$461=E$23)),'Evidence-First Cell Queue'!$X$6:$X$461)</f>
        <v/>
      </c>
      <c r="F55" s="36">
        <f>LOOKUP(2,1/(('Evidence-First Cell Queue'!$B$6:$B$461=$A55)*('Evidence-First Cell Queue'!$E$6:$E$461=F$23)),'Evidence-First Cell Queue'!$X$6:$X$461)</f>
        <v/>
      </c>
      <c r="G55" s="36">
        <f>LOOKUP(2,1/(('Evidence-First Cell Queue'!$B$6:$B$461=$A55)*('Evidence-First Cell Queue'!$E$6:$E$461=G$23)),'Evidence-First Cell Queue'!$X$6:$X$461)</f>
        <v/>
      </c>
      <c r="H55" s="36">
        <f>LOOKUP(2,1/(('Evidence-First Cell Queue'!$B$6:$B$461=$A55)*('Evidence-First Cell Queue'!$E$6:$E$461=H$23)),'Evidence-First Cell Queue'!$X$6:$X$461)</f>
        <v/>
      </c>
      <c r="I55" s="36">
        <f>LOOKUP(2,1/(('Evidence-First Cell Queue'!$B$6:$B$461=$A55)*('Evidence-First Cell Queue'!$E$6:$E$461=I$23)),'Evidence-First Cell Queue'!$X$6:$X$461)</f>
        <v/>
      </c>
      <c r="J55" s="36">
        <f>LOOKUP(2,1/(('Evidence-First Cell Queue'!$B$6:$B$461=$A55)*('Evidence-First Cell Queue'!$E$6:$E$461=J$23)),'Evidence-First Cell Queue'!$X$6:$X$461)</f>
        <v/>
      </c>
      <c r="K55" s="36">
        <f>LOOKUP(2,1/(('Evidence-First Cell Queue'!$B$6:$B$461=$A55)*('Evidence-First Cell Queue'!$E$6:$E$461=K$23)),'Evidence-First Cell Queue'!$X$6:$X$461)</f>
        <v/>
      </c>
    </row>
    <row r="56">
      <c r="A56" s="0" t="inlineStr">
        <is>
          <t>RNR-H33</t>
        </is>
      </c>
      <c r="B56" s="0">
        <f>INDEX('Evidence-First Cell Queue'!$C$6:$C$461,MATCH($A56,'Evidence-First Cell Queue'!$B$6:$B$461,0))</f>
        <v/>
      </c>
      <c r="C56" s="0">
        <f>INDEX('Evidence-First Cell Queue'!$D$6:$D$461,MATCH($A56,'Evidence-First Cell Queue'!$B$6:$B$461,0))</f>
        <v/>
      </c>
      <c r="D56" s="36">
        <f>LOOKUP(2,1/(('Evidence-First Cell Queue'!$B$6:$B$461=$A56)*('Evidence-First Cell Queue'!$E$6:$E$461=D$23)),'Evidence-First Cell Queue'!$X$6:$X$461)</f>
        <v/>
      </c>
      <c r="E56" s="36">
        <f>LOOKUP(2,1/(('Evidence-First Cell Queue'!$B$6:$B$461=$A56)*('Evidence-First Cell Queue'!$E$6:$E$461=E$23)),'Evidence-First Cell Queue'!$X$6:$X$461)</f>
        <v/>
      </c>
      <c r="F56" s="36">
        <f>LOOKUP(2,1/(('Evidence-First Cell Queue'!$B$6:$B$461=$A56)*('Evidence-First Cell Queue'!$E$6:$E$461=F$23)),'Evidence-First Cell Queue'!$X$6:$X$461)</f>
        <v/>
      </c>
      <c r="G56" s="36">
        <f>LOOKUP(2,1/(('Evidence-First Cell Queue'!$B$6:$B$461=$A56)*('Evidence-First Cell Queue'!$E$6:$E$461=G$23)),'Evidence-First Cell Queue'!$X$6:$X$461)</f>
        <v/>
      </c>
      <c r="H56" s="36">
        <f>LOOKUP(2,1/(('Evidence-First Cell Queue'!$B$6:$B$461=$A56)*('Evidence-First Cell Queue'!$E$6:$E$461=H$23)),'Evidence-First Cell Queue'!$X$6:$X$461)</f>
        <v/>
      </c>
      <c r="I56" s="36">
        <f>LOOKUP(2,1/(('Evidence-First Cell Queue'!$B$6:$B$461=$A56)*('Evidence-First Cell Queue'!$E$6:$E$461=I$23)),'Evidence-First Cell Queue'!$X$6:$X$461)</f>
        <v/>
      </c>
      <c r="J56" s="36">
        <f>LOOKUP(2,1/(('Evidence-First Cell Queue'!$B$6:$B$461=$A56)*('Evidence-First Cell Queue'!$E$6:$E$461=J$23)),'Evidence-First Cell Queue'!$X$6:$X$461)</f>
        <v/>
      </c>
      <c r="K56" s="36">
        <f>LOOKUP(2,1/(('Evidence-First Cell Queue'!$B$6:$B$461=$A56)*('Evidence-First Cell Queue'!$E$6:$E$461=K$23)),'Evidence-First Cell Queue'!$X$6:$X$461)</f>
        <v/>
      </c>
    </row>
    <row r="57">
      <c r="A57" s="0" t="inlineStr">
        <is>
          <t>RNR-H34</t>
        </is>
      </c>
      <c r="B57" s="0">
        <f>INDEX('Evidence-First Cell Queue'!$C$6:$C$461,MATCH($A57,'Evidence-First Cell Queue'!$B$6:$B$461,0))</f>
        <v/>
      </c>
      <c r="C57" s="0">
        <f>INDEX('Evidence-First Cell Queue'!$D$6:$D$461,MATCH($A57,'Evidence-First Cell Queue'!$B$6:$B$461,0))</f>
        <v/>
      </c>
      <c r="D57" s="36">
        <f>LOOKUP(2,1/(('Evidence-First Cell Queue'!$B$6:$B$461=$A57)*('Evidence-First Cell Queue'!$E$6:$E$461=D$23)),'Evidence-First Cell Queue'!$X$6:$X$461)</f>
        <v/>
      </c>
      <c r="E57" s="36">
        <f>LOOKUP(2,1/(('Evidence-First Cell Queue'!$B$6:$B$461=$A57)*('Evidence-First Cell Queue'!$E$6:$E$461=E$23)),'Evidence-First Cell Queue'!$X$6:$X$461)</f>
        <v/>
      </c>
      <c r="F57" s="36">
        <f>LOOKUP(2,1/(('Evidence-First Cell Queue'!$B$6:$B$461=$A57)*('Evidence-First Cell Queue'!$E$6:$E$461=F$23)),'Evidence-First Cell Queue'!$X$6:$X$461)</f>
        <v/>
      </c>
      <c r="G57" s="36">
        <f>LOOKUP(2,1/(('Evidence-First Cell Queue'!$B$6:$B$461=$A57)*('Evidence-First Cell Queue'!$E$6:$E$461=G$23)),'Evidence-First Cell Queue'!$X$6:$X$461)</f>
        <v/>
      </c>
      <c r="H57" s="36">
        <f>LOOKUP(2,1/(('Evidence-First Cell Queue'!$B$6:$B$461=$A57)*('Evidence-First Cell Queue'!$E$6:$E$461=H$23)),'Evidence-First Cell Queue'!$X$6:$X$461)</f>
        <v/>
      </c>
      <c r="I57" s="36">
        <f>LOOKUP(2,1/(('Evidence-First Cell Queue'!$B$6:$B$461=$A57)*('Evidence-First Cell Queue'!$E$6:$E$461=I$23)),'Evidence-First Cell Queue'!$X$6:$X$461)</f>
        <v/>
      </c>
      <c r="J57" s="36">
        <f>LOOKUP(2,1/(('Evidence-First Cell Queue'!$B$6:$B$461=$A57)*('Evidence-First Cell Queue'!$E$6:$E$461=J$23)),'Evidence-First Cell Queue'!$X$6:$X$461)</f>
        <v/>
      </c>
      <c r="K57" s="36">
        <f>LOOKUP(2,1/(('Evidence-First Cell Queue'!$B$6:$B$461=$A57)*('Evidence-First Cell Queue'!$E$6:$E$461=K$23)),'Evidence-First Cell Queue'!$X$6:$X$461)</f>
        <v/>
      </c>
    </row>
    <row r="58">
      <c r="A58" s="0" t="inlineStr">
        <is>
          <t>RNR-H35</t>
        </is>
      </c>
      <c r="B58" s="0">
        <f>INDEX('Evidence-First Cell Queue'!$C$6:$C$461,MATCH($A58,'Evidence-First Cell Queue'!$B$6:$B$461,0))</f>
        <v/>
      </c>
      <c r="C58" s="0">
        <f>INDEX('Evidence-First Cell Queue'!$D$6:$D$461,MATCH($A58,'Evidence-First Cell Queue'!$B$6:$B$461,0))</f>
        <v/>
      </c>
      <c r="D58" s="36">
        <f>LOOKUP(2,1/(('Evidence-First Cell Queue'!$B$6:$B$461=$A58)*('Evidence-First Cell Queue'!$E$6:$E$461=D$23)),'Evidence-First Cell Queue'!$X$6:$X$461)</f>
        <v/>
      </c>
      <c r="E58" s="36">
        <f>LOOKUP(2,1/(('Evidence-First Cell Queue'!$B$6:$B$461=$A58)*('Evidence-First Cell Queue'!$E$6:$E$461=E$23)),'Evidence-First Cell Queue'!$X$6:$X$461)</f>
        <v/>
      </c>
      <c r="F58" s="36">
        <f>LOOKUP(2,1/(('Evidence-First Cell Queue'!$B$6:$B$461=$A58)*('Evidence-First Cell Queue'!$E$6:$E$461=F$23)),'Evidence-First Cell Queue'!$X$6:$X$461)</f>
        <v/>
      </c>
      <c r="G58" s="36">
        <f>LOOKUP(2,1/(('Evidence-First Cell Queue'!$B$6:$B$461=$A58)*('Evidence-First Cell Queue'!$E$6:$E$461=G$23)),'Evidence-First Cell Queue'!$X$6:$X$461)</f>
        <v/>
      </c>
      <c r="H58" s="36">
        <f>LOOKUP(2,1/(('Evidence-First Cell Queue'!$B$6:$B$461=$A58)*('Evidence-First Cell Queue'!$E$6:$E$461=H$23)),'Evidence-First Cell Queue'!$X$6:$X$461)</f>
        <v/>
      </c>
      <c r="I58" s="36">
        <f>LOOKUP(2,1/(('Evidence-First Cell Queue'!$B$6:$B$461=$A58)*('Evidence-First Cell Queue'!$E$6:$E$461=I$23)),'Evidence-First Cell Queue'!$X$6:$X$461)</f>
        <v/>
      </c>
      <c r="J58" s="36">
        <f>LOOKUP(2,1/(('Evidence-First Cell Queue'!$B$6:$B$461=$A58)*('Evidence-First Cell Queue'!$E$6:$E$461=J$23)),'Evidence-First Cell Queue'!$X$6:$X$461)</f>
        <v/>
      </c>
      <c r="K58" s="36">
        <f>LOOKUP(2,1/(('Evidence-First Cell Queue'!$B$6:$B$461=$A58)*('Evidence-First Cell Queue'!$E$6:$E$461=K$23)),'Evidence-First Cell Queue'!$X$6:$X$461)</f>
        <v/>
      </c>
    </row>
    <row r="59">
      <c r="A59" s="0" t="inlineStr">
        <is>
          <t>RNR-H36</t>
        </is>
      </c>
      <c r="B59" s="0">
        <f>INDEX('Evidence-First Cell Queue'!$C$6:$C$461,MATCH($A59,'Evidence-First Cell Queue'!$B$6:$B$461,0))</f>
        <v/>
      </c>
      <c r="C59" s="0">
        <f>INDEX('Evidence-First Cell Queue'!$D$6:$D$461,MATCH($A59,'Evidence-First Cell Queue'!$B$6:$B$461,0))</f>
        <v/>
      </c>
      <c r="D59" s="36">
        <f>LOOKUP(2,1/(('Evidence-First Cell Queue'!$B$6:$B$461=$A59)*('Evidence-First Cell Queue'!$E$6:$E$461=D$23)),'Evidence-First Cell Queue'!$X$6:$X$461)</f>
        <v/>
      </c>
      <c r="E59" s="36">
        <f>LOOKUP(2,1/(('Evidence-First Cell Queue'!$B$6:$B$461=$A59)*('Evidence-First Cell Queue'!$E$6:$E$461=E$23)),'Evidence-First Cell Queue'!$X$6:$X$461)</f>
        <v/>
      </c>
      <c r="F59" s="36">
        <f>LOOKUP(2,1/(('Evidence-First Cell Queue'!$B$6:$B$461=$A59)*('Evidence-First Cell Queue'!$E$6:$E$461=F$23)),'Evidence-First Cell Queue'!$X$6:$X$461)</f>
        <v/>
      </c>
      <c r="G59" s="36">
        <f>LOOKUP(2,1/(('Evidence-First Cell Queue'!$B$6:$B$461=$A59)*('Evidence-First Cell Queue'!$E$6:$E$461=G$23)),'Evidence-First Cell Queue'!$X$6:$X$461)</f>
        <v/>
      </c>
      <c r="H59" s="36">
        <f>LOOKUP(2,1/(('Evidence-First Cell Queue'!$B$6:$B$461=$A59)*('Evidence-First Cell Queue'!$E$6:$E$461=H$23)),'Evidence-First Cell Queue'!$X$6:$X$461)</f>
        <v/>
      </c>
      <c r="I59" s="36">
        <f>LOOKUP(2,1/(('Evidence-First Cell Queue'!$B$6:$B$461=$A59)*('Evidence-First Cell Queue'!$E$6:$E$461=I$23)),'Evidence-First Cell Queue'!$X$6:$X$461)</f>
        <v/>
      </c>
      <c r="J59" s="36">
        <f>LOOKUP(2,1/(('Evidence-First Cell Queue'!$B$6:$B$461=$A59)*('Evidence-First Cell Queue'!$E$6:$E$461=J$23)),'Evidence-First Cell Queue'!$X$6:$X$461)</f>
        <v/>
      </c>
      <c r="K59" s="36">
        <f>LOOKUP(2,1/(('Evidence-First Cell Queue'!$B$6:$B$461=$A59)*('Evidence-First Cell Queue'!$E$6:$E$461=K$23)),'Evidence-First Cell Queue'!$X$6:$X$461)</f>
        <v/>
      </c>
    </row>
    <row r="60">
      <c r="A60" s="0" t="inlineStr">
        <is>
          <t>RNR-H37</t>
        </is>
      </c>
      <c r="B60" s="0">
        <f>INDEX('Evidence-First Cell Queue'!$C$6:$C$461,MATCH($A60,'Evidence-First Cell Queue'!$B$6:$B$461,0))</f>
        <v/>
      </c>
      <c r="C60" s="0">
        <f>INDEX('Evidence-First Cell Queue'!$D$6:$D$461,MATCH($A60,'Evidence-First Cell Queue'!$B$6:$B$461,0))</f>
        <v/>
      </c>
      <c r="D60" s="36">
        <f>LOOKUP(2,1/(('Evidence-First Cell Queue'!$B$6:$B$461=$A60)*('Evidence-First Cell Queue'!$E$6:$E$461=D$23)),'Evidence-First Cell Queue'!$X$6:$X$461)</f>
        <v/>
      </c>
      <c r="E60" s="36">
        <f>LOOKUP(2,1/(('Evidence-First Cell Queue'!$B$6:$B$461=$A60)*('Evidence-First Cell Queue'!$E$6:$E$461=E$23)),'Evidence-First Cell Queue'!$X$6:$X$461)</f>
        <v/>
      </c>
      <c r="F60" s="36">
        <f>LOOKUP(2,1/(('Evidence-First Cell Queue'!$B$6:$B$461=$A60)*('Evidence-First Cell Queue'!$E$6:$E$461=F$23)),'Evidence-First Cell Queue'!$X$6:$X$461)</f>
        <v/>
      </c>
      <c r="G60" s="36">
        <f>LOOKUP(2,1/(('Evidence-First Cell Queue'!$B$6:$B$461=$A60)*('Evidence-First Cell Queue'!$E$6:$E$461=G$23)),'Evidence-First Cell Queue'!$X$6:$X$461)</f>
        <v/>
      </c>
      <c r="H60" s="36">
        <f>LOOKUP(2,1/(('Evidence-First Cell Queue'!$B$6:$B$461=$A60)*('Evidence-First Cell Queue'!$E$6:$E$461=H$23)),'Evidence-First Cell Queue'!$X$6:$X$461)</f>
        <v/>
      </c>
      <c r="I60" s="36">
        <f>LOOKUP(2,1/(('Evidence-First Cell Queue'!$B$6:$B$461=$A60)*('Evidence-First Cell Queue'!$E$6:$E$461=I$23)),'Evidence-First Cell Queue'!$X$6:$X$461)</f>
        <v/>
      </c>
      <c r="J60" s="36">
        <f>LOOKUP(2,1/(('Evidence-First Cell Queue'!$B$6:$B$461=$A60)*('Evidence-First Cell Queue'!$E$6:$E$461=J$23)),'Evidence-First Cell Queue'!$X$6:$X$461)</f>
        <v/>
      </c>
      <c r="K60" s="36">
        <f>LOOKUP(2,1/(('Evidence-First Cell Queue'!$B$6:$B$461=$A60)*('Evidence-First Cell Queue'!$E$6:$E$461=K$23)),'Evidence-First Cell Queue'!$X$6:$X$461)</f>
        <v/>
      </c>
    </row>
    <row r="61">
      <c r="A61" s="0" t="inlineStr">
        <is>
          <t>RNR-H38</t>
        </is>
      </c>
      <c r="B61" s="0">
        <f>INDEX('Evidence-First Cell Queue'!$C$6:$C$461,MATCH($A61,'Evidence-First Cell Queue'!$B$6:$B$461,0))</f>
        <v/>
      </c>
      <c r="C61" s="0">
        <f>INDEX('Evidence-First Cell Queue'!$D$6:$D$461,MATCH($A61,'Evidence-First Cell Queue'!$B$6:$B$461,0))</f>
        <v/>
      </c>
      <c r="D61" s="36">
        <f>LOOKUP(2,1/(('Evidence-First Cell Queue'!$B$6:$B$461=$A61)*('Evidence-First Cell Queue'!$E$6:$E$461=D$23)),'Evidence-First Cell Queue'!$X$6:$X$461)</f>
        <v/>
      </c>
      <c r="E61" s="36">
        <f>LOOKUP(2,1/(('Evidence-First Cell Queue'!$B$6:$B$461=$A61)*('Evidence-First Cell Queue'!$E$6:$E$461=E$23)),'Evidence-First Cell Queue'!$X$6:$X$461)</f>
        <v/>
      </c>
      <c r="F61" s="36">
        <f>LOOKUP(2,1/(('Evidence-First Cell Queue'!$B$6:$B$461=$A61)*('Evidence-First Cell Queue'!$E$6:$E$461=F$23)),'Evidence-First Cell Queue'!$X$6:$X$461)</f>
        <v/>
      </c>
      <c r="G61" s="36">
        <f>LOOKUP(2,1/(('Evidence-First Cell Queue'!$B$6:$B$461=$A61)*('Evidence-First Cell Queue'!$E$6:$E$461=G$23)),'Evidence-First Cell Queue'!$X$6:$X$461)</f>
        <v/>
      </c>
      <c r="H61" s="36">
        <f>LOOKUP(2,1/(('Evidence-First Cell Queue'!$B$6:$B$461=$A61)*('Evidence-First Cell Queue'!$E$6:$E$461=H$23)),'Evidence-First Cell Queue'!$X$6:$X$461)</f>
        <v/>
      </c>
      <c r="I61" s="36">
        <f>LOOKUP(2,1/(('Evidence-First Cell Queue'!$B$6:$B$461=$A61)*('Evidence-First Cell Queue'!$E$6:$E$461=I$23)),'Evidence-First Cell Queue'!$X$6:$X$461)</f>
        <v/>
      </c>
      <c r="J61" s="36">
        <f>LOOKUP(2,1/(('Evidence-First Cell Queue'!$B$6:$B$461=$A61)*('Evidence-First Cell Queue'!$E$6:$E$461=J$23)),'Evidence-First Cell Queue'!$X$6:$X$461)</f>
        <v/>
      </c>
      <c r="K61" s="36">
        <f>LOOKUP(2,1/(('Evidence-First Cell Queue'!$B$6:$B$461=$A61)*('Evidence-First Cell Queue'!$E$6:$E$461=K$23)),'Evidence-First Cell Queue'!$X$6:$X$461)</f>
        <v/>
      </c>
    </row>
    <row r="62">
      <c r="A62" s="0" t="inlineStr">
        <is>
          <t>RNR-H39</t>
        </is>
      </c>
      <c r="B62" s="0">
        <f>INDEX('Evidence-First Cell Queue'!$C$6:$C$461,MATCH($A62,'Evidence-First Cell Queue'!$B$6:$B$461,0))</f>
        <v/>
      </c>
      <c r="C62" s="0">
        <f>INDEX('Evidence-First Cell Queue'!$D$6:$D$461,MATCH($A62,'Evidence-First Cell Queue'!$B$6:$B$461,0))</f>
        <v/>
      </c>
      <c r="D62" s="36">
        <f>LOOKUP(2,1/(('Evidence-First Cell Queue'!$B$6:$B$461=$A62)*('Evidence-First Cell Queue'!$E$6:$E$461=D$23)),'Evidence-First Cell Queue'!$X$6:$X$461)</f>
        <v/>
      </c>
      <c r="E62" s="36">
        <f>LOOKUP(2,1/(('Evidence-First Cell Queue'!$B$6:$B$461=$A62)*('Evidence-First Cell Queue'!$E$6:$E$461=E$23)),'Evidence-First Cell Queue'!$X$6:$X$461)</f>
        <v/>
      </c>
      <c r="F62" s="36">
        <f>LOOKUP(2,1/(('Evidence-First Cell Queue'!$B$6:$B$461=$A62)*('Evidence-First Cell Queue'!$E$6:$E$461=F$23)),'Evidence-First Cell Queue'!$X$6:$X$461)</f>
        <v/>
      </c>
      <c r="G62" s="36">
        <f>LOOKUP(2,1/(('Evidence-First Cell Queue'!$B$6:$B$461=$A62)*('Evidence-First Cell Queue'!$E$6:$E$461=G$23)),'Evidence-First Cell Queue'!$X$6:$X$461)</f>
        <v/>
      </c>
      <c r="H62" s="36">
        <f>LOOKUP(2,1/(('Evidence-First Cell Queue'!$B$6:$B$461=$A62)*('Evidence-First Cell Queue'!$E$6:$E$461=H$23)),'Evidence-First Cell Queue'!$X$6:$X$461)</f>
        <v/>
      </c>
      <c r="I62" s="36">
        <f>LOOKUP(2,1/(('Evidence-First Cell Queue'!$B$6:$B$461=$A62)*('Evidence-First Cell Queue'!$E$6:$E$461=I$23)),'Evidence-First Cell Queue'!$X$6:$X$461)</f>
        <v/>
      </c>
      <c r="J62" s="36">
        <f>LOOKUP(2,1/(('Evidence-First Cell Queue'!$B$6:$B$461=$A62)*('Evidence-First Cell Queue'!$E$6:$E$461=J$23)),'Evidence-First Cell Queue'!$X$6:$X$461)</f>
        <v/>
      </c>
      <c r="K62" s="36">
        <f>LOOKUP(2,1/(('Evidence-First Cell Queue'!$B$6:$B$461=$A62)*('Evidence-First Cell Queue'!$E$6:$E$461=K$23)),'Evidence-First Cell Queue'!$X$6:$X$461)</f>
        <v/>
      </c>
    </row>
    <row r="63">
      <c r="A63" s="0" t="inlineStr">
        <is>
          <t>RNR-H40</t>
        </is>
      </c>
      <c r="B63" s="0">
        <f>INDEX('Evidence-First Cell Queue'!$C$6:$C$461,MATCH($A63,'Evidence-First Cell Queue'!$B$6:$B$461,0))</f>
        <v/>
      </c>
      <c r="C63" s="0">
        <f>INDEX('Evidence-First Cell Queue'!$D$6:$D$461,MATCH($A63,'Evidence-First Cell Queue'!$B$6:$B$461,0))</f>
        <v/>
      </c>
      <c r="D63" s="36">
        <f>LOOKUP(2,1/(('Evidence-First Cell Queue'!$B$6:$B$461=$A63)*('Evidence-First Cell Queue'!$E$6:$E$461=D$23)),'Evidence-First Cell Queue'!$X$6:$X$461)</f>
        <v/>
      </c>
      <c r="E63" s="36">
        <f>LOOKUP(2,1/(('Evidence-First Cell Queue'!$B$6:$B$461=$A63)*('Evidence-First Cell Queue'!$E$6:$E$461=E$23)),'Evidence-First Cell Queue'!$X$6:$X$461)</f>
        <v/>
      </c>
      <c r="F63" s="36">
        <f>LOOKUP(2,1/(('Evidence-First Cell Queue'!$B$6:$B$461=$A63)*('Evidence-First Cell Queue'!$E$6:$E$461=F$23)),'Evidence-First Cell Queue'!$X$6:$X$461)</f>
        <v/>
      </c>
      <c r="G63" s="36">
        <f>LOOKUP(2,1/(('Evidence-First Cell Queue'!$B$6:$B$461=$A63)*('Evidence-First Cell Queue'!$E$6:$E$461=G$23)),'Evidence-First Cell Queue'!$X$6:$X$461)</f>
        <v/>
      </c>
      <c r="H63" s="36">
        <f>LOOKUP(2,1/(('Evidence-First Cell Queue'!$B$6:$B$461=$A63)*('Evidence-First Cell Queue'!$E$6:$E$461=H$23)),'Evidence-First Cell Queue'!$X$6:$X$461)</f>
        <v/>
      </c>
      <c r="I63" s="36">
        <f>LOOKUP(2,1/(('Evidence-First Cell Queue'!$B$6:$B$461=$A63)*('Evidence-First Cell Queue'!$E$6:$E$461=I$23)),'Evidence-First Cell Queue'!$X$6:$X$461)</f>
        <v/>
      </c>
      <c r="J63" s="36">
        <f>LOOKUP(2,1/(('Evidence-First Cell Queue'!$B$6:$B$461=$A63)*('Evidence-First Cell Queue'!$E$6:$E$461=J$23)),'Evidence-First Cell Queue'!$X$6:$X$461)</f>
        <v/>
      </c>
      <c r="K63" s="36">
        <f>LOOKUP(2,1/(('Evidence-First Cell Queue'!$B$6:$B$461=$A63)*('Evidence-First Cell Queue'!$E$6:$E$461=K$23)),'Evidence-First Cell Queue'!$X$6:$X$461)</f>
        <v/>
      </c>
    </row>
    <row r="64">
      <c r="A64" s="0" t="inlineStr">
        <is>
          <t>RNR-H41</t>
        </is>
      </c>
      <c r="B64" s="0">
        <f>INDEX('Evidence-First Cell Queue'!$C$6:$C$461,MATCH($A64,'Evidence-First Cell Queue'!$B$6:$B$461,0))</f>
        <v/>
      </c>
      <c r="C64" s="0">
        <f>INDEX('Evidence-First Cell Queue'!$D$6:$D$461,MATCH($A64,'Evidence-First Cell Queue'!$B$6:$B$461,0))</f>
        <v/>
      </c>
      <c r="D64" s="36">
        <f>LOOKUP(2,1/(('Evidence-First Cell Queue'!$B$6:$B$461=$A64)*('Evidence-First Cell Queue'!$E$6:$E$461=D$23)),'Evidence-First Cell Queue'!$X$6:$X$461)</f>
        <v/>
      </c>
      <c r="E64" s="36">
        <f>LOOKUP(2,1/(('Evidence-First Cell Queue'!$B$6:$B$461=$A64)*('Evidence-First Cell Queue'!$E$6:$E$461=E$23)),'Evidence-First Cell Queue'!$X$6:$X$461)</f>
        <v/>
      </c>
      <c r="F64" s="36">
        <f>LOOKUP(2,1/(('Evidence-First Cell Queue'!$B$6:$B$461=$A64)*('Evidence-First Cell Queue'!$E$6:$E$461=F$23)),'Evidence-First Cell Queue'!$X$6:$X$461)</f>
        <v/>
      </c>
      <c r="G64" s="36">
        <f>LOOKUP(2,1/(('Evidence-First Cell Queue'!$B$6:$B$461=$A64)*('Evidence-First Cell Queue'!$E$6:$E$461=G$23)),'Evidence-First Cell Queue'!$X$6:$X$461)</f>
        <v/>
      </c>
      <c r="H64" s="36">
        <f>LOOKUP(2,1/(('Evidence-First Cell Queue'!$B$6:$B$461=$A64)*('Evidence-First Cell Queue'!$E$6:$E$461=H$23)),'Evidence-First Cell Queue'!$X$6:$X$461)</f>
        <v/>
      </c>
      <c r="I64" s="36">
        <f>LOOKUP(2,1/(('Evidence-First Cell Queue'!$B$6:$B$461=$A64)*('Evidence-First Cell Queue'!$E$6:$E$461=I$23)),'Evidence-First Cell Queue'!$X$6:$X$461)</f>
        <v/>
      </c>
      <c r="J64" s="36">
        <f>LOOKUP(2,1/(('Evidence-First Cell Queue'!$B$6:$B$461=$A64)*('Evidence-First Cell Queue'!$E$6:$E$461=J$23)),'Evidence-First Cell Queue'!$X$6:$X$461)</f>
        <v/>
      </c>
      <c r="K64" s="36">
        <f>LOOKUP(2,1/(('Evidence-First Cell Queue'!$B$6:$B$461=$A64)*('Evidence-First Cell Queue'!$E$6:$E$461=K$23)),'Evidence-First Cell Queue'!$X$6:$X$461)</f>
        <v/>
      </c>
    </row>
    <row r="65">
      <c r="A65" s="0" t="inlineStr">
        <is>
          <t>RNR-H42</t>
        </is>
      </c>
      <c r="B65" s="0">
        <f>INDEX('Evidence-First Cell Queue'!$C$6:$C$461,MATCH($A65,'Evidence-First Cell Queue'!$B$6:$B$461,0))</f>
        <v/>
      </c>
      <c r="C65" s="0">
        <f>INDEX('Evidence-First Cell Queue'!$D$6:$D$461,MATCH($A65,'Evidence-First Cell Queue'!$B$6:$B$461,0))</f>
        <v/>
      </c>
      <c r="D65" s="36">
        <f>LOOKUP(2,1/(('Evidence-First Cell Queue'!$B$6:$B$461=$A65)*('Evidence-First Cell Queue'!$E$6:$E$461=D$23)),'Evidence-First Cell Queue'!$X$6:$X$461)</f>
        <v/>
      </c>
      <c r="E65" s="36">
        <f>LOOKUP(2,1/(('Evidence-First Cell Queue'!$B$6:$B$461=$A65)*('Evidence-First Cell Queue'!$E$6:$E$461=E$23)),'Evidence-First Cell Queue'!$X$6:$X$461)</f>
        <v/>
      </c>
      <c r="F65" s="36">
        <f>LOOKUP(2,1/(('Evidence-First Cell Queue'!$B$6:$B$461=$A65)*('Evidence-First Cell Queue'!$E$6:$E$461=F$23)),'Evidence-First Cell Queue'!$X$6:$X$461)</f>
        <v/>
      </c>
      <c r="G65" s="36">
        <f>LOOKUP(2,1/(('Evidence-First Cell Queue'!$B$6:$B$461=$A65)*('Evidence-First Cell Queue'!$E$6:$E$461=G$23)),'Evidence-First Cell Queue'!$X$6:$X$461)</f>
        <v/>
      </c>
      <c r="H65" s="36">
        <f>LOOKUP(2,1/(('Evidence-First Cell Queue'!$B$6:$B$461=$A65)*('Evidence-First Cell Queue'!$E$6:$E$461=H$23)),'Evidence-First Cell Queue'!$X$6:$X$461)</f>
        <v/>
      </c>
      <c r="I65" s="36">
        <f>LOOKUP(2,1/(('Evidence-First Cell Queue'!$B$6:$B$461=$A65)*('Evidence-First Cell Queue'!$E$6:$E$461=I$23)),'Evidence-First Cell Queue'!$X$6:$X$461)</f>
        <v/>
      </c>
      <c r="J65" s="36">
        <f>LOOKUP(2,1/(('Evidence-First Cell Queue'!$B$6:$B$461=$A65)*('Evidence-First Cell Queue'!$E$6:$E$461=J$23)),'Evidence-First Cell Queue'!$X$6:$X$461)</f>
        <v/>
      </c>
      <c r="K65" s="36">
        <f>LOOKUP(2,1/(('Evidence-First Cell Queue'!$B$6:$B$461=$A65)*('Evidence-First Cell Queue'!$E$6:$E$461=K$23)),'Evidence-First Cell Queue'!$X$6:$X$461)</f>
        <v/>
      </c>
    </row>
    <row r="66">
      <c r="A66" s="0" t="inlineStr">
        <is>
          <t>RNR-H43</t>
        </is>
      </c>
      <c r="B66" s="0">
        <f>INDEX('Evidence-First Cell Queue'!$C$6:$C$461,MATCH($A66,'Evidence-First Cell Queue'!$B$6:$B$461,0))</f>
        <v/>
      </c>
      <c r="C66" s="0">
        <f>INDEX('Evidence-First Cell Queue'!$D$6:$D$461,MATCH($A66,'Evidence-First Cell Queue'!$B$6:$B$461,0))</f>
        <v/>
      </c>
      <c r="D66" s="36">
        <f>LOOKUP(2,1/(('Evidence-First Cell Queue'!$B$6:$B$461=$A66)*('Evidence-First Cell Queue'!$E$6:$E$461=D$23)),'Evidence-First Cell Queue'!$X$6:$X$461)</f>
        <v/>
      </c>
      <c r="E66" s="36">
        <f>LOOKUP(2,1/(('Evidence-First Cell Queue'!$B$6:$B$461=$A66)*('Evidence-First Cell Queue'!$E$6:$E$461=E$23)),'Evidence-First Cell Queue'!$X$6:$X$461)</f>
        <v/>
      </c>
      <c r="F66" s="36">
        <f>LOOKUP(2,1/(('Evidence-First Cell Queue'!$B$6:$B$461=$A66)*('Evidence-First Cell Queue'!$E$6:$E$461=F$23)),'Evidence-First Cell Queue'!$X$6:$X$461)</f>
        <v/>
      </c>
      <c r="G66" s="36">
        <f>LOOKUP(2,1/(('Evidence-First Cell Queue'!$B$6:$B$461=$A66)*('Evidence-First Cell Queue'!$E$6:$E$461=G$23)),'Evidence-First Cell Queue'!$X$6:$X$461)</f>
        <v/>
      </c>
      <c r="H66" s="36">
        <f>LOOKUP(2,1/(('Evidence-First Cell Queue'!$B$6:$B$461=$A66)*('Evidence-First Cell Queue'!$E$6:$E$461=H$23)),'Evidence-First Cell Queue'!$X$6:$X$461)</f>
        <v/>
      </c>
      <c r="I66" s="36">
        <f>LOOKUP(2,1/(('Evidence-First Cell Queue'!$B$6:$B$461=$A66)*('Evidence-First Cell Queue'!$E$6:$E$461=I$23)),'Evidence-First Cell Queue'!$X$6:$X$461)</f>
        <v/>
      </c>
      <c r="J66" s="36">
        <f>LOOKUP(2,1/(('Evidence-First Cell Queue'!$B$6:$B$461=$A66)*('Evidence-First Cell Queue'!$E$6:$E$461=J$23)),'Evidence-First Cell Queue'!$X$6:$X$461)</f>
        <v/>
      </c>
      <c r="K66" s="36">
        <f>LOOKUP(2,1/(('Evidence-First Cell Queue'!$B$6:$B$461=$A66)*('Evidence-First Cell Queue'!$E$6:$E$461=K$23)),'Evidence-First Cell Queue'!$X$6:$X$461)</f>
        <v/>
      </c>
    </row>
    <row r="67">
      <c r="A67" s="0" t="inlineStr">
        <is>
          <t>RNR-H44</t>
        </is>
      </c>
      <c r="B67" s="0">
        <f>INDEX('Evidence-First Cell Queue'!$C$6:$C$461,MATCH($A67,'Evidence-First Cell Queue'!$B$6:$B$461,0))</f>
        <v/>
      </c>
      <c r="C67" s="0">
        <f>INDEX('Evidence-First Cell Queue'!$D$6:$D$461,MATCH($A67,'Evidence-First Cell Queue'!$B$6:$B$461,0))</f>
        <v/>
      </c>
      <c r="D67" s="36">
        <f>LOOKUP(2,1/(('Evidence-First Cell Queue'!$B$6:$B$461=$A67)*('Evidence-First Cell Queue'!$E$6:$E$461=D$23)),'Evidence-First Cell Queue'!$X$6:$X$461)</f>
        <v/>
      </c>
      <c r="E67" s="36">
        <f>LOOKUP(2,1/(('Evidence-First Cell Queue'!$B$6:$B$461=$A67)*('Evidence-First Cell Queue'!$E$6:$E$461=E$23)),'Evidence-First Cell Queue'!$X$6:$X$461)</f>
        <v/>
      </c>
      <c r="F67" s="36">
        <f>LOOKUP(2,1/(('Evidence-First Cell Queue'!$B$6:$B$461=$A67)*('Evidence-First Cell Queue'!$E$6:$E$461=F$23)),'Evidence-First Cell Queue'!$X$6:$X$461)</f>
        <v/>
      </c>
      <c r="G67" s="36">
        <f>LOOKUP(2,1/(('Evidence-First Cell Queue'!$B$6:$B$461=$A67)*('Evidence-First Cell Queue'!$E$6:$E$461=G$23)),'Evidence-First Cell Queue'!$X$6:$X$461)</f>
        <v/>
      </c>
      <c r="H67" s="36">
        <f>LOOKUP(2,1/(('Evidence-First Cell Queue'!$B$6:$B$461=$A67)*('Evidence-First Cell Queue'!$E$6:$E$461=H$23)),'Evidence-First Cell Queue'!$X$6:$X$461)</f>
        <v/>
      </c>
      <c r="I67" s="36">
        <f>LOOKUP(2,1/(('Evidence-First Cell Queue'!$B$6:$B$461=$A67)*('Evidence-First Cell Queue'!$E$6:$E$461=I$23)),'Evidence-First Cell Queue'!$X$6:$X$461)</f>
        <v/>
      </c>
      <c r="J67" s="36">
        <f>LOOKUP(2,1/(('Evidence-First Cell Queue'!$B$6:$B$461=$A67)*('Evidence-First Cell Queue'!$E$6:$E$461=J$23)),'Evidence-First Cell Queue'!$X$6:$X$461)</f>
        <v/>
      </c>
      <c r="K67" s="36">
        <f>LOOKUP(2,1/(('Evidence-First Cell Queue'!$B$6:$B$461=$A67)*('Evidence-First Cell Queue'!$E$6:$E$461=K$23)),'Evidence-First Cell Queue'!$X$6:$X$461)</f>
        <v/>
      </c>
    </row>
    <row r="68">
      <c r="A68" s="0" t="inlineStr">
        <is>
          <t>RNR-H45</t>
        </is>
      </c>
      <c r="B68" s="0">
        <f>INDEX('Evidence-First Cell Queue'!$C$6:$C$461,MATCH($A68,'Evidence-First Cell Queue'!$B$6:$B$461,0))</f>
        <v/>
      </c>
      <c r="C68" s="0">
        <f>INDEX('Evidence-First Cell Queue'!$D$6:$D$461,MATCH($A68,'Evidence-First Cell Queue'!$B$6:$B$461,0))</f>
        <v/>
      </c>
      <c r="D68" s="36">
        <f>LOOKUP(2,1/(('Evidence-First Cell Queue'!$B$6:$B$461=$A68)*('Evidence-First Cell Queue'!$E$6:$E$461=D$23)),'Evidence-First Cell Queue'!$X$6:$X$461)</f>
        <v/>
      </c>
      <c r="E68" s="36">
        <f>LOOKUP(2,1/(('Evidence-First Cell Queue'!$B$6:$B$461=$A68)*('Evidence-First Cell Queue'!$E$6:$E$461=E$23)),'Evidence-First Cell Queue'!$X$6:$X$461)</f>
        <v/>
      </c>
      <c r="F68" s="36">
        <f>LOOKUP(2,1/(('Evidence-First Cell Queue'!$B$6:$B$461=$A68)*('Evidence-First Cell Queue'!$E$6:$E$461=F$23)),'Evidence-First Cell Queue'!$X$6:$X$461)</f>
        <v/>
      </c>
      <c r="G68" s="36">
        <f>LOOKUP(2,1/(('Evidence-First Cell Queue'!$B$6:$B$461=$A68)*('Evidence-First Cell Queue'!$E$6:$E$461=G$23)),'Evidence-First Cell Queue'!$X$6:$X$461)</f>
        <v/>
      </c>
      <c r="H68" s="36">
        <f>LOOKUP(2,1/(('Evidence-First Cell Queue'!$B$6:$B$461=$A68)*('Evidence-First Cell Queue'!$E$6:$E$461=H$23)),'Evidence-First Cell Queue'!$X$6:$X$461)</f>
        <v/>
      </c>
      <c r="I68" s="36">
        <f>LOOKUP(2,1/(('Evidence-First Cell Queue'!$B$6:$B$461=$A68)*('Evidence-First Cell Queue'!$E$6:$E$461=I$23)),'Evidence-First Cell Queue'!$X$6:$X$461)</f>
        <v/>
      </c>
      <c r="J68" s="36">
        <f>LOOKUP(2,1/(('Evidence-First Cell Queue'!$B$6:$B$461=$A68)*('Evidence-First Cell Queue'!$E$6:$E$461=J$23)),'Evidence-First Cell Queue'!$X$6:$X$461)</f>
        <v/>
      </c>
      <c r="K68" s="36">
        <f>LOOKUP(2,1/(('Evidence-First Cell Queue'!$B$6:$B$461=$A68)*('Evidence-First Cell Queue'!$E$6:$E$461=K$23)),'Evidence-First Cell Queue'!$X$6:$X$461)</f>
        <v/>
      </c>
    </row>
    <row r="69">
      <c r="A69" s="0" t="inlineStr">
        <is>
          <t>RNR-H46</t>
        </is>
      </c>
      <c r="B69" s="0">
        <f>INDEX('Evidence-First Cell Queue'!$C$6:$C$461,MATCH($A69,'Evidence-First Cell Queue'!$B$6:$B$461,0))</f>
        <v/>
      </c>
      <c r="C69" s="0">
        <f>INDEX('Evidence-First Cell Queue'!$D$6:$D$461,MATCH($A69,'Evidence-First Cell Queue'!$B$6:$B$461,0))</f>
        <v/>
      </c>
      <c r="D69" s="36">
        <f>LOOKUP(2,1/(('Evidence-First Cell Queue'!$B$6:$B$461=$A69)*('Evidence-First Cell Queue'!$E$6:$E$461=D$23)),'Evidence-First Cell Queue'!$X$6:$X$461)</f>
        <v/>
      </c>
      <c r="E69" s="36">
        <f>LOOKUP(2,1/(('Evidence-First Cell Queue'!$B$6:$B$461=$A69)*('Evidence-First Cell Queue'!$E$6:$E$461=E$23)),'Evidence-First Cell Queue'!$X$6:$X$461)</f>
        <v/>
      </c>
      <c r="F69" s="36">
        <f>LOOKUP(2,1/(('Evidence-First Cell Queue'!$B$6:$B$461=$A69)*('Evidence-First Cell Queue'!$E$6:$E$461=F$23)),'Evidence-First Cell Queue'!$X$6:$X$461)</f>
        <v/>
      </c>
      <c r="G69" s="36">
        <f>LOOKUP(2,1/(('Evidence-First Cell Queue'!$B$6:$B$461=$A69)*('Evidence-First Cell Queue'!$E$6:$E$461=G$23)),'Evidence-First Cell Queue'!$X$6:$X$461)</f>
        <v/>
      </c>
      <c r="H69" s="36">
        <f>LOOKUP(2,1/(('Evidence-First Cell Queue'!$B$6:$B$461=$A69)*('Evidence-First Cell Queue'!$E$6:$E$461=H$23)),'Evidence-First Cell Queue'!$X$6:$X$461)</f>
        <v/>
      </c>
      <c r="I69" s="36">
        <f>LOOKUP(2,1/(('Evidence-First Cell Queue'!$B$6:$B$461=$A69)*('Evidence-First Cell Queue'!$E$6:$E$461=I$23)),'Evidence-First Cell Queue'!$X$6:$X$461)</f>
        <v/>
      </c>
      <c r="J69" s="36">
        <f>LOOKUP(2,1/(('Evidence-First Cell Queue'!$B$6:$B$461=$A69)*('Evidence-First Cell Queue'!$E$6:$E$461=J$23)),'Evidence-First Cell Queue'!$X$6:$X$461)</f>
        <v/>
      </c>
      <c r="K69" s="36">
        <f>LOOKUP(2,1/(('Evidence-First Cell Queue'!$B$6:$B$461=$A69)*('Evidence-First Cell Queue'!$E$6:$E$461=K$23)),'Evidence-First Cell Queue'!$X$6:$X$461)</f>
        <v/>
      </c>
    </row>
    <row r="70">
      <c r="A70" s="0" t="inlineStr">
        <is>
          <t>RNR-H47</t>
        </is>
      </c>
      <c r="B70" s="0">
        <f>INDEX('Evidence-First Cell Queue'!$C$6:$C$461,MATCH($A70,'Evidence-First Cell Queue'!$B$6:$B$461,0))</f>
        <v/>
      </c>
      <c r="C70" s="0">
        <f>INDEX('Evidence-First Cell Queue'!$D$6:$D$461,MATCH($A70,'Evidence-First Cell Queue'!$B$6:$B$461,0))</f>
        <v/>
      </c>
      <c r="D70" s="36">
        <f>LOOKUP(2,1/(('Evidence-First Cell Queue'!$B$6:$B$461=$A70)*('Evidence-First Cell Queue'!$E$6:$E$461=D$23)),'Evidence-First Cell Queue'!$X$6:$X$461)</f>
        <v/>
      </c>
      <c r="E70" s="36">
        <f>LOOKUP(2,1/(('Evidence-First Cell Queue'!$B$6:$B$461=$A70)*('Evidence-First Cell Queue'!$E$6:$E$461=E$23)),'Evidence-First Cell Queue'!$X$6:$X$461)</f>
        <v/>
      </c>
      <c r="F70" s="36">
        <f>LOOKUP(2,1/(('Evidence-First Cell Queue'!$B$6:$B$461=$A70)*('Evidence-First Cell Queue'!$E$6:$E$461=F$23)),'Evidence-First Cell Queue'!$X$6:$X$461)</f>
        <v/>
      </c>
      <c r="G70" s="36">
        <f>LOOKUP(2,1/(('Evidence-First Cell Queue'!$B$6:$B$461=$A70)*('Evidence-First Cell Queue'!$E$6:$E$461=G$23)),'Evidence-First Cell Queue'!$X$6:$X$461)</f>
        <v/>
      </c>
      <c r="H70" s="36">
        <f>LOOKUP(2,1/(('Evidence-First Cell Queue'!$B$6:$B$461=$A70)*('Evidence-First Cell Queue'!$E$6:$E$461=H$23)),'Evidence-First Cell Queue'!$X$6:$X$461)</f>
        <v/>
      </c>
      <c r="I70" s="36">
        <f>LOOKUP(2,1/(('Evidence-First Cell Queue'!$B$6:$B$461=$A70)*('Evidence-First Cell Queue'!$E$6:$E$461=I$23)),'Evidence-First Cell Queue'!$X$6:$X$461)</f>
        <v/>
      </c>
      <c r="J70" s="36">
        <f>LOOKUP(2,1/(('Evidence-First Cell Queue'!$B$6:$B$461=$A70)*('Evidence-First Cell Queue'!$E$6:$E$461=J$23)),'Evidence-First Cell Queue'!$X$6:$X$461)</f>
        <v/>
      </c>
      <c r="K70" s="36">
        <f>LOOKUP(2,1/(('Evidence-First Cell Queue'!$B$6:$B$461=$A70)*('Evidence-First Cell Queue'!$E$6:$E$461=K$23)),'Evidence-First Cell Queue'!$X$6:$X$461)</f>
        <v/>
      </c>
    </row>
    <row r="71">
      <c r="A71" s="0" t="inlineStr">
        <is>
          <t>RNR-H48</t>
        </is>
      </c>
      <c r="B71" s="0">
        <f>INDEX('Evidence-First Cell Queue'!$C$6:$C$461,MATCH($A71,'Evidence-First Cell Queue'!$B$6:$B$461,0))</f>
        <v/>
      </c>
      <c r="C71" s="0">
        <f>INDEX('Evidence-First Cell Queue'!$D$6:$D$461,MATCH($A71,'Evidence-First Cell Queue'!$B$6:$B$461,0))</f>
        <v/>
      </c>
      <c r="D71" s="36">
        <f>LOOKUP(2,1/(('Evidence-First Cell Queue'!$B$6:$B$461=$A71)*('Evidence-First Cell Queue'!$E$6:$E$461=D$23)),'Evidence-First Cell Queue'!$X$6:$X$461)</f>
        <v/>
      </c>
      <c r="E71" s="36">
        <f>LOOKUP(2,1/(('Evidence-First Cell Queue'!$B$6:$B$461=$A71)*('Evidence-First Cell Queue'!$E$6:$E$461=E$23)),'Evidence-First Cell Queue'!$X$6:$X$461)</f>
        <v/>
      </c>
      <c r="F71" s="36">
        <f>LOOKUP(2,1/(('Evidence-First Cell Queue'!$B$6:$B$461=$A71)*('Evidence-First Cell Queue'!$E$6:$E$461=F$23)),'Evidence-First Cell Queue'!$X$6:$X$461)</f>
        <v/>
      </c>
      <c r="G71" s="36">
        <f>LOOKUP(2,1/(('Evidence-First Cell Queue'!$B$6:$B$461=$A71)*('Evidence-First Cell Queue'!$E$6:$E$461=G$23)),'Evidence-First Cell Queue'!$X$6:$X$461)</f>
        <v/>
      </c>
      <c r="H71" s="36">
        <f>LOOKUP(2,1/(('Evidence-First Cell Queue'!$B$6:$B$461=$A71)*('Evidence-First Cell Queue'!$E$6:$E$461=H$23)),'Evidence-First Cell Queue'!$X$6:$X$461)</f>
        <v/>
      </c>
      <c r="I71" s="36">
        <f>LOOKUP(2,1/(('Evidence-First Cell Queue'!$B$6:$B$461=$A71)*('Evidence-First Cell Queue'!$E$6:$E$461=I$23)),'Evidence-First Cell Queue'!$X$6:$X$461)</f>
        <v/>
      </c>
      <c r="J71" s="36">
        <f>LOOKUP(2,1/(('Evidence-First Cell Queue'!$B$6:$B$461=$A71)*('Evidence-First Cell Queue'!$E$6:$E$461=J$23)),'Evidence-First Cell Queue'!$X$6:$X$461)</f>
        <v/>
      </c>
      <c r="K71" s="36">
        <f>LOOKUP(2,1/(('Evidence-First Cell Queue'!$B$6:$B$461=$A71)*('Evidence-First Cell Queue'!$E$6:$E$461=K$23)),'Evidence-First Cell Queue'!$X$6:$X$461)</f>
        <v/>
      </c>
    </row>
    <row r="72">
      <c r="A72" s="0" t="inlineStr">
        <is>
          <t>RNR-H49</t>
        </is>
      </c>
      <c r="B72" s="0">
        <f>INDEX('Evidence-First Cell Queue'!$C$6:$C$461,MATCH($A72,'Evidence-First Cell Queue'!$B$6:$B$461,0))</f>
        <v/>
      </c>
      <c r="C72" s="0">
        <f>INDEX('Evidence-First Cell Queue'!$D$6:$D$461,MATCH($A72,'Evidence-First Cell Queue'!$B$6:$B$461,0))</f>
        <v/>
      </c>
      <c r="D72" s="36">
        <f>LOOKUP(2,1/(('Evidence-First Cell Queue'!$B$6:$B$461=$A72)*('Evidence-First Cell Queue'!$E$6:$E$461=D$23)),'Evidence-First Cell Queue'!$X$6:$X$461)</f>
        <v/>
      </c>
      <c r="E72" s="36">
        <f>LOOKUP(2,1/(('Evidence-First Cell Queue'!$B$6:$B$461=$A72)*('Evidence-First Cell Queue'!$E$6:$E$461=E$23)),'Evidence-First Cell Queue'!$X$6:$X$461)</f>
        <v/>
      </c>
      <c r="F72" s="36">
        <f>LOOKUP(2,1/(('Evidence-First Cell Queue'!$B$6:$B$461=$A72)*('Evidence-First Cell Queue'!$E$6:$E$461=F$23)),'Evidence-First Cell Queue'!$X$6:$X$461)</f>
        <v/>
      </c>
      <c r="G72" s="36">
        <f>LOOKUP(2,1/(('Evidence-First Cell Queue'!$B$6:$B$461=$A72)*('Evidence-First Cell Queue'!$E$6:$E$461=G$23)),'Evidence-First Cell Queue'!$X$6:$X$461)</f>
        <v/>
      </c>
      <c r="H72" s="36">
        <f>LOOKUP(2,1/(('Evidence-First Cell Queue'!$B$6:$B$461=$A72)*('Evidence-First Cell Queue'!$E$6:$E$461=H$23)),'Evidence-First Cell Queue'!$X$6:$X$461)</f>
        <v/>
      </c>
      <c r="I72" s="36">
        <f>LOOKUP(2,1/(('Evidence-First Cell Queue'!$B$6:$B$461=$A72)*('Evidence-First Cell Queue'!$E$6:$E$461=I$23)),'Evidence-First Cell Queue'!$X$6:$X$461)</f>
        <v/>
      </c>
      <c r="J72" s="36">
        <f>LOOKUP(2,1/(('Evidence-First Cell Queue'!$B$6:$B$461=$A72)*('Evidence-First Cell Queue'!$E$6:$E$461=J$23)),'Evidence-First Cell Queue'!$X$6:$X$461)</f>
        <v/>
      </c>
      <c r="K72" s="36">
        <f>LOOKUP(2,1/(('Evidence-First Cell Queue'!$B$6:$B$461=$A72)*('Evidence-First Cell Queue'!$E$6:$E$461=K$23)),'Evidence-First Cell Queue'!$X$6:$X$461)</f>
        <v/>
      </c>
    </row>
    <row r="73">
      <c r="A73" s="0" t="inlineStr">
        <is>
          <t>RNR-H50</t>
        </is>
      </c>
      <c r="B73" s="0">
        <f>INDEX('Evidence-First Cell Queue'!$C$6:$C$461,MATCH($A73,'Evidence-First Cell Queue'!$B$6:$B$461,0))</f>
        <v/>
      </c>
      <c r="C73" s="0">
        <f>INDEX('Evidence-First Cell Queue'!$D$6:$D$461,MATCH($A73,'Evidence-First Cell Queue'!$B$6:$B$461,0))</f>
        <v/>
      </c>
      <c r="D73" s="36">
        <f>LOOKUP(2,1/(('Evidence-First Cell Queue'!$B$6:$B$461=$A73)*('Evidence-First Cell Queue'!$E$6:$E$461=D$23)),'Evidence-First Cell Queue'!$X$6:$X$461)</f>
        <v/>
      </c>
      <c r="E73" s="36">
        <f>LOOKUP(2,1/(('Evidence-First Cell Queue'!$B$6:$B$461=$A73)*('Evidence-First Cell Queue'!$E$6:$E$461=E$23)),'Evidence-First Cell Queue'!$X$6:$X$461)</f>
        <v/>
      </c>
      <c r="F73" s="36">
        <f>LOOKUP(2,1/(('Evidence-First Cell Queue'!$B$6:$B$461=$A73)*('Evidence-First Cell Queue'!$E$6:$E$461=F$23)),'Evidence-First Cell Queue'!$X$6:$X$461)</f>
        <v/>
      </c>
      <c r="G73" s="36">
        <f>LOOKUP(2,1/(('Evidence-First Cell Queue'!$B$6:$B$461=$A73)*('Evidence-First Cell Queue'!$E$6:$E$461=G$23)),'Evidence-First Cell Queue'!$X$6:$X$461)</f>
        <v/>
      </c>
      <c r="H73" s="36">
        <f>LOOKUP(2,1/(('Evidence-First Cell Queue'!$B$6:$B$461=$A73)*('Evidence-First Cell Queue'!$E$6:$E$461=H$23)),'Evidence-First Cell Queue'!$X$6:$X$461)</f>
        <v/>
      </c>
      <c r="I73" s="36">
        <f>LOOKUP(2,1/(('Evidence-First Cell Queue'!$B$6:$B$461=$A73)*('Evidence-First Cell Queue'!$E$6:$E$461=I$23)),'Evidence-First Cell Queue'!$X$6:$X$461)</f>
        <v/>
      </c>
      <c r="J73" s="36">
        <f>LOOKUP(2,1/(('Evidence-First Cell Queue'!$B$6:$B$461=$A73)*('Evidence-First Cell Queue'!$E$6:$E$461=J$23)),'Evidence-First Cell Queue'!$X$6:$X$461)</f>
        <v/>
      </c>
      <c r="K73" s="36">
        <f>LOOKUP(2,1/(('Evidence-First Cell Queue'!$B$6:$B$461=$A73)*('Evidence-First Cell Queue'!$E$6:$E$461=K$23)),'Evidence-First Cell Queue'!$X$6:$X$461)</f>
        <v/>
      </c>
    </row>
    <row r="74">
      <c r="A74" s="0" t="inlineStr">
        <is>
          <t>RNR-H51</t>
        </is>
      </c>
      <c r="B74" s="0">
        <f>INDEX('Evidence-First Cell Queue'!$C$6:$C$461,MATCH($A74,'Evidence-First Cell Queue'!$B$6:$B$461,0))</f>
        <v/>
      </c>
      <c r="C74" s="0">
        <f>INDEX('Evidence-First Cell Queue'!$D$6:$D$461,MATCH($A74,'Evidence-First Cell Queue'!$B$6:$B$461,0))</f>
        <v/>
      </c>
      <c r="D74" s="36">
        <f>LOOKUP(2,1/(('Evidence-First Cell Queue'!$B$6:$B$461=$A74)*('Evidence-First Cell Queue'!$E$6:$E$461=D$23)),'Evidence-First Cell Queue'!$X$6:$X$461)</f>
        <v/>
      </c>
      <c r="E74" s="36">
        <f>LOOKUP(2,1/(('Evidence-First Cell Queue'!$B$6:$B$461=$A74)*('Evidence-First Cell Queue'!$E$6:$E$461=E$23)),'Evidence-First Cell Queue'!$X$6:$X$461)</f>
        <v/>
      </c>
      <c r="F74" s="36">
        <f>LOOKUP(2,1/(('Evidence-First Cell Queue'!$B$6:$B$461=$A74)*('Evidence-First Cell Queue'!$E$6:$E$461=F$23)),'Evidence-First Cell Queue'!$X$6:$X$461)</f>
        <v/>
      </c>
      <c r="G74" s="36">
        <f>LOOKUP(2,1/(('Evidence-First Cell Queue'!$B$6:$B$461=$A74)*('Evidence-First Cell Queue'!$E$6:$E$461=G$23)),'Evidence-First Cell Queue'!$X$6:$X$461)</f>
        <v/>
      </c>
      <c r="H74" s="36">
        <f>LOOKUP(2,1/(('Evidence-First Cell Queue'!$B$6:$B$461=$A74)*('Evidence-First Cell Queue'!$E$6:$E$461=H$23)),'Evidence-First Cell Queue'!$X$6:$X$461)</f>
        <v/>
      </c>
      <c r="I74" s="36">
        <f>LOOKUP(2,1/(('Evidence-First Cell Queue'!$B$6:$B$461=$A74)*('Evidence-First Cell Queue'!$E$6:$E$461=I$23)),'Evidence-First Cell Queue'!$X$6:$X$461)</f>
        <v/>
      </c>
      <c r="J74" s="36">
        <f>LOOKUP(2,1/(('Evidence-First Cell Queue'!$B$6:$B$461=$A74)*('Evidence-First Cell Queue'!$E$6:$E$461=J$23)),'Evidence-First Cell Queue'!$X$6:$X$461)</f>
        <v/>
      </c>
      <c r="K74" s="36">
        <f>LOOKUP(2,1/(('Evidence-First Cell Queue'!$B$6:$B$461=$A74)*('Evidence-First Cell Queue'!$E$6:$E$461=K$23)),'Evidence-First Cell Queue'!$X$6:$X$461)</f>
        <v/>
      </c>
    </row>
    <row r="75">
      <c r="A75" s="0" t="inlineStr">
        <is>
          <t>RNR-H52</t>
        </is>
      </c>
      <c r="B75" s="0">
        <f>INDEX('Evidence-First Cell Queue'!$C$6:$C$461,MATCH($A75,'Evidence-First Cell Queue'!$B$6:$B$461,0))</f>
        <v/>
      </c>
      <c r="C75" s="0">
        <f>INDEX('Evidence-First Cell Queue'!$D$6:$D$461,MATCH($A75,'Evidence-First Cell Queue'!$B$6:$B$461,0))</f>
        <v/>
      </c>
      <c r="D75" s="36">
        <f>LOOKUP(2,1/(('Evidence-First Cell Queue'!$B$6:$B$461=$A75)*('Evidence-First Cell Queue'!$E$6:$E$461=D$23)),'Evidence-First Cell Queue'!$X$6:$X$461)</f>
        <v/>
      </c>
      <c r="E75" s="36">
        <f>LOOKUP(2,1/(('Evidence-First Cell Queue'!$B$6:$B$461=$A75)*('Evidence-First Cell Queue'!$E$6:$E$461=E$23)),'Evidence-First Cell Queue'!$X$6:$X$461)</f>
        <v/>
      </c>
      <c r="F75" s="36">
        <f>LOOKUP(2,1/(('Evidence-First Cell Queue'!$B$6:$B$461=$A75)*('Evidence-First Cell Queue'!$E$6:$E$461=F$23)),'Evidence-First Cell Queue'!$X$6:$X$461)</f>
        <v/>
      </c>
      <c r="G75" s="36">
        <f>LOOKUP(2,1/(('Evidence-First Cell Queue'!$B$6:$B$461=$A75)*('Evidence-First Cell Queue'!$E$6:$E$461=G$23)),'Evidence-First Cell Queue'!$X$6:$X$461)</f>
        <v/>
      </c>
      <c r="H75" s="36">
        <f>LOOKUP(2,1/(('Evidence-First Cell Queue'!$B$6:$B$461=$A75)*('Evidence-First Cell Queue'!$E$6:$E$461=H$23)),'Evidence-First Cell Queue'!$X$6:$X$461)</f>
        <v/>
      </c>
      <c r="I75" s="36">
        <f>LOOKUP(2,1/(('Evidence-First Cell Queue'!$B$6:$B$461=$A75)*('Evidence-First Cell Queue'!$E$6:$E$461=I$23)),'Evidence-First Cell Queue'!$X$6:$X$461)</f>
        <v/>
      </c>
      <c r="J75" s="36">
        <f>LOOKUP(2,1/(('Evidence-First Cell Queue'!$B$6:$B$461=$A75)*('Evidence-First Cell Queue'!$E$6:$E$461=J$23)),'Evidence-First Cell Queue'!$X$6:$X$461)</f>
        <v/>
      </c>
      <c r="K75" s="36">
        <f>LOOKUP(2,1/(('Evidence-First Cell Queue'!$B$6:$B$461=$A75)*('Evidence-First Cell Queue'!$E$6:$E$461=K$23)),'Evidence-First Cell Queue'!$X$6:$X$461)</f>
        <v/>
      </c>
    </row>
    <row r="76">
      <c r="A76" s="0" t="inlineStr">
        <is>
          <t>RNR-H53</t>
        </is>
      </c>
      <c r="B76" s="0">
        <f>INDEX('Evidence-First Cell Queue'!$C$6:$C$461,MATCH($A76,'Evidence-First Cell Queue'!$B$6:$B$461,0))</f>
        <v/>
      </c>
      <c r="C76" s="0">
        <f>INDEX('Evidence-First Cell Queue'!$D$6:$D$461,MATCH($A76,'Evidence-First Cell Queue'!$B$6:$B$461,0))</f>
        <v/>
      </c>
      <c r="D76" s="36">
        <f>LOOKUP(2,1/(('Evidence-First Cell Queue'!$B$6:$B$461=$A76)*('Evidence-First Cell Queue'!$E$6:$E$461=D$23)),'Evidence-First Cell Queue'!$X$6:$X$461)</f>
        <v/>
      </c>
      <c r="E76" s="36">
        <f>LOOKUP(2,1/(('Evidence-First Cell Queue'!$B$6:$B$461=$A76)*('Evidence-First Cell Queue'!$E$6:$E$461=E$23)),'Evidence-First Cell Queue'!$X$6:$X$461)</f>
        <v/>
      </c>
      <c r="F76" s="36">
        <f>LOOKUP(2,1/(('Evidence-First Cell Queue'!$B$6:$B$461=$A76)*('Evidence-First Cell Queue'!$E$6:$E$461=F$23)),'Evidence-First Cell Queue'!$X$6:$X$461)</f>
        <v/>
      </c>
      <c r="G76" s="36">
        <f>LOOKUP(2,1/(('Evidence-First Cell Queue'!$B$6:$B$461=$A76)*('Evidence-First Cell Queue'!$E$6:$E$461=G$23)),'Evidence-First Cell Queue'!$X$6:$X$461)</f>
        <v/>
      </c>
      <c r="H76" s="36">
        <f>LOOKUP(2,1/(('Evidence-First Cell Queue'!$B$6:$B$461=$A76)*('Evidence-First Cell Queue'!$E$6:$E$461=H$23)),'Evidence-First Cell Queue'!$X$6:$X$461)</f>
        <v/>
      </c>
      <c r="I76" s="36">
        <f>LOOKUP(2,1/(('Evidence-First Cell Queue'!$B$6:$B$461=$A76)*('Evidence-First Cell Queue'!$E$6:$E$461=I$23)),'Evidence-First Cell Queue'!$X$6:$X$461)</f>
        <v/>
      </c>
      <c r="J76" s="36">
        <f>LOOKUP(2,1/(('Evidence-First Cell Queue'!$B$6:$B$461=$A76)*('Evidence-First Cell Queue'!$E$6:$E$461=J$23)),'Evidence-First Cell Queue'!$X$6:$X$461)</f>
        <v/>
      </c>
      <c r="K76" s="36">
        <f>LOOKUP(2,1/(('Evidence-First Cell Queue'!$B$6:$B$461=$A76)*('Evidence-First Cell Queue'!$E$6:$E$461=K$23)),'Evidence-First Cell Queue'!$X$6:$X$461)</f>
        <v/>
      </c>
    </row>
    <row r="77">
      <c r="A77" s="0" t="inlineStr">
        <is>
          <t>RNR-H54</t>
        </is>
      </c>
      <c r="B77" s="0">
        <f>INDEX('Evidence-First Cell Queue'!$C$6:$C$461,MATCH($A77,'Evidence-First Cell Queue'!$B$6:$B$461,0))</f>
        <v/>
      </c>
      <c r="C77" s="0">
        <f>INDEX('Evidence-First Cell Queue'!$D$6:$D$461,MATCH($A77,'Evidence-First Cell Queue'!$B$6:$B$461,0))</f>
        <v/>
      </c>
      <c r="D77" s="36">
        <f>LOOKUP(2,1/(('Evidence-First Cell Queue'!$B$6:$B$461=$A77)*('Evidence-First Cell Queue'!$E$6:$E$461=D$23)),'Evidence-First Cell Queue'!$X$6:$X$461)</f>
        <v/>
      </c>
      <c r="E77" s="36">
        <f>LOOKUP(2,1/(('Evidence-First Cell Queue'!$B$6:$B$461=$A77)*('Evidence-First Cell Queue'!$E$6:$E$461=E$23)),'Evidence-First Cell Queue'!$X$6:$X$461)</f>
        <v/>
      </c>
      <c r="F77" s="36">
        <f>LOOKUP(2,1/(('Evidence-First Cell Queue'!$B$6:$B$461=$A77)*('Evidence-First Cell Queue'!$E$6:$E$461=F$23)),'Evidence-First Cell Queue'!$X$6:$X$461)</f>
        <v/>
      </c>
      <c r="G77" s="36">
        <f>LOOKUP(2,1/(('Evidence-First Cell Queue'!$B$6:$B$461=$A77)*('Evidence-First Cell Queue'!$E$6:$E$461=G$23)),'Evidence-First Cell Queue'!$X$6:$X$461)</f>
        <v/>
      </c>
      <c r="H77" s="36">
        <f>LOOKUP(2,1/(('Evidence-First Cell Queue'!$B$6:$B$461=$A77)*('Evidence-First Cell Queue'!$E$6:$E$461=H$23)),'Evidence-First Cell Queue'!$X$6:$X$461)</f>
        <v/>
      </c>
      <c r="I77" s="36">
        <f>LOOKUP(2,1/(('Evidence-First Cell Queue'!$B$6:$B$461=$A77)*('Evidence-First Cell Queue'!$E$6:$E$461=I$23)),'Evidence-First Cell Queue'!$X$6:$X$461)</f>
        <v/>
      </c>
      <c r="J77" s="36">
        <f>LOOKUP(2,1/(('Evidence-First Cell Queue'!$B$6:$B$461=$A77)*('Evidence-First Cell Queue'!$E$6:$E$461=J$23)),'Evidence-First Cell Queue'!$X$6:$X$461)</f>
        <v/>
      </c>
      <c r="K77" s="36">
        <f>LOOKUP(2,1/(('Evidence-First Cell Queue'!$B$6:$B$461=$A77)*('Evidence-First Cell Queue'!$E$6:$E$461=K$23)),'Evidence-First Cell Queue'!$X$6:$X$461)</f>
        <v/>
      </c>
    </row>
    <row r="78">
      <c r="A78" s="0" t="inlineStr">
        <is>
          <t>RNR-H55</t>
        </is>
      </c>
      <c r="B78" s="0">
        <f>INDEX('Evidence-First Cell Queue'!$C$6:$C$461,MATCH($A78,'Evidence-First Cell Queue'!$B$6:$B$461,0))</f>
        <v/>
      </c>
      <c r="C78" s="0">
        <f>INDEX('Evidence-First Cell Queue'!$D$6:$D$461,MATCH($A78,'Evidence-First Cell Queue'!$B$6:$B$461,0))</f>
        <v/>
      </c>
      <c r="D78" s="36">
        <f>LOOKUP(2,1/(('Evidence-First Cell Queue'!$B$6:$B$461=$A78)*('Evidence-First Cell Queue'!$E$6:$E$461=D$23)),'Evidence-First Cell Queue'!$X$6:$X$461)</f>
        <v/>
      </c>
      <c r="E78" s="36">
        <f>LOOKUP(2,1/(('Evidence-First Cell Queue'!$B$6:$B$461=$A78)*('Evidence-First Cell Queue'!$E$6:$E$461=E$23)),'Evidence-First Cell Queue'!$X$6:$X$461)</f>
        <v/>
      </c>
      <c r="F78" s="36">
        <f>LOOKUP(2,1/(('Evidence-First Cell Queue'!$B$6:$B$461=$A78)*('Evidence-First Cell Queue'!$E$6:$E$461=F$23)),'Evidence-First Cell Queue'!$X$6:$X$461)</f>
        <v/>
      </c>
      <c r="G78" s="36">
        <f>LOOKUP(2,1/(('Evidence-First Cell Queue'!$B$6:$B$461=$A78)*('Evidence-First Cell Queue'!$E$6:$E$461=G$23)),'Evidence-First Cell Queue'!$X$6:$X$461)</f>
        <v/>
      </c>
      <c r="H78" s="36">
        <f>LOOKUP(2,1/(('Evidence-First Cell Queue'!$B$6:$B$461=$A78)*('Evidence-First Cell Queue'!$E$6:$E$461=H$23)),'Evidence-First Cell Queue'!$X$6:$X$461)</f>
        <v/>
      </c>
      <c r="I78" s="36">
        <f>LOOKUP(2,1/(('Evidence-First Cell Queue'!$B$6:$B$461=$A78)*('Evidence-First Cell Queue'!$E$6:$E$461=I$23)),'Evidence-First Cell Queue'!$X$6:$X$461)</f>
        <v/>
      </c>
      <c r="J78" s="36">
        <f>LOOKUP(2,1/(('Evidence-First Cell Queue'!$B$6:$B$461=$A78)*('Evidence-First Cell Queue'!$E$6:$E$461=J$23)),'Evidence-First Cell Queue'!$X$6:$X$461)</f>
        <v/>
      </c>
      <c r="K78" s="36">
        <f>LOOKUP(2,1/(('Evidence-First Cell Queue'!$B$6:$B$461=$A78)*('Evidence-First Cell Queue'!$E$6:$E$461=K$23)),'Evidence-First Cell Queue'!$X$6:$X$461)</f>
        <v/>
      </c>
    </row>
    <row r="79">
      <c r="A79" s="0" t="inlineStr">
        <is>
          <t>RNR-H56</t>
        </is>
      </c>
      <c r="B79" s="0">
        <f>INDEX('Evidence-First Cell Queue'!$C$6:$C$461,MATCH($A79,'Evidence-First Cell Queue'!$B$6:$B$461,0))</f>
        <v/>
      </c>
      <c r="C79" s="0">
        <f>INDEX('Evidence-First Cell Queue'!$D$6:$D$461,MATCH($A79,'Evidence-First Cell Queue'!$B$6:$B$461,0))</f>
        <v/>
      </c>
      <c r="D79" s="36">
        <f>LOOKUP(2,1/(('Evidence-First Cell Queue'!$B$6:$B$461=$A79)*('Evidence-First Cell Queue'!$E$6:$E$461=D$23)),'Evidence-First Cell Queue'!$X$6:$X$461)</f>
        <v/>
      </c>
      <c r="E79" s="36">
        <f>LOOKUP(2,1/(('Evidence-First Cell Queue'!$B$6:$B$461=$A79)*('Evidence-First Cell Queue'!$E$6:$E$461=E$23)),'Evidence-First Cell Queue'!$X$6:$X$461)</f>
        <v/>
      </c>
      <c r="F79" s="36">
        <f>LOOKUP(2,1/(('Evidence-First Cell Queue'!$B$6:$B$461=$A79)*('Evidence-First Cell Queue'!$E$6:$E$461=F$23)),'Evidence-First Cell Queue'!$X$6:$X$461)</f>
        <v/>
      </c>
      <c r="G79" s="36">
        <f>LOOKUP(2,1/(('Evidence-First Cell Queue'!$B$6:$B$461=$A79)*('Evidence-First Cell Queue'!$E$6:$E$461=G$23)),'Evidence-First Cell Queue'!$X$6:$X$461)</f>
        <v/>
      </c>
      <c r="H79" s="36">
        <f>LOOKUP(2,1/(('Evidence-First Cell Queue'!$B$6:$B$461=$A79)*('Evidence-First Cell Queue'!$E$6:$E$461=H$23)),'Evidence-First Cell Queue'!$X$6:$X$461)</f>
        <v/>
      </c>
      <c r="I79" s="36">
        <f>LOOKUP(2,1/(('Evidence-First Cell Queue'!$B$6:$B$461=$A79)*('Evidence-First Cell Queue'!$E$6:$E$461=I$23)),'Evidence-First Cell Queue'!$X$6:$X$461)</f>
        <v/>
      </c>
      <c r="J79" s="36">
        <f>LOOKUP(2,1/(('Evidence-First Cell Queue'!$B$6:$B$461=$A79)*('Evidence-First Cell Queue'!$E$6:$E$461=J$23)),'Evidence-First Cell Queue'!$X$6:$X$461)</f>
        <v/>
      </c>
      <c r="K79" s="36">
        <f>LOOKUP(2,1/(('Evidence-First Cell Queue'!$B$6:$B$461=$A79)*('Evidence-First Cell Queue'!$E$6:$E$461=K$23)),'Evidence-First Cell Queue'!$X$6:$X$461)</f>
        <v/>
      </c>
    </row>
    <row r="80">
      <c r="A80" s="0" t="inlineStr">
        <is>
          <t>RNR-H57</t>
        </is>
      </c>
      <c r="B80" s="0">
        <f>INDEX('Evidence-First Cell Queue'!$C$6:$C$461,MATCH($A80,'Evidence-First Cell Queue'!$B$6:$B$461,0))</f>
        <v/>
      </c>
      <c r="C80" s="0">
        <f>INDEX('Evidence-First Cell Queue'!$D$6:$D$461,MATCH($A80,'Evidence-First Cell Queue'!$B$6:$B$461,0))</f>
        <v/>
      </c>
      <c r="D80" s="36">
        <f>LOOKUP(2,1/(('Evidence-First Cell Queue'!$B$6:$B$461=$A80)*('Evidence-First Cell Queue'!$E$6:$E$461=D$23)),'Evidence-First Cell Queue'!$X$6:$X$461)</f>
        <v/>
      </c>
      <c r="E80" s="36">
        <f>LOOKUP(2,1/(('Evidence-First Cell Queue'!$B$6:$B$461=$A80)*('Evidence-First Cell Queue'!$E$6:$E$461=E$23)),'Evidence-First Cell Queue'!$X$6:$X$461)</f>
        <v/>
      </c>
      <c r="F80" s="36">
        <f>LOOKUP(2,1/(('Evidence-First Cell Queue'!$B$6:$B$461=$A80)*('Evidence-First Cell Queue'!$E$6:$E$461=F$23)),'Evidence-First Cell Queue'!$X$6:$X$461)</f>
        <v/>
      </c>
      <c r="G80" s="36">
        <f>LOOKUP(2,1/(('Evidence-First Cell Queue'!$B$6:$B$461=$A80)*('Evidence-First Cell Queue'!$E$6:$E$461=G$23)),'Evidence-First Cell Queue'!$X$6:$X$461)</f>
        <v/>
      </c>
      <c r="H80" s="36">
        <f>LOOKUP(2,1/(('Evidence-First Cell Queue'!$B$6:$B$461=$A80)*('Evidence-First Cell Queue'!$E$6:$E$461=H$23)),'Evidence-First Cell Queue'!$X$6:$X$461)</f>
        <v/>
      </c>
      <c r="I80" s="36">
        <f>LOOKUP(2,1/(('Evidence-First Cell Queue'!$B$6:$B$461=$A80)*('Evidence-First Cell Queue'!$E$6:$E$461=I$23)),'Evidence-First Cell Queue'!$X$6:$X$461)</f>
        <v/>
      </c>
      <c r="J80" s="36">
        <f>LOOKUP(2,1/(('Evidence-First Cell Queue'!$B$6:$B$461=$A80)*('Evidence-First Cell Queue'!$E$6:$E$461=J$23)),'Evidence-First Cell Queue'!$X$6:$X$461)</f>
        <v/>
      </c>
      <c r="K80" s="36">
        <f>LOOKUP(2,1/(('Evidence-First Cell Queue'!$B$6:$B$461=$A80)*('Evidence-First Cell Queue'!$E$6:$E$461=K$23)),'Evidence-First Cell Queue'!$X$6:$X$461)</f>
        <v/>
      </c>
    </row>
  </sheetData>
  <mergeCells count="1">
    <mergeCell ref="A2:R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ColWidth="12.63" defaultRowHeight="15" customHeight="1"/>
  <cols>
    <col width="12" customWidth="1" style="29" min="1" max="1"/>
    <col width="32" customWidth="1" style="29" min="2" max="2"/>
    <col width="27" customWidth="1" style="29" min="3" max="3"/>
    <col width="44" customWidth="1" style="29" min="4" max="4"/>
    <col width="12" customWidth="1" style="29" min="5" max="5"/>
    <col width="13" customWidth="1" style="29" min="6" max="6"/>
    <col width="11" customWidth="1" style="29" min="7" max="7"/>
    <col width="60" customWidth="1" style="29" min="8" max="8"/>
    <col width="64" customWidth="1" style="29" min="9" max="9"/>
    <col width="62" customWidth="1" style="29" min="10" max="10"/>
    <col width="66" customWidth="1" style="29" min="11" max="11"/>
    <col width="58" customWidth="1" style="29" min="12" max="12"/>
    <col width="48" customWidth="1" style="29" min="13" max="13"/>
    <col width="16" customWidth="1" style="29" min="14" max="14"/>
    <col width="36" customWidth="1" style="29" min="15" max="15"/>
    <col width="14" customWidth="1" style="29" min="16" max="16"/>
    <col width="62" customWidth="1" style="29" min="17" max="17"/>
    <col width="48" customWidth="1" style="29" min="18" max="18"/>
    <col width="8.630000000000001" customWidth="1" style="29" min="19" max="26"/>
  </cols>
  <sheetData>
    <row r="1">
      <c r="A1" s="10" t="inlineStr">
        <is>
          <t>Inference Support Layer — Data → Observation → Defensible Inference → Boundary</t>
        </is>
      </c>
      <c r="B1" s="10" t="n"/>
      <c r="C1" s="10" t="n"/>
      <c r="D1" s="10" t="n"/>
      <c r="E1" s="10" t="n"/>
      <c r="F1" s="10" t="n"/>
      <c r="G1" s="10" t="n"/>
      <c r="H1" s="10" t="n"/>
      <c r="I1" s="10" t="n"/>
      <c r="J1" s="10" t="n"/>
      <c r="K1" s="10" t="n"/>
      <c r="L1" s="10" t="n"/>
      <c r="M1" s="10" t="n"/>
      <c r="N1" s="10" t="n"/>
      <c r="O1" s="10" t="n"/>
      <c r="P1" s="10" t="n"/>
      <c r="Q1" s="10" t="n"/>
      <c r="R1" s="10" t="n"/>
    </row>
    <row r="2">
      <c r="A2" s="4" t="inlineStr">
        <is>
          <t>Purpose: teach learners how to reason from the comparative dataset without turning descriptive counts into stronger historical or theological claims than the evidence warrants. Metrics are formula-linked to the controlled workbook. Branch-level inferences using the 57×8 matrix inherit the SR-R provenance limitation.</t>
        </is>
      </c>
      <c r="B2" s="4" t="n"/>
      <c r="C2" s="4" t="n"/>
      <c r="D2" s="4" t="n"/>
      <c r="E2" s="4" t="n"/>
      <c r="F2" s="4" t="n"/>
      <c r="G2" s="4" t="n"/>
      <c r="H2" s="4" t="n"/>
      <c r="I2" s="4" t="n"/>
      <c r="J2" s="4" t="n"/>
      <c r="K2" s="4" t="n"/>
      <c r="L2" s="4" t="n"/>
      <c r="M2" s="4" t="n"/>
      <c r="N2" s="4" t="n"/>
      <c r="O2" s="4" t="n"/>
      <c r="P2" s="4" t="n"/>
      <c r="Q2" s="4" t="n"/>
      <c r="R2" s="4" t="n"/>
    </row>
    <row r="3">
      <c r="A3" s="4" t="n"/>
      <c r="B3" s="4" t="n"/>
      <c r="C3" s="4" t="n"/>
      <c r="D3" s="4" t="n"/>
      <c r="E3" s="4" t="n"/>
      <c r="F3" s="4" t="n"/>
      <c r="G3" s="4" t="n"/>
      <c r="H3" s="4" t="n"/>
      <c r="I3" s="4" t="n"/>
      <c r="J3" s="4" t="n"/>
      <c r="K3" s="4" t="n"/>
      <c r="L3" s="4" t="n"/>
      <c r="M3" s="4" t="n"/>
      <c r="N3" s="4" t="n"/>
      <c r="O3" s="4" t="n"/>
      <c r="P3" s="4" t="n"/>
      <c r="Q3" s="4" t="n"/>
      <c r="R3" s="4" t="n"/>
    </row>
    <row r="4">
      <c r="A4" s="5" t="inlineStr">
        <is>
          <t>Inference ID</t>
        </is>
      </c>
      <c r="B4" s="5" t="inlineStr">
        <is>
          <t>Theme</t>
        </is>
      </c>
      <c r="C4" s="5" t="inlineStr">
        <is>
          <t>Evidence layer</t>
        </is>
      </c>
      <c r="D4" s="5" t="inlineStr">
        <is>
          <t>Metric</t>
        </is>
      </c>
      <c r="E4" s="5" t="inlineStr">
        <is>
          <t>Numerator</t>
        </is>
      </c>
      <c r="F4" s="5" t="inlineStr">
        <is>
          <t>Denominator</t>
        </is>
      </c>
      <c r="G4" s="5" t="inlineStr">
        <is>
          <t>Rate</t>
        </is>
      </c>
      <c r="H4" s="5" t="inlineStr">
        <is>
          <t>Direct observation</t>
        </is>
      </c>
      <c r="I4" s="5" t="inlineStr">
        <is>
          <t>Defensible inference</t>
        </is>
      </c>
      <c r="J4" s="5" t="inlineStr">
        <is>
          <t>Alternative interpretation / challenge</t>
        </is>
      </c>
      <c r="K4" s="5" t="inlineStr">
        <is>
          <t>What the data DO NOT support</t>
        </is>
      </c>
      <c r="L4" s="5" t="inlineStr">
        <is>
          <t>Drill-down key</t>
        </is>
      </c>
      <c r="M4" s="5" t="inlineStr">
        <is>
          <t>Evidence status</t>
        </is>
      </c>
      <c r="N4" s="5" t="inlineStr">
        <is>
          <t>Teaching priority</t>
        </is>
      </c>
      <c r="O4" s="5" t="inlineStr">
        <is>
          <t>Reasoning move</t>
        </is>
      </c>
      <c r="P4" s="5" t="inlineStr">
        <is>
          <t>Confidence</t>
        </is>
      </c>
      <c r="Q4" s="5" t="inlineStr">
        <is>
          <t>Interactive prompt</t>
        </is>
      </c>
      <c r="R4" s="5" t="inlineStr">
        <is>
          <t>Public use status</t>
        </is>
      </c>
    </row>
    <row r="5">
      <c r="A5" s="7" t="inlineStr">
        <is>
          <t>INF-01</t>
        </is>
      </c>
      <c r="B5" s="7" t="inlineStr">
        <is>
          <t>Broad inherited common ground</t>
        </is>
      </c>
      <c r="C5" s="7" t="inlineStr">
        <is>
          <t>Inherited 57</t>
        </is>
      </c>
      <c r="D5" s="7" t="inlineStr">
        <is>
          <t>Inherited predicates coded A or Q</t>
        </is>
      </c>
      <c r="E5" s="7">
        <f>COUNTIF('Inherited 57'!F2:F58,"A")+COUNTIF('Inherited 57'!F2:F58,"Q")</f>
        <v/>
      </c>
      <c r="F5" s="7">
        <f>COUNTA('Inherited 57'!A2:A58)</f>
        <v/>
      </c>
      <c r="G5" s="12">
        <f>IFERROR(E5/F5,0)</f>
        <v/>
      </c>
      <c r="H5" s="7" t="inlineStr">
        <is>
          <t>Most inherited predicate families fall in A or Q rather than D.</t>
        </is>
      </c>
      <c r="I5" s="7" t="inlineStr">
        <is>
          <t>Within this bounded corpus, identifiable conceptual common ground is broad even when some shared concepts are materially redefined.</t>
        </is>
      </c>
      <c r="J5" s="7" t="inlineStr">
        <is>
          <t>Predicate normalization and semantic floors affect the count; broad conceptual overlap need not mean shallow theological difference.</t>
        </is>
      </c>
      <c r="K5" s="7" t="inlineStr">
        <is>
          <t>It does not mean 91% identical doctrine, 91% of Christianity, or 91% agreement with any one communion.</t>
        </is>
      </c>
      <c r="L5" s="7" t="inlineStr">
        <is>
          <t>Inherited 57: filter Current A/Q/D/U = A or Q</t>
        </is>
      </c>
      <c r="M5" s="7" t="inlineStr">
        <is>
          <t>Internally accepted; external scholarly coding pending</t>
        </is>
      </c>
      <c r="N5" s="7" t="inlineStr">
        <is>
          <t>Core</t>
        </is>
      </c>
      <c r="O5" s="7" t="inlineStr">
        <is>
          <t>Aggregate count → bounded generalization</t>
        </is>
      </c>
      <c r="P5" s="7" t="inlineStr">
        <is>
          <t>High</t>
        </is>
      </c>
      <c r="Q5" s="7" t="inlineStr">
        <is>
          <t>What changes when Q is separated from A rather than counted as identical agreement?</t>
        </is>
      </c>
      <c r="R5" s="7" t="inlineStr">
        <is>
          <t>AVAILABLE FOR MINISTRY REVIEW — retain internal/provisional caveats</t>
        </is>
      </c>
    </row>
    <row r="6">
      <c r="A6" s="7" t="inlineStr">
        <is>
          <t>INF-02</t>
        </is>
      </c>
      <c r="B6" s="7" t="inlineStr">
        <is>
          <t>Positive / kataphatic continuity</t>
        </is>
      </c>
      <c r="C6" s="7" t="inlineStr">
        <is>
          <t>Inherited 57</t>
        </is>
      </c>
      <c r="D6" s="7" t="inlineStr">
        <is>
          <t>Positive predicates with A or Q</t>
        </is>
      </c>
      <c r="E6" s="7">
        <f>COUNTIFS('Inherited 57'!B2:B58,"Kataphatic",'Inherited 57'!F2:F58,"A")+COUNTIFS('Inherited 57'!B2:B58,"Kataphatic",'Inherited 57'!F2:F58,"Q")</f>
        <v/>
      </c>
      <c r="F6" s="7">
        <f>COUNTIF('Inherited 57'!B2:B58,"Kataphatic")</f>
        <v/>
      </c>
      <c r="G6" s="12">
        <f>IFERROR(E6/F6,0)</f>
        <v/>
      </c>
      <c r="H6" s="7" t="inlineStr">
        <is>
          <t>All 35 positive/kataphatic families are A or Q; none are D.</t>
        </is>
      </c>
      <c r="I6" s="7" t="inlineStr">
        <is>
          <t>Continuity is especially strong in positive descriptions of divine character, identity, power, and action.</t>
        </is>
      </c>
      <c r="J6" s="7" t="inlineStr">
        <is>
          <t>The positive corpus may contain many morally/relationally familiar predicates while harder metaphysical claims appear disproportionately in negative formulations.</t>
        </is>
      </c>
      <c r="K6" s="7" t="inlineStr">
        <is>
          <t>It does not prove that all positive theological meanings are identical or that metaphysics is unimportant.</t>
        </is>
      </c>
      <c r="L6" s="7" t="inlineStr">
        <is>
          <t>Inherited 57: Original mode = Kataphatic</t>
        </is>
      </c>
      <c r="M6" s="7" t="inlineStr">
        <is>
          <t>Internally accepted; external scholarly coding pending</t>
        </is>
      </c>
      <c r="N6" s="7" t="inlineStr">
        <is>
          <t>Core</t>
        </is>
      </c>
      <c r="O6" s="7" t="inlineStr">
        <is>
          <t>Subset comparison → pattern inference</t>
        </is>
      </c>
      <c r="P6" s="7" t="inlineStr">
        <is>
          <t>High</t>
        </is>
      </c>
      <c r="Q6" s="7" t="inlineStr">
        <is>
          <t>Why might two traditions agree strongly on 'God is loving' while disagreeing sharply about divine embodiment?</t>
        </is>
      </c>
      <c r="R6" s="7" t="inlineStr">
        <is>
          <t>AVAILABLE FOR MINISTRY REVIEW — retain internal/provisional caveats</t>
        </is>
      </c>
    </row>
    <row r="7">
      <c r="A7" s="7" t="inlineStr">
        <is>
          <t>INF-03</t>
        </is>
      </c>
      <c r="B7" s="7" t="inlineStr">
        <is>
          <t>Negative / metaphysical concentration</t>
        </is>
      </c>
      <c r="C7" s="7" t="inlineStr">
        <is>
          <t>Inherited 57</t>
        </is>
      </c>
      <c r="D7" s="7" t="inlineStr">
        <is>
          <t>Negative/apophatic families coded Q or D</t>
        </is>
      </c>
      <c r="E7" s="7">
        <f>COUNTIFS('Inherited 57'!B2:B58,"&lt;&gt;Kataphatic",'Inherited 57'!F2:F58,"Q")+COUNTIFS('Inherited 57'!B2:B58,"&lt;&gt;Kataphatic",'Inherited 57'!F2:F58,"D")</f>
        <v/>
      </c>
      <c r="F7" s="7">
        <f>COUNTIF('Inherited 57'!B2:B58,"&lt;&gt;Kataphatic")</f>
        <v/>
      </c>
      <c r="G7" s="12">
        <f>IFERROR(E7/F7,0)</f>
        <v/>
      </c>
      <c r="H7" s="7" t="inlineStr">
        <is>
          <t>The negative/apophatic/delimiter corpus contains far more Q and all five D classifications.</t>
        </is>
      </c>
      <c r="I7" s="7" t="inlineStr">
        <is>
          <t>The principal semantic friction is disproportionately concentrated in negative metaphysical delimiters rather than distributed evenly across all God-language.</t>
        </is>
      </c>
      <c r="J7" s="7" t="inlineStr">
        <is>
          <t>Some of this asymmetry may reflect how the historical corpus itself is constructed and how apophatic propositions encode thicker metaphysical commitments.</t>
        </is>
      </c>
      <c r="K7" s="7" t="inlineStr">
        <is>
          <t>It does not prove that apophatic theology is false, pagan, politically invented, or intrinsically less Christian.</t>
        </is>
      </c>
      <c r="L7" s="7" t="inlineStr">
        <is>
          <t>Inherited 57: Original mode ≠ Kataphatic</t>
        </is>
      </c>
      <c r="M7" s="7" t="inlineStr">
        <is>
          <t>Internally accepted; external scholarly coding pending</t>
        </is>
      </c>
      <c r="N7" s="7" t="inlineStr">
        <is>
          <t>Core</t>
        </is>
      </c>
      <c r="O7" s="7" t="inlineStr">
        <is>
          <t>Contrast subsets → concentration inference</t>
        </is>
      </c>
      <c r="P7" s="7" t="inlineStr">
        <is>
          <t>High</t>
        </is>
      </c>
      <c r="Q7" s="7" t="inlineStr">
        <is>
          <t>Which negative predicates are Q rather than D, and what shared concern survives in each?</t>
        </is>
      </c>
      <c r="R7" s="7" t="inlineStr">
        <is>
          <t>AVAILABLE FOR MINISTRY REVIEW — retain internal/provisional caveats</t>
        </is>
      </c>
    </row>
    <row r="8">
      <c r="A8" s="7" t="inlineStr">
        <is>
          <t>INF-04</t>
        </is>
      </c>
      <c r="B8" s="7" t="inlineStr">
        <is>
          <t>Localization of hard divergence</t>
        </is>
      </c>
      <c r="C8" s="7" t="inlineStr">
        <is>
          <t>Inherited 57</t>
        </is>
      </c>
      <c r="D8" s="7" t="inlineStr">
        <is>
          <t>Direct-divergence predicates</t>
        </is>
      </c>
      <c r="E8" s="7">
        <f>COUNTIF('Inherited 57'!F2:F58,"D")</f>
        <v/>
      </c>
      <c r="F8" s="7">
        <f>COUNTA('Inherited 57'!A2:A58)</f>
        <v/>
      </c>
      <c r="G8" s="12">
        <f>IFERROR(E8/F8,0)</f>
        <v/>
      </c>
      <c r="H8" s="7" t="inlineStr">
        <is>
          <t>Only five inherited families are coded D, and all belong to the negative/metaphysical side of the corpus.</t>
        </is>
      </c>
      <c r="I8" s="7" t="inlineStr">
        <is>
          <t>Direct contradiction is limited in count and concentrated in a small metaphysical cluster.</t>
        </is>
      </c>
      <c r="J8" s="7" t="inlineStr">
        <is>
          <t>A small number of architectonic doctrines can influence the interpretation of many other propositions.</t>
        </is>
      </c>
      <c r="K8" s="7" t="inlineStr">
        <is>
          <t>It does not support calling the differences minor merely because there are only five D rows.</t>
        </is>
      </c>
      <c r="L8" s="7" t="inlineStr">
        <is>
          <t>Predicate IDs H41, H42, H43, H44, H57</t>
        </is>
      </c>
      <c r="M8" s="7" t="inlineStr">
        <is>
          <t>Internally accepted; centrality analysis says significance may exceed count</t>
        </is>
      </c>
      <c r="N8" s="7" t="inlineStr">
        <is>
          <t>Core</t>
        </is>
      </c>
      <c r="O8" s="7" t="inlineStr">
        <is>
          <t>Localization → significance-with-caution</t>
        </is>
      </c>
      <c r="P8" s="7" t="inlineStr">
        <is>
          <t>High</t>
        </is>
      </c>
      <c r="Q8" s="7" t="inlineStr">
        <is>
          <t>Can a small cluster of doctrines matter more than its raw count suggests?</t>
        </is>
      </c>
      <c r="R8" s="7" t="inlineStr">
        <is>
          <t>AVAILABLE FOR MINISTRY REVIEW — retain internal/provisional caveats</t>
        </is>
      </c>
    </row>
    <row r="9">
      <c r="A9" s="7" t="inlineStr">
        <is>
          <t>INF-05</t>
        </is>
      </c>
      <c r="B9" s="7" t="inlineStr">
        <is>
          <t>Evidence-first branch coverage</t>
        </is>
      </c>
      <c r="C9" s="7" t="inlineStr">
        <is>
          <t>Evidence-First Cell Queue</t>
        </is>
      </c>
      <c r="D9" s="7" t="inlineStr">
        <is>
          <t>Released theological-result cells in the 456-cell evidence-first queue</t>
        </is>
      </c>
      <c r="E9" s="7">
        <f>COUNTIF('Evidence-First Cell Queue'!Y6:Y461,"&lt;&gt;EXCLUDED")</f>
        <v/>
      </c>
      <c r="F9" s="7">
        <f>COUNTA('Evidence-First Cell Queue'!A6:A461)</f>
        <v/>
      </c>
      <c r="G9" s="12">
        <f>IFERROR(E9/F9,0)</f>
        <v/>
      </c>
      <c r="H9" s="7" t="inlineStr">
        <is>
          <t>The queue contains 141 released A/Q/D metric cells and 315 cells that are explicitly excluded because they are pending, vector, not located, held, or out of scope.</t>
        </is>
      </c>
      <c r="I9" s="7" t="inlineStr">
        <is>
          <t>The current branch layer is primarily an evidence-recovery map, not yet a complete denomination-concordance dataset.</t>
        </is>
      </c>
      <c r="J9" s="7" t="inlineStr">
        <is>
          <t>Coverage can increase materially as source recovery continues; released-result counts should not be confused with doctrinal importance.</t>
        </is>
      </c>
      <c r="K9" s="7" t="inlineStr">
        <is>
          <t>It does not support a denomination similarity percentage, a population estimate of Christian doctrine, or closest/furthest ranking.</t>
        </is>
      </c>
      <c r="L9" s="7" t="inlineStr">
        <is>
          <t>Evidence-First Cell Queue: Metric Class = A/Q/D vs EXCLUDED</t>
        </is>
      </c>
      <c r="M9" s="7" t="inlineStr">
        <is>
          <t>QUEUE-DERIVED — merged v2.9 hardening</t>
        </is>
      </c>
      <c r="N9" s="7" t="inlineStr">
        <is>
          <t>Core</t>
        </is>
      </c>
      <c r="O9" s="7" t="inlineStr">
        <is>
          <t>Coverage accounting → publication restraint</t>
        </is>
      </c>
      <c r="P9" s="7" t="inlineStr">
        <is>
          <t>High</t>
        </is>
      </c>
      <c r="Q9" s="7" t="inlineStr">
        <is>
          <t>How much of the 456-cell branch universe is actually source-ready, and what remains unresolved?</t>
        </is>
      </c>
      <c r="R9" s="7" t="inlineStr">
        <is>
          <t>AVAILABLE FOR MINISTRY REVIEW — coverage inference only</t>
        </is>
      </c>
    </row>
    <row r="10">
      <c r="A10" s="7" t="inlineStr">
        <is>
          <t>INF-06</t>
        </is>
      </c>
      <c r="B10" s="7" t="inlineStr">
        <is>
          <t>Unequal evidence coverage</t>
        </is>
      </c>
      <c r="C10" s="7" t="inlineStr">
        <is>
          <t>Branch State Summary</t>
        </is>
      </c>
      <c r="D10" s="7" t="inlineStr">
        <is>
          <t>Range of released-result counts (max − min)</t>
        </is>
      </c>
      <c r="E10" s="7">
        <f>MAX('Branch State Summary'!M2:M9)-MIN('Branch State Summary'!M2:M9)</f>
        <v/>
      </c>
      <c r="F10" s="7">
        <f>57</f>
        <v/>
      </c>
      <c r="G10" s="12">
        <f>IFERROR(E10/F10,0)</f>
        <v/>
      </c>
      <c r="H10" s="7" t="inlineStr">
        <is>
          <t>Released A/Q/D results range from 10 to 37 cells across branches (spread 27), while each branch still displays all 57 explicit states.</t>
        </is>
      </c>
      <c r="I10" s="7" t="inlineStr">
        <is>
          <t>Branch comparisons must display evidence completeness alongside theological states; raw result counts are not comparable without the missingness context.</t>
        </is>
      </c>
      <c r="J10" s="7" t="inlineStr">
        <is>
          <t>Differences reflect admitted-source recovery as well as genuine formulation differences.</t>
        </is>
      </c>
      <c r="K10" s="7" t="inlineStr">
        <is>
          <t>It does not support ranking traditions by closeness or interpreting a sparse branch as unusually harmonious.</t>
        </is>
      </c>
      <c r="L10" s="7" t="inlineStr">
        <is>
          <t>Branch State Summary: Released results and Not located columns</t>
        </is>
      </c>
      <c r="M10" s="7" t="inlineStr">
        <is>
          <t>QUEUE-DERIVED — merged v2.9 hardening</t>
        </is>
      </c>
      <c r="N10" s="7" t="inlineStr">
        <is>
          <t>Core</t>
        </is>
      </c>
      <c r="O10" s="7" t="inlineStr">
        <is>
          <t>Denominator/missingness audit → ranking restraint</t>
        </is>
      </c>
      <c r="P10" s="7" t="inlineStr">
        <is>
          <t>High</t>
        </is>
      </c>
      <c r="Q10" s="7" t="inlineStr">
        <is>
          <t>Why is a branch with 9 released cells not directly comparable to one with 37?</t>
        </is>
      </c>
      <c r="R10" s="7" t="inlineStr">
        <is>
          <t>AVAILABLE FOR MINISTRY REVIEW — coverage inference only</t>
        </is>
      </c>
    </row>
    <row r="11">
      <c r="A11" s="7" t="inlineStr">
        <is>
          <t>INF-07</t>
        </is>
      </c>
      <c r="B11" s="7" t="inlineStr">
        <is>
          <t>Explicit missingness</t>
        </is>
      </c>
      <c r="C11" s="7" t="inlineStr">
        <is>
          <t>Evidence-First Cell Queue</t>
        </is>
      </c>
      <c r="D11" s="7" t="inlineStr">
        <is>
          <t>Explicit NOT LOCATED states</t>
        </is>
      </c>
      <c r="E11" s="7">
        <f>SUM('Branch State Summary'!J2:J9)</f>
        <v/>
      </c>
      <c r="F11" s="7">
        <f>COUNTA('Evidence-First Cell Queue'!A6:A461)</f>
        <v/>
      </c>
      <c r="G11" s="12">
        <f>IFERROR(E11/F11,0)</f>
        <v/>
      </c>
      <c r="H11" s="7" t="inlineStr">
        <is>
          <t>The repaired queue contains 294 explicit NOT LOCATED states rather than blank cells.</t>
        </is>
      </c>
      <c r="I11" s="7" t="inlineStr">
        <is>
          <t>Missingness is part of the evidence model and must be visually represented in any branch view.</t>
        </is>
      </c>
      <c r="J11" s="7" t="inlineStr">
        <is>
          <t>Some missingness reflects incomplete recovery; other rows are reviewed current-standard gaps.</t>
        </is>
      </c>
      <c r="K11" s="7" t="inlineStr">
        <is>
          <t>A NOT LOCATED state never establishes doctrinal denial, contradiction, or historical absence.</t>
        </is>
      </c>
      <c r="L11" s="7" t="inlineStr">
        <is>
          <t>Evidence-First Cell Queue: Rendered State begins NOT LOCATED</t>
        </is>
      </c>
      <c r="M11" s="7" t="inlineStr">
        <is>
          <t>QUEUE-DERIVED — merged v2.9 hardening</t>
        </is>
      </c>
      <c r="N11" s="7" t="inlineStr">
        <is>
          <t>Core</t>
        </is>
      </c>
      <c r="O11" s="7" t="inlineStr">
        <is>
          <t>Missingness audit → absence/denial distinction</t>
        </is>
      </c>
      <c r="P11" s="7" t="inlineStr">
        <is>
          <t>High</t>
        </is>
      </c>
      <c r="Q11" s="7" t="inlineStr">
        <is>
          <t>What changes when the learner can see exactly which cells are evidence gaps?</t>
        </is>
      </c>
      <c r="R11" s="7" t="inlineStr">
        <is>
          <t>AVAILABLE FOR MINISTRY REVIEW — explicit missingness</t>
        </is>
      </c>
    </row>
    <row r="12">
      <c r="A12" s="7" t="inlineStr">
        <is>
          <t>INF-08</t>
        </is>
      </c>
      <c r="B12" s="7" t="inlineStr">
        <is>
          <t>Broad Son continuity</t>
        </is>
      </c>
      <c r="C12" s="7" t="inlineStr">
        <is>
          <t>Evidence-First Cell Queue</t>
        </is>
      </c>
      <c r="D12" s="7" t="inlineStr">
        <is>
          <t>H05 Son certified A across eight teaching branches</t>
        </is>
      </c>
      <c r="E12" s="7">
        <f>COUNTIFS('Evidence-First Cell Queue'!B6:B461,"RNR-H05",'Evidence-First Cell Queue'!X6:X461,"A")</f>
        <v/>
      </c>
      <c r="F12" s="7">
        <f>8</f>
        <v/>
      </c>
      <c r="G12" s="12">
        <f>IFERROR(E12/F12,0)</f>
        <v/>
      </c>
      <c r="H12" s="7" t="inlineStr">
        <is>
          <t>H05 Son is public-certified A in all eight teaching branches.</t>
        </is>
      </c>
      <c r="I12" s="7" t="inlineStr">
        <is>
          <t>At the controlled filial identity/relationship floor, Christ-centered positive continuity is broadly attested across the current admitted branch sources.</t>
        </is>
      </c>
      <c r="J12" s="7" t="inlineStr">
        <is>
          <t>The shared 'Son' predicate does not erase differences in Nicene, Chalcedonian, or Restoration metaphysical explanations of sonship.</t>
        </is>
      </c>
      <c r="K12" s="7" t="inlineStr">
        <is>
          <t>It does not prove identical Christology or identical Father-Son ontology.</t>
        </is>
      </c>
      <c r="L12" s="7" t="inlineStr">
        <is>
          <t>Evidence-First Cell Queue: Family ID = RNR-H05; Rendered State = A</t>
        </is>
      </c>
      <c r="M12" s="7" t="inlineStr">
        <is>
          <t>QUEUE-DERIVED — complete eight-branch case</t>
        </is>
      </c>
      <c r="N12" s="7" t="inlineStr">
        <is>
          <t>Core</t>
        </is>
      </c>
      <c r="O12" s="7" t="inlineStr">
        <is>
          <t>Complete case study → bounded ecumenical inference</t>
        </is>
      </c>
      <c r="P12" s="7" t="inlineStr">
        <is>
          <t>High</t>
        </is>
      </c>
      <c r="Q12" s="7" t="inlineStr">
        <is>
          <t>What can eight A cells establish about shared confession of Jesus as Son, and what can they not establish?</t>
        </is>
      </c>
      <c r="R12" s="7" t="inlineStr">
        <is>
          <t>AVAILABLE FOR MINISTRY REVIEW — complete case</t>
        </is>
      </c>
    </row>
    <row r="13">
      <c r="A13" s="7" t="inlineStr">
        <is>
          <t>INF-09</t>
        </is>
      </c>
      <c r="B13" s="7" t="inlineStr">
        <is>
          <t>Shared Creator confession, reconstructed ontology</t>
        </is>
      </c>
      <c r="C13" s="7" t="inlineStr">
        <is>
          <t>Evidence-First Cell Queue</t>
        </is>
      </c>
      <c r="D13" s="7" t="inlineStr">
        <is>
          <t>H22 Creator / Maker certified Q across eight teaching branches</t>
        </is>
      </c>
      <c r="E13" s="7">
        <f>COUNTIFS('Evidence-First Cell Queue'!B6:B461,"RNR-H22",'Evidence-First Cell Queue'!X6:X461,"Q")</f>
        <v/>
      </c>
      <c r="F13" s="7">
        <f>8</f>
        <v/>
      </c>
      <c r="G13" s="12">
        <f>IFERROR(E13/F13,0)</f>
        <v/>
      </c>
      <c r="H13" s="7" t="inlineStr">
        <is>
          <t>H22 Creator/Maker is Q in all eight teaching branches.</t>
        </is>
      </c>
      <c r="I13" s="7" t="inlineStr">
        <is>
          <t>A concept can be universally attested across the current eight-branch teaching set and genuinely shared while the Restoration materially reconstructs its creation ontology.</t>
        </is>
      </c>
      <c r="J13" s="7" t="inlineStr">
        <is>
          <t>Individual historical Christian traditions also differ in how they articulate creation, causality, and metaphysics.</t>
        </is>
      </c>
      <c r="K13" s="7" t="inlineStr">
        <is>
          <t>Shared Creator language does not establish identical creatio-ex-nihilo commitments; Q also does not reduce the overlap to mere vocabulary.</t>
        </is>
      </c>
      <c r="L13" s="7" t="inlineStr">
        <is>
          <t>Evidence-First Cell Queue: Family ID = RNR-H22; Rendered State = Q</t>
        </is>
      </c>
      <c r="M13" s="7" t="inlineStr">
        <is>
          <t>QUEUE-DERIVED — complete eight-branch case</t>
        </is>
      </c>
      <c r="N13" s="7" t="inlineStr">
        <is>
          <t>Core</t>
        </is>
      </c>
      <c r="O13" s="7" t="inlineStr">
        <is>
          <t>Complete case study → semantic-depth inference</t>
        </is>
      </c>
      <c r="P13" s="7" t="inlineStr">
        <is>
          <t>High</t>
        </is>
      </c>
      <c r="Q13" s="7" t="inlineStr">
        <is>
          <t>How can 'God is Creator' be both fully attested across the branches and still require Q rather than A?</t>
        </is>
      </c>
      <c r="R13" s="7" t="inlineStr">
        <is>
          <t>AVAILABLE FOR MINISTRY REVIEW — complete case</t>
        </is>
      </c>
    </row>
    <row r="14">
      <c r="A14" s="7" t="inlineStr">
        <is>
          <t>INF-10</t>
        </is>
      </c>
      <c r="B14" s="7" t="inlineStr">
        <is>
          <t>Simplicity divergence with visible gaps</t>
        </is>
      </c>
      <c r="C14" s="7" t="inlineStr">
        <is>
          <t>Evidence-First Cell Queue</t>
        </is>
      </c>
      <c r="D14" s="7" t="inlineStr">
        <is>
          <t>H43 Without parts / simple explicit-state distribution</t>
        </is>
      </c>
      <c r="E14" s="7">
        <f>COUNTIFS('Evidence-First Cell Queue'!B6:B461,"RNR-H43",'Evidence-First Cell Queue'!X6:X461,"D")</f>
        <v/>
      </c>
      <c r="F14" s="7">
        <f>8</f>
        <v/>
      </c>
      <c r="G14" s="12">
        <f>IFERROR(E14/F14,0)</f>
        <v/>
      </c>
      <c r="H14" s="7" t="inlineStr">
        <is>
          <t>H43 currently shows five D cells, one PENDING REVIEW cell, and two NOT LOCATED — CURRENT SOURCE cells across the eight teaching branches.</t>
        </is>
      </c>
      <c r="I14" s="7" t="inlineStr">
        <is>
          <t>Divine simplicity is a real hard-divergence locus where certified, but the evidence-first display must preserve the unresolved Orthodox semantic review and current-source gaps for Baptist and Mennonite branches.</t>
        </is>
      </c>
      <c r="J14" s="7" t="inlineStr">
        <is>
          <t>More source recovery or semantic-floor review could alter the non-D cells without changing the already certified D cells.</t>
        </is>
      </c>
      <c r="K14" s="7" t="inlineStr">
        <is>
          <t>It does not support saying 'six of eight traditions reject the Latter-day Saint view' or treating pending/gap states as D.</t>
        </is>
      </c>
      <c r="L14" s="7" t="inlineStr">
        <is>
          <t>Evidence-First Cell Queue: Family ID = RNR-H43; inspect all eight Rendered States</t>
        </is>
      </c>
      <c r="M14" s="7" t="inlineStr">
        <is>
          <t>QUEUE-DERIVED — explicit-state case</t>
        </is>
      </c>
      <c r="N14" s="7" t="inlineStr">
        <is>
          <t>Core</t>
        </is>
      </c>
      <c r="O14" s="7" t="inlineStr">
        <is>
          <t>Mixed complete/incomplete case → divergence-with-missingness</t>
        </is>
      </c>
      <c r="P14" s="7" t="inlineStr">
        <is>
          <t>High</t>
        </is>
      </c>
      <c r="Q14" s="7" t="inlineStr">
        <is>
          <t>What does H43 teach differently when pending and missing cells remain visible instead of being colored as disagreements?</t>
        </is>
      </c>
      <c r="R14" s="7" t="inlineStr">
        <is>
          <t>AVAILABLE FOR MINISTRY REVIEW — explicit-state case</t>
        </is>
      </c>
    </row>
    <row r="15">
      <c r="A15" s="7" t="inlineStr">
        <is>
          <t>INF-11</t>
        </is>
      </c>
      <c r="B15" s="7" t="inlineStr">
        <is>
          <t>Anthropological concentration of expansion</t>
        </is>
      </c>
      <c r="C15" s="7" t="inlineStr">
        <is>
          <t>Restoration 26</t>
        </is>
      </c>
      <c r="D15" s="7" t="inlineStr">
        <is>
          <t>Kinship/premortality + exaltation/family/progression additions</t>
        </is>
      </c>
      <c r="E15" s="7">
        <f>COUNTIF('Restoration 26'!B2:B27,"Divine-human kinship / premortality")+COUNTIF('Restoration 26'!B2:B27,"Exaltation / eternal family / progression")</f>
        <v/>
      </c>
      <c r="F15" s="7">
        <f>COUNTA('Restoration 26'!A2:A27)</f>
        <v/>
      </c>
      <c r="G15" s="12">
        <f>IFERROR(E15/F15,0)</f>
        <v/>
      </c>
      <c r="H15" s="7" t="inlineStr">
        <is>
          <t>The two human-destiny domains contain 15 of the 26 Restoration-addition families.</t>
        </is>
      </c>
      <c r="I15" s="7" t="inlineStr">
        <is>
          <t>Within this bounded addition corpus, the largest conceptual expansion concerns human origin, divine kinship, premortality, eternal family, exaltation, and progression.</t>
        </is>
      </c>
      <c r="J15" s="7" t="inlineStr">
        <is>
          <t>The domain scheme is itself an analytical grouping, and historical antecedents exist for some component ideas.</t>
        </is>
      </c>
      <c r="K15" s="7" t="inlineStr">
        <is>
          <t>It does not prove those 15 teachings were wholly absent from all previous Christianity or uniquely originated after 1830.</t>
        </is>
      </c>
      <c r="L15" s="7" t="inlineStr">
        <is>
          <t>Restoration 26: domains = Divine-human kinship / premortality OR Exaltation / eternal family / progression</t>
        </is>
      </c>
      <c r="M15" s="7" t="inlineStr">
        <is>
          <t>Internally accepted grouping; historical novelty separate</t>
        </is>
      </c>
      <c r="N15" s="7" t="inlineStr">
        <is>
          <t>Core</t>
        </is>
      </c>
      <c r="O15" s="7" t="inlineStr">
        <is>
          <t>Domain aggregation → thematic concentration</t>
        </is>
      </c>
      <c r="P15" s="7" t="inlineStr">
        <is>
          <t>High</t>
        </is>
      </c>
      <c r="Q15" s="7" t="inlineStr">
        <is>
          <t>What does the Restoration appear to add most strongly: more abstract divine attributes, or a larger story of human identity and destiny?</t>
        </is>
      </c>
      <c r="R15" s="7" t="inlineStr">
        <is>
          <t>AVAILABLE FOR MINISTRY REVIEW — retain internal/provisional caveats</t>
        </is>
      </c>
    </row>
    <row r="16">
      <c r="A16" s="7" t="inlineStr">
        <is>
          <t>INF-12</t>
        </is>
      </c>
      <c r="B16" s="7" t="inlineStr">
        <is>
          <t>Authority robustness of additions</t>
        </is>
      </c>
      <c r="C16" s="7" t="inlineStr">
        <is>
          <t>Restoration 26</t>
        </is>
      </c>
      <c r="D16" s="7" t="inlineStr">
        <is>
          <t>Tier I + Tier II additions</t>
        </is>
      </c>
      <c r="E16" s="7">
        <f>COUNTIF('Restoration 26'!E2:E27,"Tier I")+COUNTIF('Restoration 26'!E2:E27,"Tier II")</f>
        <v/>
      </c>
      <c r="F16" s="7">
        <f>COUNTA('Restoration 26'!A2:A27)</f>
        <v/>
      </c>
      <c r="G16" s="12">
        <f>IFERROR(E16/F16,0)</f>
        <v/>
      </c>
      <c r="H16" s="7" t="inlineStr">
        <is>
          <t>Most Restoration additions in the corpus rest on canonical or high-level collective/official sources rather than Tier III exposition alone.</t>
        </is>
      </c>
      <c r="I16" s="7" t="inlineStr">
        <is>
          <t>The addition pattern is not dependent primarily on comparatively lower-authority prophetic exposition.</t>
        </is>
      </c>
      <c r="J16" s="7" t="inlineStr">
        <is>
          <t>Authority tiers describe source role, not truth value, historical novelty, or equal doctrinal centrality.</t>
        </is>
      </c>
      <c r="K16" s="7" t="inlineStr">
        <is>
          <t>It does not make every Tier II proposition canonical or every Tier III proposition dispensable.</t>
        </is>
      </c>
      <c r="L16" s="7" t="inlineStr">
        <is>
          <t>Restoration 26: Current authority tier = Tier I or Tier II</t>
        </is>
      </c>
      <c r="M16" s="7" t="inlineStr">
        <is>
          <t>Internally accepted authority-role model</t>
        </is>
      </c>
      <c r="N16" s="7" t="inlineStr">
        <is>
          <t>Supporting</t>
        </is>
      </c>
      <c r="O16" s="7" t="inlineStr">
        <is>
          <t>Authority sensitivity → robustness check</t>
        </is>
      </c>
      <c r="P16" s="7" t="inlineStr">
        <is>
          <t>High</t>
        </is>
      </c>
      <c r="Q16" s="7" t="inlineStr">
        <is>
          <t>Would the expansion pattern disappear if Tier III rows were removed?</t>
        </is>
      </c>
      <c r="R16" s="7" t="inlineStr">
        <is>
          <t>AVAILABLE FOR MINISTRY REVIEW — retain internal/provisional caveats</t>
        </is>
      </c>
    </row>
    <row r="17">
      <c r="A17" s="7" t="inlineStr">
        <is>
          <t>INF-13</t>
        </is>
      </c>
      <c r="B17" s="7" t="inlineStr">
        <is>
          <t>Constructive vs. subtractive distinctiveness</t>
        </is>
      </c>
      <c r="C17" s="7" t="inlineStr">
        <is>
          <t>Inherited 57 + Restoration 26</t>
        </is>
      </c>
      <c r="D17" s="7" t="inlineStr">
        <is>
          <t>Q + additions versus D among distinctive actions</t>
        </is>
      </c>
      <c r="E17" s="7">
        <f>COUNTIF('Inherited 57'!F2:F58,"Q")+COUNTA('Restoration 26'!A2:A27)</f>
        <v/>
      </c>
      <c r="F17" s="7">
        <f>COUNTIF('Inherited 57'!F2:F58,"Q")+COUNTIF('Inherited 57'!F2:F58,"D")+COUNTA('Restoration 26'!A2:A27)</f>
        <v/>
      </c>
      <c r="G17" s="12">
        <f>IFERROR(E17/F17,0)</f>
        <v/>
      </c>
      <c r="H17" s="7" t="inlineStr">
        <is>
          <t>Among rows where the Restoration does something distinctive relative to the inherited corpus, reconstruction plus expansion greatly outnumber direct rejection.</t>
        </is>
      </c>
      <c r="I17" s="7" t="inlineStr">
        <is>
          <t>The comparative pattern is more reconstructive/additive than purely subtractive in raw predicate-action counts.</t>
        </is>
      </c>
      <c r="J17" s="7" t="inlineStr">
        <is>
          <t>Raw counts do not weight doctrinal centrality, and 'constructive' is a descriptive analytical category rather than a value judgment.</t>
        </is>
      </c>
      <c r="K17" s="7" t="inlineStr">
        <is>
          <t>It does not prove the title 'Restoration, Not Replacement,' nor that reconstruction/addition is more important than divergence.</t>
        </is>
      </c>
      <c r="L17" s="7" t="inlineStr">
        <is>
          <t>Inherited 57 codes Q/D + all Restoration 26 rows</t>
        </is>
      </c>
      <c r="M17" s="7" t="inlineStr">
        <is>
          <t>Internally accepted counts; interpretation remains bounded</t>
        </is>
      </c>
      <c r="N17" s="7" t="inlineStr">
        <is>
          <t>Supporting</t>
        </is>
      </c>
      <c r="O17" s="7" t="inlineStr">
        <is>
          <t>Action-type composition → bounded title support</t>
        </is>
      </c>
      <c r="P17" s="7" t="inlineStr">
        <is>
          <t>Medium-High</t>
        </is>
      </c>
      <c r="Q17" s="7" t="inlineStr">
        <is>
          <t>How does the picture change when Q is treated as reconstruction rather than simply agreement or disagreement?</t>
        </is>
      </c>
      <c r="R17" s="7" t="inlineStr">
        <is>
          <t>AVAILABLE FOR MINISTRY REVIEW — retain internal/provisional caveats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B3" sqref="B3"/>
    </sheetView>
  </sheetViews>
  <sheetFormatPr baseColWidth="8" defaultColWidth="12.63" defaultRowHeight="15" customHeight="1"/>
  <cols>
    <col width="14" customWidth="1" style="29" min="1" max="1"/>
    <col width="12" customWidth="1" style="29" min="2" max="2"/>
    <col width="24" customWidth="1" style="29" min="3" max="3"/>
    <col width="26" customWidth="1" style="29" min="4" max="4"/>
    <col width="50" customWidth="1" style="29" min="5" max="5"/>
    <col width="36" customWidth="1" style="29" min="6" max="6"/>
    <col width="22" customWidth="1" style="29" min="7" max="7"/>
    <col width="36" customWidth="1" style="29" min="8" max="8"/>
    <col width="60" customWidth="1" style="29" min="9" max="9"/>
    <col width="28" customWidth="1" style="29" min="10" max="10"/>
    <col width="58" customWidth="1" style="29" min="11" max="11"/>
    <col width="8.630000000000001" customWidth="1" style="29" min="12" max="26"/>
  </cols>
  <sheetData>
    <row r="1">
      <c r="A1" s="5" t="inlineStr">
        <is>
          <t>Evidence Link ID</t>
        </is>
      </c>
      <c r="B1" s="5" t="inlineStr">
        <is>
          <t>Inference ID</t>
        </is>
      </c>
      <c r="C1" s="5" t="inlineStr">
        <is>
          <t>Evidence type</t>
        </is>
      </c>
      <c r="D1" s="5" t="inlineStr">
        <is>
          <t>Source sheet</t>
        </is>
      </c>
      <c r="E1" s="5" t="inlineStr">
        <is>
          <t>Source subset / filter</t>
        </is>
      </c>
      <c r="F1" s="5" t="inlineStr">
        <is>
          <t>Predicate IDs / rows</t>
        </is>
      </c>
      <c r="G1" s="5" t="inlineStr">
        <is>
          <t>Matrix scope</t>
        </is>
      </c>
      <c r="H1" s="5" t="inlineStr">
        <is>
          <t>Measure contributed</t>
        </is>
      </c>
      <c r="I1" s="5" t="inlineStr">
        <is>
          <t>Why relevant</t>
        </is>
      </c>
      <c r="J1" s="5" t="inlineStr">
        <is>
          <t>Provenance grade</t>
        </is>
      </c>
      <c r="K1" s="5" t="inlineStr">
        <is>
          <t>Reconstruction caveat</t>
        </is>
      </c>
    </row>
    <row r="2">
      <c r="A2" s="7" t="inlineStr">
        <is>
          <t>EVL-001</t>
        </is>
      </c>
      <c r="B2" s="7" t="inlineStr">
        <is>
          <t>INF-01</t>
        </is>
      </c>
      <c r="C2" s="7" t="inlineStr">
        <is>
          <t>Aggregate</t>
        </is>
      </c>
      <c r="D2" s="7" t="inlineStr">
        <is>
          <t>Inherited 57</t>
        </is>
      </c>
      <c r="E2" s="7" t="inlineStr">
        <is>
          <t>F = A or Q</t>
        </is>
      </c>
      <c r="F2" s="7" t="inlineStr">
        <is>
          <t>H01–H57</t>
        </is>
      </c>
      <c r="G2" s="7" t="inlineStr">
        <is>
          <t>N/A</t>
        </is>
      </c>
      <c r="H2" s="7" t="inlineStr">
        <is>
          <t>52 of 57 shared-concept floor</t>
        </is>
      </c>
      <c r="I2" s="7" t="inlineStr">
        <is>
          <t>Counts all inherited families with substantive or qualified common ground.</t>
        </is>
      </c>
      <c r="J2" s="7" t="inlineStr">
        <is>
          <t>Accepted internal</t>
        </is>
      </c>
      <c r="K2" s="7" t="inlineStr">
        <is>
          <t>External coder replication pending.</t>
        </is>
      </c>
    </row>
    <row r="3">
      <c r="A3" s="7" t="inlineStr">
        <is>
          <t>EVL-002</t>
        </is>
      </c>
      <c r="B3" s="7" t="inlineStr">
        <is>
          <t>INF-02</t>
        </is>
      </c>
      <c r="C3" s="7" t="inlineStr">
        <is>
          <t>Subset</t>
        </is>
      </c>
      <c r="D3" s="7" t="inlineStr">
        <is>
          <t>Inherited 57</t>
        </is>
      </c>
      <c r="E3" s="7" t="inlineStr">
        <is>
          <t>B = Kataphatic</t>
        </is>
      </c>
      <c r="F3" s="7" t="inlineStr">
        <is>
          <t>H01–H35</t>
        </is>
      </c>
      <c r="G3" s="7" t="inlineStr">
        <is>
          <t>N/A</t>
        </is>
      </c>
      <c r="H3" s="7" t="inlineStr">
        <is>
          <t>32 A + 3 Q + 0 D</t>
        </is>
      </c>
      <c r="I3" s="7" t="inlineStr">
        <is>
          <t>Shows positive divine-language pattern.</t>
        </is>
      </c>
      <c r="J3" s="7" t="inlineStr">
        <is>
          <t>Accepted internal</t>
        </is>
      </c>
      <c r="K3" s="7" t="inlineStr">
        <is>
          <t>Positive/negative normalization is corpus-dependent.</t>
        </is>
      </c>
    </row>
    <row r="4">
      <c r="A4" s="7" t="inlineStr">
        <is>
          <t>EVL-003</t>
        </is>
      </c>
      <c r="B4" s="7" t="inlineStr">
        <is>
          <t>INF-03</t>
        </is>
      </c>
      <c r="C4" s="7" t="inlineStr">
        <is>
          <t>Subset</t>
        </is>
      </c>
      <c r="D4" s="7" t="inlineStr">
        <is>
          <t>Inherited 57</t>
        </is>
      </c>
      <c r="E4" s="7" t="inlineStr">
        <is>
          <t>B ≠ Kataphatic</t>
        </is>
      </c>
      <c r="F4" s="7" t="inlineStr">
        <is>
          <t>H36–H57</t>
        </is>
      </c>
      <c r="G4" s="7" t="inlineStr">
        <is>
          <t>N/A</t>
        </is>
      </c>
      <c r="H4" s="7" t="inlineStr">
        <is>
          <t>4 A + 13 Q + 5 D</t>
        </is>
      </c>
      <c r="I4" s="7" t="inlineStr">
        <is>
          <t>Locates semantic friction in negative/delimiter corpus.</t>
        </is>
      </c>
      <c r="J4" s="7" t="inlineStr">
        <is>
          <t>Accepted internal</t>
        </is>
      </c>
      <c r="K4" s="7" t="inlineStr">
        <is>
          <t>Do not infer historical origin from coding pattern.</t>
        </is>
      </c>
    </row>
    <row r="5">
      <c r="A5" s="7" t="inlineStr">
        <is>
          <t>EVL-004</t>
        </is>
      </c>
      <c r="B5" s="7" t="inlineStr">
        <is>
          <t>INF-04</t>
        </is>
      </c>
      <c r="C5" s="7" t="inlineStr">
        <is>
          <t>Predicate set</t>
        </is>
      </c>
      <c r="D5" s="7" t="inlineStr">
        <is>
          <t>Inherited 57</t>
        </is>
      </c>
      <c r="E5" s="7" t="inlineStr">
        <is>
          <t>F = D</t>
        </is>
      </c>
      <c r="F5" s="7" t="inlineStr">
        <is>
          <t>H41,H42,H43,H44,H57</t>
        </is>
      </c>
      <c r="G5" s="7" t="inlineStr">
        <is>
          <t>N/A</t>
        </is>
      </c>
      <c r="H5" s="7" t="inlineStr">
        <is>
          <t>5 direct divergences</t>
        </is>
      </c>
      <c r="I5" s="7" t="inlineStr">
        <is>
          <t>Shows hard-divergence cluster.</t>
        </is>
      </c>
      <c r="J5" s="7" t="inlineStr">
        <is>
          <t>Accepted internal</t>
        </is>
      </c>
      <c r="K5" s="7" t="inlineStr">
        <is>
          <t>Centrality may make the cluster more important than raw count.</t>
        </is>
      </c>
    </row>
    <row r="6">
      <c r="A6" s="7" t="inlineStr">
        <is>
          <t>EVL-005</t>
        </is>
      </c>
      <c r="B6" s="7" t="inlineStr">
        <is>
          <t>INF-05</t>
        </is>
      </c>
      <c r="C6" s="7" t="inlineStr">
        <is>
          <t>Queue aggregate</t>
        </is>
      </c>
      <c r="D6" s="7" t="inlineStr">
        <is>
          <t>Evidence-First Cell Queue</t>
        </is>
      </c>
      <c r="E6" s="7" t="inlineStr">
        <is>
          <t>Metric Class = A/Q/D versus EXCLUDED</t>
        </is>
      </c>
      <c r="F6" s="7" t="inlineStr">
        <is>
          <t>All 456 queue cells</t>
        </is>
      </c>
      <c r="G6" s="7" t="inlineStr">
        <is>
          <t>456 family×branch cells</t>
        </is>
      </c>
      <c r="H6" s="7" t="inlineStr">
        <is>
          <t>141 released result cells / 315 excluded</t>
        </is>
      </c>
      <c r="I6" s="7" t="inlineStr">
        <is>
          <t>Establishes current evidence coverage rather than concordance.</t>
        </is>
      </c>
      <c r="J6" s="7" t="inlineStr">
        <is>
          <t>QUEUE-DERIVED</t>
        </is>
      </c>
      <c r="K6" s="7" t="inlineStr">
        <is>
          <t>No denomination percentage or ranking.</t>
        </is>
      </c>
    </row>
    <row r="7">
      <c r="A7" s="7" t="inlineStr">
        <is>
          <t>EVL-006</t>
        </is>
      </c>
      <c r="B7" s="7" t="inlineStr">
        <is>
          <t>INF-06</t>
        </is>
      </c>
      <c r="C7" s="7" t="inlineStr">
        <is>
          <t>Branch coverage</t>
        </is>
      </c>
      <c r="D7" s="7" t="inlineStr">
        <is>
          <t>Branch State Summary</t>
        </is>
      </c>
      <c r="E7" s="7" t="inlineStr">
        <is>
          <t>Released-result counts by teaching branch</t>
        </is>
      </c>
      <c r="F7" s="7" t="inlineStr">
        <is>
          <t>8 branch summaries</t>
        </is>
      </c>
      <c r="G7" s="7" t="inlineStr">
        <is>
          <t>8 × 57 explicit states</t>
        </is>
      </c>
      <c r="H7" s="7" t="inlineStr">
        <is>
          <t>released-result range 10–37 (spread 27)</t>
        </is>
      </c>
      <c r="I7" s="7" t="inlineStr">
        <is>
          <t>Shows material coverage imbalance across branches.</t>
        </is>
      </c>
      <c r="J7" s="7" t="inlineStr">
        <is>
          <t>QUEUE-DERIVED</t>
        </is>
      </c>
      <c r="K7" s="7" t="inlineStr">
        <is>
          <t>Missingness and recovery density affect branch comparability.</t>
        </is>
      </c>
    </row>
    <row r="8">
      <c r="A8" s="7" t="inlineStr">
        <is>
          <t>EVL-007</t>
        </is>
      </c>
      <c r="B8" s="7" t="inlineStr">
        <is>
          <t>INF-07</t>
        </is>
      </c>
      <c r="C8" s="7" t="inlineStr">
        <is>
          <t>Missingness</t>
        </is>
      </c>
      <c r="D8" s="7" t="inlineStr">
        <is>
          <t>Evidence-First Cell Queue</t>
        </is>
      </c>
      <c r="E8" s="7" t="inlineStr">
        <is>
          <t>Rendered State begins NOT LOCATED</t>
        </is>
      </c>
      <c r="F8" s="7" t="inlineStr">
        <is>
          <t>All 456 queue cells</t>
        </is>
      </c>
      <c r="G8" s="7" t="inlineStr">
        <is>
          <t>456 cells</t>
        </is>
      </c>
      <c r="H8" s="7" t="inlineStr">
        <is>
          <t>294 explicit NOT LOCATED states</t>
        </is>
      </c>
      <c r="I8" s="7" t="inlineStr">
        <is>
          <t>Makes evidence gaps visible instead of treating blanks as theological data.</t>
        </is>
      </c>
      <c r="J8" s="7" t="inlineStr">
        <is>
          <t>QUEUE-DERIVED</t>
        </is>
      </c>
      <c r="K8" s="7" t="inlineStr">
        <is>
          <t>NOT LOCATED never means denial.</t>
        </is>
      </c>
    </row>
    <row r="9">
      <c r="A9" s="7" t="inlineStr">
        <is>
          <t>EVL-008</t>
        </is>
      </c>
      <c r="B9" s="7" t="inlineStr">
        <is>
          <t>INF-08</t>
        </is>
      </c>
      <c r="C9" s="7" t="inlineStr">
        <is>
          <t>Complete case study</t>
        </is>
      </c>
      <c r="D9" s="7" t="inlineStr">
        <is>
          <t>Evidence-First Cell Queue</t>
        </is>
      </c>
      <c r="E9" s="7" t="inlineStr">
        <is>
          <t>Family ID = RNR-H05</t>
        </is>
      </c>
      <c r="F9" s="7" t="inlineStr">
        <is>
          <t>H05</t>
        </is>
      </c>
      <c r="G9" s="7" t="inlineStr">
        <is>
          <t>8 branches</t>
        </is>
      </c>
      <c r="H9" s="7" t="inlineStr">
        <is>
          <t>8 A</t>
        </is>
      </c>
      <c r="I9" s="7" t="inlineStr">
        <is>
          <t>Shows broad attested continuity in confessing Jesus as Son.</t>
        </is>
      </c>
      <c r="J9" s="7" t="inlineStr">
        <is>
          <t>QUEUE-DERIVED</t>
        </is>
      </c>
      <c r="K9" s="7" t="inlineStr">
        <is>
          <t>Does not establish identical Son-metaphysics.</t>
        </is>
      </c>
    </row>
    <row r="10">
      <c r="A10" s="7" t="inlineStr">
        <is>
          <t>EVL-009</t>
        </is>
      </c>
      <c r="B10" s="7" t="inlineStr">
        <is>
          <t>INF-09</t>
        </is>
      </c>
      <c r="C10" s="7" t="inlineStr">
        <is>
          <t>Complete case study</t>
        </is>
      </c>
      <c r="D10" s="7" t="inlineStr">
        <is>
          <t>Evidence-First Cell Queue</t>
        </is>
      </c>
      <c r="E10" s="7" t="inlineStr">
        <is>
          <t>Family ID = RNR-H22</t>
        </is>
      </c>
      <c r="F10" s="7" t="inlineStr">
        <is>
          <t>H22</t>
        </is>
      </c>
      <c r="G10" s="7" t="inlineStr">
        <is>
          <t>8 branches</t>
        </is>
      </c>
      <c r="H10" s="7" t="inlineStr">
        <is>
          <t>8 Q</t>
        </is>
      </c>
      <c r="I10" s="7" t="inlineStr">
        <is>
          <t>Shows universally attested Creator confession with materially reconstructed Latter-day Saint creation ontology.</t>
        </is>
      </c>
      <c r="J10" s="7" t="inlineStr">
        <is>
          <t>QUEUE-DERIVED</t>
        </is>
      </c>
      <c r="K10" s="7" t="inlineStr">
        <is>
          <t>Q is shared concept plus reinterpretation, not mere word overlap.</t>
        </is>
      </c>
    </row>
    <row r="11">
      <c r="A11" s="7" t="inlineStr">
        <is>
          <t>EVL-010</t>
        </is>
      </c>
      <c r="B11" s="7" t="inlineStr">
        <is>
          <t>INF-10</t>
        </is>
      </c>
      <c r="C11" s="7" t="inlineStr">
        <is>
          <t>Explicit-state case study</t>
        </is>
      </c>
      <c r="D11" s="7" t="inlineStr">
        <is>
          <t>Evidence-First Cell Queue</t>
        </is>
      </c>
      <c r="E11" s="7" t="inlineStr">
        <is>
          <t>Family ID = RNR-H43</t>
        </is>
      </c>
      <c r="F11" s="7" t="inlineStr">
        <is>
          <t>H43</t>
        </is>
      </c>
      <c r="G11" s="7" t="inlineStr">
        <is>
          <t>8 branches</t>
        </is>
      </c>
      <c r="H11" s="7" t="inlineStr">
        <is>
          <t>5 D / 1 pending / 2 current-source gaps</t>
        </is>
      </c>
      <c r="I11" s="7" t="inlineStr">
        <is>
          <t>Shows real simplicity divergence without converting unresolved/gap cells into D.</t>
        </is>
      </c>
      <c r="J11" s="7" t="inlineStr">
        <is>
          <t>QUEUE-DERIVED</t>
        </is>
      </c>
      <c r="K11" s="7" t="inlineStr">
        <is>
          <t>Pending and not-located cells must remain visible.</t>
        </is>
      </c>
    </row>
    <row r="12">
      <c r="A12" s="7" t="inlineStr">
        <is>
          <t>EVL-011</t>
        </is>
      </c>
      <c r="B12" s="7" t="inlineStr">
        <is>
          <t>INF-11</t>
        </is>
      </c>
      <c r="C12" s="7" t="inlineStr">
        <is>
          <t>Domain aggregate</t>
        </is>
      </c>
      <c r="D12" s="7" t="inlineStr">
        <is>
          <t>Restoration 26</t>
        </is>
      </c>
      <c r="E12" s="7" t="inlineStr">
        <is>
          <t>B = kinship/premortality or exaltation/family/progression</t>
        </is>
      </c>
      <c r="F12" s="7" t="inlineStr">
        <is>
          <t>A06–A12,A19–A26</t>
        </is>
      </c>
      <c r="G12" s="7" t="inlineStr">
        <is>
          <t>N/A</t>
        </is>
      </c>
      <c r="H12" s="7" t="inlineStr">
        <is>
          <t>15 of 26</t>
        </is>
      </c>
      <c r="I12" s="7" t="inlineStr">
        <is>
          <t>Shows anthropological/human-destiny concentration.</t>
        </is>
      </c>
      <c r="J12" s="7" t="inlineStr">
        <is>
          <t>Accepted internal</t>
        </is>
      </c>
      <c r="K12" s="7" t="inlineStr">
        <is>
          <t>Corpus-relative additions; antecedence separate.</t>
        </is>
      </c>
    </row>
    <row r="13">
      <c r="A13" s="7" t="inlineStr">
        <is>
          <t>EVL-012</t>
        </is>
      </c>
      <c r="B13" s="7" t="inlineStr">
        <is>
          <t>INF-12</t>
        </is>
      </c>
      <c r="C13" s="7" t="inlineStr">
        <is>
          <t>Authority sensitivity</t>
        </is>
      </c>
      <c r="D13" s="7" t="inlineStr">
        <is>
          <t>Restoration 26</t>
        </is>
      </c>
      <c r="E13" s="7" t="inlineStr">
        <is>
          <t>E = Tier I or Tier II</t>
        </is>
      </c>
      <c r="F13" s="7" t="inlineStr">
        <is>
          <t>22 addition rows</t>
        </is>
      </c>
      <c r="G13" s="7" t="inlineStr">
        <is>
          <t>N/A</t>
        </is>
      </c>
      <c r="H13" s="7" t="inlineStr">
        <is>
          <t>22 of 26</t>
        </is>
      </c>
      <c r="I13" s="7" t="inlineStr">
        <is>
          <t>Shows additions do not depend primarily on Tier III.</t>
        </is>
      </c>
      <c r="J13" s="7" t="inlineStr">
        <is>
          <t>Accepted internal</t>
        </is>
      </c>
      <c r="K13" s="7" t="inlineStr">
        <is>
          <t>Authority role ≠ truth or centrality.</t>
        </is>
      </c>
    </row>
    <row r="14">
      <c r="A14" s="7" t="inlineStr">
        <is>
          <t>EVL-013</t>
        </is>
      </c>
      <c r="B14" s="7" t="inlineStr">
        <is>
          <t>INF-13</t>
        </is>
      </c>
      <c r="C14" s="7" t="inlineStr">
        <is>
          <t>Action composition</t>
        </is>
      </c>
      <c r="D14" s="7" t="inlineStr">
        <is>
          <t>Inherited 57 + Restoration 26</t>
        </is>
      </c>
      <c r="E14" s="7" t="inlineStr">
        <is>
          <t>Q + additions versus D</t>
        </is>
      </c>
      <c r="F14" s="7" t="inlineStr">
        <is>
          <t>16 Q, 5 D, 26 additions</t>
        </is>
      </c>
      <c r="G14" s="7" t="inlineStr">
        <is>
          <t>N/A</t>
        </is>
      </c>
      <c r="H14" s="7" t="inlineStr">
        <is>
          <t>42 constructive / 47 distinctive actions</t>
        </is>
      </c>
      <c r="I14" s="7" t="inlineStr">
        <is>
          <t>Supports reconstructive/additive pattern in raw counts.</t>
        </is>
      </c>
      <c r="J14" s="7" t="inlineStr">
        <is>
          <t>Accepted internal</t>
        </is>
      </c>
      <c r="K14" s="7" t="inlineStr">
        <is>
          <t>Unweighted count; do not convert directly to theological importance.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B3" sqref="B3"/>
    </sheetView>
  </sheetViews>
  <sheetFormatPr baseColWidth="8" defaultColWidth="12.63" defaultRowHeight="15" customHeight="1"/>
  <cols>
    <col width="16" customWidth="1" style="29" min="1" max="1"/>
    <col width="13" customWidth="1" style="29" min="2" max="2"/>
    <col width="34" customWidth="1" style="29" min="3" max="3"/>
    <col width="15" customWidth="1" style="29" min="4" max="4"/>
    <col width="20" customWidth="1" style="29" min="5" max="7"/>
    <col width="22" customWidth="1" style="29" min="8" max="8"/>
    <col width="20" customWidth="1" style="29" min="9" max="11"/>
    <col width="22" customWidth="1" style="29" min="12" max="12"/>
    <col width="62" customWidth="1" style="29" min="13" max="13"/>
    <col width="66" customWidth="1" style="29" min="14" max="14"/>
    <col width="8.630000000000001" customWidth="1" style="29" min="15" max="26"/>
  </cols>
  <sheetData>
    <row r="1">
      <c r="A1" s="5" t="inlineStr">
        <is>
          <t>Case</t>
        </is>
      </c>
      <c r="B1" s="5" t="inlineStr">
        <is>
          <t>Predicate ID</t>
        </is>
      </c>
      <c r="C1" s="5" t="inlineStr">
        <is>
          <t>Predicate</t>
        </is>
      </c>
      <c r="D1" s="5" t="inlineStr">
        <is>
          <t>Current family code</t>
        </is>
      </c>
      <c r="E1" s="5" t="inlineStr">
        <is>
          <t>Roman Catholic</t>
        </is>
      </c>
      <c r="F1" s="5" t="inlineStr">
        <is>
          <t>Eastern Orthodox</t>
        </is>
      </c>
      <c r="G1" s="5" t="inlineStr">
        <is>
          <t>Lutheran</t>
        </is>
      </c>
      <c r="H1" s="5" t="inlineStr">
        <is>
          <t>Reformed / Presbyterian</t>
        </is>
      </c>
      <c r="I1" s="5" t="inlineStr">
        <is>
          <t>Anglican</t>
        </is>
      </c>
      <c r="J1" s="5" t="inlineStr">
        <is>
          <t>Baptist</t>
        </is>
      </c>
      <c r="K1" s="5" t="inlineStr">
        <is>
          <t>Methodist / Wesleyan</t>
        </is>
      </c>
      <c r="L1" s="5" t="inlineStr">
        <is>
          <t>Mennonite / Anabaptist</t>
        </is>
      </c>
      <c r="M1" s="5" t="inlineStr">
        <is>
          <t>Teaching use</t>
        </is>
      </c>
      <c r="N1" s="5" t="inlineStr">
        <is>
          <t>Display rule</t>
        </is>
      </c>
    </row>
    <row r="2">
      <c r="A2" s="7" t="inlineStr">
        <is>
          <t>CASE-A</t>
        </is>
      </c>
      <c r="B2" s="7" t="inlineStr">
        <is>
          <t>RNR-H05</t>
        </is>
      </c>
      <c r="C2" s="7" t="inlineStr">
        <is>
          <t>Son</t>
        </is>
      </c>
      <c r="D2" s="7" t="inlineStr">
        <is>
          <t>A</t>
        </is>
      </c>
      <c r="E2" s="7" t="inlineStr">
        <is>
          <t>A</t>
        </is>
      </c>
      <c r="F2" s="7" t="inlineStr">
        <is>
          <t>A</t>
        </is>
      </c>
      <c r="G2" s="7" t="inlineStr">
        <is>
          <t>A</t>
        </is>
      </c>
      <c r="H2" s="7" t="inlineStr">
        <is>
          <t>A</t>
        </is>
      </c>
      <c r="I2" s="7" t="inlineStr">
        <is>
          <t>A</t>
        </is>
      </c>
      <c r="J2" s="7" t="inlineStr">
        <is>
          <t>A</t>
        </is>
      </c>
      <c r="K2" s="7" t="inlineStr">
        <is>
          <t>A</t>
        </is>
      </c>
      <c r="L2" s="7" t="inlineStr">
        <is>
          <t>A</t>
        </is>
      </c>
      <c r="M2" s="7" t="inlineStr">
        <is>
          <t>Complete positive-continuity anchor: Jesus as Son is A across all eight teaching branches.</t>
        </is>
      </c>
      <c r="N2" s="7" t="inlineStr">
        <is>
          <t>Render all eight A cells with source drill-down; do not infer identical Nicene/Restoration metaphysics.</t>
        </is>
      </c>
    </row>
    <row r="3">
      <c r="A3" s="7" t="inlineStr">
        <is>
          <t>CASE-Q</t>
        </is>
      </c>
      <c r="B3" s="7" t="inlineStr">
        <is>
          <t>RNR-H22</t>
        </is>
      </c>
      <c r="C3" s="7" t="inlineStr">
        <is>
          <t>Creator / Maker</t>
        </is>
      </c>
      <c r="D3" s="7" t="inlineStr">
        <is>
          <t>Q</t>
        </is>
      </c>
      <c r="E3" s="7" t="inlineStr">
        <is>
          <t>Q</t>
        </is>
      </c>
      <c r="F3" s="7" t="inlineStr">
        <is>
          <t>Q</t>
        </is>
      </c>
      <c r="G3" s="7" t="inlineStr">
        <is>
          <t>Q</t>
        </is>
      </c>
      <c r="H3" s="7" t="inlineStr">
        <is>
          <t>Q</t>
        </is>
      </c>
      <c r="I3" s="7" t="inlineStr">
        <is>
          <t>Q</t>
        </is>
      </c>
      <c r="J3" s="7" t="inlineStr">
        <is>
          <t>Q</t>
        </is>
      </c>
      <c r="K3" s="7" t="inlineStr">
        <is>
          <t>Q</t>
        </is>
      </c>
      <c r="L3" s="7" t="inlineStr">
        <is>
          <t>Q</t>
        </is>
      </c>
      <c r="M3" s="7" t="inlineStr">
        <is>
          <t>Complete qualified-continuity anchor: Creator/Maker is Q across all eight teaching branches.</t>
        </is>
      </c>
      <c r="N3" s="7" t="inlineStr">
        <is>
          <t>Render all eight Q cells and explain shared Creator confession plus reconstructed creation ontology.</t>
        </is>
      </c>
    </row>
    <row r="4">
      <c r="A4" s="7" t="inlineStr">
        <is>
          <t>CASE-D</t>
        </is>
      </c>
      <c r="B4" s="7" t="inlineStr">
        <is>
          <t>RNR-H43</t>
        </is>
      </c>
      <c r="C4" s="7" t="inlineStr">
        <is>
          <t>Without parts / simple</t>
        </is>
      </c>
      <c r="D4" s="7" t="inlineStr">
        <is>
          <t>D</t>
        </is>
      </c>
      <c r="E4" s="7" t="inlineStr">
        <is>
          <t>D</t>
        </is>
      </c>
      <c r="F4" s="7" t="inlineStr">
        <is>
          <t>PENDING REVIEW</t>
        </is>
      </c>
      <c r="G4" s="7" t="inlineStr">
        <is>
          <t>D</t>
        </is>
      </c>
      <c r="H4" s="7" t="inlineStr">
        <is>
          <t>D</t>
        </is>
      </c>
      <c r="I4" s="7" t="inlineStr">
        <is>
          <t>D</t>
        </is>
      </c>
      <c r="J4" s="7" t="inlineStr">
        <is>
          <t>NOT LOCATED — CURRENT SOURCE</t>
        </is>
      </c>
      <c r="K4" s="7" t="inlineStr">
        <is>
          <t>D</t>
        </is>
      </c>
      <c r="L4" s="7" t="inlineStr">
        <is>
          <t>NOT LOCATED — CURRENT SOURCE</t>
        </is>
      </c>
      <c r="M4" s="7" t="inlineStr">
        <is>
          <t>Hard-divergence anchor with explicit incompleteness: certified D where supported, pending/gaps left visible.</t>
        </is>
      </c>
      <c r="N4" s="7" t="inlineStr">
        <is>
          <t>Never color pending or NOT LOCATED cells as 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E2:E4">
    <cfRule type="expression" priority="1" dxfId="5">
      <formula>E2="A"</formula>
    </cfRule>
    <cfRule type="expression" priority="2" dxfId="7">
      <formula>E2="Q"</formula>
    </cfRule>
    <cfRule type="expression" priority="3" dxfId="6">
      <formula>E2="D"</formula>
    </cfRule>
    <cfRule type="expression" priority="4" dxfId="8">
      <formula>ISNUMBER(SEARCH("PENDING",E2))</formula>
    </cfRule>
    <cfRule type="expression" priority="5" dxfId="9">
      <formula>ISNUMBER(SEARCH("NOT LOCATED",E2))</formula>
    </cfRule>
  </conditionalFormatting>
  <conditionalFormatting sqref="F2:F4">
    <cfRule type="expression" priority="6" dxfId="5">
      <formula>F2="A"</formula>
    </cfRule>
    <cfRule type="expression" priority="7" dxfId="7">
      <formula>F2="Q"</formula>
    </cfRule>
    <cfRule type="expression" priority="8" dxfId="6">
      <formula>F2="D"</formula>
    </cfRule>
    <cfRule type="expression" priority="9" dxfId="8">
      <formula>ISNUMBER(SEARCH("PENDING",F2))</formula>
    </cfRule>
    <cfRule type="expression" priority="10" dxfId="9">
      <formula>ISNUMBER(SEARCH("NOT LOCATED",F2))</formula>
    </cfRule>
  </conditionalFormatting>
  <conditionalFormatting sqref="G2:G4">
    <cfRule type="expression" priority="11" dxfId="5">
      <formula>G2="A"</formula>
    </cfRule>
    <cfRule type="expression" priority="12" dxfId="7">
      <formula>G2="Q"</formula>
    </cfRule>
    <cfRule type="expression" priority="13" dxfId="6">
      <formula>G2="D"</formula>
    </cfRule>
    <cfRule type="expression" priority="14" dxfId="8">
      <formula>ISNUMBER(SEARCH("PENDING",G2))</formula>
    </cfRule>
    <cfRule type="expression" priority="15" dxfId="9">
      <formula>ISNUMBER(SEARCH("NOT LOCATED",G2))</formula>
    </cfRule>
  </conditionalFormatting>
  <conditionalFormatting sqref="H2:H4">
    <cfRule type="expression" priority="16" dxfId="5">
      <formula>H2="A"</formula>
    </cfRule>
    <cfRule type="expression" priority="17" dxfId="7">
      <formula>H2="Q"</formula>
    </cfRule>
    <cfRule type="expression" priority="18" dxfId="6">
      <formula>H2="D"</formula>
    </cfRule>
    <cfRule type="expression" priority="19" dxfId="8">
      <formula>ISNUMBER(SEARCH("PENDING",H2))</formula>
    </cfRule>
    <cfRule type="expression" priority="20" dxfId="9">
      <formula>ISNUMBER(SEARCH("NOT LOCATED",H2))</formula>
    </cfRule>
  </conditionalFormatting>
  <conditionalFormatting sqref="I2:I4">
    <cfRule type="expression" priority="21" dxfId="5">
      <formula>I2="A"</formula>
    </cfRule>
    <cfRule type="expression" priority="22" dxfId="7">
      <formula>I2="Q"</formula>
    </cfRule>
    <cfRule type="expression" priority="23" dxfId="6">
      <formula>I2="D"</formula>
    </cfRule>
    <cfRule type="expression" priority="24" dxfId="8">
      <formula>ISNUMBER(SEARCH("PENDING",I2))</formula>
    </cfRule>
    <cfRule type="expression" priority="25" dxfId="9">
      <formula>ISNUMBER(SEARCH("NOT LOCATED",I2))</formula>
    </cfRule>
  </conditionalFormatting>
  <conditionalFormatting sqref="J2:J4">
    <cfRule type="expression" priority="26" dxfId="5">
      <formula>J2="A"</formula>
    </cfRule>
    <cfRule type="expression" priority="27" dxfId="7">
      <formula>J2="Q"</formula>
    </cfRule>
    <cfRule type="expression" priority="28" dxfId="6">
      <formula>J2="D"</formula>
    </cfRule>
    <cfRule type="expression" priority="29" dxfId="8">
      <formula>ISNUMBER(SEARCH("PENDING",J2))</formula>
    </cfRule>
    <cfRule type="expression" priority="30" dxfId="9">
      <formula>ISNUMBER(SEARCH("NOT LOCATED",J2))</formula>
    </cfRule>
  </conditionalFormatting>
  <conditionalFormatting sqref="K2:K4">
    <cfRule type="expression" priority="31" dxfId="5">
      <formula>K2="A"</formula>
    </cfRule>
    <cfRule type="expression" priority="32" dxfId="7">
      <formula>K2="Q"</formula>
    </cfRule>
    <cfRule type="expression" priority="33" dxfId="6">
      <formula>K2="D"</formula>
    </cfRule>
    <cfRule type="expression" priority="34" dxfId="8">
      <formula>ISNUMBER(SEARCH("PENDING",K2))</formula>
    </cfRule>
    <cfRule type="expression" priority="35" dxfId="9">
      <formula>ISNUMBER(SEARCH("NOT LOCATED",K2))</formula>
    </cfRule>
  </conditionalFormatting>
  <conditionalFormatting sqref="L2:L4">
    <cfRule type="expression" priority="36" dxfId="5">
      <formula>L2="A"</formula>
    </cfRule>
    <cfRule type="expression" priority="37" dxfId="7">
      <formula>L2="Q"</formula>
    </cfRule>
    <cfRule type="expression" priority="38" dxfId="6">
      <formula>L2="D"</formula>
    </cfRule>
    <cfRule type="expression" priority="39" dxfId="8">
      <formula>ISNUMBER(SEARCH("PENDING",L2))</formula>
    </cfRule>
    <cfRule type="expression" priority="40" dxfId="9">
      <formula>ISNUMBER(SEARCH("NOT LOCATED",L2))</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N88"/>
  <sheetViews>
    <sheetView workbookViewId="0">
      <selection activeCell="A1" sqref="A1"/>
    </sheetView>
  </sheetViews>
  <sheetFormatPr baseColWidth="8" defaultColWidth="12.63" defaultRowHeight="15" customHeight="1"/>
  <cols>
    <col width="13" customWidth="1" style="29" min="1" max="1"/>
    <col width="18" customWidth="1" style="29" min="2" max="2"/>
    <col width="36" customWidth="1" style="29" min="3" max="3"/>
    <col width="62" customWidth="1" style="29" min="4" max="4"/>
    <col width="17" customWidth="1" style="29" min="5" max="5"/>
    <col width="38" customWidth="1" style="29" min="6" max="6"/>
    <col width="58" customWidth="1" style="29" min="7" max="7"/>
    <col width="42" customWidth="1" style="29" min="8" max="8"/>
    <col width="60" customWidth="1" style="29" min="9" max="9"/>
    <col width="54" customWidth="1" style="29" min="10" max="10"/>
    <col width="15" customWidth="1" style="29" min="11" max="11"/>
    <col width="14" customWidth="1" style="29" min="12" max="13"/>
    <col width="52" customWidth="1" style="29" min="14" max="14"/>
    <col width="8.630000000000001" customWidth="1" style="29" min="15" max="26"/>
  </cols>
  <sheetData>
    <row r="1">
      <c r="A1" s="10" t="inlineStr">
        <is>
          <t>GATE 1 — 83-Row Public Wording Ratification</t>
        </is>
      </c>
      <c r="B1" s="10" t="n"/>
      <c r="C1" s="10" t="n"/>
      <c r="D1" s="10" t="n"/>
      <c r="E1" s="10" t="n"/>
      <c r="F1" s="10" t="n"/>
      <c r="G1" s="10" t="n"/>
      <c r="H1" s="10" t="n"/>
      <c r="I1" s="10" t="n"/>
      <c r="J1" s="10" t="n"/>
      <c r="K1" s="10" t="n"/>
      <c r="L1" s="10" t="n"/>
      <c r="M1" s="10" t="n"/>
      <c r="N1" s="10" t="n"/>
    </row>
    <row r="2">
      <c r="A2" s="4" t="inlineStr">
        <is>
          <t>This gate is for public/ministry presentation wording. It does not replace external scholarly semantic validation. Author should review each normalized summary, comparison scope, caution, and source-role label, then mark APPROVE / REVISE / HOLD.</t>
        </is>
      </c>
      <c r="B2" s="4" t="n"/>
      <c r="C2" s="4" t="n"/>
      <c r="D2" s="4" t="n"/>
      <c r="E2" s="4" t="n"/>
      <c r="F2" s="4" t="n"/>
      <c r="G2" s="4" t="n"/>
      <c r="H2" s="4" t="n"/>
      <c r="I2" s="4" t="n"/>
      <c r="J2" s="4" t="n"/>
      <c r="K2" s="4" t="n"/>
      <c r="L2" s="4" t="n"/>
      <c r="M2" s="4" t="n"/>
      <c r="N2" s="4" t="n"/>
    </row>
    <row r="3">
      <c r="A3" s="4" t="n"/>
      <c r="B3" s="4" t="n"/>
      <c r="C3" s="4" t="n"/>
      <c r="D3" s="4" t="n"/>
      <c r="E3" s="4" t="n"/>
      <c r="F3" s="4" t="n"/>
      <c r="G3" s="4" t="n"/>
      <c r="H3" s="4" t="n"/>
      <c r="I3" s="4" t="n"/>
      <c r="J3" s="4" t="n"/>
      <c r="K3" s="4" t="n"/>
      <c r="L3" s="4" t="n"/>
      <c r="M3" s="4" t="n"/>
      <c r="N3" s="4" t="n"/>
    </row>
    <row r="4">
      <c r="A4" s="4" t="n"/>
      <c r="B4" s="4" t="n"/>
      <c r="C4" s="4" t="n"/>
      <c r="D4" s="4" t="n"/>
      <c r="E4" s="4" t="n"/>
      <c r="F4" s="4" t="n"/>
      <c r="G4" s="4" t="n"/>
      <c r="H4" s="4" t="n"/>
      <c r="I4" s="4" t="n"/>
      <c r="J4" s="4" t="n"/>
      <c r="K4" s="4" t="n"/>
      <c r="L4" s="4" t="n"/>
      <c r="M4" s="4" t="n"/>
      <c r="N4" s="4" t="n"/>
    </row>
    <row r="5">
      <c r="A5" s="5" t="inlineStr">
        <is>
          <t>ID</t>
        </is>
      </c>
      <c r="B5" s="5" t="inlineStr">
        <is>
          <t>Corpus</t>
        </is>
      </c>
      <c r="C5" s="5" t="inlineStr">
        <is>
          <t>Family / domain</t>
        </is>
      </c>
      <c r="D5" s="5" t="inlineStr">
        <is>
          <t>Predicate / public summary</t>
        </is>
      </c>
      <c r="E5" s="5" t="inlineStr">
        <is>
          <t>Current code / tier</t>
        </is>
      </c>
      <c r="F5" s="5" t="inlineStr">
        <is>
          <t>Current provenance</t>
        </is>
      </c>
      <c r="G5" s="5" t="inlineStr">
        <is>
          <t>Source URL / pointer</t>
        </is>
      </c>
      <c r="H5" s="5" t="inlineStr">
        <is>
          <t>Locator / source note</t>
        </is>
      </c>
      <c r="I5" s="5" t="inlineStr">
        <is>
          <t>Public scope caution</t>
        </is>
      </c>
      <c r="J5" s="5" t="inlineStr">
        <is>
          <t>Research status</t>
        </is>
      </c>
      <c r="K5" s="5" t="inlineStr">
        <is>
          <t>Author decision</t>
        </is>
      </c>
      <c r="L5" s="5" t="inlineStr">
        <is>
          <t>Author initials</t>
        </is>
      </c>
      <c r="M5" s="5" t="inlineStr">
        <is>
          <t>Decision date</t>
        </is>
      </c>
      <c r="N5" s="5" t="inlineStr">
        <is>
          <t>Revision notes</t>
        </is>
      </c>
    </row>
    <row r="6">
      <c r="A6" s="4" t="inlineStr">
        <is>
          <t>RNR-H01</t>
        </is>
      </c>
      <c r="B6" s="4" t="inlineStr">
        <is>
          <t>Inherited 57</t>
        </is>
      </c>
      <c r="C6" s="4" t="inlineStr">
        <is>
          <t>Divine identity &amp; relation</t>
        </is>
      </c>
      <c r="D6" s="4" t="inlineStr">
        <is>
          <t>Living</t>
        </is>
      </c>
      <c r="E6" s="4" t="inlineStr">
        <is>
          <t>A</t>
        </is>
      </c>
      <c r="F6" s="4" t="inlineStr">
        <is>
          <t>Count-constrained reconstruction</t>
        </is>
      </c>
      <c r="G6" s="4" t="inlineStr">
        <is>
          <t>See inherited source report / recovered institution ledgers</t>
        </is>
      </c>
      <c r="H6" s="4" t="inlineStr">
        <is>
          <t>Recurring Kataphatic Vocabulary table</t>
        </is>
      </c>
      <c r="I6" s="4" t="inlineStr">
        <is>
          <t>Shared. Both traditions affirm this of God in the same sense.</t>
        </is>
      </c>
      <c r="J6" s="4" t="inlineStr">
        <is>
          <t>RECONSTRUCTED — source-level/master-family recertification remains publication-critical</t>
        </is>
      </c>
      <c r="K6" s="4">
        <f>IF('Author Decision Queue'!$Z$20="RESOLVED",IF('Author Decision Queue'!$T$20="OPTION 1","APPROVE",IF('Author Decision Queue'!$T$20="OPTION 2","REVISE",IF('Author Decision Queue'!$T$20="CUSTOM RESPONSE","REVISE","HOLD"))),IF('Author Decision Queue'!$Z$20="HOLD","HOLD","PENDING"))</f>
        <v/>
      </c>
      <c r="L6" s="4">
        <f>IF(K6="PENDING","",'Author Decision Queue'!$W$20)</f>
        <v/>
      </c>
      <c r="M6" s="13">
        <f>IF(K6="PENDING","",'Author Decision Queue'!$X$20)</f>
        <v/>
      </c>
      <c r="N6" s="4">
        <f>IF(K6="REVISE",'Author Decision Queue'!$U$20,IF(K6="HOLD",'Author Decision Queue'!$Y$20,'Author Decision Queue'!$V$20))</f>
        <v/>
      </c>
    </row>
    <row r="7">
      <c r="A7" s="4" t="inlineStr">
        <is>
          <t>RNR-H02</t>
        </is>
      </c>
      <c r="B7" s="4" t="inlineStr">
        <is>
          <t>Inherited 57</t>
        </is>
      </c>
      <c r="C7" s="4" t="inlineStr">
        <is>
          <t>Divine identity &amp; relation</t>
        </is>
      </c>
      <c r="D7" s="4" t="inlineStr">
        <is>
          <t>True</t>
        </is>
      </c>
      <c r="E7" s="4" t="inlineStr">
        <is>
          <t>A</t>
        </is>
      </c>
      <c r="F7" s="4" t="inlineStr">
        <is>
          <t>Count-constrained reconstruction</t>
        </is>
      </c>
      <c r="G7" s="4" t="inlineStr">
        <is>
          <t>See inherited source report / recovered institution ledgers</t>
        </is>
      </c>
      <c r="H7" s="4" t="inlineStr">
        <is>
          <t>Recurring Kataphatic Vocabulary table</t>
        </is>
      </c>
      <c r="I7" s="4" t="inlineStr">
        <is>
          <t>Shared. Both traditions affirm this of God in the same sense.</t>
        </is>
      </c>
      <c r="J7" s="4" t="inlineStr">
        <is>
          <t>RECONSTRUCTED — source-level/master-family recertification remains publication-critical</t>
        </is>
      </c>
      <c r="K7" s="4">
        <f>IF('Author Decision Queue'!$Z$21="RESOLVED",IF('Author Decision Queue'!$T$21="OPTION 1","APPROVE",IF('Author Decision Queue'!$T$21="OPTION 2","REVISE",IF('Author Decision Queue'!$T$21="CUSTOM RESPONSE","REVISE","HOLD"))),IF('Author Decision Queue'!$Z$21="HOLD","HOLD","PENDING"))</f>
        <v/>
      </c>
      <c r="L7" s="4">
        <f>IF(K7="PENDING","",'Author Decision Queue'!$W$21)</f>
        <v/>
      </c>
      <c r="M7" s="13">
        <f>IF(K7="PENDING","",'Author Decision Queue'!$X$21)</f>
        <v/>
      </c>
      <c r="N7" s="4">
        <f>IF(K7="REVISE",'Author Decision Queue'!$U$21,IF(K7="HOLD",'Author Decision Queue'!$Y$21,'Author Decision Queue'!$V$21))</f>
        <v/>
      </c>
    </row>
    <row r="8">
      <c r="A8" s="4" t="inlineStr">
        <is>
          <t>RNR-H03</t>
        </is>
      </c>
      <c r="B8" s="4" t="inlineStr">
        <is>
          <t>Inherited 57</t>
        </is>
      </c>
      <c r="C8" s="4" t="inlineStr">
        <is>
          <t>Divine identity &amp; relation</t>
        </is>
      </c>
      <c r="D8" s="4" t="inlineStr">
        <is>
          <t>Spirit</t>
        </is>
      </c>
      <c r="E8" s="4" t="inlineStr">
        <is>
          <t>Q</t>
        </is>
      </c>
      <c r="F8" s="4" t="inlineStr">
        <is>
          <t>Count-constrained reconstruction</t>
        </is>
      </c>
      <c r="G8" s="4" t="inlineStr">
        <is>
          <t>See inherited source report / recovered institution ledgers</t>
        </is>
      </c>
      <c r="H8" s="4" t="inlineStr">
        <is>
          <t>Recurring Kataphatic Vocabulary table</t>
        </is>
      </c>
      <c r="I8" s="4" t="inlineStr">
        <is>
          <t>Shared spiritual language; Restoration materially redefines spirit as refined matter (D&amp;C 131:7–8).</t>
        </is>
      </c>
      <c r="J8" s="4" t="inlineStr">
        <is>
          <t>RECONSTRUCTED — source-level/master-family recertification remains publication-critical</t>
        </is>
      </c>
      <c r="K8" s="4">
        <f>IF('Author Decision Queue'!$Z$22="RESOLVED",IF('Author Decision Queue'!$T$22="OPTION 1","APPROVE",IF('Author Decision Queue'!$T$22="OPTION 2","REVISE",IF('Author Decision Queue'!$T$22="CUSTOM RESPONSE","REVISE","HOLD"))),IF('Author Decision Queue'!$Z$22="HOLD","HOLD","PENDING"))</f>
        <v/>
      </c>
      <c r="L8" s="4">
        <f>IF(K8="PENDING","",'Author Decision Queue'!$W$22)</f>
        <v/>
      </c>
      <c r="M8" s="13">
        <f>IF(K8="PENDING","",'Author Decision Queue'!$X$22)</f>
        <v/>
      </c>
      <c r="N8" s="4">
        <f>IF(K8="REVISE",'Author Decision Queue'!$U$22,IF(K8="HOLD",'Author Decision Queue'!$Y$22,'Author Decision Queue'!$V$22))</f>
        <v/>
      </c>
    </row>
    <row r="9">
      <c r="A9" s="4" t="inlineStr">
        <is>
          <t>RNR-H04</t>
        </is>
      </c>
      <c r="B9" s="4" t="inlineStr">
        <is>
          <t>Inherited 57</t>
        </is>
      </c>
      <c r="C9" s="4" t="inlineStr">
        <is>
          <t>Divine identity &amp; relation</t>
        </is>
      </c>
      <c r="D9" s="4" t="inlineStr">
        <is>
          <t>Father</t>
        </is>
      </c>
      <c r="E9" s="4" t="inlineStr">
        <is>
          <t>A</t>
        </is>
      </c>
      <c r="F9" s="4" t="inlineStr">
        <is>
          <t>Count-constrained reconstruction</t>
        </is>
      </c>
      <c r="G9" s="4" t="inlineStr">
        <is>
          <t>See inherited source report / recovered institution ledgers</t>
        </is>
      </c>
      <c r="H9" s="4" t="inlineStr">
        <is>
          <t>Recurring Kataphatic Vocabulary table</t>
        </is>
      </c>
      <c r="I9" s="4" t="inlineStr">
        <is>
          <t>Shared divine paternity/relational identity at the controlling floor.</t>
        </is>
      </c>
      <c r="J9" s="4" t="inlineStr">
        <is>
          <t>RECONSTRUCTED — source-level/master-family recertification remains publication-critical</t>
        </is>
      </c>
      <c r="K9" s="4">
        <f>IF('Author Decision Queue'!$Z$23="RESOLVED",IF('Author Decision Queue'!$T$23="OPTION 1","APPROVE",IF('Author Decision Queue'!$T$23="OPTION 2","REVISE",IF('Author Decision Queue'!$T$23="CUSTOM RESPONSE","REVISE","HOLD"))),IF('Author Decision Queue'!$Z$23="HOLD","HOLD","PENDING"))</f>
        <v/>
      </c>
      <c r="L9" s="4">
        <f>IF(K9="PENDING","",'Author Decision Queue'!$W$23)</f>
        <v/>
      </c>
      <c r="M9" s="13">
        <f>IF(K9="PENDING","",'Author Decision Queue'!$X$23)</f>
        <v/>
      </c>
      <c r="N9" s="4">
        <f>IF(K9="REVISE",'Author Decision Queue'!$U$23,IF(K9="HOLD",'Author Decision Queue'!$Y$23,'Author Decision Queue'!$V$23))</f>
        <v/>
      </c>
    </row>
    <row r="10">
      <c r="A10" s="4" t="inlineStr">
        <is>
          <t>RNR-H05</t>
        </is>
      </c>
      <c r="B10" s="4" t="inlineStr">
        <is>
          <t>Inherited 57</t>
        </is>
      </c>
      <c r="C10" s="4" t="inlineStr">
        <is>
          <t>Divine identity &amp; relation</t>
        </is>
      </c>
      <c r="D10" s="4" t="inlineStr">
        <is>
          <t>Son</t>
        </is>
      </c>
      <c r="E10" s="4" t="inlineStr">
        <is>
          <t>A</t>
        </is>
      </c>
      <c r="F10" s="4" t="inlineStr">
        <is>
          <t>Count-constrained reconstruction</t>
        </is>
      </c>
      <c r="G10" s="4" t="inlineStr">
        <is>
          <t>See inherited source report / recovered institution ledgers</t>
        </is>
      </c>
      <c r="H10" s="4" t="inlineStr">
        <is>
          <t>Recurring Kataphatic Vocabulary table</t>
        </is>
      </c>
      <c r="I10" s="4" t="inlineStr">
        <is>
          <t>Shared filial identity/relationship controls A; thick Nicene metaphysical entailments are not imported automatically.</t>
        </is>
      </c>
      <c r="J10" s="4" t="inlineStr">
        <is>
          <t>RECONSTRUCTED — source-level/master-family recertification remains publication-critical</t>
        </is>
      </c>
      <c r="K10" s="4">
        <f>IF('Author Decision Queue'!$Z$24="RESOLVED",IF('Author Decision Queue'!$T$24="OPTION 1","APPROVE",IF('Author Decision Queue'!$T$24="OPTION 2","REVISE",IF('Author Decision Queue'!$T$24="CUSTOM RESPONSE","REVISE","HOLD"))),IF('Author Decision Queue'!$Z$24="HOLD","HOLD","PENDING"))</f>
        <v/>
      </c>
      <c r="L10" s="4">
        <f>IF(K10="PENDING","",'Author Decision Queue'!$W$24)</f>
        <v/>
      </c>
      <c r="M10" s="13">
        <f>IF(K10="PENDING","",'Author Decision Queue'!$X$24)</f>
        <v/>
      </c>
      <c r="N10" s="4">
        <f>IF(K10="REVISE",'Author Decision Queue'!$U$24,IF(K10="HOLD",'Author Decision Queue'!$Y$24,'Author Decision Queue'!$V$24))</f>
        <v/>
      </c>
    </row>
    <row r="11">
      <c r="A11" s="4" t="inlineStr">
        <is>
          <t>RNR-H06</t>
        </is>
      </c>
      <c r="B11" s="4" t="inlineStr">
        <is>
          <t>Inherited 57</t>
        </is>
      </c>
      <c r="C11" s="4" t="inlineStr">
        <is>
          <t>Divine identity &amp; relation</t>
        </is>
      </c>
      <c r="D11" s="4" t="inlineStr">
        <is>
          <t>Lord</t>
        </is>
      </c>
      <c r="E11" s="4" t="inlineStr">
        <is>
          <t>A</t>
        </is>
      </c>
      <c r="F11" s="4" t="inlineStr">
        <is>
          <t>Count-constrained reconstruction</t>
        </is>
      </c>
      <c r="G11" s="4" t="inlineStr">
        <is>
          <t>See inherited source report / recovered institution ledgers</t>
        </is>
      </c>
      <c r="H11" s="4" t="inlineStr">
        <is>
          <t>Recurring Kataphatic Vocabulary table</t>
        </is>
      </c>
      <c r="I11" s="4" t="inlineStr">
        <is>
          <t>Shared authority and lordship.</t>
        </is>
      </c>
      <c r="J11" s="4" t="inlineStr">
        <is>
          <t>RECONSTRUCTED — source-level/master-family recertification remains publication-critical</t>
        </is>
      </c>
      <c r="K11" s="4">
        <f>IF('Author Decision Queue'!$Z$25="RESOLVED",IF('Author Decision Queue'!$T$25="OPTION 1","APPROVE",IF('Author Decision Queue'!$T$25="OPTION 2","REVISE",IF('Author Decision Queue'!$T$25="CUSTOM RESPONSE","REVISE","HOLD"))),IF('Author Decision Queue'!$Z$25="HOLD","HOLD","PENDING"))</f>
        <v/>
      </c>
      <c r="L11" s="4">
        <f>IF(K11="PENDING","",'Author Decision Queue'!$W$25)</f>
        <v/>
      </c>
      <c r="M11" s="13">
        <f>IF(K11="PENDING","",'Author Decision Queue'!$X$25)</f>
        <v/>
      </c>
      <c r="N11" s="4">
        <f>IF(K11="REVISE",'Author Decision Queue'!$U$25,IF(K11="HOLD",'Author Decision Queue'!$Y$25,'Author Decision Queue'!$V$25))</f>
        <v/>
      </c>
    </row>
    <row r="12">
      <c r="A12" s="4" t="inlineStr">
        <is>
          <t>RNR-H07</t>
        </is>
      </c>
      <c r="B12" s="4" t="inlineStr">
        <is>
          <t>Inherited 57</t>
        </is>
      </c>
      <c r="C12" s="4" t="inlineStr">
        <is>
          <t>Power, wisdom, goodness &amp; holiness</t>
        </is>
      </c>
      <c r="D12" s="4" t="inlineStr">
        <is>
          <t>Almighty / omnipotent</t>
        </is>
      </c>
      <c r="E12" s="4" t="inlineStr">
        <is>
          <t>A</t>
        </is>
      </c>
      <c r="F12" s="4" t="inlineStr">
        <is>
          <t>Count-constrained reconstruction</t>
        </is>
      </c>
      <c r="G12" s="4" t="inlineStr">
        <is>
          <t>See inherited source report / recovered institution ledgers</t>
        </is>
      </c>
      <c r="H12" s="4" t="inlineStr">
        <is>
          <t>Recurring Kataphatic Vocabulary table</t>
        </is>
      </c>
      <c r="I12" s="4" t="inlineStr">
        <is>
          <t>Shared supreme divine power; absolute modal or creatio-ex-nihilo implications are not imported automatically.</t>
        </is>
      </c>
      <c r="J12" s="4" t="inlineStr">
        <is>
          <t>RECONSTRUCTED — source-level/master-family recertification remains publication-critical</t>
        </is>
      </c>
      <c r="K12" s="4">
        <f>IF('Author Decision Queue'!$Z$26="RESOLVED",IF('Author Decision Queue'!$T$26="OPTION 1","APPROVE",IF('Author Decision Queue'!$T$26="OPTION 2","REVISE",IF('Author Decision Queue'!$T$26="CUSTOM RESPONSE","REVISE","HOLD"))),IF('Author Decision Queue'!$Z$26="HOLD","HOLD","PENDING"))</f>
        <v/>
      </c>
      <c r="L12" s="4">
        <f>IF(K12="PENDING","",'Author Decision Queue'!$W$26)</f>
        <v/>
      </c>
      <c r="M12" s="13">
        <f>IF(K12="PENDING","",'Author Decision Queue'!$X$26)</f>
        <v/>
      </c>
      <c r="N12" s="4">
        <f>IF(K12="REVISE",'Author Decision Queue'!$U$26,IF(K12="HOLD",'Author Decision Queue'!$Y$26,'Author Decision Queue'!$V$26))</f>
        <v/>
      </c>
    </row>
    <row r="13">
      <c r="A13" s="4" t="inlineStr">
        <is>
          <t>RNR-H08</t>
        </is>
      </c>
      <c r="B13" s="4" t="inlineStr">
        <is>
          <t>Inherited 57</t>
        </is>
      </c>
      <c r="C13" s="4" t="inlineStr">
        <is>
          <t>Power, wisdom, goodness &amp; holiness</t>
        </is>
      </c>
      <c r="D13" s="4" t="inlineStr">
        <is>
          <t>Wise / all-wise</t>
        </is>
      </c>
      <c r="E13" s="4" t="inlineStr">
        <is>
          <t>A</t>
        </is>
      </c>
      <c r="F13" s="4" t="inlineStr">
        <is>
          <t>Count-constrained reconstruction</t>
        </is>
      </c>
      <c r="G13" s="4" t="inlineStr">
        <is>
          <t>See inherited source report / recovered institution ledgers</t>
        </is>
      </c>
      <c r="H13" s="4" t="inlineStr">
        <is>
          <t>Recurring Kataphatic Vocabulary table</t>
        </is>
      </c>
      <c r="I13" s="4" t="inlineStr">
        <is>
          <t>Shared divine wisdom.</t>
        </is>
      </c>
      <c r="J13" s="4" t="inlineStr">
        <is>
          <t>RECONSTRUCTED — source-level/master-family recertification remains publication-critical</t>
        </is>
      </c>
      <c r="K13" s="4">
        <f>IF('Author Decision Queue'!$Z$27="RESOLVED",IF('Author Decision Queue'!$T$27="OPTION 1","APPROVE",IF('Author Decision Queue'!$T$27="OPTION 2","REVISE",IF('Author Decision Queue'!$T$27="CUSTOM RESPONSE","REVISE","HOLD"))),IF('Author Decision Queue'!$Z$27="HOLD","HOLD","PENDING"))</f>
        <v/>
      </c>
      <c r="L13" s="4">
        <f>IF(K13="PENDING","",'Author Decision Queue'!$W$27)</f>
        <v/>
      </c>
      <c r="M13" s="13">
        <f>IF(K13="PENDING","",'Author Decision Queue'!$X$27)</f>
        <v/>
      </c>
      <c r="N13" s="4">
        <f>IF(K13="REVISE",'Author Decision Queue'!$U$27,IF(K13="HOLD",'Author Decision Queue'!$Y$27,'Author Decision Queue'!$V$27))</f>
        <v/>
      </c>
    </row>
    <row r="14">
      <c r="A14" s="4" t="inlineStr">
        <is>
          <t>RNR-H09</t>
        </is>
      </c>
      <c r="B14" s="4" t="inlineStr">
        <is>
          <t>Inherited 57</t>
        </is>
      </c>
      <c r="C14" s="4" t="inlineStr">
        <is>
          <t>Power, wisdom, goodness &amp; holiness</t>
        </is>
      </c>
      <c r="D14" s="4" t="inlineStr">
        <is>
          <t>Good</t>
        </is>
      </c>
      <c r="E14" s="4" t="inlineStr">
        <is>
          <t>A</t>
        </is>
      </c>
      <c r="F14" s="4" t="inlineStr">
        <is>
          <t>Count-constrained reconstruction</t>
        </is>
      </c>
      <c r="G14" s="4" t="inlineStr">
        <is>
          <t>See inherited source report / recovered institution ledgers</t>
        </is>
      </c>
      <c r="H14" s="4" t="inlineStr">
        <is>
          <t>Recurring Kataphatic Vocabulary table</t>
        </is>
      </c>
      <c r="I14" s="4" t="inlineStr">
        <is>
          <t>Shared divine goodness.</t>
        </is>
      </c>
      <c r="J14" s="4" t="inlineStr">
        <is>
          <t>RECONSTRUCTED — source-level/master-family recertification remains publication-critical</t>
        </is>
      </c>
      <c r="K14" s="4">
        <f>IF('Author Decision Queue'!$Z$28="RESOLVED",IF('Author Decision Queue'!$T$28="OPTION 1","APPROVE",IF('Author Decision Queue'!$T$28="OPTION 2","REVISE",IF('Author Decision Queue'!$T$28="CUSTOM RESPONSE","REVISE","HOLD"))),IF('Author Decision Queue'!$Z$28="HOLD","HOLD","PENDING"))</f>
        <v/>
      </c>
      <c r="L14" s="4">
        <f>IF(K14="PENDING","",'Author Decision Queue'!$W$28)</f>
        <v/>
      </c>
      <c r="M14" s="13">
        <f>IF(K14="PENDING","",'Author Decision Queue'!$X$28)</f>
        <v/>
      </c>
      <c r="N14" s="4">
        <f>IF(K14="REVISE",'Author Decision Queue'!$U$28,IF(K14="HOLD",'Author Decision Queue'!$Y$28,'Author Decision Queue'!$V$28))</f>
        <v/>
      </c>
    </row>
    <row r="15">
      <c r="A15" s="4" t="inlineStr">
        <is>
          <t>RNR-H10</t>
        </is>
      </c>
      <c r="B15" s="4" t="inlineStr">
        <is>
          <t>Inherited 57</t>
        </is>
      </c>
      <c r="C15" s="4" t="inlineStr">
        <is>
          <t>Power, wisdom, goodness &amp; holiness</t>
        </is>
      </c>
      <c r="D15" s="4" t="inlineStr">
        <is>
          <t>Source of all good</t>
        </is>
      </c>
      <c r="E15" s="4" t="inlineStr">
        <is>
          <t>A</t>
        </is>
      </c>
      <c r="F15" s="4" t="inlineStr">
        <is>
          <t>Count-constrained reconstruction</t>
        </is>
      </c>
      <c r="G15" s="4" t="inlineStr">
        <is>
          <t>See inherited source report / recovered institution ledgers</t>
        </is>
      </c>
      <c r="H15" s="4" t="inlineStr">
        <is>
          <t>Recurring Kataphatic Vocabulary table</t>
        </is>
      </c>
      <c r="I15" s="4" t="inlineStr">
        <is>
          <t>Shared. Both traditions affirm this of God in the same sense.</t>
        </is>
      </c>
      <c r="J15" s="4" t="inlineStr">
        <is>
          <t>RECONSTRUCTED — source-level/master-family recertification remains publication-critical</t>
        </is>
      </c>
      <c r="K15" s="4">
        <f>IF('Author Decision Queue'!$Z$29="RESOLVED",IF('Author Decision Queue'!$T$29="OPTION 1","APPROVE",IF('Author Decision Queue'!$T$29="OPTION 2","REVISE",IF('Author Decision Queue'!$T$29="CUSTOM RESPONSE","REVISE","HOLD"))),IF('Author Decision Queue'!$Z$29="HOLD","HOLD","PENDING"))</f>
        <v/>
      </c>
      <c r="L15" s="4">
        <f>IF(K15="PENDING","",'Author Decision Queue'!$W$29)</f>
        <v/>
      </c>
      <c r="M15" s="13">
        <f>IF(K15="PENDING","",'Author Decision Queue'!$X$29)</f>
        <v/>
      </c>
      <c r="N15" s="4">
        <f>IF(K15="REVISE",'Author Decision Queue'!$U$29,IF(K15="HOLD",'Author Decision Queue'!$Y$29,'Author Decision Queue'!$V$29))</f>
        <v/>
      </c>
    </row>
    <row r="16">
      <c r="A16" s="4" t="inlineStr">
        <is>
          <t>RNR-H11</t>
        </is>
      </c>
      <c r="B16" s="4" t="inlineStr">
        <is>
          <t>Inherited 57</t>
        </is>
      </c>
      <c r="C16" s="4" t="inlineStr">
        <is>
          <t>Power, wisdom, goodness &amp; holiness</t>
        </is>
      </c>
      <c r="D16" s="4" t="inlineStr">
        <is>
          <t>Just / righteous</t>
        </is>
      </c>
      <c r="E16" s="4" t="inlineStr">
        <is>
          <t>A</t>
        </is>
      </c>
      <c r="F16" s="4" t="inlineStr">
        <is>
          <t>Count-constrained reconstruction</t>
        </is>
      </c>
      <c r="G16" s="4" t="inlineStr">
        <is>
          <t>See inherited source report / recovered institution ledgers</t>
        </is>
      </c>
      <c r="H16" s="4" t="inlineStr">
        <is>
          <t>Recurring Kataphatic Vocabulary table</t>
        </is>
      </c>
      <c r="I16" s="4" t="inlineStr">
        <is>
          <t>Shared divine justice/righteousness.</t>
        </is>
      </c>
      <c r="J16" s="4" t="inlineStr">
        <is>
          <t>RECONSTRUCTED — source-level/master-family recertification remains publication-critical</t>
        </is>
      </c>
      <c r="K16" s="4">
        <f>IF('Author Decision Queue'!$Z$30="RESOLVED",IF('Author Decision Queue'!$T$30="OPTION 1","APPROVE",IF('Author Decision Queue'!$T$30="OPTION 2","REVISE",IF('Author Decision Queue'!$T$30="CUSTOM RESPONSE","REVISE","HOLD"))),IF('Author Decision Queue'!$Z$30="HOLD","HOLD","PENDING"))</f>
        <v/>
      </c>
      <c r="L16" s="4">
        <f>IF(K16="PENDING","",'Author Decision Queue'!$W$30)</f>
        <v/>
      </c>
      <c r="M16" s="13">
        <f>IF(K16="PENDING","",'Author Decision Queue'!$X$30)</f>
        <v/>
      </c>
      <c r="N16" s="4">
        <f>IF(K16="REVISE",'Author Decision Queue'!$U$30,IF(K16="HOLD",'Author Decision Queue'!$Y$30,'Author Decision Queue'!$V$30))</f>
        <v/>
      </c>
    </row>
    <row r="17">
      <c r="A17" s="4" t="inlineStr">
        <is>
          <t>RNR-H12</t>
        </is>
      </c>
      <c r="B17" s="4" t="inlineStr">
        <is>
          <t>Inherited 57</t>
        </is>
      </c>
      <c r="C17" s="4" t="inlineStr">
        <is>
          <t>Power, wisdom, goodness &amp; holiness</t>
        </is>
      </c>
      <c r="D17" s="4" t="inlineStr">
        <is>
          <t>Holy</t>
        </is>
      </c>
      <c r="E17" s="4" t="inlineStr">
        <is>
          <t>A</t>
        </is>
      </c>
      <c r="F17" s="4" t="inlineStr">
        <is>
          <t>Count-constrained reconstruction</t>
        </is>
      </c>
      <c r="G17" s="4" t="inlineStr">
        <is>
          <t>See inherited source report / recovered institution ledgers</t>
        </is>
      </c>
      <c r="H17" s="4" t="inlineStr">
        <is>
          <t>Recurring Kataphatic Vocabulary table</t>
        </is>
      </c>
      <c r="I17" s="4" t="inlineStr">
        <is>
          <t>Shared holiness.</t>
        </is>
      </c>
      <c r="J17" s="4" t="inlineStr">
        <is>
          <t>RECONSTRUCTED — source-level/master-family recertification remains publication-critical</t>
        </is>
      </c>
      <c r="K17" s="4">
        <f>IF('Author Decision Queue'!$Z$31="RESOLVED",IF('Author Decision Queue'!$T$31="OPTION 1","APPROVE",IF('Author Decision Queue'!$T$31="OPTION 2","REVISE",IF('Author Decision Queue'!$T$31="CUSTOM RESPONSE","REVISE","HOLD"))),IF('Author Decision Queue'!$Z$31="HOLD","HOLD","PENDING"))</f>
        <v/>
      </c>
      <c r="L17" s="4">
        <f>IF(K17="PENDING","",'Author Decision Queue'!$W$31)</f>
        <v/>
      </c>
      <c r="M17" s="13">
        <f>IF(K17="PENDING","",'Author Decision Queue'!$X$31)</f>
        <v/>
      </c>
      <c r="N17" s="4">
        <f>IF(K17="REVISE",'Author Decision Queue'!$U$31,IF(K17="HOLD",'Author Decision Queue'!$Y$31,'Author Decision Queue'!$V$31))</f>
        <v/>
      </c>
    </row>
    <row r="18">
      <c r="A18" s="4" t="inlineStr">
        <is>
          <t>RNR-H13</t>
        </is>
      </c>
      <c r="B18" s="4" t="inlineStr">
        <is>
          <t>Inherited 57</t>
        </is>
      </c>
      <c r="C18" s="4" t="inlineStr">
        <is>
          <t>Power, wisdom, goodness &amp; holiness</t>
        </is>
      </c>
      <c r="D18" s="4" t="inlineStr">
        <is>
          <t>Truthful / faithful</t>
        </is>
      </c>
      <c r="E18" s="4" t="inlineStr">
        <is>
          <t>A</t>
        </is>
      </c>
      <c r="F18" s="4" t="inlineStr">
        <is>
          <t>Count-constrained reconstruction</t>
        </is>
      </c>
      <c r="G18" s="4" t="inlineStr">
        <is>
          <t>See inherited source report / recovered institution ledgers</t>
        </is>
      </c>
      <c r="H18" s="4" t="inlineStr">
        <is>
          <t>Recurring Kataphatic Vocabulary table</t>
        </is>
      </c>
      <c r="I18" s="4" t="inlineStr">
        <is>
          <t>Shared faithfulness and truthfulness.</t>
        </is>
      </c>
      <c r="J18" s="4" t="inlineStr">
        <is>
          <t>RECONSTRUCTED — source-level/master-family recertification remains publication-critical</t>
        </is>
      </c>
      <c r="K18" s="4">
        <f>IF('Author Decision Queue'!$Z$32="RESOLVED",IF('Author Decision Queue'!$T$32="OPTION 1","APPROVE",IF('Author Decision Queue'!$T$32="OPTION 2","REVISE",IF('Author Decision Queue'!$T$32="CUSTOM RESPONSE","REVISE","HOLD"))),IF('Author Decision Queue'!$Z$32="HOLD","HOLD","PENDING"))</f>
        <v/>
      </c>
      <c r="L18" s="4">
        <f>IF(K18="PENDING","",'Author Decision Queue'!$W$32)</f>
        <v/>
      </c>
      <c r="M18" s="13">
        <f>IF(K18="PENDING","",'Author Decision Queue'!$X$32)</f>
        <v/>
      </c>
      <c r="N18" s="4">
        <f>IF(K18="REVISE",'Author Decision Queue'!$U$32,IF(K18="HOLD",'Author Decision Queue'!$Y$32,'Author Decision Queue'!$V$32))</f>
        <v/>
      </c>
    </row>
    <row r="19">
      <c r="A19" s="4" t="inlineStr">
        <is>
          <t>RNR-H14</t>
        </is>
      </c>
      <c r="B19" s="4" t="inlineStr">
        <is>
          <t>Inherited 57</t>
        </is>
      </c>
      <c r="C19" s="4" t="inlineStr">
        <is>
          <t>Love, mercy, grace &amp; glory</t>
        </is>
      </c>
      <c r="D19" s="4" t="inlineStr">
        <is>
          <t>Love / loving</t>
        </is>
      </c>
      <c r="E19" s="4" t="inlineStr">
        <is>
          <t>A</t>
        </is>
      </c>
      <c r="F19" s="4" t="inlineStr">
        <is>
          <t>Count-constrained reconstruction</t>
        </is>
      </c>
      <c r="G19" s="4" t="inlineStr">
        <is>
          <t>See inherited source report / recovered institution ledgers</t>
        </is>
      </c>
      <c r="H19" s="4" t="inlineStr">
        <is>
          <t>Recurring Kataphatic Vocabulary table</t>
        </is>
      </c>
      <c r="I19" s="4" t="inlineStr">
        <is>
          <t>Shared divine love.</t>
        </is>
      </c>
      <c r="J19" s="4" t="inlineStr">
        <is>
          <t>RECONSTRUCTED — source-level/master-family recertification remains publication-critical</t>
        </is>
      </c>
      <c r="K19" s="4">
        <f>IF('Author Decision Queue'!$Z$33="RESOLVED",IF('Author Decision Queue'!$T$33="OPTION 1","APPROVE",IF('Author Decision Queue'!$T$33="OPTION 2","REVISE",IF('Author Decision Queue'!$T$33="CUSTOM RESPONSE","REVISE","HOLD"))),IF('Author Decision Queue'!$Z$33="HOLD","HOLD","PENDING"))</f>
        <v/>
      </c>
      <c r="L19" s="4">
        <f>IF(K19="PENDING","",'Author Decision Queue'!$W$33)</f>
        <v/>
      </c>
      <c r="M19" s="13">
        <f>IF(K19="PENDING","",'Author Decision Queue'!$X$33)</f>
        <v/>
      </c>
      <c r="N19" s="4">
        <f>IF(K19="REVISE",'Author Decision Queue'!$U$33,IF(K19="HOLD",'Author Decision Queue'!$Y$33,'Author Decision Queue'!$V$33))</f>
        <v/>
      </c>
    </row>
    <row r="20">
      <c r="A20" s="4" t="inlineStr">
        <is>
          <t>RNR-H15</t>
        </is>
      </c>
      <c r="B20" s="4" t="inlineStr">
        <is>
          <t>Inherited 57</t>
        </is>
      </c>
      <c r="C20" s="4" t="inlineStr">
        <is>
          <t>Love, mercy, grace &amp; glory</t>
        </is>
      </c>
      <c r="D20" s="4" t="inlineStr">
        <is>
          <t>Merciful</t>
        </is>
      </c>
      <c r="E20" s="4" t="inlineStr">
        <is>
          <t>A</t>
        </is>
      </c>
      <c r="F20" s="4" t="inlineStr">
        <is>
          <t>Count-constrained reconstruction</t>
        </is>
      </c>
      <c r="G20" s="4" t="inlineStr">
        <is>
          <t>See inherited source report / recovered institution ledgers</t>
        </is>
      </c>
      <c r="H20" s="4" t="inlineStr">
        <is>
          <t>Recurring Kataphatic Vocabulary table</t>
        </is>
      </c>
      <c r="I20" s="4" t="inlineStr">
        <is>
          <t>Shared mercy.</t>
        </is>
      </c>
      <c r="J20" s="4" t="inlineStr">
        <is>
          <t>RECONSTRUCTED — source-level/master-family recertification remains publication-critical</t>
        </is>
      </c>
      <c r="K20" s="4">
        <f>IF('Author Decision Queue'!$Z$34="RESOLVED",IF('Author Decision Queue'!$T$34="OPTION 1","APPROVE",IF('Author Decision Queue'!$T$34="OPTION 2","REVISE",IF('Author Decision Queue'!$T$34="CUSTOM RESPONSE","REVISE","HOLD"))),IF('Author Decision Queue'!$Z$34="HOLD","HOLD","PENDING"))</f>
        <v/>
      </c>
      <c r="L20" s="4">
        <f>IF(K20="PENDING","",'Author Decision Queue'!$W$34)</f>
        <v/>
      </c>
      <c r="M20" s="13">
        <f>IF(K20="PENDING","",'Author Decision Queue'!$X$34)</f>
        <v/>
      </c>
      <c r="N20" s="4">
        <f>IF(K20="REVISE",'Author Decision Queue'!$U$34,IF(K20="HOLD",'Author Decision Queue'!$Y$34,'Author Decision Queue'!$V$34))</f>
        <v/>
      </c>
    </row>
    <row r="21" ht="15.75" customHeight="1" s="29">
      <c r="A21" s="4" t="inlineStr">
        <is>
          <t>RNR-H16</t>
        </is>
      </c>
      <c r="B21" s="4" t="inlineStr">
        <is>
          <t>Inherited 57</t>
        </is>
      </c>
      <c r="C21" s="4" t="inlineStr">
        <is>
          <t>Love, mercy, grace &amp; glory</t>
        </is>
      </c>
      <c r="D21" s="4" t="inlineStr">
        <is>
          <t>Gracious</t>
        </is>
      </c>
      <c r="E21" s="4" t="inlineStr">
        <is>
          <t>A</t>
        </is>
      </c>
      <c r="F21" s="4" t="inlineStr">
        <is>
          <t>Count-constrained reconstruction</t>
        </is>
      </c>
      <c r="G21" s="4" t="inlineStr">
        <is>
          <t>See inherited source report / recovered institution ledgers</t>
        </is>
      </c>
      <c r="H21" s="4" t="inlineStr">
        <is>
          <t>Recurring Kataphatic Vocabulary table</t>
        </is>
      </c>
      <c r="I21" s="4" t="inlineStr">
        <is>
          <t>Shared grace/gracious action.</t>
        </is>
      </c>
      <c r="J21" s="4" t="inlineStr">
        <is>
          <t>RECONSTRUCTED — source-level/master-family recertification remains publication-critical</t>
        </is>
      </c>
      <c r="K21" s="4">
        <f>IF('Author Decision Queue'!$Z$35="RESOLVED",IF('Author Decision Queue'!$T$35="OPTION 1","APPROVE",IF('Author Decision Queue'!$T$35="OPTION 2","REVISE",IF('Author Decision Queue'!$T$35="CUSTOM RESPONSE","REVISE","HOLD"))),IF('Author Decision Queue'!$Z$35="HOLD","HOLD","PENDING"))</f>
        <v/>
      </c>
      <c r="L21" s="4">
        <f>IF(K21="PENDING","",'Author Decision Queue'!$W$35)</f>
        <v/>
      </c>
      <c r="M21" s="13">
        <f>IF(K21="PENDING","",'Author Decision Queue'!$X$35)</f>
        <v/>
      </c>
      <c r="N21" s="4">
        <f>IF(K21="REVISE",'Author Decision Queue'!$U$35,IF(K21="HOLD",'Author Decision Queue'!$Y$35,'Author Decision Queue'!$V$35))</f>
        <v/>
      </c>
    </row>
    <row r="22" ht="15.75" customHeight="1" s="29">
      <c r="A22" s="4" t="inlineStr">
        <is>
          <t>RNR-H17</t>
        </is>
      </c>
      <c r="B22" s="4" t="inlineStr">
        <is>
          <t>Inherited 57</t>
        </is>
      </c>
      <c r="C22" s="4" t="inlineStr">
        <is>
          <t>Love, mercy, grace &amp; glory</t>
        </is>
      </c>
      <c r="D22" s="4" t="inlineStr">
        <is>
          <t>Long-suffering / patient</t>
        </is>
      </c>
      <c r="E22" s="4" t="inlineStr">
        <is>
          <t>A</t>
        </is>
      </c>
      <c r="F22" s="4" t="inlineStr">
        <is>
          <t>Count-constrained reconstruction</t>
        </is>
      </c>
      <c r="G22" s="4" t="inlineStr">
        <is>
          <t>See inherited source report / recovered institution ledgers</t>
        </is>
      </c>
      <c r="H22" s="4" t="inlineStr">
        <is>
          <t>Recurring Kataphatic Vocabulary table</t>
        </is>
      </c>
      <c r="I22" s="4" t="inlineStr">
        <is>
          <t>Shared divine patience/forbearance.</t>
        </is>
      </c>
      <c r="J22" s="4" t="inlineStr">
        <is>
          <t>RECONSTRUCTED — source-level/master-family recertification remains publication-critical</t>
        </is>
      </c>
      <c r="K22" s="4">
        <f>IF('Author Decision Queue'!$Z$36="RESOLVED",IF('Author Decision Queue'!$T$36="OPTION 1","APPROVE",IF('Author Decision Queue'!$T$36="OPTION 2","REVISE",IF('Author Decision Queue'!$T$36="CUSTOM RESPONSE","REVISE","HOLD"))),IF('Author Decision Queue'!$Z$36="HOLD","HOLD","PENDING"))</f>
        <v/>
      </c>
      <c r="L22" s="4">
        <f>IF(K22="PENDING","",'Author Decision Queue'!$W$36)</f>
        <v/>
      </c>
      <c r="M22" s="13">
        <f>IF(K22="PENDING","",'Author Decision Queue'!$X$36)</f>
        <v/>
      </c>
      <c r="N22" s="4">
        <f>IF(K22="REVISE",'Author Decision Queue'!$U$36,IF(K22="HOLD",'Author Decision Queue'!$Y$36,'Author Decision Queue'!$V$36))</f>
        <v/>
      </c>
    </row>
    <row r="23" ht="15.75" customHeight="1" s="29">
      <c r="A23" s="4" t="inlineStr">
        <is>
          <t>RNR-H18</t>
        </is>
      </c>
      <c r="B23" s="4" t="inlineStr">
        <is>
          <t>Inherited 57</t>
        </is>
      </c>
      <c r="C23" s="4" t="inlineStr">
        <is>
          <t>Love, mercy, grace &amp; glory</t>
        </is>
      </c>
      <c r="D23" s="4" t="inlineStr">
        <is>
          <t>Forgiving</t>
        </is>
      </c>
      <c r="E23" s="4" t="inlineStr">
        <is>
          <t>A</t>
        </is>
      </c>
      <c r="F23" s="4" t="inlineStr">
        <is>
          <t>Count-constrained reconstruction</t>
        </is>
      </c>
      <c r="G23" s="4" t="inlineStr">
        <is>
          <t>See inherited source report / recovered institution ledgers</t>
        </is>
      </c>
      <c r="H23" s="4" t="inlineStr">
        <is>
          <t>Recurring Kataphatic Vocabulary table</t>
        </is>
      </c>
      <c r="I23" s="4" t="inlineStr">
        <is>
          <t>Shared forgiving action.</t>
        </is>
      </c>
      <c r="J23" s="4" t="inlineStr">
        <is>
          <t>RECONSTRUCTED — source-level/master-family recertification remains publication-critical</t>
        </is>
      </c>
      <c r="K23" s="4">
        <f>IF('Author Decision Queue'!$Z$37="RESOLVED",IF('Author Decision Queue'!$T$37="OPTION 1","APPROVE",IF('Author Decision Queue'!$T$37="OPTION 2","REVISE",IF('Author Decision Queue'!$T$37="CUSTOM RESPONSE","REVISE","HOLD"))),IF('Author Decision Queue'!$Z$37="HOLD","HOLD","PENDING"))</f>
        <v/>
      </c>
      <c r="L23" s="4">
        <f>IF(K23="PENDING","",'Author Decision Queue'!$W$37)</f>
        <v/>
      </c>
      <c r="M23" s="13">
        <f>IF(K23="PENDING","",'Author Decision Queue'!$X$37)</f>
        <v/>
      </c>
      <c r="N23" s="4">
        <f>IF(K23="REVISE",'Author Decision Queue'!$U$37,IF(K23="HOLD",'Author Decision Queue'!$Y$37,'Author Decision Queue'!$V$37))</f>
        <v/>
      </c>
    </row>
    <row r="24" ht="15.75" customHeight="1" s="29">
      <c r="A24" s="4" t="inlineStr">
        <is>
          <t>RNR-H19</t>
        </is>
      </c>
      <c r="B24" s="4" t="inlineStr">
        <is>
          <t>Inherited 57</t>
        </is>
      </c>
      <c r="C24" s="4" t="inlineStr">
        <is>
          <t>Love, mercy, grace &amp; glory</t>
        </is>
      </c>
      <c r="D24" s="4" t="inlineStr">
        <is>
          <t>Blessed</t>
        </is>
      </c>
      <c r="E24" s="4" t="inlineStr">
        <is>
          <t>A</t>
        </is>
      </c>
      <c r="F24" s="4" t="inlineStr">
        <is>
          <t>Count-constrained reconstruction</t>
        </is>
      </c>
      <c r="G24" s="4" t="inlineStr">
        <is>
          <t>See inherited source report / recovered institution ledgers</t>
        </is>
      </c>
      <c r="H24" s="4" t="inlineStr">
        <is>
          <t>Recurring Kataphatic Vocabulary table</t>
        </is>
      </c>
      <c r="I24" s="4" t="inlineStr">
        <is>
          <t>Shared. Both traditions affirm this of God in the same sense.</t>
        </is>
      </c>
      <c r="J24" s="4" t="inlineStr">
        <is>
          <t>RECONSTRUCTED — source-level/master-family recertification remains publication-critical</t>
        </is>
      </c>
      <c r="K24" s="4">
        <f>IF('Author Decision Queue'!$Z$38="RESOLVED",IF('Author Decision Queue'!$T$38="OPTION 1","APPROVE",IF('Author Decision Queue'!$T$38="OPTION 2","REVISE",IF('Author Decision Queue'!$T$38="CUSTOM RESPONSE","REVISE","HOLD"))),IF('Author Decision Queue'!$Z$38="HOLD","HOLD","PENDING"))</f>
        <v/>
      </c>
      <c r="L24" s="4">
        <f>IF(K24="PENDING","",'Author Decision Queue'!$W$38)</f>
        <v/>
      </c>
      <c r="M24" s="13">
        <f>IF(K24="PENDING","",'Author Decision Queue'!$X$38)</f>
        <v/>
      </c>
      <c r="N24" s="4">
        <f>IF(K24="REVISE",'Author Decision Queue'!$U$38,IF(K24="HOLD",'Author Decision Queue'!$Y$38,'Author Decision Queue'!$V$38))</f>
        <v/>
      </c>
    </row>
    <row r="25" ht="15.75" customHeight="1" s="29">
      <c r="A25" s="4" t="inlineStr">
        <is>
          <t>RNR-H20</t>
        </is>
      </c>
      <c r="B25" s="4" t="inlineStr">
        <is>
          <t>Inherited 57</t>
        </is>
      </c>
      <c r="C25" s="4" t="inlineStr">
        <is>
          <t>Love, mercy, grace &amp; glory</t>
        </is>
      </c>
      <c r="D25" s="4" t="inlineStr">
        <is>
          <t>Glorious</t>
        </is>
      </c>
      <c r="E25" s="4" t="inlineStr">
        <is>
          <t>A</t>
        </is>
      </c>
      <c r="F25" s="4" t="inlineStr">
        <is>
          <t>Count-constrained reconstruction</t>
        </is>
      </c>
      <c r="G25" s="4" t="inlineStr">
        <is>
          <t>See inherited source report / recovered institution ledgers</t>
        </is>
      </c>
      <c r="H25" s="4" t="inlineStr">
        <is>
          <t>Recurring Kataphatic Vocabulary table</t>
        </is>
      </c>
      <c r="I25" s="4" t="inlineStr">
        <is>
          <t>Shared divine glory.</t>
        </is>
      </c>
      <c r="J25" s="4" t="inlineStr">
        <is>
          <t>RECONSTRUCTED — source-level/master-family recertification remains publication-critical</t>
        </is>
      </c>
      <c r="K25" s="4">
        <f>IF('Author Decision Queue'!$Z$39="RESOLVED",IF('Author Decision Queue'!$T$39="OPTION 1","APPROVE",IF('Author Decision Queue'!$T$39="OPTION 2","REVISE",IF('Author Decision Queue'!$T$39="CUSTOM RESPONSE","REVISE","HOLD"))),IF('Author Decision Queue'!$Z$39="HOLD","HOLD","PENDING"))</f>
        <v/>
      </c>
      <c r="L25" s="4">
        <f>IF(K25="PENDING","",'Author Decision Queue'!$W$39)</f>
        <v/>
      </c>
      <c r="M25" s="13">
        <f>IF(K25="PENDING","",'Author Decision Queue'!$X$39)</f>
        <v/>
      </c>
      <c r="N25" s="4">
        <f>IF(K25="REVISE",'Author Decision Queue'!$U$39,IF(K25="HOLD",'Author Decision Queue'!$Y$39,'Author Decision Queue'!$V$39))</f>
        <v/>
      </c>
    </row>
    <row r="26" ht="15.75" customHeight="1" s="29">
      <c r="A26" s="4" t="inlineStr">
        <is>
          <t>RNR-H21</t>
        </is>
      </c>
      <c r="B26" s="4" t="inlineStr">
        <is>
          <t>Inherited 57</t>
        </is>
      </c>
      <c r="C26" s="4" t="inlineStr">
        <is>
          <t>Divine action, providence &amp; salvation</t>
        </is>
      </c>
      <c r="D26" s="4" t="inlineStr">
        <is>
          <t>Life-giving</t>
        </is>
      </c>
      <c r="E26" s="4" t="inlineStr">
        <is>
          <t>A</t>
        </is>
      </c>
      <c r="F26" s="4" t="inlineStr">
        <is>
          <t>Count-constrained reconstruction</t>
        </is>
      </c>
      <c r="G26" s="4" t="inlineStr">
        <is>
          <t>See inherited source report / recovered institution ledgers</t>
        </is>
      </c>
      <c r="H26" s="4" t="inlineStr">
        <is>
          <t>Recurring Kataphatic Vocabulary table</t>
        </is>
      </c>
      <c r="I26" s="4" t="inlineStr">
        <is>
          <t>Shared life-giving divine action.</t>
        </is>
      </c>
      <c r="J26" s="4" t="inlineStr">
        <is>
          <t>RECONSTRUCTED — source-level/master-family recertification remains publication-critical</t>
        </is>
      </c>
      <c r="K26" s="4">
        <f>IF('Author Decision Queue'!$Z$40="RESOLVED",IF('Author Decision Queue'!$T$40="OPTION 1","APPROVE",IF('Author Decision Queue'!$T$40="OPTION 2","REVISE",IF('Author Decision Queue'!$T$40="CUSTOM RESPONSE","REVISE","HOLD"))),IF('Author Decision Queue'!$Z$40="HOLD","HOLD","PENDING"))</f>
        <v/>
      </c>
      <c r="L26" s="4">
        <f>IF(K26="PENDING","",'Author Decision Queue'!$W$40)</f>
        <v/>
      </c>
      <c r="M26" s="13">
        <f>IF(K26="PENDING","",'Author Decision Queue'!$X$40)</f>
        <v/>
      </c>
      <c r="N26" s="4">
        <f>IF(K26="REVISE",'Author Decision Queue'!$U$40,IF(K26="HOLD",'Author Decision Queue'!$Y$40,'Author Decision Queue'!$V$40))</f>
        <v/>
      </c>
    </row>
    <row r="27" ht="15.75" customHeight="1" s="29">
      <c r="A27" s="4" t="inlineStr">
        <is>
          <t>RNR-H22</t>
        </is>
      </c>
      <c r="B27" s="4" t="inlineStr">
        <is>
          <t>Inherited 57</t>
        </is>
      </c>
      <c r="C27" s="4" t="inlineStr">
        <is>
          <t>Divine action, providence &amp; salvation</t>
        </is>
      </c>
      <c r="D27" s="4" t="inlineStr">
        <is>
          <t>Creator / Maker</t>
        </is>
      </c>
      <c r="E27" s="4" t="inlineStr">
        <is>
          <t>Q</t>
        </is>
      </c>
      <c r="F27" s="4" t="inlineStr">
        <is>
          <t>Explicit in master handoff</t>
        </is>
      </c>
      <c r="G27" s="4" t="inlineStr">
        <is>
          <t>See inherited source report / recovered institution ledgers</t>
        </is>
      </c>
      <c r="H27" s="4" t="inlineStr">
        <is>
          <t>Recurring Kataphatic Vocabulary table</t>
        </is>
      </c>
      <c r="I27" s="4" t="inlineStr">
        <is>
          <t>Creator/Maker confession is shared; creation ontology/mechanics are materially redefined around preexistent reality.</t>
        </is>
      </c>
      <c r="J27" s="4" t="inlineStr">
        <is>
          <t>CONTROLLED INTERNAL — still requires public wording signoff</t>
        </is>
      </c>
      <c r="K27" s="4">
        <f>IF('Author Decision Queue'!$Z$41="RESOLVED",IF('Author Decision Queue'!$T$41="OPTION 1","APPROVE",IF('Author Decision Queue'!$T$41="OPTION 2","REVISE",IF('Author Decision Queue'!$T$41="CUSTOM RESPONSE","REVISE","HOLD"))),IF('Author Decision Queue'!$Z$41="HOLD","HOLD","PENDING"))</f>
        <v/>
      </c>
      <c r="L27" s="4">
        <f>IF(K27="PENDING","",'Author Decision Queue'!$W$41)</f>
        <v/>
      </c>
      <c r="M27" s="13">
        <f>IF(K27="PENDING","",'Author Decision Queue'!$X$41)</f>
        <v/>
      </c>
      <c r="N27" s="4">
        <f>IF(K27="REVISE",'Author Decision Queue'!$U$41,IF(K27="HOLD",'Author Decision Queue'!$Y$41,'Author Decision Queue'!$V$41))</f>
        <v/>
      </c>
    </row>
    <row r="28" ht="15.75" customHeight="1" s="29">
      <c r="A28" s="4" t="inlineStr">
        <is>
          <t>RNR-H23</t>
        </is>
      </c>
      <c r="B28" s="4" t="inlineStr">
        <is>
          <t>Inherited 57</t>
        </is>
      </c>
      <c r="C28" s="4" t="inlineStr">
        <is>
          <t>Divine action, providence &amp; salvation</t>
        </is>
      </c>
      <c r="D28" s="4" t="inlineStr">
        <is>
          <t>Preserver / Sustainer</t>
        </is>
      </c>
      <c r="E28" s="4" t="inlineStr">
        <is>
          <t>A</t>
        </is>
      </c>
      <c r="F28" s="4" t="inlineStr">
        <is>
          <t>Count-constrained reconstruction</t>
        </is>
      </c>
      <c r="G28" s="4" t="inlineStr">
        <is>
          <t>See inherited source report / recovered institution ledgers</t>
        </is>
      </c>
      <c r="H28" s="4" t="inlineStr">
        <is>
          <t>Recurring Kataphatic Vocabulary table</t>
        </is>
      </c>
      <c r="I28" s="4" t="inlineStr">
        <is>
          <t>Shared sustaining/preserving action; stronger continuous ontological-conservation theory remains a thick-layer issue.</t>
        </is>
      </c>
      <c r="J28" s="4" t="inlineStr">
        <is>
          <t>RECONSTRUCTED — source-level/master-family recertification remains publication-critical</t>
        </is>
      </c>
      <c r="K28" s="4">
        <f>IF('Author Decision Queue'!$Z$42="RESOLVED",IF('Author Decision Queue'!$T$42="OPTION 1","APPROVE",IF('Author Decision Queue'!$T$42="OPTION 2","REVISE",IF('Author Decision Queue'!$T$42="CUSTOM RESPONSE","REVISE","HOLD"))),IF('Author Decision Queue'!$Z$42="HOLD","HOLD","PENDING"))</f>
        <v/>
      </c>
      <c r="L28" s="4">
        <f>IF(K28="PENDING","",'Author Decision Queue'!$W$42)</f>
        <v/>
      </c>
      <c r="M28" s="13">
        <f>IF(K28="PENDING","",'Author Decision Queue'!$X$42)</f>
        <v/>
      </c>
      <c r="N28" s="4">
        <f>IF(K28="REVISE",'Author Decision Queue'!$U$42,IF(K28="HOLD",'Author Decision Queue'!$Y$42,'Author Decision Queue'!$V$42))</f>
        <v/>
      </c>
    </row>
    <row r="29" ht="15.75" customHeight="1" s="29">
      <c r="A29" s="4" t="inlineStr">
        <is>
          <t>RNR-H24</t>
        </is>
      </c>
      <c r="B29" s="4" t="inlineStr">
        <is>
          <t>Inherited 57</t>
        </is>
      </c>
      <c r="C29" s="4" t="inlineStr">
        <is>
          <t>Divine action, providence &amp; salvation</t>
        </is>
      </c>
      <c r="D29" s="4" t="inlineStr">
        <is>
          <t>Governor / Ruler</t>
        </is>
      </c>
      <c r="E29" s="4" t="inlineStr">
        <is>
          <t>A</t>
        </is>
      </c>
      <c r="F29" s="4" t="inlineStr">
        <is>
          <t>Count-constrained reconstruction</t>
        </is>
      </c>
      <c r="G29" s="4" t="inlineStr">
        <is>
          <t>See inherited source report / recovered institution ledgers</t>
        </is>
      </c>
      <c r="H29" s="4" t="inlineStr">
        <is>
          <t>Recurring Kataphatic Vocabulary table</t>
        </is>
      </c>
      <c r="I29" s="4" t="inlineStr">
        <is>
          <t>Shared providential governance.</t>
        </is>
      </c>
      <c r="J29" s="4" t="inlineStr">
        <is>
          <t>RECONSTRUCTED — source-level/master-family recertification remains publication-critical</t>
        </is>
      </c>
      <c r="K29" s="4">
        <f>IF('Author Decision Queue'!$Z$43="RESOLVED",IF('Author Decision Queue'!$T$43="OPTION 1","APPROVE",IF('Author Decision Queue'!$T$43="OPTION 2","REVISE",IF('Author Decision Queue'!$T$43="CUSTOM RESPONSE","REVISE","HOLD"))),IF('Author Decision Queue'!$Z$43="HOLD","HOLD","PENDING"))</f>
        <v/>
      </c>
      <c r="L29" s="4">
        <f>IF(K29="PENDING","",'Author Decision Queue'!$W$43)</f>
        <v/>
      </c>
      <c r="M29" s="13">
        <f>IF(K29="PENDING","",'Author Decision Queue'!$X$43)</f>
        <v/>
      </c>
      <c r="N29" s="4">
        <f>IF(K29="REVISE",'Author Decision Queue'!$U$43,IF(K29="HOLD",'Author Decision Queue'!$Y$43,'Author Decision Queue'!$V$43))</f>
        <v/>
      </c>
    </row>
    <row r="30" ht="15.75" customHeight="1" s="29">
      <c r="A30" s="4" t="inlineStr">
        <is>
          <t>RNR-H25</t>
        </is>
      </c>
      <c r="B30" s="4" t="inlineStr">
        <is>
          <t>Inherited 57</t>
        </is>
      </c>
      <c r="C30" s="4" t="inlineStr">
        <is>
          <t>Divine action, providence &amp; salvation</t>
        </is>
      </c>
      <c r="D30" s="4" t="inlineStr">
        <is>
          <t>Sovereign</t>
        </is>
      </c>
      <c r="E30" s="4" t="inlineStr">
        <is>
          <t>A</t>
        </is>
      </c>
      <c r="F30" s="4" t="inlineStr">
        <is>
          <t>Count-constrained reconstruction</t>
        </is>
      </c>
      <c r="G30" s="4" t="inlineStr">
        <is>
          <t>See inherited source report / recovered institution ledgers</t>
        </is>
      </c>
      <c r="H30" s="4" t="inlineStr">
        <is>
          <t>Recurring Kataphatic Vocabulary table</t>
        </is>
      </c>
      <c r="I30" s="4" t="inlineStr">
        <is>
          <t>Shared divine sovereignty.</t>
        </is>
      </c>
      <c r="J30" s="4" t="inlineStr">
        <is>
          <t>RECONSTRUCTED — source-level/master-family recertification remains publication-critical</t>
        </is>
      </c>
      <c r="K30" s="4">
        <f>IF('Author Decision Queue'!$Z$44="RESOLVED",IF('Author Decision Queue'!$T$44="OPTION 1","APPROVE",IF('Author Decision Queue'!$T$44="OPTION 2","REVISE",IF('Author Decision Queue'!$T$44="CUSTOM RESPONSE","REVISE","HOLD"))),IF('Author Decision Queue'!$Z$44="HOLD","HOLD","PENDING"))</f>
        <v/>
      </c>
      <c r="L30" s="4">
        <f>IF(K30="PENDING","",'Author Decision Queue'!$W$44)</f>
        <v/>
      </c>
      <c r="M30" s="13">
        <f>IF(K30="PENDING","",'Author Decision Queue'!$X$44)</f>
        <v/>
      </c>
      <c r="N30" s="4">
        <f>IF(K30="REVISE",'Author Decision Queue'!$U$44,IF(K30="HOLD",'Author Decision Queue'!$Y$44,'Author Decision Queue'!$V$44))</f>
        <v/>
      </c>
    </row>
    <row r="31" ht="15.75" customHeight="1" s="29">
      <c r="A31" s="4" t="inlineStr">
        <is>
          <t>RNR-H26</t>
        </is>
      </c>
      <c r="B31" s="4" t="inlineStr">
        <is>
          <t>Inherited 57</t>
        </is>
      </c>
      <c r="C31" s="4" t="inlineStr">
        <is>
          <t>Divine action, providence &amp; salvation</t>
        </is>
      </c>
      <c r="D31" s="4" t="inlineStr">
        <is>
          <t>Judge</t>
        </is>
      </c>
      <c r="E31" s="4" t="inlineStr">
        <is>
          <t>A</t>
        </is>
      </c>
      <c r="F31" s="4" t="inlineStr">
        <is>
          <t>Count-constrained reconstruction</t>
        </is>
      </c>
      <c r="G31" s="4" t="inlineStr">
        <is>
          <t>See inherited source report / recovered institution ledgers</t>
        </is>
      </c>
      <c r="H31" s="4" t="inlineStr">
        <is>
          <t>Recurring Kataphatic Vocabulary table</t>
        </is>
      </c>
      <c r="I31" s="4" t="inlineStr">
        <is>
          <t>Shared divine judgment.</t>
        </is>
      </c>
      <c r="J31" s="4" t="inlineStr">
        <is>
          <t>RECONSTRUCTED — source-level/master-family recertification remains publication-critical</t>
        </is>
      </c>
      <c r="K31" s="4">
        <f>IF('Author Decision Queue'!$Z$45="RESOLVED",IF('Author Decision Queue'!$T$45="OPTION 1","APPROVE",IF('Author Decision Queue'!$T$45="OPTION 2","REVISE",IF('Author Decision Queue'!$T$45="CUSTOM RESPONSE","REVISE","HOLD"))),IF('Author Decision Queue'!$Z$45="HOLD","HOLD","PENDING"))</f>
        <v/>
      </c>
      <c r="L31" s="4">
        <f>IF(K31="PENDING","",'Author Decision Queue'!$W$45)</f>
        <v/>
      </c>
      <c r="M31" s="13">
        <f>IF(K31="PENDING","",'Author Decision Queue'!$X$45)</f>
        <v/>
      </c>
      <c r="N31" s="4">
        <f>IF(K31="REVISE",'Author Decision Queue'!$U$45,IF(K31="HOLD",'Author Decision Queue'!$Y$45,'Author Decision Queue'!$V$45))</f>
        <v/>
      </c>
    </row>
    <row r="32" ht="15.75" customHeight="1" s="29">
      <c r="A32" s="4" t="inlineStr">
        <is>
          <t>RNR-H27</t>
        </is>
      </c>
      <c r="B32" s="4" t="inlineStr">
        <is>
          <t>Inherited 57</t>
        </is>
      </c>
      <c r="C32" s="4" t="inlineStr">
        <is>
          <t>Divine action, providence &amp; salvation</t>
        </is>
      </c>
      <c r="D32" s="4" t="inlineStr">
        <is>
          <t>Savior</t>
        </is>
      </c>
      <c r="E32" s="4" t="inlineStr">
        <is>
          <t>A</t>
        </is>
      </c>
      <c r="F32" s="4" t="inlineStr">
        <is>
          <t>Count-constrained reconstruction</t>
        </is>
      </c>
      <c r="G32" s="4" t="inlineStr">
        <is>
          <t>See inherited source report / recovered institution ledgers</t>
        </is>
      </c>
      <c r="H32" s="4" t="inlineStr">
        <is>
          <t>Recurring Kataphatic Vocabulary table</t>
        </is>
      </c>
      <c r="I32" s="4" t="inlineStr">
        <is>
          <t>Shared saving/redemptive action.</t>
        </is>
      </c>
      <c r="J32" s="4" t="inlineStr">
        <is>
          <t>RECONSTRUCTED — source-level/master-family recertification remains publication-critical</t>
        </is>
      </c>
      <c r="K32" s="4">
        <f>IF('Author Decision Queue'!$Z$46="RESOLVED",IF('Author Decision Queue'!$T$46="OPTION 1","APPROVE",IF('Author Decision Queue'!$T$46="OPTION 2","REVISE",IF('Author Decision Queue'!$T$46="CUSTOM RESPONSE","REVISE","HOLD"))),IF('Author Decision Queue'!$Z$46="HOLD","HOLD","PENDING"))</f>
        <v/>
      </c>
      <c r="L32" s="4">
        <f>IF(K32="PENDING","",'Author Decision Queue'!$W$46)</f>
        <v/>
      </c>
      <c r="M32" s="13">
        <f>IF(K32="PENDING","",'Author Decision Queue'!$X$46)</f>
        <v/>
      </c>
      <c r="N32" s="4">
        <f>IF(K32="REVISE",'Author Decision Queue'!$U$46,IF(K32="HOLD",'Author Decision Queue'!$Y$46,'Author Decision Queue'!$V$46))</f>
        <v/>
      </c>
    </row>
    <row r="33" ht="15.75" customHeight="1" s="29">
      <c r="A33" s="4" t="inlineStr">
        <is>
          <t>RNR-H28</t>
        </is>
      </c>
      <c r="B33" s="4" t="inlineStr">
        <is>
          <t>Inherited 57</t>
        </is>
      </c>
      <c r="C33" s="4" t="inlineStr">
        <is>
          <t>Divine action, providence &amp; salvation</t>
        </is>
      </c>
      <c r="D33" s="4" t="inlineStr">
        <is>
          <t>Revealer</t>
        </is>
      </c>
      <c r="E33" s="4" t="inlineStr">
        <is>
          <t>A</t>
        </is>
      </c>
      <c r="F33" s="4" t="inlineStr">
        <is>
          <t>Count-constrained reconstruction</t>
        </is>
      </c>
      <c r="G33" s="4" t="inlineStr">
        <is>
          <t>See inherited source report / recovered institution ledgers</t>
        </is>
      </c>
      <c r="H33" s="4" t="inlineStr">
        <is>
          <t>Recurring Kataphatic Vocabulary table</t>
        </is>
      </c>
      <c r="I33" s="4" t="inlineStr">
        <is>
          <t>Shared divine revelation/self-communication.</t>
        </is>
      </c>
      <c r="J33" s="4" t="inlineStr">
        <is>
          <t>RECONSTRUCTED — source-level/master-family recertification remains publication-critical</t>
        </is>
      </c>
      <c r="K33" s="4">
        <f>IF('Author Decision Queue'!$Z$47="RESOLVED",IF('Author Decision Queue'!$T$47="OPTION 1","APPROVE",IF('Author Decision Queue'!$T$47="OPTION 2","REVISE",IF('Author Decision Queue'!$T$47="CUSTOM RESPONSE","REVISE","HOLD"))),IF('Author Decision Queue'!$Z$47="HOLD","HOLD","PENDING"))</f>
        <v/>
      </c>
      <c r="L33" s="4">
        <f>IF(K33="PENDING","",'Author Decision Queue'!$W$47)</f>
        <v/>
      </c>
      <c r="M33" s="13">
        <f>IF(K33="PENDING","",'Author Decision Queue'!$X$47)</f>
        <v/>
      </c>
      <c r="N33" s="4">
        <f>IF(K33="REVISE",'Author Decision Queue'!$U$47,IF(K33="HOLD",'Author Decision Queue'!$Y$47,'Author Decision Queue'!$V$47))</f>
        <v/>
      </c>
    </row>
    <row r="34" ht="15.75" customHeight="1" s="29">
      <c r="A34" s="4" t="inlineStr">
        <is>
          <t>RNR-H29</t>
        </is>
      </c>
      <c r="B34" s="4" t="inlineStr">
        <is>
          <t>Inherited 57</t>
        </is>
      </c>
      <c r="C34" s="4" t="inlineStr">
        <is>
          <t>Divine action, providence &amp; salvation</t>
        </is>
      </c>
      <c r="D34" s="4" t="inlineStr">
        <is>
          <t>Fountain of being</t>
        </is>
      </c>
      <c r="E34" s="4" t="inlineStr">
        <is>
          <t>Q</t>
        </is>
      </c>
      <c r="F34" s="4" t="inlineStr">
        <is>
          <t>Count-constrained reconstruction</t>
        </is>
      </c>
      <c r="G34" s="4" t="inlineStr">
        <is>
          <t>See inherited source report / recovered institution ledgers</t>
        </is>
      </c>
      <c r="H34" s="4" t="inlineStr">
        <is>
          <t>Recurring Kataphatic Vocabulary table</t>
        </is>
      </c>
      <c r="I34" s="4" t="inlineStr">
        <is>
          <t>Qualified because Restoration ontology affirms coeternal intelligence and elements rather than an exhaustive creator-created binary.</t>
        </is>
      </c>
      <c r="J34" s="4" t="inlineStr">
        <is>
          <t>RECONSTRUCTED — source-level/master-family recertification remains publication-critical</t>
        </is>
      </c>
      <c r="K34" s="4">
        <f>IF('Author Decision Queue'!$Z$48="RESOLVED",IF('Author Decision Queue'!$T$48="OPTION 1","APPROVE",IF('Author Decision Queue'!$T$48="OPTION 2","REVISE",IF('Author Decision Queue'!$T$48="CUSTOM RESPONSE","REVISE","HOLD"))),IF('Author Decision Queue'!$Z$48="HOLD","HOLD","PENDING"))</f>
        <v/>
      </c>
      <c r="L34" s="4">
        <f>IF(K34="PENDING","",'Author Decision Queue'!$W$48)</f>
        <v/>
      </c>
      <c r="M34" s="13">
        <f>IF(K34="PENDING","",'Author Decision Queue'!$X$48)</f>
        <v/>
      </c>
      <c r="N34" s="4">
        <f>IF(K34="REVISE",'Author Decision Queue'!$U$48,IF(K34="HOLD",'Author Decision Queue'!$Y$48,'Author Decision Queue'!$V$48))</f>
        <v/>
      </c>
    </row>
    <row r="35" ht="15.75" customHeight="1" s="29">
      <c r="A35" s="4" t="inlineStr">
        <is>
          <t>RNR-H30</t>
        </is>
      </c>
      <c r="B35" s="4" t="inlineStr">
        <is>
          <t>Inherited 57</t>
        </is>
      </c>
      <c r="C35" s="4" t="inlineStr">
        <is>
          <t>Christ &amp; Spirit titles</t>
        </is>
      </c>
      <c r="D35" s="4" t="inlineStr">
        <is>
          <t>Word / Logos</t>
        </is>
      </c>
      <c r="E35" s="4" t="inlineStr">
        <is>
          <t>A</t>
        </is>
      </c>
      <c r="F35" s="4" t="inlineStr">
        <is>
          <t>Count-constrained reconstruction</t>
        </is>
      </c>
      <c r="G35" s="4" t="inlineStr">
        <is>
          <t>See inherited source report / recovered institution ledgers</t>
        </is>
      </c>
      <c r="H35" s="4" t="inlineStr">
        <is>
          <t>Recurring Kataphatic Vocabulary table</t>
        </is>
      </c>
      <c r="I35" s="4" t="inlineStr">
        <is>
          <t>Shared identification/title of Christ.</t>
        </is>
      </c>
      <c r="J35" s="4" t="inlineStr">
        <is>
          <t>RECONSTRUCTED — source-level/master-family recertification remains publication-critical</t>
        </is>
      </c>
      <c r="K35" s="4">
        <f>IF('Author Decision Queue'!$Z$49="RESOLVED",IF('Author Decision Queue'!$T$49="OPTION 1","APPROVE",IF('Author Decision Queue'!$T$49="OPTION 2","REVISE",IF('Author Decision Queue'!$T$49="CUSTOM RESPONSE","REVISE","HOLD"))),IF('Author Decision Queue'!$Z$49="HOLD","HOLD","PENDING"))</f>
        <v/>
      </c>
      <c r="L35" s="4">
        <f>IF(K35="PENDING","",'Author Decision Queue'!$W$49)</f>
        <v/>
      </c>
      <c r="M35" s="13">
        <f>IF(K35="PENDING","",'Author Decision Queue'!$X$49)</f>
        <v/>
      </c>
      <c r="N35" s="4">
        <f>IF(K35="REVISE",'Author Decision Queue'!$U$49,IF(K35="HOLD",'Author Decision Queue'!$Y$49,'Author Decision Queue'!$V$49))</f>
        <v/>
      </c>
    </row>
    <row r="36" ht="15.75" customHeight="1" s="29">
      <c r="A36" s="4" t="inlineStr">
        <is>
          <t>RNR-H31</t>
        </is>
      </c>
      <c r="B36" s="4" t="inlineStr">
        <is>
          <t>Inherited 57</t>
        </is>
      </c>
      <c r="C36" s="4" t="inlineStr">
        <is>
          <t>Christ &amp; Spirit titles</t>
        </is>
      </c>
      <c r="D36" s="4" t="inlineStr">
        <is>
          <t>Wisdom</t>
        </is>
      </c>
      <c r="E36" s="4" t="inlineStr">
        <is>
          <t>A</t>
        </is>
      </c>
      <c r="F36" s="4" t="inlineStr">
        <is>
          <t>Count-constrained reconstruction</t>
        </is>
      </c>
      <c r="G36" s="4" t="inlineStr">
        <is>
          <t>See inherited source report / recovered institution ledgers</t>
        </is>
      </c>
      <c r="H36" s="4" t="inlineStr">
        <is>
          <t>Recurring Kataphatic Vocabulary table</t>
        </is>
      </c>
      <c r="I36" s="4" t="inlineStr">
        <is>
          <t>Shared christological title/metaphor at the accepted floor.</t>
        </is>
      </c>
      <c r="J36" s="4" t="inlineStr">
        <is>
          <t>RECONSTRUCTED — source-level/master-family recertification remains publication-critical</t>
        </is>
      </c>
      <c r="K36" s="4">
        <f>IF('Author Decision Queue'!$Z$50="RESOLVED",IF('Author Decision Queue'!$T$50="OPTION 1","APPROVE",IF('Author Decision Queue'!$T$50="OPTION 2","REVISE",IF('Author Decision Queue'!$T$50="CUSTOM RESPONSE","REVISE","HOLD"))),IF('Author Decision Queue'!$Z$50="HOLD","HOLD","PENDING"))</f>
        <v/>
      </c>
      <c r="L36" s="4">
        <f>IF(K36="PENDING","",'Author Decision Queue'!$W$50)</f>
        <v/>
      </c>
      <c r="M36" s="13">
        <f>IF(K36="PENDING","",'Author Decision Queue'!$X$50)</f>
        <v/>
      </c>
      <c r="N36" s="4">
        <f>IF(K36="REVISE",'Author Decision Queue'!$U$50,IF(K36="HOLD",'Author Decision Queue'!$Y$50,'Author Decision Queue'!$V$50))</f>
        <v/>
      </c>
    </row>
    <row r="37" ht="15.75" customHeight="1" s="29">
      <c r="A37" s="4" t="inlineStr">
        <is>
          <t>RNR-H32</t>
        </is>
      </c>
      <c r="B37" s="4" t="inlineStr">
        <is>
          <t>Inherited 57</t>
        </is>
      </c>
      <c r="C37" s="4" t="inlineStr">
        <is>
          <t>Christ &amp; Spirit titles</t>
        </is>
      </c>
      <c r="D37" s="4" t="inlineStr">
        <is>
          <t>Light</t>
        </is>
      </c>
      <c r="E37" s="4" t="inlineStr">
        <is>
          <t>A</t>
        </is>
      </c>
      <c r="F37" s="4" t="inlineStr">
        <is>
          <t>Count-constrained reconstruction</t>
        </is>
      </c>
      <c r="G37" s="4" t="inlineStr">
        <is>
          <t>See inherited source report / recovered institution ledgers</t>
        </is>
      </c>
      <c r="H37" s="4" t="inlineStr">
        <is>
          <t>Recurring Kataphatic Vocabulary table</t>
        </is>
      </c>
      <c r="I37" s="4" t="inlineStr">
        <is>
          <t>Shared christological light language at the accepted floor.</t>
        </is>
      </c>
      <c r="J37" s="4" t="inlineStr">
        <is>
          <t>RECONSTRUCTED — source-level/master-family recertification remains publication-critical</t>
        </is>
      </c>
      <c r="K37" s="4">
        <f>IF('Author Decision Queue'!$Z$51="RESOLVED",IF('Author Decision Queue'!$T$51="OPTION 1","APPROVE",IF('Author Decision Queue'!$T$51="OPTION 2","REVISE",IF('Author Decision Queue'!$T$51="CUSTOM RESPONSE","REVISE","HOLD"))),IF('Author Decision Queue'!$Z$51="HOLD","HOLD","PENDING"))</f>
        <v/>
      </c>
      <c r="L37" s="4">
        <f>IF(K37="PENDING","",'Author Decision Queue'!$W$51)</f>
        <v/>
      </c>
      <c r="M37" s="13">
        <f>IF(K37="PENDING","",'Author Decision Queue'!$X$51)</f>
        <v/>
      </c>
      <c r="N37" s="4">
        <f>IF(K37="REVISE",'Author Decision Queue'!$U$51,IF(K37="HOLD",'Author Decision Queue'!$Y$51,'Author Decision Queue'!$V$51))</f>
        <v/>
      </c>
    </row>
    <row r="38" ht="15.75" customHeight="1" s="29">
      <c r="A38" s="4" t="inlineStr">
        <is>
          <t>RNR-H33</t>
        </is>
      </c>
      <c r="B38" s="4" t="inlineStr">
        <is>
          <t>Inherited 57</t>
        </is>
      </c>
      <c r="C38" s="4" t="inlineStr">
        <is>
          <t>Christ &amp; Spirit titles</t>
        </is>
      </c>
      <c r="D38" s="4" t="inlineStr">
        <is>
          <t>Image of the Father</t>
        </is>
      </c>
      <c r="E38" s="4" t="inlineStr">
        <is>
          <t>A</t>
        </is>
      </c>
      <c r="F38" s="4" t="inlineStr">
        <is>
          <t>Count-constrained reconstruction</t>
        </is>
      </c>
      <c r="G38" s="4" t="inlineStr">
        <is>
          <t>See inherited source report / recovered institution ledgers</t>
        </is>
      </c>
      <c r="H38" s="4" t="inlineStr">
        <is>
          <t>Recurring Kataphatic Vocabulary table</t>
        </is>
      </c>
      <c r="I38" s="4" t="inlineStr">
        <is>
          <t>Shared image/manifestation language at the accepted floor.</t>
        </is>
      </c>
      <c r="J38" s="4" t="inlineStr">
        <is>
          <t>RECONSTRUCTED — source-level/master-family recertification remains publication-critical</t>
        </is>
      </c>
      <c r="K38" s="4">
        <f>IF('Author Decision Queue'!$Z$52="RESOLVED",IF('Author Decision Queue'!$T$52="OPTION 1","APPROVE",IF('Author Decision Queue'!$T$52="OPTION 2","REVISE",IF('Author Decision Queue'!$T$52="CUSTOM RESPONSE","REVISE","HOLD"))),IF('Author Decision Queue'!$Z$52="HOLD","HOLD","PENDING"))</f>
        <v/>
      </c>
      <c r="L38" s="4">
        <f>IF(K38="PENDING","",'Author Decision Queue'!$W$52)</f>
        <v/>
      </c>
      <c r="M38" s="13">
        <f>IF(K38="PENDING","",'Author Decision Queue'!$X$52)</f>
        <v/>
      </c>
      <c r="N38" s="4">
        <f>IF(K38="REVISE",'Author Decision Queue'!$U$52,IF(K38="HOLD",'Author Decision Queue'!$Y$52,'Author Decision Queue'!$V$52))</f>
        <v/>
      </c>
    </row>
    <row r="39" ht="15.75" customHeight="1" s="29">
      <c r="A39" s="4" t="inlineStr">
        <is>
          <t>RNR-H34</t>
        </is>
      </c>
      <c r="B39" s="4" t="inlineStr">
        <is>
          <t>Inherited 57</t>
        </is>
      </c>
      <c r="C39" s="4" t="inlineStr">
        <is>
          <t>Christ &amp; Spirit titles</t>
        </is>
      </c>
      <c r="D39" s="4" t="inlineStr">
        <is>
          <t>Giver of life</t>
        </is>
      </c>
      <c r="E39" s="4" t="inlineStr">
        <is>
          <t>A</t>
        </is>
      </c>
      <c r="F39" s="4" t="inlineStr">
        <is>
          <t>Count-constrained reconstruction</t>
        </is>
      </c>
      <c r="G39" s="4" t="inlineStr">
        <is>
          <t>See inherited source report / recovered institution ledgers</t>
        </is>
      </c>
      <c r="H39" s="4" t="inlineStr">
        <is>
          <t>Recurring Kataphatic Vocabulary table</t>
        </is>
      </c>
      <c r="I39" s="4" t="inlineStr">
        <is>
          <t>Shared life-giving agency of the Spirit.</t>
        </is>
      </c>
      <c r="J39" s="4" t="inlineStr">
        <is>
          <t>RECONSTRUCTED — source-level/master-family recertification remains publication-critical</t>
        </is>
      </c>
      <c r="K39" s="4">
        <f>IF('Author Decision Queue'!$Z$53="RESOLVED",IF('Author Decision Queue'!$T$53="OPTION 1","APPROVE",IF('Author Decision Queue'!$T$53="OPTION 2","REVISE",IF('Author Decision Queue'!$T$53="CUSTOM RESPONSE","REVISE","HOLD"))),IF('Author Decision Queue'!$Z$53="HOLD","HOLD","PENDING"))</f>
        <v/>
      </c>
      <c r="L39" s="4">
        <f>IF(K39="PENDING","",'Author Decision Queue'!$W$53)</f>
        <v/>
      </c>
      <c r="M39" s="13">
        <f>IF(K39="PENDING","",'Author Decision Queue'!$X$53)</f>
        <v/>
      </c>
      <c r="N39" s="4">
        <f>IF(K39="REVISE",'Author Decision Queue'!$U$53,IF(K39="HOLD",'Author Decision Queue'!$Y$53,'Author Decision Queue'!$V$53))</f>
        <v/>
      </c>
    </row>
    <row r="40" ht="15.75" customHeight="1" s="29">
      <c r="A40" s="4" t="inlineStr">
        <is>
          <t>RNR-H35</t>
        </is>
      </c>
      <c r="B40" s="4" t="inlineStr">
        <is>
          <t>Inherited 57</t>
        </is>
      </c>
      <c r="C40" s="4" t="inlineStr">
        <is>
          <t>Christ &amp; Spirit titles</t>
        </is>
      </c>
      <c r="D40" s="4" t="inlineStr">
        <is>
          <t>Eternal power and might</t>
        </is>
      </c>
      <c r="E40" s="4" t="inlineStr">
        <is>
          <t>A</t>
        </is>
      </c>
      <c r="F40" s="4" t="inlineStr">
        <is>
          <t>Count-constrained reconstruction</t>
        </is>
      </c>
      <c r="G40" s="4" t="inlineStr">
        <is>
          <t>See inherited source report / recovered institution ledgers</t>
        </is>
      </c>
      <c r="H40" s="4" t="inlineStr">
        <is>
          <t>Recurring Kataphatic Vocabulary table</t>
        </is>
      </c>
      <c r="I40" s="4" t="inlineStr">
        <is>
          <t>Shared divine power of the Spirit.</t>
        </is>
      </c>
      <c r="J40" s="4" t="inlineStr">
        <is>
          <t>RECONSTRUCTED — source-level/master-family recertification remains publication-critical</t>
        </is>
      </c>
      <c r="K40" s="4">
        <f>IF('Author Decision Queue'!$Z$54="RESOLVED",IF('Author Decision Queue'!$T$54="OPTION 1","APPROVE",IF('Author Decision Queue'!$T$54="OPTION 2","REVISE",IF('Author Decision Queue'!$T$54="CUSTOM RESPONSE","REVISE","HOLD"))),IF('Author Decision Queue'!$Z$54="HOLD","HOLD","PENDING"))</f>
        <v/>
      </c>
      <c r="L40" s="4">
        <f>IF(K40="PENDING","",'Author Decision Queue'!$W$54)</f>
        <v/>
      </c>
      <c r="M40" s="13">
        <f>IF(K40="PENDING","",'Author Decision Queue'!$X$54)</f>
        <v/>
      </c>
      <c r="N40" s="4">
        <f>IF(K40="REVISE",'Author Decision Queue'!$U$54,IF(K40="HOLD",'Author Decision Queue'!$Y$54,'Author Decision Queue'!$V$54))</f>
        <v/>
      </c>
    </row>
    <row r="41" ht="15.75" customHeight="1" s="29">
      <c r="A41" s="4" t="inlineStr">
        <is>
          <t>RNR-H36</t>
        </is>
      </c>
      <c r="B41" s="4" t="inlineStr">
        <is>
          <t>Inherited 57</t>
        </is>
      </c>
      <c r="C41" s="4" t="inlineStr">
        <is>
          <t>Beginninglessness &amp; non-finitude</t>
        </is>
      </c>
      <c r="D41" s="4" t="inlineStr">
        <is>
          <t>Uncreated</t>
        </is>
      </c>
      <c r="E41" s="4" t="inlineStr">
        <is>
          <t>Q</t>
        </is>
      </c>
      <c r="F41" s="4" t="inlineStr">
        <is>
          <t>Explicit in master handoff</t>
        </is>
      </c>
      <c r="G41" s="4" t="inlineStr">
        <is>
          <t>See inherited source report / recovered institution ledgers</t>
        </is>
      </c>
      <c r="H41" s="4" t="inlineStr">
        <is>
          <t>Recurring Apophatic Vocabulary table</t>
        </is>
      </c>
      <c r="I41" s="4" t="inlineStr">
        <is>
          <t>Beginningless divine reality is affirmed; the exhaustive God-versus-created-reality binary is rejected.</t>
        </is>
      </c>
      <c r="J41" s="4" t="inlineStr">
        <is>
          <t>CONTROLLED INTERNAL — still requires public wording signoff</t>
        </is>
      </c>
      <c r="K41" s="4">
        <f>IF('Author Decision Queue'!$Z$55="RESOLVED",IF('Author Decision Queue'!$T$55="OPTION 1","APPROVE",IF('Author Decision Queue'!$T$55="OPTION 2","REVISE",IF('Author Decision Queue'!$T$55="CUSTOM RESPONSE","REVISE","HOLD"))),IF('Author Decision Queue'!$Z$55="HOLD","HOLD","PENDING"))</f>
        <v/>
      </c>
      <c r="L41" s="4">
        <f>IF(K41="PENDING","",'Author Decision Queue'!$W$55)</f>
        <v/>
      </c>
      <c r="M41" s="13">
        <f>IF(K41="PENDING","",'Author Decision Queue'!$X$55)</f>
        <v/>
      </c>
      <c r="N41" s="4">
        <f>IF(K41="REVISE",'Author Decision Queue'!$U$55,IF(K41="HOLD",'Author Decision Queue'!$Y$55,'Author Decision Queue'!$V$55))</f>
        <v/>
      </c>
    </row>
    <row r="42" ht="15.75" customHeight="1" s="29">
      <c r="A42" s="4" t="inlineStr">
        <is>
          <t>RNR-H37</t>
        </is>
      </c>
      <c r="B42" s="4" t="inlineStr">
        <is>
          <t>Inherited 57</t>
        </is>
      </c>
      <c r="C42" s="4" t="inlineStr">
        <is>
          <t>Beginninglessness &amp; non-finitude</t>
        </is>
      </c>
      <c r="D42" s="4" t="inlineStr">
        <is>
          <t>Unbegotten</t>
        </is>
      </c>
      <c r="E42" s="4" t="inlineStr">
        <is>
          <t>Q</t>
        </is>
      </c>
      <c r="F42" s="4" t="inlineStr">
        <is>
          <t>Explicit in master handoff</t>
        </is>
      </c>
      <c r="G42" s="4" t="inlineStr">
        <is>
          <t>See inherited source report / recovered institution ledgers</t>
        </is>
      </c>
      <c r="H42" s="4" t="inlineStr">
        <is>
          <t>Recurring Apophatic Vocabulary table</t>
        </is>
      </c>
      <c r="I42" s="4" t="inlineStr">
        <is>
          <t>Beginninglessness/source-status concern is shared; absolute 'from none' versus antecedent divine lineage remains a material qualification.</t>
        </is>
      </c>
      <c r="J42" s="4" t="inlineStr">
        <is>
          <t>CONTROLLED INTERNAL — still requires public wording signoff</t>
        </is>
      </c>
      <c r="K42" s="4">
        <f>IF('Author Decision Queue'!$Z$56="RESOLVED",IF('Author Decision Queue'!$T$56="OPTION 1","APPROVE",IF('Author Decision Queue'!$T$56="OPTION 2","REVISE",IF('Author Decision Queue'!$T$56="CUSTOM RESPONSE","REVISE","HOLD"))),IF('Author Decision Queue'!$Z$56="HOLD","HOLD","PENDING"))</f>
        <v/>
      </c>
      <c r="L42" s="4">
        <f>IF(K42="PENDING","",'Author Decision Queue'!$W$56)</f>
        <v/>
      </c>
      <c r="M42" s="13">
        <f>IF(K42="PENDING","",'Author Decision Queue'!$X$56)</f>
        <v/>
      </c>
      <c r="N42" s="4">
        <f>IF(K42="REVISE",'Author Decision Queue'!$U$56,IF(K42="HOLD",'Author Decision Queue'!$Y$56,'Author Decision Queue'!$V$56))</f>
        <v/>
      </c>
    </row>
    <row r="43" ht="15.75" customHeight="1" s="29">
      <c r="A43" s="4" t="inlineStr">
        <is>
          <t>RNR-H38</t>
        </is>
      </c>
      <c r="B43" s="4" t="inlineStr">
        <is>
          <t>Inherited 57</t>
        </is>
      </c>
      <c r="C43" s="4" t="inlineStr">
        <is>
          <t>Beginninglessness &amp; non-finitude</t>
        </is>
      </c>
      <c r="D43" s="4" t="inlineStr">
        <is>
          <t>Not made</t>
        </is>
      </c>
      <c r="E43" s="4" t="inlineStr">
        <is>
          <t>Q</t>
        </is>
      </c>
      <c r="F43" s="4" t="inlineStr">
        <is>
          <t>Count-constrained reconstruction</t>
        </is>
      </c>
      <c r="G43" s="4" t="inlineStr">
        <is>
          <t>See inherited source report / recovered institution ledgers</t>
        </is>
      </c>
      <c r="H43" s="4" t="inlineStr">
        <is>
          <t>Recurring Apophatic Vocabulary table</t>
        </is>
      </c>
      <c r="I43" s="4" t="inlineStr">
        <is>
          <t>Qualified by Restoration distinctions among intelligence, spirit birth, embodiment, and creation.</t>
        </is>
      </c>
      <c r="J43" s="4" t="inlineStr">
        <is>
          <t>RECONSTRUCTED — source-level/master-family recertification remains publication-critical</t>
        </is>
      </c>
      <c r="K43" s="4">
        <f>IF('Author Decision Queue'!$Z$57="RESOLVED",IF('Author Decision Queue'!$T$57="OPTION 1","APPROVE",IF('Author Decision Queue'!$T$57="OPTION 2","REVISE",IF('Author Decision Queue'!$T$57="CUSTOM RESPONSE","REVISE","HOLD"))),IF('Author Decision Queue'!$Z$57="HOLD","HOLD","PENDING"))</f>
        <v/>
      </c>
      <c r="L43" s="4">
        <f>IF(K43="PENDING","",'Author Decision Queue'!$W$57)</f>
        <v/>
      </c>
      <c r="M43" s="13">
        <f>IF(K43="PENDING","",'Author Decision Queue'!$X$57)</f>
        <v/>
      </c>
      <c r="N43" s="4">
        <f>IF(K43="REVISE",'Author Decision Queue'!$U$57,IF(K43="HOLD",'Author Decision Queue'!$Y$57,'Author Decision Queue'!$V$57))</f>
        <v/>
      </c>
    </row>
    <row r="44" ht="15.75" customHeight="1" s="29">
      <c r="A44" s="4" t="inlineStr">
        <is>
          <t>RNR-H39</t>
        </is>
      </c>
      <c r="B44" s="4" t="inlineStr">
        <is>
          <t>Inherited 57</t>
        </is>
      </c>
      <c r="C44" s="4" t="inlineStr">
        <is>
          <t>Beginninglessness &amp; non-finitude</t>
        </is>
      </c>
      <c r="D44" s="4" t="inlineStr">
        <is>
          <t>Infinite</t>
        </is>
      </c>
      <c r="E44" s="4" t="inlineStr">
        <is>
          <t>Q</t>
        </is>
      </c>
      <c r="F44" s="4" t="inlineStr">
        <is>
          <t>Author adjudication (Session 18A)</t>
        </is>
      </c>
      <c r="G44" s="4" t="inlineStr">
        <is>
          <t>See inherited source report / recovered institution ledgers</t>
        </is>
      </c>
      <c r="H44" s="4" t="inlineStr">
        <is>
          <t>Recurring Apophatic Vocabulary table</t>
        </is>
      </c>
      <c r="I44" s="4" t="inlineStr">
        <is>
          <t>Shared unlimited perfection/transcendence; blanket non-finitude is too thick where divine personal presence is embodied/determinate.</t>
        </is>
      </c>
      <c r="J44" s="4" t="inlineStr">
        <is>
          <t>CONTROLLED INTERNAL — still requires public wording signoff</t>
        </is>
      </c>
      <c r="K44" s="4">
        <f>IF('Author Decision Queue'!$Z$58="RESOLVED",IF('Author Decision Queue'!$T$58="OPTION 1","APPROVE",IF('Author Decision Queue'!$T$58="OPTION 2","REVISE",IF('Author Decision Queue'!$T$58="CUSTOM RESPONSE","REVISE","HOLD"))),IF('Author Decision Queue'!$Z$58="HOLD","HOLD","PENDING"))</f>
        <v/>
      </c>
      <c r="L44" s="4">
        <f>IF(K44="PENDING","",'Author Decision Queue'!$W$58)</f>
        <v/>
      </c>
      <c r="M44" s="13">
        <f>IF(K44="PENDING","",'Author Decision Queue'!$X$58)</f>
        <v/>
      </c>
      <c r="N44" s="4">
        <f>IF(K44="REVISE",'Author Decision Queue'!$U$58,IF(K44="HOLD",'Author Decision Queue'!$Y$58,'Author Decision Queue'!$V$58))</f>
        <v/>
      </c>
    </row>
    <row r="45" ht="15.75" customHeight="1" s="29">
      <c r="A45" s="4" t="inlineStr">
        <is>
          <t>RNR-H40</t>
        </is>
      </c>
      <c r="B45" s="4" t="inlineStr">
        <is>
          <t>Inherited 57</t>
        </is>
      </c>
      <c r="C45" s="4" t="inlineStr">
        <is>
          <t>Beginninglessness &amp; non-finitude</t>
        </is>
      </c>
      <c r="D45" s="4" t="inlineStr">
        <is>
          <t>Immense / immeasurable</t>
        </is>
      </c>
      <c r="E45" s="4" t="inlineStr">
        <is>
          <t>Q</t>
        </is>
      </c>
      <c r="F45" s="4" t="inlineStr">
        <is>
          <t>Explicit in master handoff</t>
        </is>
      </c>
      <c r="G45" s="4" t="inlineStr">
        <is>
          <t>See inherited source report / recovered institution ledgers</t>
        </is>
      </c>
      <c r="H45" s="4" t="inlineStr">
        <is>
          <t>Recurring Apophatic Vocabulary table</t>
        </is>
      </c>
      <c r="I45" s="4" t="inlineStr">
        <is>
          <t>Embodied personal presence is distinguished from universally operative light, knowledge, power, and governance.</t>
        </is>
      </c>
      <c r="J45" s="4" t="inlineStr">
        <is>
          <t>CONTROLLED INTERNAL — still requires public wording signoff</t>
        </is>
      </c>
      <c r="K45" s="4">
        <f>IF('Author Decision Queue'!$Z$59="RESOLVED",IF('Author Decision Queue'!$T$59="OPTION 1","APPROVE",IF('Author Decision Queue'!$T$59="OPTION 2","REVISE",IF('Author Decision Queue'!$T$59="CUSTOM RESPONSE","REVISE","HOLD"))),IF('Author Decision Queue'!$Z$59="HOLD","HOLD","PENDING"))</f>
        <v/>
      </c>
      <c r="L45" s="4">
        <f>IF(K45="PENDING","",'Author Decision Queue'!$W$59)</f>
        <v/>
      </c>
      <c r="M45" s="13">
        <f>IF(K45="PENDING","",'Author Decision Queue'!$X$59)</f>
        <v/>
      </c>
      <c r="N45" s="4">
        <f>IF(K45="REVISE",'Author Decision Queue'!$U$59,IF(K45="HOLD",'Author Decision Queue'!$Y$59,'Author Decision Queue'!$V$59))</f>
        <v/>
      </c>
    </row>
    <row r="46" ht="15.75" customHeight="1" s="29">
      <c r="A46" s="4" t="inlineStr">
        <is>
          <t>RNR-H41</t>
        </is>
      </c>
      <c r="B46" s="4" t="inlineStr">
        <is>
          <t>Inherited 57</t>
        </is>
      </c>
      <c r="C46" s="4" t="inlineStr">
        <is>
          <t>Embodiment &amp; classical divine metaphysics</t>
        </is>
      </c>
      <c r="D46" s="4" t="inlineStr">
        <is>
          <t>Invisible</t>
        </is>
      </c>
      <c r="E46" s="4" t="inlineStr">
        <is>
          <t>D</t>
        </is>
      </c>
      <c r="F46" s="4" t="inlineStr">
        <is>
          <t>Explicit in master handoff</t>
        </is>
      </c>
      <c r="G46" s="4" t="inlineStr">
        <is>
          <t>See inherited source report / recovered institution ledgers</t>
        </is>
      </c>
      <c r="H46" s="4" t="inlineStr">
        <is>
          <t>Recurring Apophatic Vocabulary table</t>
        </is>
      </c>
      <c r="I46" s="4" t="inlineStr">
        <is>
          <t>Direct divergence only when invisibility is treated as an intrinsic or absolute property of divine being.</t>
        </is>
      </c>
      <c r="J46" s="4" t="inlineStr">
        <is>
          <t>CONTROLLED INTERNAL — still requires public wording signoff</t>
        </is>
      </c>
      <c r="K46" s="4">
        <f>IF('Author Decision Queue'!$Z$60="RESOLVED",IF('Author Decision Queue'!$T$60="OPTION 1","APPROVE",IF('Author Decision Queue'!$T$60="OPTION 2","REVISE",IF('Author Decision Queue'!$T$60="CUSTOM RESPONSE","REVISE","HOLD"))),IF('Author Decision Queue'!$Z$60="HOLD","HOLD","PENDING"))</f>
        <v/>
      </c>
      <c r="L46" s="4">
        <f>IF(K46="PENDING","",'Author Decision Queue'!$W$60)</f>
        <v/>
      </c>
      <c r="M46" s="13">
        <f>IF(K46="PENDING","",'Author Decision Queue'!$X$60)</f>
        <v/>
      </c>
      <c r="N46" s="4">
        <f>IF(K46="REVISE",'Author Decision Queue'!$U$60,IF(K46="HOLD",'Author Decision Queue'!$Y$60,'Author Decision Queue'!$V$60))</f>
        <v/>
      </c>
    </row>
    <row r="47" ht="15.75" customHeight="1" s="29">
      <c r="A47" s="4" t="inlineStr">
        <is>
          <t>RNR-H42</t>
        </is>
      </c>
      <c r="B47" s="4" t="inlineStr">
        <is>
          <t>Inherited 57</t>
        </is>
      </c>
      <c r="C47" s="4" t="inlineStr">
        <is>
          <t>Embodiment &amp; classical divine metaphysics</t>
        </is>
      </c>
      <c r="D47" s="4" t="inlineStr">
        <is>
          <t>Incorporeal / without body</t>
        </is>
      </c>
      <c r="E47" s="4" t="inlineStr">
        <is>
          <t>D</t>
        </is>
      </c>
      <c r="F47" s="4" t="inlineStr">
        <is>
          <t>Explicit in master handoff</t>
        </is>
      </c>
      <c r="G47" s="4" t="inlineStr">
        <is>
          <t>See inherited source report / recovered institution ledgers</t>
        </is>
      </c>
      <c r="H47" s="4" t="inlineStr">
        <is>
          <t>Recurring Apophatic Vocabulary table</t>
        </is>
      </c>
      <c r="I47" s="4" t="inlineStr">
        <is>
          <t>Directly conflicts with the Father's tangible glorified body.</t>
        </is>
      </c>
      <c r="J47" s="4" t="inlineStr">
        <is>
          <t>CONTROLLED INTERNAL — still requires public wording signoff</t>
        </is>
      </c>
      <c r="K47" s="4">
        <f>IF('Author Decision Queue'!$Z$61="RESOLVED",IF('Author Decision Queue'!$T$61="OPTION 1","APPROVE",IF('Author Decision Queue'!$T$61="OPTION 2","REVISE",IF('Author Decision Queue'!$T$61="CUSTOM RESPONSE","REVISE","HOLD"))),IF('Author Decision Queue'!$Z$61="HOLD","HOLD","PENDING"))</f>
        <v/>
      </c>
      <c r="L47" s="4">
        <f>IF(K47="PENDING","",'Author Decision Queue'!$W$61)</f>
        <v/>
      </c>
      <c r="M47" s="13">
        <f>IF(K47="PENDING","",'Author Decision Queue'!$X$61)</f>
        <v/>
      </c>
      <c r="N47" s="4">
        <f>IF(K47="REVISE",'Author Decision Queue'!$U$61,IF(K47="HOLD",'Author Decision Queue'!$Y$61,'Author Decision Queue'!$V$61))</f>
        <v/>
      </c>
    </row>
    <row r="48" ht="15.75" customHeight="1" s="29">
      <c r="A48" s="4" t="inlineStr">
        <is>
          <t>RNR-H43</t>
        </is>
      </c>
      <c r="B48" s="4" t="inlineStr">
        <is>
          <t>Inherited 57</t>
        </is>
      </c>
      <c r="C48" s="4" t="inlineStr">
        <is>
          <t>Embodiment &amp; classical divine metaphysics</t>
        </is>
      </c>
      <c r="D48" s="4" t="inlineStr">
        <is>
          <t>Without parts / simple</t>
        </is>
      </c>
      <c r="E48" s="4" t="inlineStr">
        <is>
          <t>D</t>
        </is>
      </c>
      <c r="F48" s="4" t="inlineStr">
        <is>
          <t>Explicit in master handoff</t>
        </is>
      </c>
      <c r="G48" s="4" t="inlineStr">
        <is>
          <t>See inherited source report / recovered institution ledgers</t>
        </is>
      </c>
      <c r="H48" s="4" t="inlineStr">
        <is>
          <t>Recurring Apophatic Vocabulary table</t>
        </is>
      </c>
      <c r="I48" s="4" t="inlineStr">
        <is>
          <t>Direct divergence in the accepted classical sense of absolute divine simplicity.</t>
        </is>
      </c>
      <c r="J48" s="4" t="inlineStr">
        <is>
          <t>CONTROLLED INTERNAL — still requires public wording signoff</t>
        </is>
      </c>
      <c r="K48" s="4">
        <f>IF('Author Decision Queue'!$Z$62="RESOLVED",IF('Author Decision Queue'!$T$62="OPTION 1","APPROVE",IF('Author Decision Queue'!$T$62="OPTION 2","REVISE",IF('Author Decision Queue'!$T$62="CUSTOM RESPONSE","REVISE","HOLD"))),IF('Author Decision Queue'!$Z$62="HOLD","HOLD","PENDING"))</f>
        <v/>
      </c>
      <c r="L48" s="4">
        <f>IF(K48="PENDING","",'Author Decision Queue'!$W$62)</f>
        <v/>
      </c>
      <c r="M48" s="13">
        <f>IF(K48="PENDING","",'Author Decision Queue'!$X$62)</f>
        <v/>
      </c>
      <c r="N48" s="4">
        <f>IF(K48="REVISE",'Author Decision Queue'!$U$62,IF(K48="HOLD",'Author Decision Queue'!$Y$62,'Author Decision Queue'!$V$62))</f>
        <v/>
      </c>
    </row>
    <row r="49" ht="15.75" customHeight="1" s="29">
      <c r="A49" s="4" t="inlineStr">
        <is>
          <t>RNR-H44</t>
        </is>
      </c>
      <c r="B49" s="4" t="inlineStr">
        <is>
          <t>Inherited 57</t>
        </is>
      </c>
      <c r="C49" s="4" t="inlineStr">
        <is>
          <t>Embodiment &amp; classical divine metaphysics</t>
        </is>
      </c>
      <c r="D49" s="4" t="inlineStr">
        <is>
          <t>Without passions / impassible</t>
        </is>
      </c>
      <c r="E49" s="4" t="inlineStr">
        <is>
          <t>D</t>
        </is>
      </c>
      <c r="F49" s="4" t="inlineStr">
        <is>
          <t>Explicit in master handoff</t>
        </is>
      </c>
      <c r="G49" s="4" t="inlineStr">
        <is>
          <t>See inherited source report / recovered institution ledgers</t>
        </is>
      </c>
      <c r="H49" s="4" t="inlineStr">
        <is>
          <t>Recurring Apophatic Vocabulary table</t>
        </is>
      </c>
      <c r="I49" s="4" t="inlineStr">
        <is>
          <t>Direct divergence from strong classical impassibility.</t>
        </is>
      </c>
      <c r="J49" s="4" t="inlineStr">
        <is>
          <t>CONTROLLED INTERNAL — still requires public wording signoff</t>
        </is>
      </c>
      <c r="K49" s="4">
        <f>IF('Author Decision Queue'!$Z$63="RESOLVED",IF('Author Decision Queue'!$T$63="OPTION 1","APPROVE",IF('Author Decision Queue'!$T$63="OPTION 2","REVISE",IF('Author Decision Queue'!$T$63="CUSTOM RESPONSE","REVISE","HOLD"))),IF('Author Decision Queue'!$Z$63="HOLD","HOLD","PENDING"))</f>
        <v/>
      </c>
      <c r="L49" s="4">
        <f>IF(K49="PENDING","",'Author Decision Queue'!$W$63)</f>
        <v/>
      </c>
      <c r="M49" s="13">
        <f>IF(K49="PENDING","",'Author Decision Queue'!$X$63)</f>
        <v/>
      </c>
      <c r="N49" s="4">
        <f>IF(K49="REVISE",'Author Decision Queue'!$U$63,IF(K49="HOLD",'Author Decision Queue'!$Y$63,'Author Decision Queue'!$V$63))</f>
        <v/>
      </c>
    </row>
    <row r="50" ht="15.75" customHeight="1" s="29">
      <c r="A50" s="4" t="inlineStr">
        <is>
          <t>RNR-H45</t>
        </is>
      </c>
      <c r="B50" s="4" t="inlineStr">
        <is>
          <t>Inherited 57</t>
        </is>
      </c>
      <c r="C50" s="4" t="inlineStr">
        <is>
          <t>Embodiment &amp; classical divine metaphysics</t>
        </is>
      </c>
      <c r="D50" s="4" t="inlineStr">
        <is>
          <t>Immutable / unchangeable</t>
        </is>
      </c>
      <c r="E50" s="4" t="inlineStr">
        <is>
          <t>Q</t>
        </is>
      </c>
      <c r="F50" s="4" t="inlineStr">
        <is>
          <t>Author adjudication (Session 18A)</t>
        </is>
      </c>
      <c r="G50" s="4" t="inlineStr">
        <is>
          <t>See inherited source report / recovered institution ledgers</t>
        </is>
      </c>
      <c r="H50" s="4" t="inlineStr">
        <is>
          <t>Recurring Apophatic Vocabulary table</t>
        </is>
      </c>
      <c r="I50" s="4" t="inlineStr">
        <is>
          <t>Constancy of character, purpose, covenant faithfulness, and moral perfection is shared; strong metaphysical immutability is not imported.</t>
        </is>
      </c>
      <c r="J50" s="4" t="inlineStr">
        <is>
          <t>CONTROLLED INTERNAL — still requires public wording signoff</t>
        </is>
      </c>
      <c r="K50" s="4">
        <f>IF('Author Decision Queue'!$Z$64="RESOLVED",IF('Author Decision Queue'!$T$64="OPTION 1","APPROVE",IF('Author Decision Queue'!$T$64="OPTION 2","REVISE",IF('Author Decision Queue'!$T$64="CUSTOM RESPONSE","REVISE","HOLD"))),IF('Author Decision Queue'!$Z$64="HOLD","HOLD","PENDING"))</f>
        <v/>
      </c>
      <c r="L50" s="4">
        <f>IF(K50="PENDING","",'Author Decision Queue'!$W$64)</f>
        <v/>
      </c>
      <c r="M50" s="13">
        <f>IF(K50="PENDING","",'Author Decision Queue'!$X$64)</f>
        <v/>
      </c>
      <c r="N50" s="4">
        <f>IF(K50="REVISE",'Author Decision Queue'!$U$64,IF(K50="HOLD",'Author Decision Queue'!$Y$64,'Author Decision Queue'!$V$64))</f>
        <v/>
      </c>
    </row>
    <row r="51" ht="15.75" customHeight="1" s="29">
      <c r="A51" s="4" t="inlineStr">
        <is>
          <t>RNR-H46</t>
        </is>
      </c>
      <c r="B51" s="4" t="inlineStr">
        <is>
          <t>Inherited 57</t>
        </is>
      </c>
      <c r="C51" s="4" t="inlineStr">
        <is>
          <t>Eternity &amp; epistemic transcendence</t>
        </is>
      </c>
      <c r="D51" s="4" t="inlineStr">
        <is>
          <t>Eternal</t>
        </is>
      </c>
      <c r="E51" s="4" t="inlineStr">
        <is>
          <t>A</t>
        </is>
      </c>
      <c r="F51" s="4" t="inlineStr">
        <is>
          <t>Author adjudication retained A</t>
        </is>
      </c>
      <c r="G51" s="4" t="inlineStr">
        <is>
          <t>See inherited source report / recovered institution ledgers</t>
        </is>
      </c>
      <c r="H51" s="4" t="inlineStr">
        <is>
          <t>Recurring Apophatic Vocabulary table</t>
        </is>
      </c>
      <c r="I51" s="4" t="inlineStr">
        <is>
          <t>A controls only beginningless/endless divine existence or duration; timelessness/denial of temporal succession is excluded.</t>
        </is>
      </c>
      <c r="J51" s="4" t="inlineStr">
        <is>
          <t>CONTROLLED INTERNAL — still requires public wording signoff</t>
        </is>
      </c>
      <c r="K51" s="4">
        <f>IF('Author Decision Queue'!$Z$65="RESOLVED",IF('Author Decision Queue'!$T$65="OPTION 1","APPROVE",IF('Author Decision Queue'!$T$65="OPTION 2","REVISE",IF('Author Decision Queue'!$T$65="CUSTOM RESPONSE","REVISE","HOLD"))),IF('Author Decision Queue'!$Z$65="HOLD","HOLD","PENDING"))</f>
        <v/>
      </c>
      <c r="L51" s="4">
        <f>IF(K51="PENDING","",'Author Decision Queue'!$W$65)</f>
        <v/>
      </c>
      <c r="M51" s="13">
        <f>IF(K51="PENDING","",'Author Decision Queue'!$X$65)</f>
        <v/>
      </c>
      <c r="N51" s="4">
        <f>IF(K51="REVISE",'Author Decision Queue'!$U$65,IF(K51="HOLD",'Author Decision Queue'!$Y$65,'Author Decision Queue'!$V$65))</f>
        <v/>
      </c>
    </row>
    <row r="52" ht="15.75" customHeight="1" s="29">
      <c r="A52" s="4" t="inlineStr">
        <is>
          <t>RNR-H47</t>
        </is>
      </c>
      <c r="B52" s="4" t="inlineStr">
        <is>
          <t>Inherited 57</t>
        </is>
      </c>
      <c r="C52" s="4" t="inlineStr">
        <is>
          <t>Eternity &amp; epistemic transcendence</t>
        </is>
      </c>
      <c r="D52" s="4" t="inlineStr">
        <is>
          <t>Incomprehensible</t>
        </is>
      </c>
      <c r="E52" s="4" t="inlineStr">
        <is>
          <t>A</t>
        </is>
      </c>
      <c r="F52" s="4" t="inlineStr">
        <is>
          <t>Count-constrained reconstruction</t>
        </is>
      </c>
      <c r="G52" s="4" t="inlineStr">
        <is>
          <t>See inherited source report / recovered institution ledgers</t>
        </is>
      </c>
      <c r="H52" s="4" t="inlineStr">
        <is>
          <t>Recurring Apophatic Vocabulary table</t>
        </is>
      </c>
      <c r="I52" s="4" t="inlineStr">
        <is>
          <t>Compatible with Restoration epistemic humility.</t>
        </is>
      </c>
      <c r="J52" s="4" t="inlineStr">
        <is>
          <t>RECONSTRUCTED — source-level/master-family recertification remains publication-critical</t>
        </is>
      </c>
      <c r="K52" s="4">
        <f>IF('Author Decision Queue'!$Z$66="RESOLVED",IF('Author Decision Queue'!$T$66="OPTION 1","APPROVE",IF('Author Decision Queue'!$T$66="OPTION 2","REVISE",IF('Author Decision Queue'!$T$66="CUSTOM RESPONSE","REVISE","HOLD"))),IF('Author Decision Queue'!$Z$66="HOLD","HOLD","PENDING"))</f>
        <v/>
      </c>
      <c r="L52" s="4">
        <f>IF(K52="PENDING","",'Author Decision Queue'!$W$66)</f>
        <v/>
      </c>
      <c r="M52" s="13">
        <f>IF(K52="PENDING","",'Author Decision Queue'!$X$66)</f>
        <v/>
      </c>
      <c r="N52" s="4">
        <f>IF(K52="REVISE",'Author Decision Queue'!$U$66,IF(K52="HOLD",'Author Decision Queue'!$Y$66,'Author Decision Queue'!$V$66))</f>
        <v/>
      </c>
    </row>
    <row r="53" ht="15.75" customHeight="1" s="29">
      <c r="A53" s="4" t="inlineStr">
        <is>
          <t>RNR-H48</t>
        </is>
      </c>
      <c r="B53" s="4" t="inlineStr">
        <is>
          <t>Inherited 57</t>
        </is>
      </c>
      <c r="C53" s="4" t="inlineStr">
        <is>
          <t>Eternity &amp; epistemic transcendence</t>
        </is>
      </c>
      <c r="D53" s="4" t="inlineStr">
        <is>
          <t>Ineffable</t>
        </is>
      </c>
      <c r="E53" s="4" t="inlineStr">
        <is>
          <t>A</t>
        </is>
      </c>
      <c r="F53" s="4" t="inlineStr">
        <is>
          <t>Count-constrained reconstruction</t>
        </is>
      </c>
      <c r="G53" s="4" t="inlineStr">
        <is>
          <t>See inherited source report / recovered institution ledgers</t>
        </is>
      </c>
      <c r="H53" s="4" t="inlineStr">
        <is>
          <t>Recurring Apophatic Vocabulary table</t>
        </is>
      </c>
      <c r="I53" s="4" t="inlineStr">
        <is>
          <t>Compatible with Restoration epistemic humility.</t>
        </is>
      </c>
      <c r="J53" s="4" t="inlineStr">
        <is>
          <t>RECONSTRUCTED — source-level/master-family recertification remains publication-critical</t>
        </is>
      </c>
      <c r="K53" s="4">
        <f>IF('Author Decision Queue'!$Z$67="RESOLVED",IF('Author Decision Queue'!$T$67="OPTION 1","APPROVE",IF('Author Decision Queue'!$T$67="OPTION 2","REVISE",IF('Author Decision Queue'!$T$67="CUSTOM RESPONSE","REVISE","HOLD"))),IF('Author Decision Queue'!$Z$67="HOLD","HOLD","PENDING"))</f>
        <v/>
      </c>
      <c r="L53" s="4">
        <f>IF(K53="PENDING","",'Author Decision Queue'!$W$67)</f>
        <v/>
      </c>
      <c r="M53" s="13">
        <f>IF(K53="PENDING","",'Author Decision Queue'!$X$67)</f>
        <v/>
      </c>
      <c r="N53" s="4">
        <f>IF(K53="REVISE",'Author Decision Queue'!$U$67,IF(K53="HOLD",'Author Decision Queue'!$Y$67,'Author Decision Queue'!$V$67))</f>
        <v/>
      </c>
    </row>
    <row r="54" ht="15.75" customHeight="1" s="29">
      <c r="A54" s="4" t="inlineStr">
        <is>
          <t>RNR-H49</t>
        </is>
      </c>
      <c r="B54" s="4" t="inlineStr">
        <is>
          <t>Inherited 57</t>
        </is>
      </c>
      <c r="C54" s="4" t="inlineStr">
        <is>
          <t>Eternity &amp; epistemic transcendence</t>
        </is>
      </c>
      <c r="D54" s="4" t="inlineStr">
        <is>
          <t>Inscrutable</t>
        </is>
      </c>
      <c r="E54" s="4" t="inlineStr">
        <is>
          <t>A</t>
        </is>
      </c>
      <c r="F54" s="4" t="inlineStr">
        <is>
          <t>Count-constrained reconstruction</t>
        </is>
      </c>
      <c r="G54" s="4" t="inlineStr">
        <is>
          <t>See inherited source report / recovered institution ledgers</t>
        </is>
      </c>
      <c r="H54" s="4" t="inlineStr">
        <is>
          <t>Recurring Apophatic Vocabulary table</t>
        </is>
      </c>
      <c r="I54" s="4" t="inlineStr">
        <is>
          <t>Compatible with Restoration epistemic humility.</t>
        </is>
      </c>
      <c r="J54" s="4" t="inlineStr">
        <is>
          <t>RECONSTRUCTED — source-level/master-family recertification remains publication-critical</t>
        </is>
      </c>
      <c r="K54" s="4">
        <f>IF('Author Decision Queue'!$Z$68="RESOLVED",IF('Author Decision Queue'!$T$68="OPTION 1","APPROVE",IF('Author Decision Queue'!$T$68="OPTION 2","REVISE",IF('Author Decision Queue'!$T$68="CUSTOM RESPONSE","REVISE","HOLD"))),IF('Author Decision Queue'!$Z$68="HOLD","HOLD","PENDING"))</f>
        <v/>
      </c>
      <c r="L54" s="4">
        <f>IF(K54="PENDING","",'Author Decision Queue'!$W$68)</f>
        <v/>
      </c>
      <c r="M54" s="13">
        <f>IF(K54="PENDING","",'Author Decision Queue'!$X$68)</f>
        <v/>
      </c>
      <c r="N54" s="4">
        <f>IF(K54="REVISE",'Author Decision Queue'!$U$68,IF(K54="HOLD",'Author Decision Queue'!$Y$68,'Author Decision Queue'!$V$68))</f>
        <v/>
      </c>
    </row>
    <row r="55" ht="15.75" customHeight="1" s="29">
      <c r="A55" s="4" t="inlineStr">
        <is>
          <t>RNR-H50</t>
        </is>
      </c>
      <c r="B55" s="4" t="inlineStr">
        <is>
          <t>Inherited 57</t>
        </is>
      </c>
      <c r="C55" s="4" t="inlineStr">
        <is>
          <t>Eternity &amp; epistemic transcendence</t>
        </is>
      </c>
      <c r="D55" s="4" t="inlineStr">
        <is>
          <t>Not circumscribed / not contained</t>
        </is>
      </c>
      <c r="E55" s="4" t="inlineStr">
        <is>
          <t>Q</t>
        </is>
      </c>
      <c r="F55" s="4" t="inlineStr">
        <is>
          <t>Explicit in master handoff</t>
        </is>
      </c>
      <c r="G55" s="4" t="inlineStr">
        <is>
          <t>See inherited source report / recovered institution ledgers</t>
        </is>
      </c>
      <c r="H55" s="4" t="inlineStr">
        <is>
          <t>Recurring Apophatic Vocabulary table</t>
        </is>
      </c>
      <c r="I55" s="4" t="inlineStr">
        <is>
          <t>Universal divine operation/omnipresence concern is shared while determinate personal presence remains materially differentiated.</t>
        </is>
      </c>
      <c r="J55" s="4" t="inlineStr">
        <is>
          <t>CONTROLLED INTERNAL — still requires public wording signoff</t>
        </is>
      </c>
      <c r="K55" s="4">
        <f>IF('Author Decision Queue'!$Z$69="RESOLVED",IF('Author Decision Queue'!$T$69="OPTION 1","APPROVE",IF('Author Decision Queue'!$T$69="OPTION 2","REVISE",IF('Author Decision Queue'!$T$69="CUSTOM RESPONSE","REVISE","HOLD"))),IF('Author Decision Queue'!$Z$69="HOLD","HOLD","PENDING"))</f>
        <v/>
      </c>
      <c r="L55" s="4">
        <f>IF(K55="PENDING","",'Author Decision Queue'!$W$69)</f>
        <v/>
      </c>
      <c r="M55" s="13">
        <f>IF(K55="PENDING","",'Author Decision Queue'!$X$69)</f>
        <v/>
      </c>
      <c r="N55" s="4">
        <f>IF(K55="REVISE",'Author Decision Queue'!$U$69,IF(K55="HOLD",'Author Decision Queue'!$Y$69,'Author Decision Queue'!$V$69))</f>
        <v/>
      </c>
    </row>
    <row r="56" ht="15.75" customHeight="1" s="29">
      <c r="A56" s="4" t="inlineStr">
        <is>
          <t>RNR-H51</t>
        </is>
      </c>
      <c r="B56" s="4" t="inlineStr">
        <is>
          <t>Inherited 57</t>
        </is>
      </c>
      <c r="C56" s="4" t="inlineStr">
        <is>
          <t>Eternity &amp; epistemic transcendence</t>
        </is>
      </c>
      <c r="D56" s="4" t="inlineStr">
        <is>
          <t>No adequate likeness or comparison</t>
        </is>
      </c>
      <c r="E56" s="4" t="inlineStr">
        <is>
          <t>Q</t>
        </is>
      </c>
      <c r="F56" s="4" t="inlineStr">
        <is>
          <t>Count-constrained reconstruction</t>
        </is>
      </c>
      <c r="G56" s="4" t="inlineStr">
        <is>
          <t>See inherited source report / recovered institution ledgers</t>
        </is>
      </c>
      <c r="H56" s="4" t="inlineStr">
        <is>
          <t>Recurring Apophatic Vocabulary table</t>
        </is>
      </c>
      <c r="I56" s="4" t="inlineStr">
        <is>
          <t>Epistemic restraint is shared, but literal divine-human kinship prevents an absolute denial of likeness.</t>
        </is>
      </c>
      <c r="J56" s="4" t="inlineStr">
        <is>
          <t>RECONSTRUCTED — source-level/master-family recertification remains publication-critical</t>
        </is>
      </c>
      <c r="K56" s="4">
        <f>IF('Author Decision Queue'!$Z$70="RESOLVED",IF('Author Decision Queue'!$T$70="OPTION 1","APPROVE",IF('Author Decision Queue'!$T$70="OPTION 2","REVISE",IF('Author Decision Queue'!$T$70="CUSTOM RESPONSE","REVISE","HOLD"))),IF('Author Decision Queue'!$Z$70="HOLD","HOLD","PENDING"))</f>
        <v/>
      </c>
      <c r="L56" s="4">
        <f>IF(K56="PENDING","",'Author Decision Queue'!$W$70)</f>
        <v/>
      </c>
      <c r="M56" s="13">
        <f>IF(K56="PENDING","",'Author Decision Queue'!$X$70)</f>
        <v/>
      </c>
      <c r="N56" s="4">
        <f>IF(K56="REVISE",'Author Decision Queue'!$U$70,IF(K56="HOLD",'Author Decision Queue'!$Y$70,'Author Decision Queue'!$V$70))</f>
        <v/>
      </c>
    </row>
    <row r="57" ht="15.75" customHeight="1" s="29">
      <c r="A57" s="4" t="inlineStr">
        <is>
          <t>RNR-H52</t>
        </is>
      </c>
      <c r="B57" s="4" t="inlineStr">
        <is>
          <t>Inherited 57</t>
        </is>
      </c>
      <c r="C57" s="4" t="inlineStr">
        <is>
          <t>Christological delimiters</t>
        </is>
      </c>
      <c r="D57" s="4" t="inlineStr">
        <is>
          <t>Without confusion</t>
        </is>
      </c>
      <c r="E57" s="4" t="inlineStr">
        <is>
          <t>Q</t>
        </is>
      </c>
      <c r="F57" s="4" t="inlineStr">
        <is>
          <t>Explicit in master handoff</t>
        </is>
      </c>
      <c r="G57" s="4" t="inlineStr">
        <is>
          <t>See inherited source report / recovered institution ledgers</t>
        </is>
      </c>
      <c r="H57" s="4" t="inlineStr">
        <is>
          <t>Recurring Apophatic Vocabulary table</t>
        </is>
      </c>
      <c r="I57" s="4" t="inlineStr">
        <is>
          <t>Underlying Christological concern is shared without adopting Chalcedonian two-natures metaphysics.</t>
        </is>
      </c>
      <c r="J57" s="4" t="inlineStr">
        <is>
          <t>CONTROLLED INTERNAL — still requires public wording signoff</t>
        </is>
      </c>
      <c r="K57" s="4">
        <f>IF('Author Decision Queue'!$Z$71="RESOLVED",IF('Author Decision Queue'!$T$71="OPTION 1","APPROVE",IF('Author Decision Queue'!$T$71="OPTION 2","REVISE",IF('Author Decision Queue'!$T$71="CUSTOM RESPONSE","REVISE","HOLD"))),IF('Author Decision Queue'!$Z$71="HOLD","HOLD","PENDING"))</f>
        <v/>
      </c>
      <c r="L57" s="4">
        <f>IF(K57="PENDING","",'Author Decision Queue'!$W$71)</f>
        <v/>
      </c>
      <c r="M57" s="13">
        <f>IF(K57="PENDING","",'Author Decision Queue'!$X$71)</f>
        <v/>
      </c>
      <c r="N57" s="4">
        <f>IF(K57="REVISE",'Author Decision Queue'!$U$71,IF(K57="HOLD",'Author Decision Queue'!$Y$71,'Author Decision Queue'!$V$71))</f>
        <v/>
      </c>
    </row>
    <row r="58" ht="15.75" customHeight="1" s="29">
      <c r="A58" s="4" t="inlineStr">
        <is>
          <t>RNR-H53</t>
        </is>
      </c>
      <c r="B58" s="4" t="inlineStr">
        <is>
          <t>Inherited 57</t>
        </is>
      </c>
      <c r="C58" s="4" t="inlineStr">
        <is>
          <t>Christological delimiters</t>
        </is>
      </c>
      <c r="D58" s="4" t="inlineStr">
        <is>
          <t>Without change</t>
        </is>
      </c>
      <c r="E58" s="4" t="inlineStr">
        <is>
          <t>Q</t>
        </is>
      </c>
      <c r="F58" s="4" t="inlineStr">
        <is>
          <t>Explicit in master handoff</t>
        </is>
      </c>
      <c r="G58" s="4" t="inlineStr">
        <is>
          <t>See inherited source report / recovered institution ledgers</t>
        </is>
      </c>
      <c r="H58" s="4" t="inlineStr">
        <is>
          <t>Recurring Apophatic Vocabulary table</t>
        </is>
      </c>
      <c r="I58" s="4" t="inlineStr">
        <is>
          <t>Underlying Christological concern is shared without adopting Chalcedonian two-natures metaphysics.</t>
        </is>
      </c>
      <c r="J58" s="4" t="inlineStr">
        <is>
          <t>CONTROLLED INTERNAL — still requires public wording signoff</t>
        </is>
      </c>
      <c r="K58" s="4">
        <f>IF('Author Decision Queue'!$Z$72="RESOLVED",IF('Author Decision Queue'!$T$72="OPTION 1","APPROVE",IF('Author Decision Queue'!$T$72="OPTION 2","REVISE",IF('Author Decision Queue'!$T$72="CUSTOM RESPONSE","REVISE","HOLD"))),IF('Author Decision Queue'!$Z$72="HOLD","HOLD","PENDING"))</f>
        <v/>
      </c>
      <c r="L58" s="4">
        <f>IF(K58="PENDING","",'Author Decision Queue'!$W$72)</f>
        <v/>
      </c>
      <c r="M58" s="13">
        <f>IF(K58="PENDING","",'Author Decision Queue'!$X$72)</f>
        <v/>
      </c>
      <c r="N58" s="4">
        <f>IF(K58="REVISE",'Author Decision Queue'!$U$72,IF(K58="HOLD",'Author Decision Queue'!$Y$72,'Author Decision Queue'!$V$72))</f>
        <v/>
      </c>
    </row>
    <row r="59" ht="15.75" customHeight="1" s="29">
      <c r="A59" s="4" t="inlineStr">
        <is>
          <t>RNR-H54</t>
        </is>
      </c>
      <c r="B59" s="4" t="inlineStr">
        <is>
          <t>Inherited 57</t>
        </is>
      </c>
      <c r="C59" s="4" t="inlineStr">
        <is>
          <t>Christological delimiters</t>
        </is>
      </c>
      <c r="D59" s="4" t="inlineStr">
        <is>
          <t>Without division</t>
        </is>
      </c>
      <c r="E59" s="4" t="inlineStr">
        <is>
          <t>Q</t>
        </is>
      </c>
      <c r="F59" s="4" t="inlineStr">
        <is>
          <t>Explicit in master handoff</t>
        </is>
      </c>
      <c r="G59" s="4" t="inlineStr">
        <is>
          <t>See inherited source report / recovered institution ledgers</t>
        </is>
      </c>
      <c r="H59" s="4" t="inlineStr">
        <is>
          <t>Recurring Apophatic Vocabulary table</t>
        </is>
      </c>
      <c r="I59" s="4" t="inlineStr">
        <is>
          <t>Underlying Christological concern is shared without adopting Chalcedonian two-natures metaphysics.</t>
        </is>
      </c>
      <c r="J59" s="4" t="inlineStr">
        <is>
          <t>CONTROLLED INTERNAL — still requires public wording signoff</t>
        </is>
      </c>
      <c r="K59" s="4">
        <f>IF('Author Decision Queue'!$Z$73="RESOLVED",IF('Author Decision Queue'!$T$73="OPTION 1","APPROVE",IF('Author Decision Queue'!$T$73="OPTION 2","REVISE",IF('Author Decision Queue'!$T$73="CUSTOM RESPONSE","REVISE","HOLD"))),IF('Author Decision Queue'!$Z$73="HOLD","HOLD","PENDING"))</f>
        <v/>
      </c>
      <c r="L59" s="4">
        <f>IF(K59="PENDING","",'Author Decision Queue'!$W$73)</f>
        <v/>
      </c>
      <c r="M59" s="13">
        <f>IF(K59="PENDING","",'Author Decision Queue'!$X$73)</f>
        <v/>
      </c>
      <c r="N59" s="4">
        <f>IF(K59="REVISE",'Author Decision Queue'!$U$73,IF(K59="HOLD",'Author Decision Queue'!$Y$73,'Author Decision Queue'!$V$73))</f>
        <v/>
      </c>
    </row>
    <row r="60" ht="15.75" customHeight="1" s="29">
      <c r="A60" s="4" t="inlineStr">
        <is>
          <t>RNR-H55</t>
        </is>
      </c>
      <c r="B60" s="4" t="inlineStr">
        <is>
          <t>Inherited 57</t>
        </is>
      </c>
      <c r="C60" s="4" t="inlineStr">
        <is>
          <t>Christological delimiters</t>
        </is>
      </c>
      <c r="D60" s="4" t="inlineStr">
        <is>
          <t>Without separation</t>
        </is>
      </c>
      <c r="E60" s="4" t="inlineStr">
        <is>
          <t>Q</t>
        </is>
      </c>
      <c r="F60" s="4" t="inlineStr">
        <is>
          <t>Explicit in master handoff</t>
        </is>
      </c>
      <c r="G60" s="4" t="inlineStr">
        <is>
          <t>See inherited source report / recovered institution ledgers</t>
        </is>
      </c>
      <c r="H60" s="4" t="inlineStr">
        <is>
          <t>Recurring Apophatic Vocabulary table</t>
        </is>
      </c>
      <c r="I60" s="4" t="inlineStr">
        <is>
          <t>Underlying Christological concern is shared without adopting Chalcedonian two-natures metaphysics.</t>
        </is>
      </c>
      <c r="J60" s="4" t="inlineStr">
        <is>
          <t>CONTROLLED INTERNAL — still requires public wording signoff</t>
        </is>
      </c>
      <c r="K60" s="4">
        <f>IF('Author Decision Queue'!$Z$74="RESOLVED",IF('Author Decision Queue'!$T$74="OPTION 1","APPROVE",IF('Author Decision Queue'!$T$74="OPTION 2","REVISE",IF('Author Decision Queue'!$T$74="CUSTOM RESPONSE","REVISE","HOLD"))),IF('Author Decision Queue'!$Z$74="HOLD","HOLD","PENDING"))</f>
        <v/>
      </c>
      <c r="L60" s="4">
        <f>IF(K60="PENDING","",'Author Decision Queue'!$W$74)</f>
        <v/>
      </c>
      <c r="M60" s="13">
        <f>IF(K60="PENDING","",'Author Decision Queue'!$X$74)</f>
        <v/>
      </c>
      <c r="N60" s="4">
        <f>IF(K60="REVISE",'Author Decision Queue'!$U$74,IF(K60="HOLD",'Author Decision Queue'!$Y$74,'Author Decision Queue'!$V$74))</f>
        <v/>
      </c>
    </row>
    <row r="61" ht="15.75" customHeight="1" s="29">
      <c r="A61" s="4" t="inlineStr">
        <is>
          <t>RNR-H56</t>
        </is>
      </c>
      <c r="B61" s="4" t="inlineStr">
        <is>
          <t>Inherited 57</t>
        </is>
      </c>
      <c r="C61" s="4" t="inlineStr">
        <is>
          <t>Godhead unity &amp; distinction</t>
        </is>
      </c>
      <c r="D61" s="4" t="inlineStr">
        <is>
          <t>Neither confounding nor dividing</t>
        </is>
      </c>
      <c r="E61" s="4" t="inlineStr">
        <is>
          <t>Q</t>
        </is>
      </c>
      <c r="F61" s="4" t="inlineStr">
        <is>
          <t>Count-constrained reconstruction</t>
        </is>
      </c>
      <c r="G61" s="4" t="inlineStr">
        <is>
          <t>See inherited source report / recovered institution ledgers</t>
        </is>
      </c>
      <c r="H61" s="4" t="inlineStr">
        <is>
          <t>Recurring Apophatic Vocabulary table</t>
        </is>
      </c>
      <c r="I61" s="4" t="inlineStr">
        <is>
          <t>Shared concern for distinction and unity, with materially different Godhead ontology.</t>
        </is>
      </c>
      <c r="J61" s="4" t="inlineStr">
        <is>
          <t>RECONSTRUCTED — source-level/master-family recertification remains publication-critical</t>
        </is>
      </c>
      <c r="K61" s="4">
        <f>IF('Author Decision Queue'!$Z$75="RESOLVED",IF('Author Decision Queue'!$T$75="OPTION 1","APPROVE",IF('Author Decision Queue'!$T$75="OPTION 2","REVISE",IF('Author Decision Queue'!$T$75="CUSTOM RESPONSE","REVISE","HOLD"))),IF('Author Decision Queue'!$Z$75="HOLD","HOLD","PENDING"))</f>
        <v/>
      </c>
      <c r="L61" s="4">
        <f>IF(K61="PENDING","",'Author Decision Queue'!$W$75)</f>
        <v/>
      </c>
      <c r="M61" s="13">
        <f>IF(K61="PENDING","",'Author Decision Queue'!$X$75)</f>
        <v/>
      </c>
      <c r="N61" s="4">
        <f>IF(K61="REVISE",'Author Decision Queue'!$U$75,IF(K61="HOLD",'Author Decision Queue'!$Y$75,'Author Decision Queue'!$V$75))</f>
        <v/>
      </c>
    </row>
    <row r="62" ht="15.75" customHeight="1" s="29">
      <c r="A62" s="4" t="inlineStr">
        <is>
          <t>RNR-H57</t>
        </is>
      </c>
      <c r="B62" s="4" t="inlineStr">
        <is>
          <t>Inherited 57</t>
        </is>
      </c>
      <c r="C62" s="4" t="inlineStr">
        <is>
          <t>Divine-human analogy &amp; kinship boundary</t>
        </is>
      </c>
      <c r="D62" s="4" t="inlineStr">
        <is>
          <t>Greater dissimilarity than similarity</t>
        </is>
      </c>
      <c r="E62" s="4" t="inlineStr">
        <is>
          <t>D</t>
        </is>
      </c>
      <c r="F62" s="4" t="inlineStr">
        <is>
          <t>Explicit in master handoff</t>
        </is>
      </c>
      <c r="G62" s="4" t="inlineStr">
        <is>
          <t>See inherited source report / recovered institution ledgers</t>
        </is>
      </c>
      <c r="H62" s="4" t="inlineStr">
        <is>
          <t>Recurring Apophatic Vocabulary table</t>
        </is>
      </c>
      <c r="I62" s="4" t="inlineStr">
        <is>
          <t>Direct divergence when the principle denies strong literal divine-human kinship and ontological continuity.</t>
        </is>
      </c>
      <c r="J62" s="4" t="inlineStr">
        <is>
          <t>CONTROLLED INTERNAL — still requires public wording signoff</t>
        </is>
      </c>
      <c r="K62" s="4">
        <f>IF('Author Decision Queue'!$Z$76="RESOLVED",IF('Author Decision Queue'!$T$76="OPTION 1","APPROVE",IF('Author Decision Queue'!$T$76="OPTION 2","REVISE",IF('Author Decision Queue'!$T$76="CUSTOM RESPONSE","REVISE","HOLD"))),IF('Author Decision Queue'!$Z$76="HOLD","HOLD","PENDING"))</f>
        <v/>
      </c>
      <c r="L62" s="4">
        <f>IF(K62="PENDING","",'Author Decision Queue'!$W$76)</f>
        <v/>
      </c>
      <c r="M62" s="13">
        <f>IF(K62="PENDING","",'Author Decision Queue'!$X$76)</f>
        <v/>
      </c>
      <c r="N62" s="4">
        <f>IF(K62="REVISE",'Author Decision Queue'!$U$76,IF(K62="HOLD",'Author Decision Queue'!$Y$76,'Author Decision Queue'!$V$76))</f>
        <v/>
      </c>
    </row>
    <row r="63" ht="15.75" customHeight="1" s="29">
      <c r="A63" s="4" t="inlineStr">
        <is>
          <t>RNR-A01</t>
        </is>
      </c>
      <c r="B63" s="4" t="inlineStr">
        <is>
          <t>Restoration 26</t>
        </is>
      </c>
      <c r="C63" s="4" t="inlineStr">
        <is>
          <t>Deity / Godhead</t>
        </is>
      </c>
      <c r="D63" s="4" t="inlineStr">
        <is>
          <t>The Father is an embodied, tangible, glorified person; humanity is made in His image.</t>
        </is>
      </c>
      <c r="E63" s="4" t="inlineStr">
        <is>
          <t>Tier I</t>
        </is>
      </c>
      <c r="F63" s="4" t="inlineStr">
        <is>
          <t>Canonical scripture</t>
        </is>
      </c>
      <c r="G63" s="4" t="inlineStr">
        <is>
          <t>https://www.churchofjesuschrist.org/study/scriptures/dc-testament/dc/130?lang=eng</t>
        </is>
      </c>
      <c r="H63" s="4" t="inlineStr">
        <is>
          <t>D&amp;C 130:22</t>
        </is>
      </c>
      <c r="I63" s="4" t="inlineStr">
        <is>
          <t>Counted relative to the creeds and confessions studied; whether earlier Christians taught something similar is a separate question.</t>
        </is>
      </c>
      <c r="J63" s="4" t="inlineStr">
        <is>
          <t>CONTROLLED INTERNAL — addition authority/source wording should be author-ratified for public display</t>
        </is>
      </c>
      <c r="K63" s="4">
        <f>IF('Author Decision Queue'!$Z$77="RESOLVED",IF('Author Decision Queue'!$T$77="OPTION 1","APPROVE",IF('Author Decision Queue'!$T$77="OPTION 2","REVISE",IF('Author Decision Queue'!$T$77="CUSTOM RESPONSE","REVISE","HOLD"))),IF('Author Decision Queue'!$Z$77="HOLD","HOLD","PENDING"))</f>
        <v/>
      </c>
      <c r="L63" s="4">
        <f>IF(K63="PENDING","",'Author Decision Queue'!$W$77)</f>
        <v/>
      </c>
      <c r="M63" s="13">
        <f>IF(K63="PENDING","",'Author Decision Queue'!$X$77)</f>
        <v/>
      </c>
      <c r="N63" s="4">
        <f>IF(K63="REVISE",'Author Decision Queue'!$U$77,IF(K63="HOLD",'Author Decision Queue'!$Y$77,'Author Decision Queue'!$V$77))</f>
        <v/>
      </c>
    </row>
    <row r="64" ht="15.75" customHeight="1" s="29">
      <c r="A64" s="4" t="inlineStr">
        <is>
          <t>RNR-A02</t>
        </is>
      </c>
      <c r="B64" s="4" t="inlineStr">
        <is>
          <t>Restoration 26</t>
        </is>
      </c>
      <c r="C64" s="4" t="inlineStr">
        <is>
          <t>Deity / Godhead</t>
        </is>
      </c>
      <c r="D64" s="4" t="inlineStr">
        <is>
          <t>Father presides within the Godhead.</t>
        </is>
      </c>
      <c r="E64" s="4" t="inlineStr">
        <is>
          <t>Tier II</t>
        </is>
      </c>
      <c r="F64" s="4" t="inlineStr">
        <is>
          <t>Collective / strongly authoritative official doctrine</t>
        </is>
      </c>
      <c r="G64" s="4" t="inlineStr">
        <is>
          <t>https://www.churchofjesuschrist.org/study/manual/gospel-topics/godhead?lang=eng</t>
        </is>
      </c>
      <c r="H64" s="4" t="inlineStr">
        <is>
          <t>Gospel Topics: Godhead</t>
        </is>
      </c>
      <c r="I64" s="4" t="inlineStr">
        <is>
          <t>Counted relative to the creeds and confessions studied; whether earlier Christians taught something similar is a separate question.</t>
        </is>
      </c>
      <c r="J64" s="4" t="inlineStr">
        <is>
          <t>CONTROLLED INTERNAL — addition authority/source wording should be author-ratified for public display</t>
        </is>
      </c>
      <c r="K64" s="4">
        <f>IF('Author Decision Queue'!$Z$78="RESOLVED",IF('Author Decision Queue'!$T$78="OPTION 1","APPROVE",IF('Author Decision Queue'!$T$78="OPTION 2","REVISE",IF('Author Decision Queue'!$T$78="CUSTOM RESPONSE","REVISE","HOLD"))),IF('Author Decision Queue'!$Z$78="HOLD","HOLD","PENDING"))</f>
        <v/>
      </c>
      <c r="L64" s="4">
        <f>IF(K64="PENDING","",'Author Decision Queue'!$W$78)</f>
        <v/>
      </c>
      <c r="M64" s="13">
        <f>IF(K64="PENDING","",'Author Decision Queue'!$X$78)</f>
        <v/>
      </c>
      <c r="N64" s="4">
        <f>IF(K64="REVISE",'Author Decision Queue'!$U$78,IF(K64="HOLD",'Author Decision Queue'!$Y$78,'Author Decision Queue'!$V$78))</f>
        <v/>
      </c>
    </row>
    <row r="65" ht="15.75" customHeight="1" s="29">
      <c r="A65" s="4" t="inlineStr">
        <is>
          <t>RNR-A03</t>
        </is>
      </c>
      <c r="B65" s="4" t="inlineStr">
        <is>
          <t>Restoration 26</t>
        </is>
      </c>
      <c r="C65" s="4" t="inlineStr">
        <is>
          <t>Deity / Godhead</t>
        </is>
      </c>
      <c r="D65" s="4" t="inlineStr">
        <is>
          <t>God is personally present in one place at a time, while His light, knowledge, power, and governance fill all creation.</t>
        </is>
      </c>
      <c r="E65" s="4" t="inlineStr">
        <is>
          <t>Tier I</t>
        </is>
      </c>
      <c r="F65" s="4" t="inlineStr">
        <is>
          <t>Canonical scripture</t>
        </is>
      </c>
      <c r="G65" s="4" t="inlineStr">
        <is>
          <t>https://www.churchofjesuschrist.org/study/scriptures/dc-testament/dc/88?lang=eng</t>
        </is>
      </c>
      <c r="H65" s="4" t="inlineStr">
        <is>
          <t>D&amp;C 88:6–13; 130:22</t>
        </is>
      </c>
      <c r="I65" s="4" t="inlineStr">
        <is>
          <t>Counted relative to the creeds and confessions studied; whether earlier Christians taught something similar is a separate question.</t>
        </is>
      </c>
      <c r="J65" s="4" t="inlineStr">
        <is>
          <t>CONTROLLED INTERNAL — addition authority/source wording should be author-ratified for public display</t>
        </is>
      </c>
      <c r="K65" s="4">
        <f>IF('Author Decision Queue'!$Z$79="RESOLVED",IF('Author Decision Queue'!$T$79="OPTION 1","APPROVE",IF('Author Decision Queue'!$T$79="OPTION 2","REVISE",IF('Author Decision Queue'!$T$79="CUSTOM RESPONSE","REVISE","HOLD"))),IF('Author Decision Queue'!$Z$79="HOLD","HOLD","PENDING"))</f>
        <v/>
      </c>
      <c r="L65" s="4">
        <f>IF(K65="PENDING","",'Author Decision Queue'!$W$79)</f>
        <v/>
      </c>
      <c r="M65" s="13">
        <f>IF(K65="PENDING","",'Author Decision Queue'!$X$79)</f>
        <v/>
      </c>
      <c r="N65" s="4">
        <f>IF(K65="REVISE",'Author Decision Queue'!$U$79,IF(K65="HOLD",'Author Decision Queue'!$Y$79,'Author Decision Queue'!$V$79))</f>
        <v/>
      </c>
    </row>
    <row r="66" ht="15.75" customHeight="1" s="29">
      <c r="A66" s="4" t="inlineStr">
        <is>
          <t>RNR-A04</t>
        </is>
      </c>
      <c r="B66" s="4" t="inlineStr">
        <is>
          <t>Restoration 26</t>
        </is>
      </c>
      <c r="C66" s="4" t="inlineStr">
        <is>
          <t>Deity / Godhead</t>
        </is>
      </c>
      <c r="D66" s="4" t="inlineStr">
        <is>
          <t>God the Father was once as humanity now is and is an exalted man.</t>
        </is>
      </c>
      <c r="E66" s="4" t="inlineStr">
        <is>
          <t>Tier III</t>
        </is>
      </c>
      <c r="F66" s="4" t="inlineStr">
        <is>
          <t>Attributable prophetic / apostolic exposition</t>
        </is>
      </c>
      <c r="G66" s="4" t="inlineStr">
        <is>
          <t>https://www.churchofjesuschrist.org/study/manual/doctrines-of-the-gospel/chapter-3?lang=eng</t>
        </is>
      </c>
      <c r="H66" s="4" t="inlineStr">
        <is>
          <t>Joseph Smith, King Follett discourse; Doctrines of the Gospel ch. 3</t>
        </is>
      </c>
      <c r="I66"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6" s="4" t="inlineStr">
        <is>
          <t>CONTROLLED INTERNAL — addition authority/source wording should be author-ratified for public display</t>
        </is>
      </c>
      <c r="K66" s="4">
        <f>IF('Author Decision Queue'!$Z$80="RESOLVED",IF('Author Decision Queue'!$T$80="OPTION 1","APPROVE",IF('Author Decision Queue'!$T$80="OPTION 2","REVISE",IF('Author Decision Queue'!$T$80="CUSTOM RESPONSE","REVISE","HOLD"))),IF('Author Decision Queue'!$Z$80="HOLD","HOLD","PENDING"))</f>
        <v/>
      </c>
      <c r="L66" s="4">
        <f>IF(K66="PENDING","",'Author Decision Queue'!$W$80)</f>
        <v/>
      </c>
      <c r="M66" s="13">
        <f>IF(K66="PENDING","",'Author Decision Queue'!$X$80)</f>
        <v/>
      </c>
      <c r="N66" s="4">
        <f>IF(K66="REVISE",'Author Decision Queue'!$U$80,IF(K66="HOLD",'Author Decision Queue'!$Y$80,'Author Decision Queue'!$V$80))</f>
        <v/>
      </c>
    </row>
    <row r="67" ht="15.75" customHeight="1" s="29">
      <c r="A67" s="4" t="inlineStr">
        <is>
          <t>RNR-A05</t>
        </is>
      </c>
      <c r="B67" s="4" t="inlineStr">
        <is>
          <t>Restoration 26</t>
        </is>
      </c>
      <c r="C67" s="4" t="inlineStr">
        <is>
          <t>Deity / Godhead</t>
        </is>
      </c>
      <c r="D67" s="4" t="inlineStr">
        <is>
          <t>God the Father had a Father, implying antecedent divine lineage while leaving the mechanics unrevealed.</t>
        </is>
      </c>
      <c r="E67" s="4" t="inlineStr">
        <is>
          <t>Tier III</t>
        </is>
      </c>
      <c r="F67" s="4" t="inlineStr">
        <is>
          <t>Attributable prophetic / apostolic exposition</t>
        </is>
      </c>
      <c r="G67" s="4" t="inlineStr">
        <is>
          <t>https://www.josephsmithpapers.org/paper-summary/history-1838-1856-volume-f-1-1-may-1844-8-august-1844/109</t>
        </is>
      </c>
      <c r="H67" s="4" t="inlineStr">
        <is>
          <t>Joseph Smith, Sermon in the Grove, 16 June 1844</t>
        </is>
      </c>
      <c r="I67"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7" s="4" t="inlineStr">
        <is>
          <t>CONTROLLED INTERNAL — addition authority/source wording should be author-ratified for public display</t>
        </is>
      </c>
      <c r="K67" s="4">
        <f>IF('Author Decision Queue'!$Z$81="RESOLVED",IF('Author Decision Queue'!$T$81="OPTION 1","APPROVE",IF('Author Decision Queue'!$T$81="OPTION 2","REVISE",IF('Author Decision Queue'!$T$81="CUSTOM RESPONSE","REVISE","HOLD"))),IF('Author Decision Queue'!$Z$81="HOLD","HOLD","PENDING"))</f>
        <v/>
      </c>
      <c r="L67" s="4">
        <f>IF(K67="PENDING","",'Author Decision Queue'!$W$81)</f>
        <v/>
      </c>
      <c r="M67" s="13">
        <f>IF(K67="PENDING","",'Author Decision Queue'!$X$81)</f>
        <v/>
      </c>
      <c r="N67" s="4">
        <f>IF(K67="REVISE",'Author Decision Queue'!$U$81,IF(K67="HOLD",'Author Decision Queue'!$Y$81,'Author Decision Queue'!$V$81))</f>
        <v/>
      </c>
    </row>
    <row r="68" ht="15.75" customHeight="1" s="29">
      <c r="A68" s="4" t="inlineStr">
        <is>
          <t>RNR-A06</t>
        </is>
      </c>
      <c r="B68" s="4" t="inlineStr">
        <is>
          <t>Restoration 26</t>
        </is>
      </c>
      <c r="C68" s="4" t="inlineStr">
        <is>
          <t>Divine-human kinship / premortality</t>
        </is>
      </c>
      <c r="D68" s="4" t="inlineStr">
        <is>
          <t>Humans are literal spirit children of Heavenly Parents.</t>
        </is>
      </c>
      <c r="E68" s="4" t="inlineStr">
        <is>
          <t>Tier II</t>
        </is>
      </c>
      <c r="F68" s="4" t="inlineStr">
        <is>
          <t>Collective / strongly authoritative official doctrine</t>
        </is>
      </c>
      <c r="G68" s="4" t="inlineStr">
        <is>
          <t>https://www.churchofjesuschrist.org/study/manual/eternal-marriage-student-manual/the-family-a-proclamation?lang=eng</t>
        </is>
      </c>
      <c r="H68" s="4" t="inlineStr">
        <is>
          <t>The Family: A Proclamation to the World, para. 2</t>
        </is>
      </c>
      <c r="I68" s="4" t="inlineStr">
        <is>
          <t>Counted relative to the creeds and confessions studied; whether earlier Christians taught something similar is a separate question.</t>
        </is>
      </c>
      <c r="J68" s="4" t="inlineStr">
        <is>
          <t>CONTROLLED INTERNAL — addition authority/source wording should be author-ratified for public display</t>
        </is>
      </c>
      <c r="K68" s="4">
        <f>IF('Author Decision Queue'!$Z$82="RESOLVED",IF('Author Decision Queue'!$T$82="OPTION 1","APPROVE",IF('Author Decision Queue'!$T$82="OPTION 2","REVISE",IF('Author Decision Queue'!$T$82="CUSTOM RESPONSE","REVISE","HOLD"))),IF('Author Decision Queue'!$Z$82="HOLD","HOLD","PENDING"))</f>
        <v/>
      </c>
      <c r="L68" s="4">
        <f>IF(K68="PENDING","",'Author Decision Queue'!$W$82)</f>
        <v/>
      </c>
      <c r="M68" s="13">
        <f>IF(K68="PENDING","",'Author Decision Queue'!$X$82)</f>
        <v/>
      </c>
      <c r="N68" s="4">
        <f>IF(K68="REVISE",'Author Decision Queue'!$U$82,IF(K68="HOLD",'Author Decision Queue'!$Y$82,'Author Decision Queue'!$V$82))</f>
        <v/>
      </c>
    </row>
    <row r="69" ht="15.75" customHeight="1" s="29">
      <c r="A69" s="4" t="inlineStr">
        <is>
          <t>RNR-A07</t>
        </is>
      </c>
      <c r="B69" s="4" t="inlineStr">
        <is>
          <t>Restoration 26</t>
        </is>
      </c>
      <c r="C69" s="4" t="inlineStr">
        <is>
          <t>Divine-human kinship / premortality</t>
        </is>
      </c>
      <c r="D69" s="4" t="inlineStr">
        <is>
          <t>Heavenly Mother exists as a divine parent.</t>
        </is>
      </c>
      <c r="E69" s="4" t="inlineStr">
        <is>
          <t>Tier II</t>
        </is>
      </c>
      <c r="F69" s="4" t="inlineStr">
        <is>
          <t>Collective / strongly authoritative official doctrine</t>
        </is>
      </c>
      <c r="G69" s="4" t="inlineStr">
        <is>
          <t>https://www.churchofjesuschrist.org/study/manual/gospel-topics-essays/mother-in-heaven?lang=eng</t>
        </is>
      </c>
      <c r="H69" s="4" t="inlineStr">
        <is>
          <t>Gospel Topics Essay: Mother in Heaven</t>
        </is>
      </c>
      <c r="I69" s="4" t="inlineStr">
        <is>
          <t>Early feminine/maternal Spirit language is only remote divine-maternal imagery, not a close Heavenly Mother/divine co-parent analogue.</t>
        </is>
      </c>
      <c r="J69" s="4" t="inlineStr">
        <is>
          <t>CONTROLLED INTERNAL — addition authority/source wording should be author-ratified for public display</t>
        </is>
      </c>
      <c r="K69" s="4">
        <f>IF('Author Decision Queue'!$Z$83="RESOLVED",IF('Author Decision Queue'!$T$83="OPTION 1","APPROVE",IF('Author Decision Queue'!$T$83="OPTION 2","REVISE",IF('Author Decision Queue'!$T$83="CUSTOM RESPONSE","REVISE","HOLD"))),IF('Author Decision Queue'!$Z$83="HOLD","HOLD","PENDING"))</f>
        <v/>
      </c>
      <c r="L69" s="4">
        <f>IF(K69="PENDING","",'Author Decision Queue'!$W$83)</f>
        <v/>
      </c>
      <c r="M69" s="13">
        <f>IF(K69="PENDING","",'Author Decision Queue'!$X$83)</f>
        <v/>
      </c>
      <c r="N69" s="4">
        <f>IF(K69="REVISE",'Author Decision Queue'!$U$83,IF(K69="HOLD",'Author Decision Queue'!$Y$83,'Author Decision Queue'!$V$83))</f>
        <v/>
      </c>
    </row>
    <row r="70" ht="15.75" customHeight="1" s="29">
      <c r="A70" s="4" t="inlineStr">
        <is>
          <t>RNR-A08</t>
        </is>
      </c>
      <c r="B70" s="4" t="inlineStr">
        <is>
          <t>Restoration 26</t>
        </is>
      </c>
      <c r="C70" s="4" t="inlineStr">
        <is>
          <t>Divine-human kinship / premortality</t>
        </is>
      </c>
      <c r="D70" s="4" t="inlineStr">
        <is>
          <t>Human beings possessed personal premortal existence.</t>
        </is>
      </c>
      <c r="E70" s="4" t="inlineStr">
        <is>
          <t>Tier I</t>
        </is>
      </c>
      <c r="F70" s="4" t="inlineStr">
        <is>
          <t>Canonical scripture</t>
        </is>
      </c>
      <c r="G70" s="4" t="inlineStr">
        <is>
          <t>https://www.churchofjesuschrist.org/study/scriptures/pgp/abr/3?lang=eng</t>
        </is>
      </c>
      <c r="H70" s="4" t="inlineStr">
        <is>
          <t>Abraham 3:22–28; D&amp;C 138:56</t>
        </is>
      </c>
      <c r="I70" s="4" t="inlineStr">
        <is>
          <t>Counted relative to the creeds and confessions studied; whether earlier Christians taught something similar is a separate question.</t>
        </is>
      </c>
      <c r="J70" s="4" t="inlineStr">
        <is>
          <t>CONTROLLED INTERNAL — addition authority/source wording should be author-ratified for public display</t>
        </is>
      </c>
      <c r="K70" s="4">
        <f>IF('Author Decision Queue'!$Z$84="RESOLVED",IF('Author Decision Queue'!$T$84="OPTION 1","APPROVE",IF('Author Decision Queue'!$T$84="OPTION 2","REVISE",IF('Author Decision Queue'!$T$84="CUSTOM RESPONSE","REVISE","HOLD"))),IF('Author Decision Queue'!$Z$84="HOLD","HOLD","PENDING"))</f>
        <v/>
      </c>
      <c r="L70" s="4">
        <f>IF(K70="PENDING","",'Author Decision Queue'!$W$84)</f>
        <v/>
      </c>
      <c r="M70" s="13">
        <f>IF(K70="PENDING","",'Author Decision Queue'!$X$84)</f>
        <v/>
      </c>
      <c r="N70" s="4">
        <f>IF(K70="REVISE",'Author Decision Queue'!$U$84,IF(K70="HOLD",'Author Decision Queue'!$Y$84,'Author Decision Queue'!$V$84))</f>
        <v/>
      </c>
    </row>
    <row r="71" ht="15.75" customHeight="1" s="29">
      <c r="A71" s="4" t="inlineStr">
        <is>
          <t>RNR-A09</t>
        </is>
      </c>
      <c r="B71" s="4" t="inlineStr">
        <is>
          <t>Restoration 26</t>
        </is>
      </c>
      <c r="C71" s="4" t="inlineStr">
        <is>
          <t>Divine-human kinship / premortality</t>
        </is>
      </c>
      <c r="D71" s="4" t="inlineStr">
        <is>
          <t>Gender is an essential characteristic of premortal, mortal, and eternal identity.</t>
        </is>
      </c>
      <c r="E71" s="4" t="inlineStr">
        <is>
          <t>Tier II</t>
        </is>
      </c>
      <c r="F71" s="4" t="inlineStr">
        <is>
          <t>Collective / strongly authoritative official doctrine</t>
        </is>
      </c>
      <c r="G71" s="4" t="inlineStr">
        <is>
          <t>https://www.churchofjesuschrist.org/study/manual/eternal-marriage-student-manual/the-family-a-proclamation?lang=eng</t>
        </is>
      </c>
      <c r="H71" s="4" t="inlineStr">
        <is>
          <t>The Family: A Proclamation to the World, para. 2</t>
        </is>
      </c>
      <c r="I71" s="4" t="inlineStr">
        <is>
          <t>Counted relative to the creeds and confessions studied; whether earlier Christians taught something similar is a separate question.</t>
        </is>
      </c>
      <c r="J71" s="4" t="inlineStr">
        <is>
          <t>CONTROLLED INTERNAL — addition authority/source wording should be author-ratified for public display</t>
        </is>
      </c>
      <c r="K71" s="4">
        <f>IF('Author Decision Queue'!$Z$85="RESOLVED",IF('Author Decision Queue'!$T$85="OPTION 1","APPROVE",IF('Author Decision Queue'!$T$85="OPTION 2","REVISE",IF('Author Decision Queue'!$T$85="CUSTOM RESPONSE","REVISE","HOLD"))),IF('Author Decision Queue'!$Z$85="HOLD","HOLD","PENDING"))</f>
        <v/>
      </c>
      <c r="L71" s="4">
        <f>IF(K71="PENDING","",'Author Decision Queue'!$W$85)</f>
        <v/>
      </c>
      <c r="M71" s="13">
        <f>IF(K71="PENDING","",'Author Decision Queue'!$X$85)</f>
        <v/>
      </c>
      <c r="N71" s="4">
        <f>IF(K71="REVISE",'Author Decision Queue'!$U$85,IF(K71="HOLD",'Author Decision Queue'!$Y$85,'Author Decision Queue'!$V$85))</f>
        <v/>
      </c>
    </row>
    <row r="72" ht="15.75" customHeight="1" s="29">
      <c r="A72" s="4" t="inlineStr">
        <is>
          <t>RNR-A10</t>
        </is>
      </c>
      <c r="B72" s="4" t="inlineStr">
        <is>
          <t>Restoration 26</t>
        </is>
      </c>
      <c r="C72" s="4" t="inlineStr">
        <is>
          <t>Divine-human kinship / premortality</t>
        </is>
      </c>
      <c r="D72" s="4" t="inlineStr">
        <is>
          <t>Human intelligence is uncreated/unmade and beginningless in a fundamental sense.</t>
        </is>
      </c>
      <c r="E72" s="4" t="inlineStr">
        <is>
          <t>Tier I</t>
        </is>
      </c>
      <c r="F72" s="4" t="inlineStr">
        <is>
          <t>Canonical scripture</t>
        </is>
      </c>
      <c r="G72" s="4" t="inlineStr">
        <is>
          <t>https://www.churchofjesuschrist.org/study/scriptures/dc-testament/dc/93?lang=eng</t>
        </is>
      </c>
      <c r="H72" s="4" t="inlineStr">
        <is>
          <t>D&amp;C 93:29–30</t>
        </is>
      </c>
      <c r="I72" s="4" t="inlineStr">
        <is>
          <t>Counted relative to the creeds and confessions studied; whether earlier Christians taught something similar is a separate question.</t>
        </is>
      </c>
      <c r="J72" s="4" t="inlineStr">
        <is>
          <t>CONTROLLED INTERNAL — addition authority/source wording should be author-ratified for public display</t>
        </is>
      </c>
      <c r="K72" s="4">
        <f>IF('Author Decision Queue'!$Z$86="RESOLVED",IF('Author Decision Queue'!$T$86="OPTION 1","APPROVE",IF('Author Decision Queue'!$T$86="OPTION 2","REVISE",IF('Author Decision Queue'!$T$86="CUSTOM RESPONSE","REVISE","HOLD"))),IF('Author Decision Queue'!$Z$86="HOLD","HOLD","PENDING"))</f>
        <v/>
      </c>
      <c r="L72" s="4">
        <f>IF(K72="PENDING","",'Author Decision Queue'!$W$86)</f>
        <v/>
      </c>
      <c r="M72" s="13">
        <f>IF(K72="PENDING","",'Author Decision Queue'!$X$86)</f>
        <v/>
      </c>
      <c r="N72" s="4">
        <f>IF(K72="REVISE",'Author Decision Queue'!$U$86,IF(K72="HOLD",'Author Decision Queue'!$Y$86,'Author Decision Queue'!$V$86))</f>
        <v/>
      </c>
    </row>
    <row r="73" ht="15.75" customHeight="1" s="29">
      <c r="A73" s="4" t="inlineStr">
        <is>
          <t>RNR-A11</t>
        </is>
      </c>
      <c r="B73" s="4" t="inlineStr">
        <is>
          <t>Restoration 26</t>
        </is>
      </c>
      <c r="C73" s="4" t="inlineStr">
        <is>
          <t>Divine-human kinship / premortality</t>
        </is>
      </c>
      <c r="D73" s="4" t="inlineStr">
        <is>
          <t>Human divine nature and potential arise from literal heavenly parentage.</t>
        </is>
      </c>
      <c r="E73" s="4" t="inlineStr">
        <is>
          <t>Tier II</t>
        </is>
      </c>
      <c r="F73" s="4" t="inlineStr">
        <is>
          <t>Collective / strongly authoritative official doctrine</t>
        </is>
      </c>
      <c r="G73" s="4" t="inlineStr">
        <is>
          <t>https://www.churchofjesuschrist.org/study/manual/eternal-marriage-student-manual/the-family-a-proclamation?lang=eng</t>
        </is>
      </c>
      <c r="H73" s="4" t="inlineStr">
        <is>
          <t>The Family: A Proclamation to the World, para. 2</t>
        </is>
      </c>
      <c r="I73" s="4" t="inlineStr">
        <is>
          <t>Counted relative to the creeds and confessions studied; whether earlier Christians taught something similar is a separate question.</t>
        </is>
      </c>
      <c r="J73" s="4" t="inlineStr">
        <is>
          <t>CONTROLLED INTERNAL — addition authority/source wording should be author-ratified for public display</t>
        </is>
      </c>
      <c r="K73" s="4">
        <f>IF('Author Decision Queue'!$Z$87="RESOLVED",IF('Author Decision Queue'!$T$87="OPTION 1","APPROVE",IF('Author Decision Queue'!$T$87="OPTION 2","REVISE",IF('Author Decision Queue'!$T$87="CUSTOM RESPONSE","REVISE","HOLD"))),IF('Author Decision Queue'!$Z$87="HOLD","HOLD","PENDING"))</f>
        <v/>
      </c>
      <c r="L73" s="4">
        <f>IF(K73="PENDING","",'Author Decision Queue'!$W$87)</f>
        <v/>
      </c>
      <c r="M73" s="13">
        <f>IF(K73="PENDING","",'Author Decision Queue'!$X$87)</f>
        <v/>
      </c>
      <c r="N73" s="4">
        <f>IF(K73="REVISE",'Author Decision Queue'!$U$87,IF(K73="HOLD",'Author Decision Queue'!$Y$87,'Author Decision Queue'!$V$87))</f>
        <v/>
      </c>
    </row>
    <row r="74" ht="15.75" customHeight="1" s="29">
      <c r="A74" s="4" t="inlineStr">
        <is>
          <t>RNR-A12</t>
        </is>
      </c>
      <c r="B74" s="4" t="inlineStr">
        <is>
          <t>Restoration 26</t>
        </is>
      </c>
      <c r="C74" s="4" t="inlineStr">
        <is>
          <t>Divine-human kinship / premortality</t>
        </is>
      </c>
      <c r="D74" s="4" t="inlineStr">
        <is>
          <t>Christ is the Firstborn spirit Son and stands in genuine familial relation to the Father's other spirit children while remaining uniquely Savior and Redeemer.</t>
        </is>
      </c>
      <c r="E74" s="4" t="inlineStr">
        <is>
          <t>Tier II</t>
        </is>
      </c>
      <c r="F74" s="4" t="inlineStr">
        <is>
          <t>Collective / strongly authoritative official doctrine</t>
        </is>
      </c>
      <c r="G74" s="4" t="inlineStr">
        <is>
          <t>https://www.churchofjesuschrist.org/study/manual/eternal-marriage-student-manual/jesus-christ?lang=eng</t>
        </is>
      </c>
      <c r="H74" s="4" t="inlineStr">
        <is>
          <t>The Living Christ; D&amp;C 93:21; official doctrinal manuals</t>
        </is>
      </c>
      <c r="I74" s="4" t="inlineStr">
        <is>
          <t>Counted relative to the creeds and confessions studied; whether earlier Christians taught something similar is a separate question.</t>
        </is>
      </c>
      <c r="J74" s="4" t="inlineStr">
        <is>
          <t>CONTROLLED INTERNAL — addition authority/source wording should be author-ratified for public display</t>
        </is>
      </c>
      <c r="K74" s="4">
        <f>IF('Author Decision Queue'!$Z$88="RESOLVED",IF('Author Decision Queue'!$T$88="OPTION 1","APPROVE",IF('Author Decision Queue'!$T$88="OPTION 2","REVISE",IF('Author Decision Queue'!$T$88="CUSTOM RESPONSE","REVISE","HOLD"))),IF('Author Decision Queue'!$Z$88="HOLD","HOLD","PENDING"))</f>
        <v/>
      </c>
      <c r="L74" s="4">
        <f>IF(K74="PENDING","",'Author Decision Queue'!$W$88)</f>
        <v/>
      </c>
      <c r="M74" s="13">
        <f>IF(K74="PENDING","",'Author Decision Queue'!$X$88)</f>
        <v/>
      </c>
      <c r="N74" s="4">
        <f>IF(K74="REVISE",'Author Decision Queue'!$U$88,IF(K74="HOLD",'Author Decision Queue'!$Y$88,'Author Decision Queue'!$V$88))</f>
        <v/>
      </c>
    </row>
    <row r="75" ht="15.75" customHeight="1" s="29">
      <c r="A75" s="4" t="inlineStr">
        <is>
          <t>RNR-A13</t>
        </is>
      </c>
      <c r="B75" s="4" t="inlineStr">
        <is>
          <t>Restoration 26</t>
        </is>
      </c>
      <c r="C75" s="4" t="inlineStr">
        <is>
          <t>Cosmology / ontology / embodiment</t>
        </is>
      </c>
      <c r="D75" s="4" t="inlineStr">
        <is>
          <t>Elements are eternal.</t>
        </is>
      </c>
      <c r="E75" s="4" t="inlineStr">
        <is>
          <t>Tier I</t>
        </is>
      </c>
      <c r="F75" s="4" t="inlineStr">
        <is>
          <t>Canonical scripture</t>
        </is>
      </c>
      <c r="G75" s="4" t="inlineStr">
        <is>
          <t>https://www.churchofjesuschrist.org/study/scriptures/dc-testament/dc/93?lang=eng</t>
        </is>
      </c>
      <c r="H75" s="4" t="inlineStr">
        <is>
          <t>D&amp;C 93:33</t>
        </is>
      </c>
      <c r="I75" s="4" t="inlineStr">
        <is>
          <t>Counted relative to the creeds and confessions studied; whether earlier Christians taught something similar is a separate question.</t>
        </is>
      </c>
      <c r="J75" s="4" t="inlineStr">
        <is>
          <t>CONTROLLED INTERNAL — addition authority/source wording should be author-ratified for public display</t>
        </is>
      </c>
      <c r="K75" s="4">
        <f>IF('Author Decision Queue'!$Z$89="RESOLVED",IF('Author Decision Queue'!$T$89="OPTION 1","APPROVE",IF('Author Decision Queue'!$T$89="OPTION 2","REVISE",IF('Author Decision Queue'!$T$89="CUSTOM RESPONSE","REVISE","HOLD"))),IF('Author Decision Queue'!$Z$89="HOLD","HOLD","PENDING"))</f>
        <v/>
      </c>
      <c r="L75" s="4">
        <f>IF(K75="PENDING","",'Author Decision Queue'!$W$89)</f>
        <v/>
      </c>
      <c r="M75" s="13">
        <f>IF(K75="PENDING","",'Author Decision Queue'!$X$89)</f>
        <v/>
      </c>
      <c r="N75" s="4">
        <f>IF(K75="REVISE",'Author Decision Queue'!$U$89,IF(K75="HOLD",'Author Decision Queue'!$Y$89,'Author Decision Queue'!$V$89))</f>
        <v/>
      </c>
    </row>
    <row r="76" ht="15.75" customHeight="1" s="29">
      <c r="A76" s="4" t="inlineStr">
        <is>
          <t>RNR-A14</t>
        </is>
      </c>
      <c r="B76" s="4" t="inlineStr">
        <is>
          <t>Restoration 26</t>
        </is>
      </c>
      <c r="C76" s="4" t="inlineStr">
        <is>
          <t>Cosmology / ontology / embodiment</t>
        </is>
      </c>
      <c r="D76" s="4" t="inlineStr">
        <is>
          <t>Spirit is refined matter rather than immaterial substance.</t>
        </is>
      </c>
      <c r="E76" s="4" t="inlineStr">
        <is>
          <t>Tier I</t>
        </is>
      </c>
      <c r="F76" s="4" t="inlineStr">
        <is>
          <t>Canonical scripture</t>
        </is>
      </c>
      <c r="G76" s="4" t="inlineStr">
        <is>
          <t>https://www.churchofjesuschrist.org/study/scriptures/dc-testament/dc/131?lang=eng</t>
        </is>
      </c>
      <c r="H76" s="4" t="inlineStr">
        <is>
          <t>D&amp;C 131:7–8</t>
        </is>
      </c>
      <c r="I76" s="4" t="inlineStr">
        <is>
          <t>Counted relative to the creeds and confessions studied; whether earlier Christians taught something similar is a separate question.</t>
        </is>
      </c>
      <c r="J76" s="4" t="inlineStr">
        <is>
          <t>CONTROLLED INTERNAL — addition authority/source wording should be author-ratified for public display</t>
        </is>
      </c>
      <c r="K76" s="4">
        <f>IF('Author Decision Queue'!$Z$90="RESOLVED",IF('Author Decision Queue'!$T$90="OPTION 1","APPROVE",IF('Author Decision Queue'!$T$90="OPTION 2","REVISE",IF('Author Decision Queue'!$T$90="CUSTOM RESPONSE","REVISE","HOLD"))),IF('Author Decision Queue'!$Z$90="HOLD","HOLD","PENDING"))</f>
        <v/>
      </c>
      <c r="L76" s="4">
        <f>IF(K76="PENDING","",'Author Decision Queue'!$W$90)</f>
        <v/>
      </c>
      <c r="M76" s="13">
        <f>IF(K76="PENDING","",'Author Decision Queue'!$X$90)</f>
        <v/>
      </c>
      <c r="N76" s="4">
        <f>IF(K76="REVISE",'Author Decision Queue'!$U$90,IF(K76="HOLD",'Author Decision Queue'!$Y$90,'Author Decision Queue'!$V$90))</f>
        <v/>
      </c>
    </row>
    <row r="77" ht="15.75" customHeight="1" s="29">
      <c r="A77" s="4" t="inlineStr">
        <is>
          <t>RNR-A15</t>
        </is>
      </c>
      <c r="B77" s="4" t="inlineStr">
        <is>
          <t>Restoration 26</t>
        </is>
      </c>
      <c r="C77" s="4" t="inlineStr">
        <is>
          <t>Cosmology / ontology / embodiment</t>
        </is>
      </c>
      <c r="D77" s="4" t="inlineStr">
        <is>
          <t>Divine creation organizes preexistent reality rather than creating all constituent reality from absolute nothing.</t>
        </is>
      </c>
      <c r="E77" s="4" t="inlineStr">
        <is>
          <t>Tier I</t>
        </is>
      </c>
      <c r="F77" s="4" t="inlineStr">
        <is>
          <t>Canonical scripture</t>
        </is>
      </c>
      <c r="G77" s="4" t="inlineStr">
        <is>
          <t>https://www.churchofjesuschrist.org/study/scriptures/pgp/abr/3?lang=eng</t>
        </is>
      </c>
      <c r="H77" s="4" t="inlineStr">
        <is>
          <t>Abraham 3:24; D&amp;C 93:29, 33</t>
        </is>
      </c>
      <c r="I77" s="4" t="inlineStr">
        <is>
          <t>Counted relative to the creeds and confessions studied; whether earlier Christians taught something similar is a separate question.</t>
        </is>
      </c>
      <c r="J77" s="4" t="inlineStr">
        <is>
          <t>CONTROLLED INTERNAL — addition authority/source wording should be author-ratified for public display</t>
        </is>
      </c>
      <c r="K77" s="4">
        <f>IF('Author Decision Queue'!$Z$91="RESOLVED",IF('Author Decision Queue'!$T$91="OPTION 1","APPROVE",IF('Author Decision Queue'!$T$91="OPTION 2","REVISE",IF('Author Decision Queue'!$T$91="CUSTOM RESPONSE","REVISE","HOLD"))),IF('Author Decision Queue'!$Z$91="HOLD","HOLD","PENDING"))</f>
        <v/>
      </c>
      <c r="L77" s="4">
        <f>IF(K77="PENDING","",'Author Decision Queue'!$W$91)</f>
        <v/>
      </c>
      <c r="M77" s="13">
        <f>IF(K77="PENDING","",'Author Decision Queue'!$X$91)</f>
        <v/>
      </c>
      <c r="N77" s="4">
        <f>IF(K77="REVISE",'Author Decision Queue'!$U$91,IF(K77="HOLD",'Author Decision Queue'!$Y$91,'Author Decision Queue'!$V$91))</f>
        <v/>
      </c>
    </row>
    <row r="78" ht="15.75" customHeight="1" s="29">
      <c r="A78" s="4" t="inlineStr">
        <is>
          <t>RNR-A16</t>
        </is>
      </c>
      <c r="B78" s="4" t="inlineStr">
        <is>
          <t>Restoration 26</t>
        </is>
      </c>
      <c r="C78" s="4" t="inlineStr">
        <is>
          <t>Cosmology / ontology / embodiment</t>
        </is>
      </c>
      <c r="D78" s="4" t="inlineStr">
        <is>
          <t>The Light of Christ fills the immensity of space and functions as life, law, illumination, divine power, and governance.</t>
        </is>
      </c>
      <c r="E78" s="4" t="inlineStr">
        <is>
          <t>Tier I</t>
        </is>
      </c>
      <c r="F78" s="4" t="inlineStr">
        <is>
          <t>Canonical scripture</t>
        </is>
      </c>
      <c r="G78" s="4" t="inlineStr">
        <is>
          <t>https://www.churchofjesuschrist.org/study/scriptures/dc-testament/dc/88?lang=eng</t>
        </is>
      </c>
      <c r="H78" s="4" t="inlineStr">
        <is>
          <t>D&amp;C 88:6–13</t>
        </is>
      </c>
      <c r="I78" s="4" t="inlineStr">
        <is>
          <t>Counted relative to the creeds and confessions studied; whether earlier Christians taught something similar is a separate question.</t>
        </is>
      </c>
      <c r="J78" s="4" t="inlineStr">
        <is>
          <t>CONTROLLED INTERNAL — addition authority/source wording should be author-ratified for public display</t>
        </is>
      </c>
      <c r="K78" s="4">
        <f>IF('Author Decision Queue'!$Z$92="RESOLVED",IF('Author Decision Queue'!$T$92="OPTION 1","APPROVE",IF('Author Decision Queue'!$T$92="OPTION 2","REVISE",IF('Author Decision Queue'!$T$92="CUSTOM RESPONSE","REVISE","HOLD"))),IF('Author Decision Queue'!$Z$92="HOLD","HOLD","PENDING"))</f>
        <v/>
      </c>
      <c r="L78" s="4">
        <f>IF(K78="PENDING","",'Author Decision Queue'!$W$92)</f>
        <v/>
      </c>
      <c r="M78" s="13">
        <f>IF(K78="PENDING","",'Author Decision Queue'!$X$92)</f>
        <v/>
      </c>
      <c r="N78" s="4">
        <f>IF(K78="REVISE",'Author Decision Queue'!$U$92,IF(K78="HOLD",'Author Decision Queue'!$Y$92,'Author Decision Queue'!$V$92))</f>
        <v/>
      </c>
    </row>
    <row r="79" ht="15.75" customHeight="1" s="29">
      <c r="A79" s="4" t="inlineStr">
        <is>
          <t>RNR-A17</t>
        </is>
      </c>
      <c r="B79" s="4" t="inlineStr">
        <is>
          <t>Restoration 26</t>
        </is>
      </c>
      <c r="C79" s="4" t="inlineStr">
        <is>
          <t>Cosmology / ontology / embodiment</t>
        </is>
      </c>
      <c r="D79" s="4" t="inlineStr">
        <is>
          <t>Spirit and element permanently and inseparably united constitute the condition for fulness of joy.</t>
        </is>
      </c>
      <c r="E79" s="4" t="inlineStr">
        <is>
          <t>Tier I</t>
        </is>
      </c>
      <c r="F79" s="4" t="inlineStr">
        <is>
          <t>Canonical scripture</t>
        </is>
      </c>
      <c r="G79" s="4" t="inlineStr">
        <is>
          <t>https://www.churchofjesuschrist.org/study/scriptures/dc-testament/dc/93?lang=eng</t>
        </is>
      </c>
      <c r="H79" s="4" t="inlineStr">
        <is>
          <t>D&amp;C 93:33–35</t>
        </is>
      </c>
      <c r="I79" s="4" t="inlineStr">
        <is>
          <t>Counted relative to the creeds and confessions studied; whether earlier Christians taught something similar is a separate question.</t>
        </is>
      </c>
      <c r="J79" s="4" t="inlineStr">
        <is>
          <t>CONTROLLED INTERNAL — addition authority/source wording should be author-ratified for public display</t>
        </is>
      </c>
      <c r="K79" s="4">
        <f>IF('Author Decision Queue'!$Z$93="RESOLVED",IF('Author Decision Queue'!$T$93="OPTION 1","APPROVE",IF('Author Decision Queue'!$T$93="OPTION 2","REVISE",IF('Author Decision Queue'!$T$93="CUSTOM RESPONSE","REVISE","HOLD"))),IF('Author Decision Queue'!$Z$93="HOLD","HOLD","PENDING"))</f>
        <v/>
      </c>
      <c r="L79" s="4">
        <f>IF(K79="PENDING","",'Author Decision Queue'!$W$93)</f>
        <v/>
      </c>
      <c r="M79" s="13">
        <f>IF(K79="PENDING","",'Author Decision Queue'!$X$93)</f>
        <v/>
      </c>
      <c r="N79" s="4">
        <f>IF(K79="REVISE",'Author Decision Queue'!$U$93,IF(K79="HOLD",'Author Decision Queue'!$Y$93,'Author Decision Queue'!$V$93))</f>
        <v/>
      </c>
    </row>
    <row r="80" ht="15.75" customHeight="1" s="29">
      <c r="A80" s="4" t="inlineStr">
        <is>
          <t>RNR-A18</t>
        </is>
      </c>
      <c r="B80" s="4" t="inlineStr">
        <is>
          <t>Restoration 26</t>
        </is>
      </c>
      <c r="C80" s="4" t="inlineStr">
        <is>
          <t>Cosmology / ontology / embodiment</t>
        </is>
      </c>
      <c r="D80" s="4" t="inlineStr">
        <is>
          <t>Mortal social relationships can continue eternally when sealed and transformed by eternal glory.</t>
        </is>
      </c>
      <c r="E80" s="4" t="inlineStr">
        <is>
          <t>Tier I</t>
        </is>
      </c>
      <c r="F80" s="4" t="inlineStr">
        <is>
          <t>Canonical scripture</t>
        </is>
      </c>
      <c r="G80" s="4" t="inlineStr">
        <is>
          <t>https://www.churchofjesuschrist.org/study/scriptures/dc-testament/dc/130?lang=eng</t>
        </is>
      </c>
      <c r="H80" s="4" t="inlineStr">
        <is>
          <t>D&amp;C 130:2; 132:7, 19</t>
        </is>
      </c>
      <c r="I80" s="4" t="inlineStr">
        <is>
          <t>Counted relative to the creeds and confessions studied; whether earlier Christians taught something similar is a separate question.</t>
        </is>
      </c>
      <c r="J80" s="4" t="inlineStr">
        <is>
          <t>CONTROLLED INTERNAL — addition authority/source wording should be author-ratified for public display</t>
        </is>
      </c>
      <c r="K80" s="4">
        <f>IF('Author Decision Queue'!$Z$94="RESOLVED",IF('Author Decision Queue'!$T$94="OPTION 1","APPROVE",IF('Author Decision Queue'!$T$94="OPTION 2","REVISE",IF('Author Decision Queue'!$T$94="CUSTOM RESPONSE","REVISE","HOLD"))),IF('Author Decision Queue'!$Z$94="HOLD","HOLD","PENDING"))</f>
        <v/>
      </c>
      <c r="L80" s="4">
        <f>IF(K80="PENDING","",'Author Decision Queue'!$W$94)</f>
        <v/>
      </c>
      <c r="M80" s="13">
        <f>IF(K80="PENDING","",'Author Decision Queue'!$X$94)</f>
        <v/>
      </c>
      <c r="N80" s="4">
        <f>IF(K80="REVISE",'Author Decision Queue'!$U$94,IF(K80="HOLD",'Author Decision Queue'!$Y$94,'Author Decision Queue'!$V$94))</f>
        <v/>
      </c>
    </row>
    <row r="81" ht="15.75" customHeight="1" s="29">
      <c r="A81" s="4" t="inlineStr">
        <is>
          <t>RNR-A19</t>
        </is>
      </c>
      <c r="B81" s="4" t="inlineStr">
        <is>
          <t>Restoration 26</t>
        </is>
      </c>
      <c r="C81" s="4" t="inlineStr">
        <is>
          <t>Exaltation / eternal family / progression</t>
        </is>
      </c>
      <c r="D81" s="4" t="inlineStr">
        <is>
          <t>Human beings may receive divine fulness and become like God, canonically described as becoming gods.</t>
        </is>
      </c>
      <c r="E81" s="4" t="inlineStr">
        <is>
          <t>Tier I</t>
        </is>
      </c>
      <c r="F81" s="4" t="inlineStr">
        <is>
          <t>Canonical scripture</t>
        </is>
      </c>
      <c r="G81" s="4" t="inlineStr">
        <is>
          <t>https://www.churchofjesuschrist.org/study/scriptures/dc-testament/dc/132?lang=eng</t>
        </is>
      </c>
      <c r="H81" s="4" t="inlineStr">
        <is>
          <t>D&amp;C 132:19–20; 76:58; John 10:34–36</t>
        </is>
      </c>
      <c r="I81" s="4" t="inlineStr">
        <is>
          <t>Counted relative to the creeds and confessions studied; whether earlier Christians taught something similar is a separate question.</t>
        </is>
      </c>
      <c r="J81" s="4" t="inlineStr">
        <is>
          <t>CONTROLLED INTERNAL — addition authority/source wording should be author-ratified for public display</t>
        </is>
      </c>
      <c r="K81" s="4">
        <f>IF('Author Decision Queue'!$Z$95="RESOLVED",IF('Author Decision Queue'!$T$95="OPTION 1","APPROVE",IF('Author Decision Queue'!$T$95="OPTION 2","REVISE",IF('Author Decision Queue'!$T$95="CUSTOM RESPONSE","REVISE","HOLD"))),IF('Author Decision Queue'!$Z$95="HOLD","HOLD","PENDING"))</f>
        <v/>
      </c>
      <c r="L81" s="4">
        <f>IF(K81="PENDING","",'Author Decision Queue'!$W$95)</f>
        <v/>
      </c>
      <c r="M81" s="13">
        <f>IF(K81="PENDING","",'Author Decision Queue'!$X$95)</f>
        <v/>
      </c>
      <c r="N81" s="4">
        <f>IF(K81="REVISE",'Author Decision Queue'!$U$95,IF(K81="HOLD",'Author Decision Queue'!$Y$95,'Author Decision Queue'!$V$95))</f>
        <v/>
      </c>
    </row>
    <row r="82" ht="15.75" customHeight="1" s="29">
      <c r="A82" s="4" t="inlineStr">
        <is>
          <t>RNR-A20</t>
        </is>
      </c>
      <c r="B82" s="4" t="inlineStr">
        <is>
          <t>Restoration 26</t>
        </is>
      </c>
      <c r="C82" s="4" t="inlineStr">
        <is>
          <t>Exaltation / eternal family / progression</t>
        </is>
      </c>
      <c r="D82" s="4" t="inlineStr">
        <is>
          <t>Celestial marriage continues eternally.</t>
        </is>
      </c>
      <c r="E82" s="4" t="inlineStr">
        <is>
          <t>Tier I</t>
        </is>
      </c>
      <c r="F82" s="4" t="inlineStr">
        <is>
          <t>Canonical scripture</t>
        </is>
      </c>
      <c r="G82" s="4" t="inlineStr">
        <is>
          <t>https://www.churchofjesuschrist.org/study/scriptures/dc-testament/dc/132?lang=eng</t>
        </is>
      </c>
      <c r="H82" s="4" t="inlineStr">
        <is>
          <t>D&amp;C 132:19</t>
        </is>
      </c>
      <c r="I82" s="4" t="inlineStr">
        <is>
          <t>Counted relative to the creeds and confessions studied; whether earlier Christians taught something similar is a separate question.</t>
        </is>
      </c>
      <c r="J82" s="4" t="inlineStr">
        <is>
          <t>CONTROLLED INTERNAL — addition authority/source wording should be author-ratified for public display</t>
        </is>
      </c>
      <c r="K82" s="4">
        <f>IF('Author Decision Queue'!$Z$96="RESOLVED",IF('Author Decision Queue'!$T$96="OPTION 1","APPROVE",IF('Author Decision Queue'!$T$96="OPTION 2","REVISE",IF('Author Decision Queue'!$T$96="CUSTOM RESPONSE","REVISE","HOLD"))),IF('Author Decision Queue'!$Z$96="HOLD","HOLD","PENDING"))</f>
        <v/>
      </c>
      <c r="L82" s="4">
        <f>IF(K82="PENDING","",'Author Decision Queue'!$W$96)</f>
        <v/>
      </c>
      <c r="M82" s="13">
        <f>IF(K82="PENDING","",'Author Decision Queue'!$X$96)</f>
        <v/>
      </c>
      <c r="N82" s="4">
        <f>IF(K82="REVISE",'Author Decision Queue'!$U$96,IF(K82="HOLD",'Author Decision Queue'!$Y$96,'Author Decision Queue'!$V$96))</f>
        <v/>
      </c>
    </row>
    <row r="83" ht="15.75" customHeight="1" s="29">
      <c r="A83" s="4" t="inlineStr">
        <is>
          <t>RNR-A21</t>
        </is>
      </c>
      <c r="B83" s="4" t="inlineStr">
        <is>
          <t>Restoration 26</t>
        </is>
      </c>
      <c r="C83" s="4" t="inlineStr">
        <is>
          <t>Exaltation / eternal family / progression</t>
        </is>
      </c>
      <c r="D83" s="4" t="inlineStr">
        <is>
          <t>Celestial marriage is required for the highest degree of exaltation.</t>
        </is>
      </c>
      <c r="E83" s="4" t="inlineStr">
        <is>
          <t>Tier I</t>
        </is>
      </c>
      <c r="F83" s="4" t="inlineStr">
        <is>
          <t>Canonical scripture</t>
        </is>
      </c>
      <c r="G83" s="4" t="inlineStr">
        <is>
          <t>https://www.churchofjesuschrist.org/study/scriptures/dc-testament/dc/131?lang=eng</t>
        </is>
      </c>
      <c r="H83" s="4" t="inlineStr">
        <is>
          <t>D&amp;C 131:1–4</t>
        </is>
      </c>
      <c r="I83" s="4" t="inlineStr">
        <is>
          <t>Counted relative to the creeds and confessions studied; whether earlier Christians taught something similar is a separate question.</t>
        </is>
      </c>
      <c r="J83" s="4" t="inlineStr">
        <is>
          <t>CONTROLLED INTERNAL — addition authority/source wording should be author-ratified for public display</t>
        </is>
      </c>
      <c r="K83" s="4">
        <f>IF('Author Decision Queue'!$Z$97="RESOLVED",IF('Author Decision Queue'!$T$97="OPTION 1","APPROVE",IF('Author Decision Queue'!$T$97="OPTION 2","REVISE",IF('Author Decision Queue'!$T$97="CUSTOM RESPONSE","REVISE","HOLD"))),IF('Author Decision Queue'!$Z$97="HOLD","HOLD","PENDING"))</f>
        <v/>
      </c>
      <c r="L83" s="4">
        <f>IF(K83="PENDING","",'Author Decision Queue'!$W$97)</f>
        <v/>
      </c>
      <c r="M83" s="13">
        <f>IF(K83="PENDING","",'Author Decision Queue'!$X$97)</f>
        <v/>
      </c>
      <c r="N83" s="4">
        <f>IF(K83="REVISE",'Author Decision Queue'!$U$97,IF(K83="HOLD",'Author Decision Queue'!$Y$97,'Author Decision Queue'!$V$97))</f>
        <v/>
      </c>
    </row>
    <row r="84" ht="15.75" customHeight="1" s="29">
      <c r="A84" s="4" t="inlineStr">
        <is>
          <t>RNR-A22</t>
        </is>
      </c>
      <c r="B84" s="4" t="inlineStr">
        <is>
          <t>Restoration 26</t>
        </is>
      </c>
      <c r="C84" s="4" t="inlineStr">
        <is>
          <t>Exaltation / eternal family / progression</t>
        </is>
      </c>
      <c r="D84" s="4" t="inlineStr">
        <is>
          <t>Family relationships can be perpetuated eternally.</t>
        </is>
      </c>
      <c r="E84" s="4" t="inlineStr">
        <is>
          <t>Tier I</t>
        </is>
      </c>
      <c r="F84" s="4" t="inlineStr">
        <is>
          <t>Canonical scripture</t>
        </is>
      </c>
      <c r="G84" s="4" t="inlineStr">
        <is>
          <t>https://www.churchofjesuschrist.org/study/scriptures/dc-testament/dc/132?lang=eng</t>
        </is>
      </c>
      <c r="H84" s="4" t="inlineStr">
        <is>
          <t>D&amp;C 132:7, 19</t>
        </is>
      </c>
      <c r="I84" s="4" t="inlineStr">
        <is>
          <t>Counted relative to the creeds and confessions studied; whether earlier Christians taught something similar is a separate question.</t>
        </is>
      </c>
      <c r="J84" s="4" t="inlineStr">
        <is>
          <t>CONTROLLED INTERNAL — addition authority/source wording should be author-ratified for public display</t>
        </is>
      </c>
      <c r="K84" s="4">
        <f>IF('Author Decision Queue'!$Z$98="RESOLVED",IF('Author Decision Queue'!$T$98="OPTION 1","APPROVE",IF('Author Decision Queue'!$T$98="OPTION 2","REVISE",IF('Author Decision Queue'!$T$98="CUSTOM RESPONSE","REVISE","HOLD"))),IF('Author Decision Queue'!$Z$98="HOLD","HOLD","PENDING"))</f>
        <v/>
      </c>
      <c r="L84" s="4">
        <f>IF(K84="PENDING","",'Author Decision Queue'!$W$98)</f>
        <v/>
      </c>
      <c r="M84" s="13">
        <f>IF(K84="PENDING","",'Author Decision Queue'!$X$98)</f>
        <v/>
      </c>
      <c r="N84" s="4">
        <f>IF(K84="REVISE",'Author Decision Queue'!$U$98,IF(K84="HOLD",'Author Decision Queue'!$Y$98,'Author Decision Queue'!$V$98))</f>
        <v/>
      </c>
    </row>
    <row r="85" ht="15.75" customHeight="1" s="29">
      <c r="A85" s="4" t="inlineStr">
        <is>
          <t>RNR-A23</t>
        </is>
      </c>
      <c r="B85" s="4" t="inlineStr">
        <is>
          <t>Restoration 26</t>
        </is>
      </c>
      <c r="C85" s="4" t="inlineStr">
        <is>
          <t>Exaltation / eternal family / progression</t>
        </is>
      </c>
      <c r="D85" s="4" t="inlineStr">
        <is>
          <t>Exalted spouses receive continuation of the seeds / eternal increase.</t>
        </is>
      </c>
      <c r="E85" s="4" t="inlineStr">
        <is>
          <t>Tier I</t>
        </is>
      </c>
      <c r="F85" s="4" t="inlineStr">
        <is>
          <t>Canonical scripture</t>
        </is>
      </c>
      <c r="G85" s="4" t="inlineStr">
        <is>
          <t>https://www.churchofjesuschrist.org/study/scriptures/dc-testament/dc/132?lang=eng</t>
        </is>
      </c>
      <c r="H85" s="4" t="inlineStr">
        <is>
          <t>D&amp;C 132:19, 30–31</t>
        </is>
      </c>
      <c r="I85" s="4" t="inlineStr">
        <is>
          <t>Counted relative to the creeds and confessions studied; whether earlier Christians taught something similar is a separate question.</t>
        </is>
      </c>
      <c r="J85" s="4" t="inlineStr">
        <is>
          <t>CONTROLLED INTERNAL — addition authority/source wording should be author-ratified for public display</t>
        </is>
      </c>
      <c r="K85" s="4">
        <f>IF('Author Decision Queue'!$Z$99="RESOLVED",IF('Author Decision Queue'!$T$99="OPTION 1","APPROVE",IF('Author Decision Queue'!$T$99="OPTION 2","REVISE",IF('Author Decision Queue'!$T$99="CUSTOM RESPONSE","REVISE","HOLD"))),IF('Author Decision Queue'!$Z$99="HOLD","HOLD","PENDING"))</f>
        <v/>
      </c>
      <c r="L85" s="4">
        <f>IF(K85="PENDING","",'Author Decision Queue'!$W$99)</f>
        <v/>
      </c>
      <c r="M85" s="13">
        <f>IF(K85="PENDING","",'Author Decision Queue'!$X$99)</f>
        <v/>
      </c>
      <c r="N85" s="4">
        <f>IF(K85="REVISE",'Author Decision Queue'!$U$99,IF(K85="HOLD",'Author Decision Queue'!$Y$99,'Author Decision Queue'!$V$99))</f>
        <v/>
      </c>
    </row>
    <row r="86" ht="15.75" customHeight="1" s="29">
      <c r="A86" s="4" t="inlineStr">
        <is>
          <t>RNR-A24</t>
        </is>
      </c>
      <c r="B86" s="4" t="inlineStr">
        <is>
          <t>Restoration 26</t>
        </is>
      </c>
      <c r="C86" s="4" t="inlineStr">
        <is>
          <t>Exaltation / eternal family / progression</t>
        </is>
      </c>
      <c r="D86" s="4" t="inlineStr">
        <is>
          <t>Resurrected and glorified exalted beings become parents of spirit offspring.</t>
        </is>
      </c>
      <c r="E86" s="4" t="inlineStr">
        <is>
          <t>Tier II</t>
        </is>
      </c>
      <c r="F86" s="4" t="inlineStr">
        <is>
          <t>Collective / strongly authoritative official doctrine</t>
        </is>
      </c>
      <c r="G86" s="4" t="inlineStr">
        <is>
          <t>https://www.churchofjesuschrist.org/study/manual/gospel-principles/chapter-47-exaltation?lang=eng</t>
        </is>
      </c>
      <c r="H86" s="4" t="inlineStr">
        <is>
          <t>Gospel Principles ch. 47; related official curriculum</t>
        </is>
      </c>
      <c r="I86" s="4" t="inlineStr">
        <is>
          <t>Eternal procreative parenthood is taught in the project source set; detailed mechanism is unrevealed.</t>
        </is>
      </c>
      <c r="J86" s="4" t="inlineStr">
        <is>
          <t>CONTROLLED INTERNAL — addition authority/source wording should be author-ratified for public display</t>
        </is>
      </c>
      <c r="K86" s="4">
        <f>IF('Author Decision Queue'!$Z$100="RESOLVED",IF('Author Decision Queue'!$T$100="OPTION 1","APPROVE",IF('Author Decision Queue'!$T$100="OPTION 2","REVISE",IF('Author Decision Queue'!$T$100="CUSTOM RESPONSE","REVISE","HOLD"))),IF('Author Decision Queue'!$Z$100="HOLD","HOLD","PENDING"))</f>
        <v/>
      </c>
      <c r="L86" s="4">
        <f>IF(K86="PENDING","",'Author Decision Queue'!$W$100)</f>
        <v/>
      </c>
      <c r="M86" s="13">
        <f>IF(K86="PENDING","",'Author Decision Queue'!$X$100)</f>
        <v/>
      </c>
      <c r="N86" s="4">
        <f>IF(K86="REVISE",'Author Decision Queue'!$U$100,IF(K86="HOLD",'Author Decision Queue'!$Y$100,'Author Decision Queue'!$V$100))</f>
        <v/>
      </c>
    </row>
    <row r="87" ht="15.75" customHeight="1" s="29">
      <c r="A87" s="4" t="inlineStr">
        <is>
          <t>RNR-A25</t>
        </is>
      </c>
      <c r="B87" s="4" t="inlineStr">
        <is>
          <t>Restoration 26</t>
        </is>
      </c>
      <c r="C87" s="4" t="inlineStr">
        <is>
          <t>Exaltation / eternal family / progression</t>
        </is>
      </c>
      <c r="D87" s="4" t="inlineStr">
        <is>
          <t>Their spirit offspring subsequently pass through estates corresponding to those through which their glorified parents attained exaltation.</t>
        </is>
      </c>
      <c r="E87" s="4" t="inlineStr">
        <is>
          <t>Tier III</t>
        </is>
      </c>
      <c r="F87" s="4" t="inlineStr">
        <is>
          <t>Attributable prophetic / apostolic exposition</t>
        </is>
      </c>
      <c r="G87" s="4" t="inlineStr">
        <is>
          <t>https://www.churchofjesuschrist.org/study/manual/teachings-of-presidents-of-the-church-lorenzo-snow/chapter-5-the-grand-destiny-of-the-faithful?lang=eng</t>
        </is>
      </c>
      <c r="H87" s="4" t="inlineStr">
        <is>
          <t>Lorenzo Snow and later prophetic exposition</t>
        </is>
      </c>
      <c r="I87" s="4" t="inlineStr">
        <is>
          <t>Tier III; detailed estate-sequence mechanics are not revealed and should be taught cautiously. Attributed to a prophet's teaching rather than canonized scripture; the details are not revealed, and Latter-day Saints hold them with reverence and restraint.</t>
        </is>
      </c>
      <c r="J87" s="4" t="inlineStr">
        <is>
          <t>CONTROLLED INTERNAL — addition authority/source wording should be author-ratified for public display</t>
        </is>
      </c>
      <c r="K87" s="4">
        <f>IF('Author Decision Queue'!$Z$101="RESOLVED",IF('Author Decision Queue'!$T$101="OPTION 1","APPROVE",IF('Author Decision Queue'!$T$101="OPTION 2","REVISE",IF('Author Decision Queue'!$T$101="CUSTOM RESPONSE","REVISE","HOLD"))),IF('Author Decision Queue'!$Z$101="HOLD","HOLD","PENDING"))</f>
        <v/>
      </c>
      <c r="L87" s="4">
        <f>IF(K87="PENDING","",'Author Decision Queue'!$W$101)</f>
        <v/>
      </c>
      <c r="M87" s="13">
        <f>IF(K87="PENDING","",'Author Decision Queue'!$X$101)</f>
        <v/>
      </c>
      <c r="N87" s="4">
        <f>IF(K87="REVISE",'Author Decision Queue'!$U$101,IF(K87="HOLD",'Author Decision Queue'!$Y$101,'Author Decision Queue'!$V$101))</f>
        <v/>
      </c>
    </row>
    <row r="88" ht="15.75" customHeight="1" s="29">
      <c r="A88" s="4" t="inlineStr">
        <is>
          <t>RNR-A26</t>
        </is>
      </c>
      <c r="B88" s="4" t="inlineStr">
        <is>
          <t>Restoration 26</t>
        </is>
      </c>
      <c r="C88" s="4" t="inlineStr">
        <is>
          <t>Exaltation / eternal family / progression</t>
        </is>
      </c>
      <c r="D88" s="4" t="inlineStr">
        <is>
          <t>Exalted existence entails continuing increase in knowledge, wisdom, power, glory, relationship, posterity, and divine capacity.</t>
        </is>
      </c>
      <c r="E88" s="4" t="inlineStr">
        <is>
          <t>Tier III</t>
        </is>
      </c>
      <c r="F88" s="4" t="inlineStr">
        <is>
          <t>Attributable prophetic / apostolic exposition</t>
        </is>
      </c>
      <c r="G88" s="4" t="inlineStr">
        <is>
          <t>https://www.churchofjesuschrist.org/study/manual/teachings-of-presidents-of-the-church-lorenzo-snow/chapter-5-the-grand-destiny-of-the-faithful?lang=eng</t>
        </is>
      </c>
      <c r="H88" s="4" t="inlineStr">
        <is>
          <t>Lorenzo Snow and related prophetic exposition; D&amp;C 130:18–19; 132:19–20</t>
        </is>
      </c>
      <c r="I88"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88" s="4" t="inlineStr">
        <is>
          <t>CONTROLLED INTERNAL — addition authority/source wording should be author-ratified for public display</t>
        </is>
      </c>
      <c r="K88" s="4">
        <f>IF('Author Decision Queue'!$Z$102="RESOLVED",IF('Author Decision Queue'!$T$102="OPTION 1","APPROVE",IF('Author Decision Queue'!$T$102="OPTION 2","REVISE",IF('Author Decision Queue'!$T$102="CUSTOM RESPONSE","REVISE","HOLD"))),IF('Author Decision Queue'!$Z$102="HOLD","HOLD","PENDING"))</f>
        <v/>
      </c>
      <c r="L88" s="4">
        <f>IF(K88="PENDING","",'Author Decision Queue'!$W$102)</f>
        <v/>
      </c>
      <c r="M88" s="13">
        <f>IF(K88="PENDING","",'Author Decision Queue'!$X$102)</f>
        <v/>
      </c>
      <c r="N88" s="4">
        <f>IF(K88="REVISE",'Author Decision Queue'!$U$102,IF(K88="HOLD",'Author Decision Queue'!$Y$102,'Author Decision Queue'!$V$102))</f>
        <v/>
      </c>
    </row>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ColWidth="12.63" defaultRowHeight="15" customHeight="1"/>
  <cols>
    <col width="12" customWidth="1" style="29" min="1" max="1"/>
    <col width="58" customWidth="1" style="29" min="2" max="2"/>
    <col width="54" customWidth="1" style="29" min="3" max="3"/>
    <col width="58" customWidth="1" style="29" min="4" max="4"/>
    <col width="42" customWidth="1" style="29" min="5" max="5"/>
    <col width="58" customWidth="1" style="29" min="6" max="6"/>
    <col width="48" customWidth="1" style="29" min="7" max="7"/>
    <col width="18" customWidth="1" style="29" min="8" max="8"/>
    <col width="54" customWidth="1" style="29" min="9" max="9"/>
    <col width="60" customWidth="1" style="29" min="10" max="10"/>
    <col width="18" customWidth="1" style="29" min="11" max="11"/>
    <col width="16" customWidth="1" style="29" min="12" max="13"/>
    <col width="66" customWidth="1" style="29" min="14" max="14"/>
    <col width="8.630000000000001" customWidth="1" style="29" min="15" max="26"/>
  </cols>
  <sheetData>
    <row r="1">
      <c r="A1" s="10" t="inlineStr">
        <is>
          <t>GODHEAD / TRINITY CONTEXT PANEL — NOT COUNTED IN THE 57 OR 26 DENOMINATORS</t>
        </is>
      </c>
      <c r="B1" s="10" t="n"/>
      <c r="C1" s="10" t="n"/>
      <c r="D1" s="10" t="n"/>
      <c r="E1" s="10" t="n"/>
      <c r="F1" s="10" t="n"/>
      <c r="G1" s="10" t="n"/>
      <c r="H1" s="10" t="n"/>
      <c r="I1" s="10" t="n"/>
      <c r="J1" s="10" t="n"/>
    </row>
    <row r="2">
      <c r="A2" s="4" t="inlineStr">
        <is>
          <t>Purpose: address a doctrinal-locus gap in the attribute-vocabulary corpus without silently adding quantitative rows. This panel is explanatory context only. It may accompany the interactive app, but it must never change 57/26/83 counts.</t>
        </is>
      </c>
      <c r="B2" s="4" t="n"/>
      <c r="C2" s="4" t="n"/>
      <c r="D2" s="4" t="n"/>
      <c r="E2" s="4" t="n"/>
      <c r="F2" s="4" t="n"/>
      <c r="G2" s="4" t="n"/>
      <c r="H2" s="4" t="n"/>
      <c r="I2" s="4" t="n"/>
      <c r="J2" s="4" t="n"/>
    </row>
    <row r="3">
      <c r="A3" s="4" t="n"/>
      <c r="B3" s="4" t="n"/>
      <c r="C3" s="4" t="n"/>
      <c r="D3" s="4" t="n"/>
      <c r="E3" s="4" t="n"/>
      <c r="F3" s="4" t="n"/>
      <c r="G3" s="4" t="n"/>
      <c r="H3" s="4" t="n"/>
      <c r="I3" s="4" t="n"/>
      <c r="J3" s="4" t="n"/>
    </row>
    <row r="4">
      <c r="A4" s="4" t="n"/>
      <c r="B4" s="4" t="n"/>
      <c r="C4" s="4" t="n"/>
      <c r="D4" s="4" t="n"/>
      <c r="E4" s="4" t="n"/>
      <c r="F4" s="4" t="n"/>
      <c r="G4" s="4" t="n"/>
      <c r="H4" s="4" t="n"/>
      <c r="I4" s="4" t="n"/>
      <c r="J4" s="4" t="n"/>
    </row>
    <row r="5">
      <c r="A5" s="5" t="inlineStr">
        <is>
          <t>Panel ID</t>
        </is>
      </c>
      <c r="B5" s="5" t="inlineStr">
        <is>
          <t>Context proposition</t>
        </is>
      </c>
      <c r="C5" s="5" t="inlineStr">
        <is>
          <t>Historic-Christian source/example</t>
        </is>
      </c>
      <c r="D5" s="5" t="inlineStr">
        <is>
          <t>Historic source URL</t>
        </is>
      </c>
      <c r="E5" s="5" t="inlineStr">
        <is>
          <t>Latter-day Saint source/example</t>
        </is>
      </c>
      <c r="F5" s="5" t="inlineStr">
        <is>
          <t>Latter-day Saint URL</t>
        </is>
      </c>
      <c r="G5" s="5" t="inlineStr">
        <is>
          <t>Relationship to counted predicates</t>
        </is>
      </c>
      <c r="H5" s="5" t="inlineStr">
        <is>
          <t>Quantitative status</t>
        </is>
      </c>
      <c r="I5" s="5" t="inlineStr">
        <is>
          <t>Teaching use</t>
        </is>
      </c>
      <c r="J5" s="5" t="inlineStr">
        <is>
          <t>Caution</t>
        </is>
      </c>
      <c r="K5" s="5" t="inlineStr">
        <is>
          <t>Author decision</t>
        </is>
      </c>
      <c r="L5" s="5" t="inlineStr">
        <is>
          <t>Author initials</t>
        </is>
      </c>
      <c r="M5" s="5" t="inlineStr">
        <is>
          <t>Decision date</t>
        </is>
      </c>
      <c r="N5" s="5" t="inlineStr">
        <is>
          <t>Author revision / notes</t>
        </is>
      </c>
    </row>
    <row r="6">
      <c r="A6" s="4" t="inlineStr">
        <is>
          <t>GOD-01</t>
        </is>
      </c>
      <c r="B6" s="4" t="inlineStr">
        <is>
          <t>Father, Son, and Holy Spirit are explicitly named in Christian confession — in the Nicene Creed and in the Articles of Faith alike. Shared naming does not establish identical Trinity/Godhead ontology.</t>
        </is>
      </c>
      <c r="C6" s="4" t="inlineStr">
        <is>
          <t>Nicene-Constantinopolitan Creed / Westminster Shorter Catechism Q4–6</t>
        </is>
      </c>
      <c r="D6" s="4" t="inlineStr">
        <is>
          <t>https://www.vatican.va/content/catechism/en/part_one/section_one/chapter_three/article_2/the_credo.html</t>
        </is>
      </c>
      <c r="E6" s="4" t="inlineStr">
        <is>
          <t>Articles of Faith 1:1</t>
        </is>
      </c>
      <c r="F6" s="4" t="inlineStr">
        <is>
          <t>https://www.churchofjesuschrist.org/study/scriptures/pgp/a-of-f/1?lang=eng&amp;id=p1#p1</t>
        </is>
      </c>
      <c r="G6" s="4" t="inlineStr">
        <is>
          <t>Related to H04 Father, H05 Son, H34–H35 Spirit language</t>
        </is>
      </c>
      <c r="H6" s="4" t="inlineStr">
        <is>
          <t>NOT COUNTED</t>
        </is>
      </c>
      <c r="I6" s="4" t="inlineStr">
        <is>
          <t>Establish shared threefold God-language before discussing structural differences.</t>
        </is>
      </c>
      <c r="J6" s="4" t="inlineStr">
        <is>
          <t>Shared naming does not establish identical Trinity/Godhead ontology.</t>
        </is>
      </c>
      <c r="K6" s="8">
        <f>IF('Author Decision Queue'!$Z$16="RESOLVED",IF('Author Decision Queue'!$T$16="OPTION 1","APPROVE","REVISE"),IF('Author Decision Queue'!$Z$16="HOLD","HOLD","PENDING"))</f>
        <v/>
      </c>
      <c r="L6" s="8">
        <f>IF(K6="PENDING","",'Author Decision Queue'!$W$16)</f>
        <v/>
      </c>
      <c r="M6" s="14">
        <f>IF(K6="PENDING","",'Author Decision Queue'!$X$16)</f>
        <v/>
      </c>
      <c r="N6" s="8">
        <f>IF(K6="REVISE",'Author Decision Queue'!$U$16,'Author Decision Queue'!$V$16)</f>
        <v/>
      </c>
    </row>
    <row r="7">
      <c r="A7" s="4" t="inlineStr">
        <is>
          <t>GOD-02</t>
        </is>
      </c>
      <c r="B7" s="4" t="inlineStr">
        <is>
          <t>Historic conciliar and confessional Christianity commonly affirms one divine essence or nature shared by Father, Son, and Spirit. Do not reduce all Christian Trinitarian traditions to one philosophical theory.</t>
        </is>
      </c>
      <c r="C7" s="4" t="inlineStr">
        <is>
          <t>Nicene Creed; Augsburg Confession I; Westminster Shorter Catechism Q4–6</t>
        </is>
      </c>
      <c r="D7" s="4" t="inlineStr">
        <is>
          <t>https://bookofconcord.org/augsburg-confession/of-god/</t>
        </is>
      </c>
      <c r="E7" s="4" t="inlineStr">
        <is>
          <t>Gospel Topics: Godhead</t>
        </is>
      </c>
      <c r="F7" s="4" t="inlineStr">
        <is>
          <t>https://www.churchofjesuschrist.org/study/manual/gospel-topics/godhead?lang=eng</t>
        </is>
      </c>
      <c r="G7" s="4" t="inlineStr">
        <is>
          <t>H56 is the nearest counted delimiter and remains Q</t>
        </is>
      </c>
      <c r="H7" s="4" t="inlineStr">
        <is>
          <t>NOT COUNTED</t>
        </is>
      </c>
      <c r="I7" s="4" t="inlineStr">
        <is>
          <t>Explain why the dataset is not a complete Trinity census.</t>
        </is>
      </c>
      <c r="J7" s="4" t="inlineStr">
        <is>
          <t>Do not reduce all Christian Trinitarian traditions to one philosophical theory.</t>
        </is>
      </c>
      <c r="K7" s="8">
        <f>IF('Author Decision Queue'!$Z$17="RESOLVED",IF('Author Decision Queue'!$T$17="OPTION 1","APPROVE","REVISE"),IF('Author Decision Queue'!$Z$17="HOLD","HOLD","PENDING"))</f>
        <v/>
      </c>
      <c r="L7" s="8">
        <f>IF(K7="PENDING","",'Author Decision Queue'!$W$17)</f>
        <v/>
      </c>
      <c r="M7" s="14">
        <f>IF(K7="PENDING","",'Author Decision Queue'!$X$17)</f>
        <v/>
      </c>
      <c r="N7" s="8">
        <f>IF(K7="REVISE",'Author Decision Queue'!$U$17,'Author Decision Queue'!$V$17)</f>
        <v/>
      </c>
    </row>
    <row r="8">
      <c r="A8" s="4" t="inlineStr">
        <is>
          <t>GOD-03</t>
        </is>
      </c>
      <c r="B8" s="4" t="inlineStr">
        <is>
          <t>Restoration teaching distinguishes the Father, Son, and Holy Ghost personally and gives a distinctive embodied account of the Father and the Son. This panel is explanatory; it does not create a new A/Q/D row.</t>
        </is>
      </c>
      <c r="C8" s="4" t="inlineStr">
        <is>
          <t>Contextual contrast, not an inherited predicate row</t>
        </is>
      </c>
      <c r="D8" s="4" t="n"/>
      <c r="E8" s="4" t="inlineStr">
        <is>
          <t>D&amp;C 130:22; Gospel Topics: Godhead</t>
        </is>
      </c>
      <c r="F8" s="4" t="inlineStr">
        <is>
          <t>https://www.churchofjesuschrist.org/study/scriptures/dc-testament/dc/130?lang=eng&amp;id=p22#p22</t>
        </is>
      </c>
      <c r="G8" s="4" t="inlineStr">
        <is>
          <t>Related to H41–H43, H56, A01–A03</t>
        </is>
      </c>
      <c r="H8" s="4" t="inlineStr">
        <is>
          <t>NOT COUNTED</t>
        </is>
      </c>
      <c r="I8" s="4" t="inlineStr">
        <is>
          <t>Connect Godhead structure to embodiment and unity without denominator drift.</t>
        </is>
      </c>
      <c r="J8" s="4" t="inlineStr">
        <is>
          <t>This panel is explanatory; it does not create a new A/Q/D row.</t>
        </is>
      </c>
      <c r="K8" s="8">
        <f>IF('Author Decision Queue'!$Z$18="RESOLVED",IF('Author Decision Queue'!$T$18="OPTION 1","APPROVE","REVISE"),IF('Author Decision Queue'!$Z$18="HOLD","HOLD","PENDING"))</f>
        <v/>
      </c>
      <c r="L8" s="8">
        <f>IF(K8="PENDING","",'Author Decision Queue'!$W$18)</f>
        <v/>
      </c>
      <c r="M8" s="14">
        <f>IF(K8="PENDING","",'Author Decision Queue'!$X$18)</f>
        <v/>
      </c>
      <c r="N8" s="8">
        <f>IF(K8="REVISE",'Author Decision Queue'!$U$18,'Author Decision Queue'!$V$18)</f>
        <v/>
      </c>
    </row>
    <row r="9">
      <c r="A9" s="4" t="inlineStr">
        <is>
          <t>GOD-04</t>
        </is>
      </c>
      <c r="B9" s="4" t="inlineStr">
        <is>
          <t>Unity and distinction are shared concerns even where the metaphysical account differs. The exact meaning of divine unity must be stated tradition by tradition.</t>
        </is>
      </c>
      <c r="C9" s="4" t="inlineStr">
        <is>
          <t>Historic Trinity language guards both distinction and unity.</t>
        </is>
      </c>
      <c r="D9" s="4" t="inlineStr">
        <is>
          <t>https://www.oca.org/orthodoxy/the-orthodox-faith/doctrine-scripture/the-holy-trinity/one-god-one-divine-nature-and-being</t>
        </is>
      </c>
      <c r="E9" s="4" t="inlineStr">
        <is>
          <t>Gospel Topics: Godhead</t>
        </is>
      </c>
      <c r="F9" s="4" t="inlineStr">
        <is>
          <t>https://www.churchofjesuschrist.org/study/manual/gospel-topics/godhead?lang=eng</t>
        </is>
      </c>
      <c r="G9" s="4" t="inlineStr">
        <is>
          <t>H56 Neither confounding nor dividing = Q</t>
        </is>
      </c>
      <c r="H9" s="4" t="inlineStr">
        <is>
          <t>NOT COUNTED</t>
        </is>
      </c>
      <c r="I9" s="4" t="inlineStr">
        <is>
          <t>Teach 'unity of faith' without pretending doctrinal conformity.</t>
        </is>
      </c>
      <c r="J9" s="4" t="inlineStr">
        <is>
          <t>The exact meaning of divine unity must be stated tradition by tradition.</t>
        </is>
      </c>
      <c r="K9" s="8">
        <f>IF('Author Decision Queue'!$Z$19="RESOLVED",IF('Author Decision Queue'!$T$19="OPTION 1","APPROVE","REVISE"),IF('Author Decision Queue'!$Z$19="HOLD","HOLD","PENDING"))</f>
        <v/>
      </c>
      <c r="L9" s="8">
        <f>IF(K9="PENDING","",'Author Decision Queue'!$W$19)</f>
        <v/>
      </c>
      <c r="M9" s="14">
        <f>IF(K9="PENDING","",'Author Decision Queue'!$X$19)</f>
        <v/>
      </c>
      <c r="N9" s="8">
        <f>IF(K9="REVISE",'Author Decision Queue'!$U$19,'Author Decision Queue'!$V$19)</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ColWidth="12.63" defaultRowHeight="15" customHeight="1"/>
  <cols>
    <col width="24" customWidth="1" style="29" min="1" max="1"/>
    <col width="30" customWidth="1" style="29" min="2" max="2"/>
    <col width="60" customWidth="1" style="29" min="3" max="3"/>
    <col width="10" customWidth="1" style="29" min="4" max="4"/>
    <col width="54" customWidth="1" style="29" min="5" max="5"/>
    <col width="64" customWidth="1" style="29" min="6" max="6"/>
    <col width="52" customWidth="1" style="29" min="7" max="7"/>
    <col width="58" customWidth="1" style="29" min="8" max="8"/>
    <col width="62" customWidth="1" style="29" min="9" max="9"/>
    <col width="18" customWidth="1" style="29" min="10" max="10"/>
    <col width="56" customWidth="1" style="29" min="11" max="11"/>
    <col width="8.630000000000001" customWidth="1" style="29" min="12" max="26"/>
  </cols>
  <sheetData>
    <row r="1">
      <c r="A1" s="10" t="inlineStr">
        <is>
          <t>Current Institutional Source Recovery — Baptist and Mennonite branches</t>
        </is>
      </c>
      <c r="B1" s="10" t="n"/>
      <c r="C1" s="10" t="n"/>
      <c r="D1" s="10" t="n"/>
      <c r="E1" s="10" t="n"/>
      <c r="F1" s="10" t="n"/>
      <c r="G1" s="10" t="n"/>
      <c r="H1" s="10" t="n"/>
      <c r="I1" s="10" t="n"/>
      <c r="J1" s="10" t="n"/>
      <c r="K1" s="10" t="n"/>
    </row>
    <row r="2">
      <c r="A2" s="4" t="inlineStr">
        <is>
          <t>These rows are intentionally separate from Session 8/9 rematerialization. The earlier project controls classified the Second London Baptist Confession and Dordrecht Mennonite Confession as historical witnesses rather than current institutional standards. Current branch cells therefore use the ratified present source anchors: Baptist Faith &amp; Message 2000 for SBC scope and the 1995 Mennonite Confession for adopting Mennonite bodies.</t>
        </is>
      </c>
      <c r="B2" s="4" t="n"/>
      <c r="C2" s="4" t="n"/>
      <c r="D2" s="4" t="n"/>
      <c r="E2" s="4" t="n"/>
      <c r="F2" s="4" t="n"/>
      <c r="G2" s="4" t="n"/>
      <c r="H2" s="4" t="n"/>
      <c r="I2" s="4" t="n"/>
      <c r="J2" s="4" t="n"/>
      <c r="K2" s="4" t="n"/>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5" t="inlineStr">
        <is>
          <t>Branch teaching label</t>
        </is>
      </c>
      <c r="B5" s="5" t="inlineStr">
        <is>
          <t>Current institution</t>
        </is>
      </c>
      <c r="C5" s="5" t="inlineStr">
        <is>
          <t>Current authoritative source</t>
        </is>
      </c>
      <c r="D5" s="5" t="inlineStr">
        <is>
          <t>Project role</t>
        </is>
      </c>
      <c r="E5" s="5" t="inlineStr">
        <is>
          <t>Permitted scope</t>
        </is>
      </c>
      <c r="F5" s="5" t="inlineStr">
        <is>
          <t>Official URL</t>
        </is>
      </c>
      <c r="G5" s="5" t="inlineStr">
        <is>
          <t>Predicates recovered</t>
        </is>
      </c>
      <c r="H5" s="5" t="inlineStr">
        <is>
          <t>Vector / caution</t>
        </is>
      </c>
      <c r="I5" s="5" t="inlineStr">
        <is>
          <t>Historical source retired</t>
        </is>
      </c>
      <c r="J5" s="5" t="inlineStr">
        <is>
          <t>Recovery status</t>
        </is>
      </c>
      <c r="K5" s="5" t="inlineStr">
        <is>
          <t>Notes</t>
        </is>
      </c>
    </row>
    <row r="6">
      <c r="A6" s="4" t="inlineStr">
        <is>
          <t>Baptist</t>
        </is>
      </c>
      <c r="B6" s="4" t="inlineStr">
        <is>
          <t>Southern Baptist Convention</t>
        </is>
      </c>
      <c r="C6" s="4" t="inlineStr">
        <is>
          <t>Baptist Faith and Message 2000</t>
        </is>
      </c>
      <c r="D6" s="4" t="inlineStr">
        <is>
          <t>N2</t>
        </is>
      </c>
      <c r="E6" s="4" t="inlineStr">
        <is>
          <t>SBC cooperative identity; autonomous congregations; not all Baptists</t>
        </is>
      </c>
      <c r="F6" s="4" t="inlineStr">
        <is>
          <t>https://bfm.sbc.net/bfm2000/</t>
        </is>
      </c>
      <c r="G6" s="4" t="inlineStr">
        <is>
          <t>H01,H02,H04,H05,H06,H07a,H08,H12,H14,H22,H23,H24,H26,H27,H28,H39,H46,H56a,H56b</t>
        </is>
      </c>
      <c r="H6" s="4" t="inlineStr">
        <is>
          <t>H07 remains incomplete vector; H56 is complete vector; H39 uses current Q semantic floor.</t>
        </is>
      </c>
      <c r="I6" s="4" t="inlineStr">
        <is>
          <t>Second London Baptist Confession may remain historical corpus evidence but not a current SBC branch witness.</t>
        </is>
      </c>
      <c r="J6" s="4" t="inlineStr">
        <is>
          <t>WEB VERIFIED</t>
        </is>
      </c>
      <c r="K6" s="4" t="inlineStr">
        <is>
          <t>Current-source cells must display institution/scope on click.</t>
        </is>
      </c>
    </row>
    <row r="7">
      <c r="A7" s="4" t="inlineStr">
        <is>
          <t>Mennonite / Anabaptist</t>
        </is>
      </c>
      <c r="B7" s="4" t="inlineStr">
        <is>
          <t>Mennonite Church USA</t>
        </is>
      </c>
      <c r="C7" s="4" t="inlineStr">
        <is>
          <t>Confession of Faith in a Mennonite Perspective (1995), Articles 1 &amp; 5</t>
        </is>
      </c>
      <c r="D7" s="4" t="inlineStr">
        <is>
          <t>N2</t>
        </is>
      </c>
      <c r="E7" s="4" t="inlineStr">
        <is>
          <t>MC USA / adopting-body scope; not all Mennonite or Anabaptist bodies</t>
        </is>
      </c>
      <c r="F7" s="4" t="inlineStr">
        <is>
          <t>https://www.mennoniteusa.org/who-are-mennonites/what-we-believe/confession-of-faith/god/ ; https://www.mennoniteusa.org/who-are-mennonites/what-we-believe/confession-of-faith/creation-and-divine-providence/</t>
        </is>
      </c>
      <c r="G7" s="4" t="inlineStr">
        <is>
          <t>H04,H05,H06,H09,H12,H14,H22,H23,H27,H28,H30,H47</t>
        </is>
      </c>
      <c r="H7" s="4" t="inlineStr">
        <is>
          <t>No H07 or H43 current cell certified in this pass.</t>
        </is>
      </c>
      <c r="I7" s="4" t="inlineStr">
        <is>
          <t>Dordrecht 1632 remains historical antecedent only and is not a current institutional witness.</t>
        </is>
      </c>
      <c r="J7" s="4" t="inlineStr">
        <is>
          <t>WEB VERIFIED</t>
        </is>
      </c>
      <c r="K7" s="4" t="inlineStr">
        <is>
          <t>Article text, not commentary, carries the primary recovered predicates unless otherwise stated.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ColWidth="12.63" defaultRowHeight="15" customHeight="1"/>
  <cols>
    <col width="24" customWidth="1" style="29" min="1" max="1"/>
    <col width="35" customWidth="1" style="29" min="2" max="2"/>
    <col width="60" customWidth="1" style="29" min="3" max="3"/>
    <col width="40" customWidth="1" style="29" min="4" max="4"/>
    <col width="58" customWidth="1" style="29" min="5" max="5"/>
    <col width="64" customWidth="1" style="29" min="6" max="6"/>
    <col width="12" customWidth="1" style="29" min="7" max="7"/>
    <col width="8.630000000000001" customWidth="1" style="29" min="8" max="26"/>
  </cols>
  <sheetData>
    <row r="1">
      <c r="A1" s="5" t="inlineStr">
        <is>
          <t>Tradition family</t>
        </is>
      </c>
      <c r="B1" s="5" t="inlineStr">
        <is>
          <t>Institution / scope anchor</t>
        </is>
      </c>
      <c r="C1" s="5" t="inlineStr">
        <is>
          <t>Admitted source basis</t>
        </is>
      </c>
      <c r="D1" s="5" t="inlineStr">
        <is>
          <t>Source role</t>
        </is>
      </c>
      <c r="E1" s="5" t="inlineStr">
        <is>
          <t>Permitted scope / attribution control</t>
        </is>
      </c>
      <c r="F1" s="5" t="inlineStr">
        <is>
          <t>Reconstruction caution</t>
        </is>
      </c>
      <c r="G1" s="5" t="inlineStr">
        <is>
          <t>Evidence grade</t>
        </is>
      </c>
    </row>
    <row r="2">
      <c r="A2" s="4" t="inlineStr">
        <is>
          <t>Roman Catholic</t>
        </is>
      </c>
      <c r="B2" s="4" t="inlineStr">
        <is>
          <t>Roman Catholic Church</t>
        </is>
      </c>
      <c r="C2" s="4" t="inlineStr">
        <is>
          <t>Apostles' &amp; Nicene Creeds; Lateran IV; Vatican I (Dei Filius); CCC where admitted</t>
        </is>
      </c>
      <c r="D2" s="4" t="inlineStr">
        <is>
          <t>Ecumenical creed / conciliar definition / magisterial exposition</t>
        </is>
      </c>
      <c r="E2" s="4" t="inlineStr">
        <is>
          <t>Universal Catholic Church within document-level authority; distinguish magisterial levels</t>
        </is>
      </c>
      <c r="F2" s="4" t="inlineStr">
        <is>
          <t>Source-report reconstruction; some Session 19B locators used official Latin or CCC restatements.</t>
        </is>
      </c>
      <c r="G2" s="4" t="inlineStr">
        <is>
          <t>SR-R</t>
        </is>
      </c>
    </row>
    <row r="3">
      <c r="A3" s="4" t="inlineStr">
        <is>
          <t>Eastern Orthodox</t>
        </is>
      </c>
      <c r="B3" s="4" t="inlineStr">
        <is>
          <t>Eastern Orthodox reception layer / OCA witness</t>
        </is>
      </c>
      <c r="C3" s="4" t="inlineStr">
        <is>
          <t>Nicene-Constantinopolitan Creed; Chalcedon; Constantinople III; admitted Orthodox witnesses</t>
        </is>
      </c>
      <c r="D3" s="4" t="inlineStr">
        <is>
          <t>Received ecumenical creed/council; OCA official catechetical witness where used</t>
        </is>
      </c>
      <c r="E3" s="4" t="inlineStr">
        <is>
          <t>Pan-Orthodox only where reception is established; OCA cannot stand for every autocephalous church</t>
        </is>
      </c>
      <c r="F3" s="4" t="inlineStr">
        <is>
          <t>Source-report reconstruction; avoid inflating local/historical Orthodox confessions to communion-wide dogma.</t>
        </is>
      </c>
      <c r="G3" s="4" t="inlineStr">
        <is>
          <t>SR-R</t>
        </is>
      </c>
    </row>
    <row r="4">
      <c r="A4" s="4" t="inlineStr">
        <is>
          <t>Lutheran</t>
        </is>
      </c>
      <c r="B4" s="4" t="inlineStr">
        <is>
          <t>Lutheran (LCMS scope for institutional controls)</t>
        </is>
      </c>
      <c r="C4" s="4" t="inlineStr">
        <is>
          <t>Book of Concord; especially Augsburg Confession and received ecumenical creeds</t>
        </is>
      </c>
      <c r="D4" s="4" t="inlineStr">
        <is>
          <t>Denomination/church confession</t>
        </is>
      </c>
      <c r="E4" s="4" t="inlineStr">
        <is>
          <t>LCMS confessional subscription; not all Lutherans</t>
        </is>
      </c>
      <c r="F4" s="4" t="inlineStr">
        <is>
          <t>Source-report reconstruction; Augsburg Article I is a major admitted source.</t>
        </is>
      </c>
      <c r="G4" s="4" t="inlineStr">
        <is>
          <t>SR-R</t>
        </is>
      </c>
    </row>
    <row r="5">
      <c r="A5" s="4" t="inlineStr">
        <is>
          <t>Reformed / Presbyterian</t>
        </is>
      </c>
      <c r="B5" s="4" t="inlineStr">
        <is>
          <t>Reformed / Presbyterian family</t>
        </is>
      </c>
      <c r="C5" s="4" t="inlineStr">
        <is>
          <t>French/Gallican; Scots; Belgic; Heidelberg; Second Helvetic; Westminster/WSC; admitted Reformed sources</t>
        </is>
      </c>
      <c r="D5" s="4" t="inlineStr">
        <is>
          <t>Historical and institutionally adopted confessions/catechisms</t>
        </is>
      </c>
      <c r="E5" s="4" t="inlineStr">
        <is>
          <t>Mixed historical-family and current institutional scopes; genealogical dependence must remain visible</t>
        </is>
      </c>
      <c r="F5" s="4" t="inlineStr">
        <is>
          <t>Source-report reconstruction aggregates multiple Reformed/Presbyterian witnesses; not one communion.</t>
        </is>
      </c>
      <c r="G5" s="4" t="inlineStr">
        <is>
          <t>SR-R</t>
        </is>
      </c>
    </row>
    <row r="6">
      <c r="A6" s="4" t="inlineStr">
        <is>
          <t>Anglican</t>
        </is>
      </c>
      <c r="B6" s="4" t="inlineStr">
        <is>
          <t>Church of England</t>
        </is>
      </c>
      <c r="C6" s="4" t="inlineStr">
        <is>
          <t>Thirty-Nine Articles; Book of Common Prayer tradition</t>
        </is>
      </c>
      <c r="D6" s="4" t="inlineStr">
        <is>
          <t>Church confession / liturgical-doctrinal standard</t>
        </is>
      </c>
      <c r="E6" s="4" t="inlineStr">
        <is>
          <t>Church of England scope; not automatically Anglican Communion-wide</t>
        </is>
      </c>
      <c r="F6" s="4" t="inlineStr">
        <is>
          <t>Source-report reconstruction; Article I is the principal admitted God-language source.</t>
        </is>
      </c>
      <c r="G6" s="4" t="inlineStr">
        <is>
          <t>SR-R</t>
        </is>
      </c>
    </row>
    <row r="7">
      <c r="A7" s="4" t="inlineStr">
        <is>
          <t>Baptist</t>
        </is>
      </c>
      <c r="B7" s="4" t="inlineStr">
        <is>
          <t>Historical Particular Baptist witness</t>
        </is>
      </c>
      <c r="C7" s="4" t="inlineStr">
        <is>
          <t>Second London Baptist Confession (1677/1689)</t>
        </is>
      </c>
      <c r="D7" s="4" t="inlineStr">
        <is>
          <t>Historical denomination/church confession</t>
        </is>
      </c>
      <c r="E7" s="4" t="inlineStr">
        <is>
          <t>Historical Particular Baptist scope; not Southern Baptist Convention or all Baptists</t>
        </is>
      </c>
      <c r="F7" s="4" t="inlineStr">
        <is>
          <t>Source-report reconstruction; current SBC BF&amp;M is a different document and authority context.</t>
        </is>
      </c>
      <c r="G7" s="4" t="inlineStr">
        <is>
          <t>SR-R</t>
        </is>
      </c>
    </row>
    <row r="8">
      <c r="A8" s="4" t="inlineStr">
        <is>
          <t>Methodist / Wesleyan</t>
        </is>
      </c>
      <c r="B8" s="4" t="inlineStr">
        <is>
          <t>The United Methodist Church</t>
        </is>
      </c>
      <c r="C8" s="4" t="inlineStr">
        <is>
          <t>Articles of Religion; EUB Confession of Faith; admitted Methodist standards</t>
        </is>
      </c>
      <c r="D8" s="4" t="inlineStr">
        <is>
          <t>Denominational doctrinal standards</t>
        </is>
      </c>
      <c r="E8" s="4" t="inlineStr">
        <is>
          <t>UMC scope for current institutional sources</t>
        </is>
      </c>
      <c r="F8" s="4" t="inlineStr">
        <is>
          <t>Source-report reconstruction; multiple UMC doctrinal standards contribute.</t>
        </is>
      </c>
      <c r="G8" s="4" t="inlineStr">
        <is>
          <t>SR-R</t>
        </is>
      </c>
    </row>
    <row r="9">
      <c r="A9" s="4" t="inlineStr">
        <is>
          <t>Mennonite / Anabaptist</t>
        </is>
      </c>
      <c r="B9" s="4" t="inlineStr">
        <is>
          <t>Historical Mennonite/Anabaptist witness</t>
        </is>
      </c>
      <c r="C9" s="4" t="inlineStr">
        <is>
          <t>Dordrecht Confession and admitted Anabaptist/Mennonite witness</t>
        </is>
      </c>
      <c r="D9" s="4" t="inlineStr">
        <is>
          <t>Historical confession</t>
        </is>
      </c>
      <c r="E9" s="4" t="inlineStr">
        <is>
          <t>Historical family witness; not automatically current Mennonite Church USA/Canada doctrine</t>
        </is>
      </c>
      <c r="F9" s="4" t="inlineStr">
        <is>
          <t>Source-report reconstruction; adoption chains must be preserved for current-institution claims.</t>
        </is>
      </c>
      <c r="G9" s="4" t="inlineStr">
        <is>
          <t>SR-R</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T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style="29" min="1" max="1"/>
    <col width="22" customWidth="1" style="29" min="2" max="2"/>
    <col width="52" customWidth="1" style="29" min="3" max="3"/>
    <col width="24" customWidth="1" style="29" min="4" max="4"/>
    <col width="40" customWidth="1" style="29" min="5" max="5"/>
    <col width="24" customWidth="1" style="29" min="6" max="6"/>
    <col width="70" customWidth="1" style="29" min="7" max="7"/>
    <col width="62" customWidth="1" style="29" min="8" max="8"/>
    <col width="24" customWidth="1" style="29" min="9" max="9"/>
    <col width="62" customWidth="1" style="29" min="10" max="10"/>
    <col width="22" customWidth="1" style="29" min="11" max="11"/>
    <col width="18" customWidth="1" style="29" min="12" max="12"/>
    <col width="20" customWidth="1" style="29" min="13" max="13"/>
    <col width="20" customWidth="1" style="29" min="14" max="14"/>
    <col width="18" customWidth="1" style="29" min="15" max="15"/>
    <col width="44" customWidth="1" style="29" min="16" max="16"/>
    <col width="14" customWidth="1" style="29" min="17" max="17"/>
    <col width="40" customWidth="1" style="29" min="18" max="18"/>
    <col width="10" customWidth="1" style="29" min="19" max="19"/>
    <col width="14" customWidth="1" style="29" min="20" max="20"/>
  </cols>
  <sheetData>
    <row r="1">
      <c r="A1" s="43" t="inlineStr">
        <is>
          <t>Branch Source Registry — author-ratified standards each branch may be cited from (Gate 5, v2.25r4 GATE6 SCOPE RATIFIED)</t>
        </is>
      </c>
    </row>
    <row r="2">
      <c r="A2" s="44" t="inlineStr">
        <is>
          <t>Registry-only enforcement: a cell may cite a source only if its publisher_domain appears in this sheet for that branch with status AUTHOR_RATIFIED. Rows with status RETIRED or DRAFT are not citable. LINEAGE rows are third-party hosts already cited by released cells and are marked in draft_recommendation. text_hash is set by the corpus builder at first fetch; drift halts the run.</t>
        </is>
      </c>
    </row>
    <row r="4">
      <c r="A4" s="45" t="inlineStr">
        <is>
          <t>registry_id</t>
        </is>
      </c>
      <c r="B4" s="45" t="inlineStr">
        <is>
          <t>branch</t>
        </is>
      </c>
      <c r="C4" s="45" t="inlineStr">
        <is>
          <t>standard_title</t>
        </is>
      </c>
      <c r="D4" s="45" t="inlineStr">
        <is>
          <t>authority_tier</t>
        </is>
      </c>
      <c r="E4" s="45" t="inlineStr">
        <is>
          <t>speaks_for</t>
        </is>
      </c>
      <c r="F4" s="45" t="inlineStr">
        <is>
          <t>reception_scope</t>
        </is>
      </c>
      <c r="G4" s="45" t="inlineStr">
        <is>
          <t>reception_note</t>
        </is>
      </c>
      <c r="H4" s="45" t="inlineStr">
        <is>
          <t>scope_caveat</t>
        </is>
      </c>
      <c r="I4" s="45" t="inlineStr">
        <is>
          <t>publisher_domain</t>
        </is>
      </c>
      <c r="J4" s="45" t="inlineStr">
        <is>
          <t>canonical_url</t>
        </is>
      </c>
      <c r="K4" s="45" t="inlineStr">
        <is>
          <t>fetch_mode</t>
        </is>
      </c>
      <c r="L4" s="45" t="inlineStr">
        <is>
          <t>text_hash</t>
        </is>
      </c>
      <c r="M4" s="45" t="inlineStr">
        <is>
          <t>status</t>
        </is>
      </c>
      <c r="N4" s="45" t="inlineStr">
        <is>
          <t>author_decision</t>
        </is>
      </c>
      <c r="O4" s="45" t="inlineStr">
        <is>
          <t>reason_code</t>
        </is>
      </c>
      <c r="P4" s="45" t="inlineStr">
        <is>
          <t>author_note</t>
        </is>
      </c>
      <c r="Q4" s="45" t="inlineStr">
        <is>
          <t>released_cells</t>
        </is>
      </c>
      <c r="R4" s="45" t="inlineStr">
        <is>
          <t>draft_recommendation</t>
        </is>
      </c>
      <c r="S4" s="45" t="inlineStr">
        <is>
          <t>initials</t>
        </is>
      </c>
      <c r="T4" s="45" t="inlineStr">
        <is>
          <t>decision_date</t>
        </is>
      </c>
    </row>
    <row r="5">
      <c r="A5" s="41" t="inlineStr">
        <is>
          <t>BSR-RC-01</t>
        </is>
      </c>
      <c r="B5" s="41" t="inlineStr">
        <is>
          <t>Roman Catholic</t>
        </is>
      </c>
      <c r="C5" s="41" t="inlineStr">
        <is>
          <t>Catechism of the Catholic Church (English), Part One §2</t>
        </is>
      </c>
      <c r="D5" s="41" t="inlineStr">
        <is>
          <t>CATECHETICAL</t>
        </is>
      </c>
      <c r="E5" s="41" t="inlineStr">
        <is>
          <t>Universal Church</t>
        </is>
      </c>
      <c r="F5" s="41" t="inlineStr">
        <is>
          <t>UNIVERSAL</t>
        </is>
      </c>
      <c r="G5" s="41" t="inlineStr"/>
      <c r="H5" s="41" t="inlineStr">
        <is>
          <t>These standards bind the whole Catholic Church; the Catechism is a synthesis of conciliar and magisterial teaching, not itself a council.</t>
        </is>
      </c>
      <c r="I5" s="41" t="inlineStr">
        <is>
          <t>vatican.va</t>
        </is>
      </c>
      <c r="J5" s="41" t="inlineStr">
        <is>
          <t>https://www.vatican.va/content/catechism/en/part_one/section_two/chapter_one/article_1/paragraph_1_i_believe_in_god.html</t>
        </is>
      </c>
      <c r="K5" s="41" t="inlineStr">
        <is>
          <t>HTML</t>
        </is>
      </c>
      <c r="L5" s="41" t="inlineStr"/>
      <c r="M5" s="41" t="inlineStr">
        <is>
          <t>AUTHOR_RATIFIED</t>
        </is>
      </c>
      <c r="N5" s="41" t="inlineStr">
        <is>
          <t>APPROVE</t>
        </is>
      </c>
      <c r="O5" s="41" t="inlineStr"/>
      <c r="P5" s="41" t="inlineStr"/>
      <c r="Q5" s="41" t="inlineStr"/>
      <c r="R5" s="41" t="inlineStr">
        <is>
          <t>INCLUDE</t>
        </is>
      </c>
      <c r="S5" s="41" t="inlineStr">
        <is>
          <t>AJP</t>
        </is>
      </c>
      <c r="T5" s="41" t="inlineStr">
        <is>
          <t>2026-09-10</t>
        </is>
      </c>
    </row>
    <row r="6">
      <c r="A6" s="41" t="inlineStr">
        <is>
          <t>BSR-RC-02</t>
        </is>
      </c>
      <c r="B6" s="41" t="inlineStr">
        <is>
          <t>Roman Catholic</t>
        </is>
      </c>
      <c r="C6" s="41" t="inlineStr">
        <is>
          <t>Vatican I, *Dei Filius* (Latin, official)</t>
        </is>
      </c>
      <c r="D6" s="41" t="inlineStr">
        <is>
          <t>CONCILIAR</t>
        </is>
      </c>
      <c r="E6" s="41" t="inlineStr">
        <is>
          <t>Universal Church</t>
        </is>
      </c>
      <c r="F6" s="41" t="inlineStr">
        <is>
          <t>UNIVERSAL</t>
        </is>
      </c>
      <c r="G6" s="41" t="inlineStr"/>
      <c r="H6" s="41" t="inlineStr">
        <is>
          <t>These standards bind the whole Catholic Church; the Catechism is a synthesis of conciliar and magisterial teaching, not itself a council.</t>
        </is>
      </c>
      <c r="I6" s="41" t="inlineStr">
        <is>
          <t>vatican.va</t>
        </is>
      </c>
      <c r="J6" s="41" t="inlineStr">
        <is>
          <t>https://www.vatican.va/archive/hist_councils/i-vatican-council/documents/vat-i_const_18700424_dei-filius_la.html</t>
        </is>
      </c>
      <c r="K6" s="41" t="inlineStr">
        <is>
          <t>HTML</t>
        </is>
      </c>
      <c r="L6" s="41" t="inlineStr"/>
      <c r="M6" s="41" t="inlineStr">
        <is>
          <t>AUTHOR_RATIFIED</t>
        </is>
      </c>
      <c r="N6" s="41" t="inlineStr">
        <is>
          <t>APPROVE</t>
        </is>
      </c>
      <c r="O6" s="41" t="inlineStr"/>
      <c r="P6" s="41" t="inlineStr"/>
      <c r="Q6" s="41" t="inlineStr"/>
      <c r="R6" s="41" t="inlineStr">
        <is>
          <t>INCLUDE (Latin controls; English witness below)</t>
        </is>
      </c>
      <c r="S6" s="41" t="inlineStr">
        <is>
          <t>AJP</t>
        </is>
      </c>
      <c r="T6" s="41" t="inlineStr">
        <is>
          <t>2026-09-10</t>
        </is>
      </c>
    </row>
    <row r="7">
      <c r="A7" s="41" t="inlineStr">
        <is>
          <t>BSR-RC-03</t>
        </is>
      </c>
      <c r="B7" s="41" t="inlineStr">
        <is>
          <t>Roman Catholic</t>
        </is>
      </c>
      <c r="C7" s="41" t="inlineStr">
        <is>
          <t>*Dei Filius* English (EWTN)</t>
        </is>
      </c>
      <c r="D7" s="41" t="inlineStr">
        <is>
          <t>CONCILIAR (translation)</t>
        </is>
      </c>
      <c r="E7" s="41" t="inlineStr">
        <is>
          <t>—</t>
        </is>
      </c>
      <c r="F7" s="41" t="inlineStr">
        <is>
          <t>TRANSLATION_WITNESS</t>
        </is>
      </c>
      <c r="G7" s="41" t="inlineStr"/>
      <c r="H7" s="41" t="inlineStr">
        <is>
          <t>These standards bind the whole Catholic Church; the Catechism is a synthesis of conciliar and magisterial teaching, not itself a council.</t>
        </is>
      </c>
      <c r="I7" s="41" t="inlineStr">
        <is>
          <t>ewtn.com</t>
        </is>
      </c>
      <c r="J7" s="41" t="inlineStr">
        <is>
          <t>https://www.ewtn.com/catholicism/teachings/vatican-i-dogmatic-constitution-dei-filius-on-the-catholic-faith-241</t>
        </is>
      </c>
      <c r="K7" s="41" t="inlineStr">
        <is>
          <t>RENDERED (fetch returned ~200 words; likely paginated)</t>
        </is>
      </c>
      <c r="L7" s="41" t="inlineStr"/>
      <c r="M7" s="41" t="inlineStr">
        <is>
          <t>AUTHOR_RATIFIED</t>
        </is>
      </c>
      <c r="N7" s="41" t="inlineStr">
        <is>
          <t>APPROVE</t>
        </is>
      </c>
      <c r="O7" s="41" t="inlineStr"/>
      <c r="P7" s="41" t="inlineStr"/>
      <c r="Q7" s="41" t="n">
        <v>7</v>
      </c>
      <c r="R7" s="41" t="inlineStr">
        <is>
          <t>LINEAGE (7 released cells)</t>
        </is>
      </c>
      <c r="S7" s="41" t="inlineStr">
        <is>
          <t>AJP</t>
        </is>
      </c>
      <c r="T7" s="41" t="inlineStr">
        <is>
          <t>2026-09-10</t>
        </is>
      </c>
    </row>
    <row r="8">
      <c r="A8" s="41" t="inlineStr">
        <is>
          <t>BSR-RC-04</t>
        </is>
      </c>
      <c r="B8" s="41" t="inlineStr">
        <is>
          <t>Roman Catholic</t>
        </is>
      </c>
      <c r="C8" s="41" t="inlineStr">
        <is>
          <t>Fourth Lateran Council, canons 1-2 (Firmiter credimus; Damnamus ergo)</t>
        </is>
      </c>
      <c r="D8" s="41" t="inlineStr">
        <is>
          <t>CONCILIAR</t>
        </is>
      </c>
      <c r="E8" s="41" t="inlineStr">
        <is>
          <t>Universal Church</t>
        </is>
      </c>
      <c r="F8" s="41" t="inlineStr">
        <is>
          <t>UNIVERSAL</t>
        </is>
      </c>
      <c r="G8" s="41" t="inlineStr"/>
      <c r="H8" s="41" t="inlineStr">
        <is>
          <t>These standards bind the whole Catholic Church; the Catechism is a synthesis of conciliar and magisterial teaching, not itself a council.</t>
        </is>
      </c>
      <c r="I8" s="41" t="inlineStr">
        <is>
          <t>papalencyclicals.net</t>
        </is>
      </c>
      <c r="J8" s="41" t="inlineStr">
        <is>
          <t>https://www.papalencyclicals.net/councils/ecum12-2.htm</t>
        </is>
      </c>
      <c r="K8" s="41" t="inlineStr">
        <is>
          <t>HTML</t>
        </is>
      </c>
      <c r="L8" s="41" t="inlineStr"/>
      <c r="M8" s="41" t="inlineStr">
        <is>
          <t>AUTHOR_RATIFIED</t>
        </is>
      </c>
      <c r="N8" s="41" t="inlineStr">
        <is>
          <t>APPROVE</t>
        </is>
      </c>
      <c r="O8" s="41" t="inlineStr"/>
      <c r="P8" s="41" t="inlineStr"/>
      <c r="Q8" s="41" t="inlineStr"/>
      <c r="R8" s="41" t="inlineStr">
        <is>
          <t>INCLUDE WITH CAVEAT (third-party host; Tanner translation unattributed on page)</t>
        </is>
      </c>
      <c r="S8" s="41" t="inlineStr">
        <is>
          <t>AJP</t>
        </is>
      </c>
      <c r="T8" s="41" t="inlineStr">
        <is>
          <t>2026-09-10</t>
        </is>
      </c>
    </row>
    <row r="9">
      <c r="A9" s="41" t="inlineStr">
        <is>
          <t>BSR-RC-05</t>
        </is>
      </c>
      <c r="B9" s="41" t="inlineStr">
        <is>
          <t>Roman Catholic</t>
        </is>
      </c>
      <c r="C9" s="41" t="inlineStr">
        <is>
          <t>Fourth Lateran (Fordham sourcebook)</t>
        </is>
      </c>
      <c r="D9" s="41" t="inlineStr">
        <is>
          <t>CONCILIAR (translation)</t>
        </is>
      </c>
      <c r="E9" s="41" t="inlineStr">
        <is>
          <t>—</t>
        </is>
      </c>
      <c r="F9" s="41" t="inlineStr">
        <is>
          <t>TRANSLATION_WITNESS</t>
        </is>
      </c>
      <c r="G9" s="41" t="inlineStr"/>
      <c r="H9" s="41" t="inlineStr">
        <is>
          <t>These standards bind the whole Catholic Church; the Catechism is a synthesis of conciliar and magisterial teaching, not itself a council.</t>
        </is>
      </c>
      <c r="I9" s="41" t="inlineStr">
        <is>
          <t>sourcebooks.web.fordham.edu</t>
        </is>
      </c>
      <c r="J9" s="41" t="inlineStr">
        <is>
          <t>sourcebooks.web.fordham.edu (as cited in 4 released cells)</t>
        </is>
      </c>
      <c r="K9" s="41" t="inlineStr">
        <is>
          <t>HTML</t>
        </is>
      </c>
      <c r="L9" s="41" t="inlineStr"/>
      <c r="M9" s="41" t="inlineStr">
        <is>
          <t>AUTHOR_RATIFIED</t>
        </is>
      </c>
      <c r="N9" s="41" t="inlineStr">
        <is>
          <t>APPROVE</t>
        </is>
      </c>
      <c r="O9" s="41" t="inlineStr"/>
      <c r="P9" s="41" t="inlineStr"/>
      <c r="Q9" s="41" t="n">
        <v>4</v>
      </c>
      <c r="R9" s="41" t="inlineStr">
        <is>
          <t>LINEAGE</t>
        </is>
      </c>
      <c r="S9" s="41" t="inlineStr">
        <is>
          <t>AJP</t>
        </is>
      </c>
      <c r="T9" s="41" t="inlineStr">
        <is>
          <t>2026-09-10</t>
        </is>
      </c>
    </row>
    <row r="10">
      <c r="A10" s="41" t="inlineStr">
        <is>
          <t>BSR-RC-06</t>
        </is>
      </c>
      <c r="B10" s="41" t="inlineStr">
        <is>
          <t>Roman Catholic</t>
        </is>
      </c>
      <c r="C10" s="41" t="inlineStr">
        <is>
          <t>Creeds as received (Apostles', Nicene, Athanasian), Vatican-hosted</t>
        </is>
      </c>
      <c r="D10" s="41" t="inlineStr">
        <is>
          <t>CONFESSIONAL (row floor; Nicene and Athanasian resolve CONCILIAR)</t>
        </is>
      </c>
      <c r="E10" s="41" t="inlineStr">
        <is>
          <t>Universal Church</t>
        </is>
      </c>
      <c r="F10" s="41" t="inlineStr">
        <is>
          <t>UNIVERSAL</t>
        </is>
      </c>
      <c r="G10" s="41" t="inlineStr">
        <is>
          <t>Title de-domained 2026-09-12: the phrase "on vatican.va / vaticannews.va" was leaking a domain into the R001 allowlist through standard_title. The vaticannews.va outlet is now BSR-RC-08.</t>
        </is>
      </c>
      <c r="H10" s="41" t="inlineStr">
        <is>
          <t>These standards bind the whole Catholic Church; the Catechism is a synthesis of conciliar and magisterial teaching, not itself a council.</t>
        </is>
      </c>
      <c r="I10" s="41" t="inlineStr">
        <is>
          <t>vatican.va</t>
        </is>
      </c>
      <c r="J10" s="41" t="inlineStr">
        <is>
          <t>https://www.vatican.va/archive/ENG0015/__P13.HTM</t>
        </is>
      </c>
      <c r="K10" s="41" t="inlineStr">
        <is>
          <t>HTML</t>
        </is>
      </c>
      <c r="L10" s="41" t="inlineStr"/>
      <c r="M10" s="41" t="inlineStr">
        <is>
          <t>AUTHOR_RATIFIED</t>
        </is>
      </c>
      <c r="N10" s="41" t="inlineStr">
        <is>
          <t>APPROVE</t>
        </is>
      </c>
      <c r="O10" s="41" t="inlineStr"/>
      <c r="P10" s="41" t="inlineStr">
        <is>
          <t>Title de-domained 2026-09-12: "on vatican.va / vaticannews.va" was leaking a domain into the R001 allowlist through standard_title. The vaticannews.va outlet is now its own row, BSR-RC-08.</t>
        </is>
      </c>
      <c r="Q10" s="41" t="inlineStr"/>
      <c r="R10" s="41" t="inlineStr">
        <is>
          <t>INCLUDE</t>
        </is>
      </c>
      <c r="S10" s="41" t="inlineStr">
        <is>
          <t>AJP</t>
        </is>
      </c>
      <c r="T10" s="41" t="inlineStr">
        <is>
          <t>2026-09-11</t>
        </is>
      </c>
    </row>
    <row r="11">
      <c r="A11" s="41" t="inlineStr">
        <is>
          <t>BSR-RC-07</t>
        </is>
      </c>
      <c r="B11" s="41" t="inlineStr">
        <is>
          <t>Roman Catholic</t>
        </is>
      </c>
      <c r="C11" s="41" t="inlineStr">
        <is>
          <t>Compendium of the CCC</t>
        </is>
      </c>
      <c r="D11" s="41" t="inlineStr">
        <is>
          <t>CATECHETICAL</t>
        </is>
      </c>
      <c r="E11" s="41" t="inlineStr">
        <is>
          <t>Universal Church</t>
        </is>
      </c>
      <c r="F11" s="41" t="inlineStr">
        <is>
          <t>UNIVERSAL</t>
        </is>
      </c>
      <c r="G11" s="41" t="inlineStr"/>
      <c r="H11" s="41" t="inlineStr">
        <is>
          <t>These standards bind the whole Catholic Church; the Catechism is a synthesis of conciliar and magisterial teaching, not itself a council.</t>
        </is>
      </c>
      <c r="I11" s="41" t="inlineStr">
        <is>
          <t>vatican.va</t>
        </is>
      </c>
      <c r="J11" s="41" t="inlineStr">
        <is>
          <t>vatican.va (as cited, 1 released cell)</t>
        </is>
      </c>
      <c r="K11" s="41" t="inlineStr">
        <is>
          <t>HTML</t>
        </is>
      </c>
      <c r="L11" s="41" t="inlineStr"/>
      <c r="M11" s="41" t="inlineStr">
        <is>
          <t>AUTHOR_RATIFIED</t>
        </is>
      </c>
      <c r="N11" s="41" t="inlineStr">
        <is>
          <t>APPROVE</t>
        </is>
      </c>
      <c r="O11" s="41" t="inlineStr"/>
      <c r="P11" s="41" t="inlineStr"/>
      <c r="Q11" s="41" t="n">
        <v>1</v>
      </c>
      <c r="R11" s="41" t="inlineStr">
        <is>
          <t>INCLUDE</t>
        </is>
      </c>
      <c r="S11" s="41" t="inlineStr">
        <is>
          <t>AJP</t>
        </is>
      </c>
      <c r="T11" s="41" t="inlineStr">
        <is>
          <t>2026-09-10</t>
        </is>
      </c>
    </row>
    <row r="12">
      <c r="A12" s="41" t="inlineStr">
        <is>
          <t>BSR-RC-08</t>
        </is>
      </c>
      <c r="B12" s="41" t="inlineStr">
        <is>
          <t>Roman Catholic</t>
        </is>
      </c>
      <c r="C12" s="41" t="inlineStr">
        <is>
          <t>Apostles' and Nicene Creeds (Credo), Vatican News prayer text</t>
        </is>
      </c>
      <c r="D12" s="41" t="inlineStr">
        <is>
          <t>CONFESSIONAL (row floor; Nicene resolves CONCILIAR)</t>
        </is>
      </c>
      <c r="E12" s="41" t="inlineStr">
        <is>
          <t>Universal Church; published by the Holy See's Dicastery for Communication</t>
        </is>
      </c>
      <c r="F12" s="41" t="inlineStr">
        <is>
          <t>UNIVERSAL</t>
        </is>
      </c>
      <c r="G12" s="41" t="inlineStr">
        <is>
          <t>Host warrant triangulated 2026-09-12: page footer reads "Dicasterium pro Communicatione"; the Roman Curia structure page on vatican.va names the "Vatican Radio - Vatican News" editorial directorate; comunicazione.va contacts lists www.vaticannews.va as a Dicastery web property. LOCATOR CAUTION: the URL slug names the Apostles' Creed but the page carries both creeds under one Credo heading, and "judge the living and the dead" appears in both, so locator-scoped validation must target the named creed block, not the page.</t>
        </is>
      </c>
      <c r="H12" s="41" t="inlineStr">
        <is>
          <t>These standards bind the whole Catholic Church; the Catechism is a synthesis of conciliar and magisterial teaching, not itself a council.</t>
        </is>
      </c>
      <c r="I12" s="41" t="inlineStr">
        <is>
          <t>vaticannews.va</t>
        </is>
      </c>
      <c r="J12" s="41" t="inlineStr">
        <is>
          <t>https://www.vaticannews.va/en/prayers/the-apostles_-creed.html</t>
        </is>
      </c>
      <c r="K12" s="41" t="inlineStr">
        <is>
          <t>HTML</t>
        </is>
      </c>
      <c r="L12" s="41" t="inlineStr"/>
      <c r="M12" s="41" t="inlineStr">
        <is>
          <t>AUTHOR_RATIFIED</t>
        </is>
      </c>
      <c r="N12" s="41" t="inlineStr">
        <is>
          <t>APPROVE</t>
        </is>
      </c>
      <c r="O12" s="41" t="inlineStr"/>
      <c r="P12" s="41" t="inlineStr">
        <is>
          <t>New row. Ratified in conversation 2026-09-12. Resolves R001 on Q-169 and the three released cells RNR-H22, RNR-H26 and RNR-H38, which cite vaticannews.va. Registered as its own row rather than folded into BSR-RC-06 or admitted under AC-15: AC-15 covers a body's controlled file storage, not a second publishing outlet. Host warrant triangulated on three artifacts (page footer Dicasterium pro Communicatione; the Roman Curia structure page on vatican.va; the comunicazione.va contacts listing). Tier follows the ratified BSR-RC-06 formula, TIER_PER_CITED_DOCUMENT with a CONFESSIONAL row floor and the Nicene text resolving CONCILIAR.</t>
        </is>
      </c>
      <c r="Q12" s="41" t="n">
        <v>3</v>
      </c>
      <c r="R12" s="41" t="inlineStr">
        <is>
          <t>INCLUDE — second Holy See publishing outlet, distinct from vatican.va; carries 3 released cells (RNR-H22, RNR-H26, RNR-H38)</t>
        </is>
      </c>
      <c r="S12" s="41" t="inlineStr">
        <is>
          <t>AJP</t>
        </is>
      </c>
      <c r="T12" s="41" t="inlineStr">
        <is>
          <t>2026-09-12</t>
        </is>
      </c>
    </row>
    <row r="13">
      <c r="A13" s="41" t="inlineStr">
        <is>
          <t>BSR-EO-01</t>
        </is>
      </c>
      <c r="B13" s="41" t="inlineStr">
        <is>
          <t>Eastern Orthodox</t>
        </is>
      </c>
      <c r="C13" s="41" t="inlineStr">
        <is>
          <t>Nicene-Constantinopolitan Creed / Symbol of Faith (OCA)</t>
        </is>
      </c>
      <c r="D13" s="41" t="inlineStr">
        <is>
          <t>CONCILIAR</t>
        </is>
      </c>
      <c r="E13" s="41" t="inlineStr">
        <is>
          <t>All Orthodox</t>
        </is>
      </c>
      <c r="F13" s="41" t="inlineStr">
        <is>
          <t>UNIVERSAL</t>
        </is>
      </c>
      <c r="G13" s="41" t="inlineStr"/>
      <c r="H13"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3" s="41" t="inlineStr">
        <is>
          <t>oca.org</t>
        </is>
      </c>
      <c r="J13" s="41" t="inlineStr">
        <is>
          <t>https://www.oca.org/orthodoxy/the-orthodox-faith/doctrine-scripture/the-symbol-of-faith/god</t>
        </is>
      </c>
      <c r="K13" s="41" t="inlineStr">
        <is>
          <t>HTML</t>
        </is>
      </c>
      <c r="L13" s="41" t="inlineStr"/>
      <c r="M13" s="41" t="inlineStr">
        <is>
          <t>AUTHOR_RATIFIED</t>
        </is>
      </c>
      <c r="N13" s="41" t="inlineStr">
        <is>
          <t>APPROVE</t>
        </is>
      </c>
      <c r="O13" s="41" t="inlineStr"/>
      <c r="P13" s="41" t="inlineStr"/>
      <c r="Q13" s="41" t="inlineStr"/>
      <c r="R13" s="41" t="inlineStr">
        <is>
          <t>INCLUDE</t>
        </is>
      </c>
      <c r="S13" s="41" t="inlineStr">
        <is>
          <t>AJP</t>
        </is>
      </c>
      <c r="T13" s="41" t="inlineStr">
        <is>
          <t>2026-09-11</t>
        </is>
      </c>
    </row>
    <row r="14">
      <c r="A14" s="41" t="inlineStr">
        <is>
          <t>BSR-EO-02</t>
        </is>
      </c>
      <c r="B14" s="41" t="inlineStr">
        <is>
          <t>Eastern Orthodox</t>
        </is>
      </c>
      <c r="C14" s="41" t="inlineStr">
        <is>
          <t>*The Orthodox Faith*, Vol. I Doctrine and Scripture (Hopko) — Holy Trinity</t>
        </is>
      </c>
      <c r="D14" s="41" t="inlineStr">
        <is>
          <t>CATECHETICAL</t>
        </is>
      </c>
      <c r="E14" s="41" t="inlineStr">
        <is>
          <t>OCA (catechetical series by one author, published by the OCA)</t>
        </is>
      </c>
      <c r="F14" s="41" t="inlineStr">
        <is>
          <t>JURISDICTIONAL</t>
        </is>
      </c>
      <c r="G14" s="41" t="inlineStr"/>
      <c r="H14"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4" s="41" t="inlineStr">
        <is>
          <t>oca.org</t>
        </is>
      </c>
      <c r="J14" s="41" t="inlineStr">
        <is>
          <t>https://www.oca.org/orthodoxy/the-orthodox-faith/doctrine-scripture/the-holy-trinity/the-doctrine-of-the-holy-trinity</t>
        </is>
      </c>
      <c r="K14" s="41" t="inlineStr">
        <is>
          <t>HTML</t>
        </is>
      </c>
      <c r="L14" s="41" t="inlineStr"/>
      <c r="M14" s="41" t="inlineStr">
        <is>
          <t>AUTHOR_RATIFIED</t>
        </is>
      </c>
      <c r="N14" s="41" t="inlineStr">
        <is>
          <t>APPROVE</t>
        </is>
      </c>
      <c r="O14" s="41" t="inlineStr"/>
      <c r="P14" s="41" t="inlineStr"/>
      <c r="Q14" s="41" t="inlineStr"/>
      <c r="R14" s="41" t="inlineStr">
        <is>
          <t>INCLUDE WITH CAVEAT (already the H37 role)</t>
        </is>
      </c>
      <c r="S14" s="41" t="inlineStr">
        <is>
          <t>AJP</t>
        </is>
      </c>
      <c r="T14" s="41" t="inlineStr">
        <is>
          <t>2026-09-10</t>
        </is>
      </c>
    </row>
    <row r="15">
      <c r="A15" s="41" t="inlineStr">
        <is>
          <t>BSR-EO-03</t>
        </is>
      </c>
      <c r="B15" s="41" t="inlineStr">
        <is>
          <t>Eastern Orthodox</t>
        </is>
      </c>
      <c r="C15" s="41" t="inlineStr">
        <is>
          <t>Greek Orthodox Archdiocese — "Basic Sources of the Teachings" and sibling articles</t>
        </is>
      </c>
      <c r="D15" s="41" t="inlineStr">
        <is>
          <t>OFFICIAL_EXPOSITION</t>
        </is>
      </c>
      <c r="E15" s="41" t="inlineStr">
        <is>
          <t>GOARCH (educational articles)</t>
        </is>
      </c>
      <c r="F15" s="41" t="inlineStr">
        <is>
          <t>JURISDICTIONAL</t>
        </is>
      </c>
      <c r="G15" s="41" t="inlineStr"/>
      <c r="H15"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5" s="41" t="inlineStr">
        <is>
          <t>goarch.org</t>
        </is>
      </c>
      <c r="J15" s="41" t="inlineStr">
        <is>
          <t>https://www.goarch.org/-/the-basic-sources-of-the-teachings-of-the-eastern-orthodox-church</t>
        </is>
      </c>
      <c r="K15" s="41" t="inlineStr">
        <is>
          <t>RENDERED - one-time archived fetch, provenance recorded</t>
        </is>
      </c>
      <c r="L15" s="41" t="inlineStr"/>
      <c r="M15" s="41" t="inlineStr">
        <is>
          <t>AUTHOR_RATIFIED</t>
        </is>
      </c>
      <c r="N15" s="41" t="inlineStr">
        <is>
          <t>APPROVE</t>
        </is>
      </c>
      <c r="O15" s="41" t="inlineStr"/>
      <c r="P15" s="41" t="inlineStr"/>
      <c r="Q15" s="41" t="inlineStr"/>
      <c r="R15" s="41" t="inlineStr">
        <is>
          <t>INCLUDE WITH CAVEAT; Playwright fetch required</t>
        </is>
      </c>
      <c r="S15" s="41" t="inlineStr">
        <is>
          <t>AJP</t>
        </is>
      </c>
      <c r="T15" s="41" t="inlineStr">
        <is>
          <t>2026-09-11</t>
        </is>
      </c>
    </row>
    <row r="16">
      <c r="A16" s="41" t="inlineStr">
        <is>
          <t>BSR-EO-04</t>
        </is>
      </c>
      <c r="B16" s="41" t="inlineStr">
        <is>
          <t>Eastern Orthodox</t>
        </is>
      </c>
      <c r="C16" s="41" t="inlineStr">
        <is>
          <t>Longer Catechism of St. Philaret (1839)</t>
        </is>
      </c>
      <c r="D16" s="41" t="inlineStr">
        <is>
          <t>CATECHETICAL (historic)</t>
        </is>
      </c>
      <c r="E16" s="41" t="inlineStr">
        <is>
          <t>Russian Church synodal approval; widely received</t>
        </is>
      </c>
      <c r="F16" s="41" t="inlineStr">
        <is>
          <t>MULTILATERAL</t>
        </is>
      </c>
      <c r="G16" s="41" t="inlineStr"/>
      <c r="H16"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6" s="41" t="inlineStr">
        <is>
          <t>pravoslavieto.com</t>
        </is>
      </c>
      <c r="J16" s="41" t="inlineStr">
        <is>
          <t>https://www.pravoslavieto.com/docs/eng/Orthodox_Catechism_of_Philaret.htm</t>
        </is>
      </c>
      <c r="K16" s="41" t="inlineStr">
        <is>
          <t>HTML</t>
        </is>
      </c>
      <c r="L16" s="41" t="inlineStr"/>
      <c r="M16" s="41" t="inlineStr">
        <is>
          <t>AUTHOR_RATIFIED</t>
        </is>
      </c>
      <c r="N16" s="41" t="inlineStr">
        <is>
          <t>APPROVE</t>
        </is>
      </c>
      <c r="O16" s="41" t="inlineStr"/>
      <c r="P16" s="41" t="inlineStr"/>
      <c r="Q16" s="41" t="inlineStr"/>
      <c r="R16" s="41" t="inlineStr">
        <is>
          <t>AUTHOR CALL — richest apophatic/attribute source available; host is not jurisdictional</t>
        </is>
      </c>
      <c r="S16" s="41" t="inlineStr">
        <is>
          <t>AJP</t>
        </is>
      </c>
      <c r="T16" s="41" t="inlineStr">
        <is>
          <t>2026-09-10</t>
        </is>
      </c>
    </row>
    <row r="17">
      <c r="A17" s="41" t="inlineStr">
        <is>
          <t>BSR-EO-05</t>
        </is>
      </c>
      <c r="B17" s="41" t="inlineStr">
        <is>
          <t>Eastern Orthodox</t>
        </is>
      </c>
      <c r="C17" s="41" t="inlineStr">
        <is>
          <t>Confession of Dositheus (Synod of Jerusalem 1672)</t>
        </is>
      </c>
      <c r="D17" s="41" t="inlineStr">
        <is>
          <t>CONFESSIONAL (local synod)</t>
        </is>
      </c>
      <c r="E17" s="41" t="inlineStr">
        <is>
          <t>Contested; later qualified by Orthodox theologians</t>
        </is>
      </c>
      <c r="F17" s="41" t="inlineStr">
        <is>
          <t>CONTESTED</t>
        </is>
      </c>
      <c r="G17" s="41" t="inlineStr">
        <is>
          <t>Reception is disputed between Orthodox jurisdictions, and both sides are published on official domains. The Greek Orthodox Archdiocese of America holds that decisions of synods after the eighth century "are of secondary significance ... pending ratification by an Ecumenical Synod, and may be accepted, corrected or not accepted" (goarch.org, The Basic Sources of the Teachings of the Eastern Orthodox Church). The Orthodox Church in America holds that the 1848 Encyclical of the Eastern Patriarchs "is considered to be the most authoritative doctrinal statement in modern Orthodox Church history" (oca.org, Relations Between the Churches East and West). Ratified AC-12, 2026-09-11: the registry records the disagreement and does not resolve it.</t>
        </is>
      </c>
      <c r="H17"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I17" s="41" t="inlineStr">
        <is>
          <t>maximologia.org</t>
        </is>
      </c>
      <c r="J17" s="41" t="inlineStr">
        <is>
          <t>https://maximologia.org/the-confession-of-patriarch-dositheos-of-jerusalem-1672/</t>
        </is>
      </c>
      <c r="K17" s="41" t="inlineStr">
        <is>
          <t>HTML</t>
        </is>
      </c>
      <c r="L17" s="41" t="inlineStr"/>
      <c r="M17" s="41" t="inlineStr">
        <is>
          <t>AUTHOR_RATIFIED</t>
        </is>
      </c>
      <c r="N17" s="41" t="inlineStr">
        <is>
          <t>APPROVE_REVISED</t>
        </is>
      </c>
      <c r="O17" s="41" t="inlineStr"/>
      <c r="P17" s="41" t="inlineStr">
        <is>
          <t>Text is Robertson's 1899 translation (Acts and Decrees of the Synod of Jerusalem, ch. 6), reproduced here without translator credit. The published edition is archive.org/details/actsdecreesofsyn00orth, registered as an authority reference only — no text extraction. Locators are Decree 1–18 and Question 1–4.</t>
        </is>
      </c>
      <c r="Q17" s="41" t="inlineStr"/>
      <c r="R17" s="41" t="inlineStr">
        <is>
          <t>AUTHOR CALL — recommend EXCLUDE for v1</t>
        </is>
      </c>
      <c r="S17" s="41" t="inlineStr">
        <is>
          <t>AJP</t>
        </is>
      </c>
      <c r="T17" s="41" t="inlineStr">
        <is>
          <t>2026-09-10</t>
        </is>
      </c>
    </row>
    <row r="18">
      <c r="A18" s="41" t="inlineStr">
        <is>
          <t>BSR-EO-06</t>
        </is>
      </c>
      <c r="B18" s="41" t="inlineStr">
        <is>
          <t>Eastern Orthodox</t>
        </is>
      </c>
      <c r="C18" s="41" t="inlineStr">
        <is>
          <t>Chalcedon (451) and Third Constantinople (680-681) - the Definitions of Faith (NPNF2-14, Percival)</t>
        </is>
      </c>
      <c r="D18" s="41" t="inlineStr">
        <is>
          <t>CONCILIAR</t>
        </is>
      </c>
      <c r="E18" s="41" t="inlineStr">
        <is>
          <t>All Orthodox</t>
        </is>
      </c>
      <c r="F18" s="41" t="inlineStr">
        <is>
          <t>UNIVERSAL</t>
        </is>
      </c>
      <c r="G18" s="41" t="inlineStr"/>
      <c r="H18"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8" s="41" t="inlineStr">
        <is>
          <t>ccel.org</t>
        </is>
      </c>
      <c r="J18" s="41" t="inlineStr">
        <is>
          <t>https://www.ccel.org/ccel/schaff/npnf214.xi.xiii.html</t>
        </is>
      </c>
      <c r="K18" s="41" t="inlineStr">
        <is>
          <t>HTML - exclude editorial-note blocks from chunking</t>
        </is>
      </c>
      <c r="L18" s="41" t="inlineStr"/>
      <c r="M18" s="41" t="inlineStr">
        <is>
          <t>AUTHOR_RATIFIED</t>
        </is>
      </c>
      <c r="N18" s="41" t="inlineStr">
        <is>
          <t>APPROVE</t>
        </is>
      </c>
      <c r="O18" s="41" t="inlineStr"/>
      <c r="P18" s="41" t="inlineStr"/>
      <c r="Q18" s="41" t="n">
        <v>1</v>
      </c>
      <c r="R18" s="41" t="inlineStr">
        <is>
          <t>INCLUDE (ccel.org, NPNF2-14 Percival) - 1 released cell; Q-434 asserted phrase must be re-cut from this translation</t>
        </is>
      </c>
      <c r="S18" s="41" t="inlineStr">
        <is>
          <t>AJP</t>
        </is>
      </c>
      <c r="T18" s="41" t="inlineStr">
        <is>
          <t>2026-09-11</t>
        </is>
      </c>
    </row>
    <row r="19">
      <c r="A19" s="41" t="inlineStr">
        <is>
          <t>BSR-LU-01</t>
        </is>
      </c>
      <c r="B19" s="41" t="inlineStr">
        <is>
          <t>Lutheran</t>
        </is>
      </c>
      <c r="C19" s="41" t="inlineStr">
        <is>
          <t>Book of Concord (Augsburg Confession, Apology, Smalcald, Catechisms, Formula) — bookofconcord.org</t>
        </is>
      </c>
      <c r="D19" s="41" t="inlineStr">
        <is>
          <t>CONFESSIONAL</t>
        </is>
      </c>
      <c r="E19" s="41" t="inlineStr">
        <is>
          <t>Lutheran churches subscribing the Book of Concord</t>
        </is>
      </c>
      <c r="F19" s="41" t="inlineStr">
        <is>
          <t>MULTILATERAL</t>
        </is>
      </c>
      <c r="G19" s="41" t="inlineStr"/>
      <c r="H19" s="41" t="inlineStr">
        <is>
          <t>The Book of Concord is subscribed by Lutheran churches worldwide; the online text used here is a public-domain translation on a private site, and the LCMS and ELCA differ in how strictly they subscribe.</t>
        </is>
      </c>
      <c r="I19" s="41" t="inlineStr">
        <is>
          <t>bookofconcord.org</t>
        </is>
      </c>
      <c r="J19" s="41" t="inlineStr">
        <is>
          <t>https://bookofconcord.org/augsburg-confession/of-god/</t>
        </is>
      </c>
      <c r="K19" s="41" t="inlineStr">
        <is>
          <t>HTML (intermittent timeouts)</t>
        </is>
      </c>
      <c r="L19" s="41" t="inlineStr"/>
      <c r="M19" s="41" t="inlineStr">
        <is>
          <t>AUTHOR_RATIFIED</t>
        </is>
      </c>
      <c r="N19" s="41" t="inlineStr">
        <is>
          <t>APPROVE</t>
        </is>
      </c>
      <c r="O19" s="41" t="inlineStr"/>
      <c r="P19" s="41" t="inlineStr"/>
      <c r="Q19" s="41" t="n">
        <v>15</v>
      </c>
      <c r="R19" s="41" t="inlineStr">
        <is>
          <t>LINEAGE → INCLUDE WITH CAVEAT (private site hosting the public-domain 1921 Triglotta text; all 15 released Lutheran cells cite it; no denominational HTML host exists)</t>
        </is>
      </c>
      <c r="S19" s="41" t="inlineStr">
        <is>
          <t>AJP</t>
        </is>
      </c>
      <c r="T19" s="41" t="inlineStr">
        <is>
          <t>2026-09-10</t>
        </is>
      </c>
    </row>
    <row r="20">
      <c r="A20" s="41" t="inlineStr">
        <is>
          <t>BSR-LU-02</t>
        </is>
      </c>
      <c r="B20" s="41" t="inlineStr">
        <is>
          <t>Lutheran</t>
        </is>
      </c>
      <c r="C20" s="41" t="inlineStr">
        <is>
          <t>Augsburg Confession, LCMS file library</t>
        </is>
      </c>
      <c r="D20" s="41" t="inlineStr">
        <is>
          <t>CONFESSIONAL</t>
        </is>
      </c>
      <c r="E20" s="41" t="inlineStr">
        <is>
          <t>LCMS</t>
        </is>
      </c>
      <c r="F20" s="41" t="inlineStr">
        <is>
          <t>JURISDICTIONAL</t>
        </is>
      </c>
      <c r="G20" s="41" t="inlineStr"/>
      <c r="H20" s="41" t="inlineStr">
        <is>
          <t>The Book of Concord is subscribed by Lutheran churches worldwide; the online text used here is a public-domain translation on a private site, and the LCMS and ELCA differ in how strictly they subscribe.</t>
        </is>
      </c>
      <c r="I20" s="41" t="inlineStr">
        <is>
          <t>files.lcms.org</t>
        </is>
      </c>
      <c r="J20" s="41" t="inlineStr">
        <is>
          <t>https://files.lcms.org/file/preview/96D5ADA9-4E71-4C9F-9939-9D40E4E9AD8E</t>
        </is>
      </c>
      <c r="K20" s="41" t="inlineStr">
        <is>
          <t>PDF behind client viewer</t>
        </is>
      </c>
      <c r="L20" s="41" t="inlineStr"/>
      <c r="M20" s="41" t="inlineStr">
        <is>
          <t>AUTHOR_RATIFIED</t>
        </is>
      </c>
      <c r="N20" s="41" t="inlineStr">
        <is>
          <t>APPROVE</t>
        </is>
      </c>
      <c r="O20" s="41" t="inlineStr"/>
      <c r="P20" s="41" t="inlineStr"/>
      <c r="Q20" s="41" t="inlineStr"/>
      <c r="R20" s="41" t="inlineStr">
        <is>
          <t>INCLUDE as authority/adoption URL only</t>
        </is>
      </c>
      <c r="S20" s="41" t="inlineStr">
        <is>
          <t>AJP</t>
        </is>
      </c>
      <c r="T20" s="41" t="inlineStr">
        <is>
          <t>2026-09-10</t>
        </is>
      </c>
    </row>
    <row r="21">
      <c r="A21" s="41" t="inlineStr">
        <is>
          <t>BSR-LU-03</t>
        </is>
      </c>
      <c r="B21" s="41" t="inlineStr">
        <is>
          <t>Lutheran</t>
        </is>
      </c>
      <c r="C21" s="41" t="inlineStr">
        <is>
          <t>Luther's Small Catechism, Creed First Article (CPH, linked by LCMS)</t>
        </is>
      </c>
      <c r="D21" s="41" t="inlineStr">
        <is>
          <t>CATECHETICAL</t>
        </is>
      </c>
      <c r="E21" s="41" t="inlineStr">
        <is>
          <t>LCMS</t>
        </is>
      </c>
      <c r="F21" s="41" t="inlineStr">
        <is>
          <t>JURISDICTIONAL</t>
        </is>
      </c>
      <c r="G21" s="41" t="inlineStr"/>
      <c r="H21" s="41" t="inlineStr">
        <is>
          <t>The Book of Concord is subscribed by Lutheran churches worldwide; the online text used here is a public-domain translation on a private site, and the LCMS and ELCA differ in how strictly they subscribe.</t>
        </is>
      </c>
      <c r="I21" s="41" t="inlineStr">
        <is>
          <t>catechism.cph.org</t>
        </is>
      </c>
      <c r="J21" s="41" t="inlineStr">
        <is>
          <t>https://catechism.cph.org/en/creed-first-article-part-one.html</t>
        </is>
      </c>
      <c r="K21" s="41" t="inlineStr">
        <is>
          <t>HTML</t>
        </is>
      </c>
      <c r="L21" s="41" t="inlineStr"/>
      <c r="M21" s="41" t="inlineStr">
        <is>
          <t>AUTHOR_RATIFIED</t>
        </is>
      </c>
      <c r="N21" s="41" t="inlineStr">
        <is>
          <t>APPROVE</t>
        </is>
      </c>
      <c r="O21" s="41" t="inlineStr"/>
      <c r="P21" s="41" t="inlineStr"/>
      <c r="Q21" s="41" t="inlineStr"/>
      <c r="R21" s="41" t="inlineStr">
        <is>
          <t>INCLUDE WITH CAVEAT (2017 explanation edition; official status implied by lcms.org link)</t>
        </is>
      </c>
      <c r="S21" s="41" t="inlineStr">
        <is>
          <t>AJP</t>
        </is>
      </c>
      <c r="T21" s="41" t="inlineStr">
        <is>
          <t>2026-09-10</t>
        </is>
      </c>
    </row>
    <row r="22">
      <c r="A22" s="41" t="inlineStr">
        <is>
          <t>BSR-LU-04</t>
        </is>
      </c>
      <c r="B22" s="41" t="inlineStr">
        <is>
          <t>Lutheran</t>
        </is>
      </c>
      <c r="C22" s="41" t="inlineStr">
        <is>
          <t>ELCA teaching pages</t>
        </is>
      </c>
      <c r="D22" s="41" t="inlineStr">
        <is>
          <t>OFFICIAL_EXPOSITION</t>
        </is>
      </c>
      <c r="E22" s="41" t="inlineStr">
        <is>
          <t>ELCA</t>
        </is>
      </c>
      <c r="F22" s="41" t="inlineStr">
        <is>
          <t>JURISDICTIONAL</t>
        </is>
      </c>
      <c r="G22" s="41" t="inlineStr"/>
      <c r="H22" s="41" t="inlineStr">
        <is>
          <t>The Book of Concord is subscribed by Lutheran churches worldwide; the online text used here is a public-domain translation on a private site, and the LCMS and ELCA differ in how strictly they subscribe.</t>
        </is>
      </c>
      <c r="I22" s="41" t="inlineStr">
        <is>
          <t>elca.org</t>
        </is>
      </c>
      <c r="J22" s="41" t="inlineStr">
        <is>
          <t>https://www.elca.org/en/Faith/ELCA-Teaching/Scripture-Creeds-Confessions</t>
        </is>
      </c>
      <c r="K22" s="41" t="inlineStr">
        <is>
          <t>HTML</t>
        </is>
      </c>
      <c r="L22" s="41" t="inlineStr"/>
      <c r="M22" s="41" t="inlineStr">
        <is>
          <t>RETIRED</t>
        </is>
      </c>
      <c r="N22" s="41" t="inlineStr">
        <is>
          <t>EXCLUDE</t>
        </is>
      </c>
      <c r="O22" s="41" t="inlineStr">
        <is>
          <t>OTHER</t>
        </is>
      </c>
      <c r="P22" s="41" t="inlineStr">
        <is>
          <t>Adoption witness only — the page hosts no confession text; the Book of Concord entry (BSR-LU-01) carries the Lutheran standards.</t>
        </is>
      </c>
      <c r="Q22" s="41" t="inlineStr"/>
      <c r="R22" s="41" t="inlineStr">
        <is>
          <t>EXCLUDE (adoption witness only)</t>
        </is>
      </c>
      <c r="S22" s="41" t="inlineStr">
        <is>
          <t>AJP</t>
        </is>
      </c>
      <c r="T22" s="41" t="inlineStr">
        <is>
          <t>2026-09-10</t>
        </is>
      </c>
    </row>
    <row r="23">
      <c r="A23" s="41" t="inlineStr">
        <is>
          <t>BSR-RP-01</t>
        </is>
      </c>
      <c r="B23" s="41" t="inlineStr">
        <is>
          <t>Reformed / Presbyterian</t>
        </is>
      </c>
      <c r="C23" s="41" t="inlineStr">
        <is>
          <t>Westminster Confession (1647 with 1788 American revisions) — OPC</t>
        </is>
      </c>
      <c r="D23" s="41" t="inlineStr">
        <is>
          <t>CONFESSIONAL</t>
        </is>
      </c>
      <c r="E23" s="41" t="inlineStr">
        <is>
          <t>OPC and Westminster churches</t>
        </is>
      </c>
      <c r="F23" s="41" t="inlineStr">
        <is>
          <t>JURISDICTIONAL</t>
        </is>
      </c>
      <c r="G23" s="41" t="inlineStr"/>
      <c r="H23" s="41" t="inlineStr">
        <is>
          <t>“Reformed / Presbyterian” gathers several bodies with overlapping but distinct standards; the Westminster text differs between the OPC and PC(USA) editions, and the Three Forms of Unity speak for the continental Reformed churches.</t>
        </is>
      </c>
      <c r="I23" s="41" t="inlineStr">
        <is>
          <t>opc.org</t>
        </is>
      </c>
      <c r="J23" s="41" t="inlineStr">
        <is>
          <t>https://opc.org/wcf.html</t>
        </is>
      </c>
      <c r="K23" s="41" t="inlineStr">
        <is>
          <t>HTML</t>
        </is>
      </c>
      <c r="L23" s="41" t="inlineStr"/>
      <c r="M23" s="41" t="inlineStr">
        <is>
          <t>AUTHOR_RATIFIED</t>
        </is>
      </c>
      <c r="N23" s="41" t="inlineStr">
        <is>
          <t>APPROVE</t>
        </is>
      </c>
      <c r="O23" s="41" t="inlineStr"/>
      <c r="P23" s="41" t="inlineStr"/>
      <c r="Q23" s="41" t="n">
        <v>18</v>
      </c>
      <c r="R23" s="41" t="inlineStr">
        <is>
          <t>INCLUDE (18 released cells)</t>
        </is>
      </c>
      <c r="S23" s="41" t="inlineStr">
        <is>
          <t>AJP</t>
        </is>
      </c>
      <c r="T23" s="41" t="inlineStr">
        <is>
          <t>2026-09-10</t>
        </is>
      </c>
    </row>
    <row r="24">
      <c r="A24" s="41" t="inlineStr">
        <is>
          <t>BSR-RP-02</t>
        </is>
      </c>
      <c r="B24" s="41" t="inlineStr">
        <is>
          <t>Reformed / Presbyterian</t>
        </is>
      </c>
      <c r="C24" s="41" t="inlineStr">
        <is>
          <t>Westminster Shorter Catechism — OPC</t>
        </is>
      </c>
      <c r="D24" s="41" t="inlineStr">
        <is>
          <t>CONFESSIONAL</t>
        </is>
      </c>
      <c r="E24" s="41" t="inlineStr">
        <is>
          <t>as above</t>
        </is>
      </c>
      <c r="F24" s="41" t="inlineStr">
        <is>
          <t>JURISDICTIONAL</t>
        </is>
      </c>
      <c r="G24" s="41" t="inlineStr"/>
      <c r="H24" s="41" t="inlineStr">
        <is>
          <t>“Reformed / Presbyterian” gathers several bodies with overlapping but distinct standards; the Westminster text differs between the OPC and PC(USA) editions, and the Three Forms of Unity speak for the continental Reformed churches.</t>
        </is>
      </c>
      <c r="I24" s="41" t="inlineStr">
        <is>
          <t>opc.org</t>
        </is>
      </c>
      <c r="J24" s="41" t="inlineStr">
        <is>
          <t>https://opc.org/sc.html</t>
        </is>
      </c>
      <c r="K24" s="41" t="inlineStr">
        <is>
          <t>HTML</t>
        </is>
      </c>
      <c r="L24" s="41" t="inlineStr"/>
      <c r="M24" s="41" t="inlineStr">
        <is>
          <t>AUTHOR_RATIFIED</t>
        </is>
      </c>
      <c r="N24" s="41" t="inlineStr">
        <is>
          <t>APPROVE</t>
        </is>
      </c>
      <c r="O24" s="41" t="inlineStr"/>
      <c r="P24" s="41" t="inlineStr"/>
      <c r="Q24" s="41" t="inlineStr"/>
      <c r="R24" s="41" t="inlineStr">
        <is>
          <t>INCLUDE</t>
        </is>
      </c>
      <c r="S24" s="41" t="inlineStr">
        <is>
          <t>AJP</t>
        </is>
      </c>
      <c r="T24" s="41" t="inlineStr">
        <is>
          <t>2026-09-10</t>
        </is>
      </c>
    </row>
    <row r="25">
      <c r="A25" s="41" t="inlineStr">
        <is>
          <t>BSR-RP-03</t>
        </is>
      </c>
      <c r="B25" s="41" t="inlineStr">
        <is>
          <t>Reformed / Presbyterian</t>
        </is>
      </c>
      <c r="C25" s="41" t="inlineStr">
        <is>
          <t>Westminster Larger Catechism — OPC</t>
        </is>
      </c>
      <c r="D25" s="41" t="inlineStr">
        <is>
          <t>CONFESSIONAL</t>
        </is>
      </c>
      <c r="E25" s="41" t="inlineStr">
        <is>
          <t>as above</t>
        </is>
      </c>
      <c r="F25" s="41" t="inlineStr">
        <is>
          <t>JURISDICTIONAL</t>
        </is>
      </c>
      <c r="G25" s="41" t="inlineStr"/>
      <c r="H25" s="41" t="inlineStr">
        <is>
          <t>“Reformed / Presbyterian” gathers several bodies with overlapping but distinct standards; the Westminster text differs between the OPC and PC(USA) editions, and the Three Forms of Unity speak for the continental Reformed churches.</t>
        </is>
      </c>
      <c r="I25" s="41" t="inlineStr">
        <is>
          <t>opc.org</t>
        </is>
      </c>
      <c r="J25" s="41" t="inlineStr">
        <is>
          <t>https://opc.org/lc.html</t>
        </is>
      </c>
      <c r="K25" s="41" t="inlineStr">
        <is>
          <t>HTML</t>
        </is>
      </c>
      <c r="L25" s="41" t="inlineStr"/>
      <c r="M25" s="41" t="inlineStr">
        <is>
          <t>AUTHOR_RATIFIED</t>
        </is>
      </c>
      <c r="N25" s="41" t="inlineStr">
        <is>
          <t>APPROVE</t>
        </is>
      </c>
      <c r="O25" s="41" t="inlineStr"/>
      <c r="P25" s="41" t="inlineStr"/>
      <c r="Q25" s="41" t="inlineStr"/>
      <c r="R25" s="41" t="inlineStr">
        <is>
          <t>INCLUDE</t>
        </is>
      </c>
      <c r="S25" s="41" t="inlineStr">
        <is>
          <t>AJP</t>
        </is>
      </c>
      <c r="T25" s="41" t="inlineStr">
        <is>
          <t>2026-09-10</t>
        </is>
      </c>
    </row>
    <row r="26">
      <c r="A26" s="41" t="inlineStr">
        <is>
          <t>BSR-RP-04</t>
        </is>
      </c>
      <c r="B26" s="41" t="inlineStr">
        <is>
          <t>Reformed / Presbyterian</t>
        </is>
      </c>
      <c r="C26" s="41" t="inlineStr">
        <is>
          <t>PC(USA) Book of Confessions 2016 (Nicene, Apostles', Scots, Heidelberg, Second Helvetic, Westminster edited recension, Barmen, C67, Belhar, Brief Statement)</t>
        </is>
      </c>
      <c r="D26" s="41" t="inlineStr">
        <is>
          <t>CONFESSIONAL</t>
        </is>
      </c>
      <c r="E26" s="41" t="inlineStr">
        <is>
          <t>PC(USA); "subordinate standards" affirmed at ordination</t>
        </is>
      </c>
      <c r="F26" s="41" t="inlineStr">
        <is>
          <t>JURISDICTIONAL</t>
        </is>
      </c>
      <c r="G26" s="41" t="inlineStr"/>
      <c r="H26" s="41" t="inlineStr">
        <is>
          <t>“Reformed / Presbyterian” gathers several bodies with overlapping but distinct standards; the Westminster text differs between the OPC and PC(USA) editions, and the Three Forms of Unity speak for the continental Reformed churches.</t>
        </is>
      </c>
      <c r="I26" s="41" t="inlineStr">
        <is>
          <t>pcusa.org</t>
        </is>
      </c>
      <c r="J26" s="41" t="inlineStr">
        <is>
          <t>https://pcusa.org/sites/default/files/boc2016.pdf</t>
        </is>
      </c>
      <c r="K26" s="41" t="inlineStr">
        <is>
          <t>PDF (large; normalize)</t>
        </is>
      </c>
      <c r="L26" s="41" t="inlineStr"/>
      <c r="M26" s="41" t="inlineStr">
        <is>
          <t>AUTHOR_RATIFIED</t>
        </is>
      </c>
      <c r="N26" s="41" t="inlineStr">
        <is>
          <t>APPROVE</t>
        </is>
      </c>
      <c r="O26" s="41" t="inlineStr"/>
      <c r="P26" s="41" t="inlineStr"/>
      <c r="Q26" s="41" t="n">
        <v>8</v>
      </c>
      <c r="R26" s="41" t="inlineStr">
        <is>
          <t>INCLUDE WITH CAVEAT — register as a distinct recension from OPC (8 released cells)</t>
        </is>
      </c>
      <c r="S26" s="41" t="inlineStr">
        <is>
          <t>AJP</t>
        </is>
      </c>
      <c r="T26" s="41" t="inlineStr">
        <is>
          <t>2026-09-10</t>
        </is>
      </c>
    </row>
    <row r="27">
      <c r="A27" s="41" t="inlineStr">
        <is>
          <t>BSR-RP-05</t>
        </is>
      </c>
      <c r="B27" s="41" t="inlineStr">
        <is>
          <t>Reformed / Presbyterian</t>
        </is>
      </c>
      <c r="C27" s="41" t="inlineStr">
        <is>
          <t>Heidelberg Catechism (CRC/RCA 2011 joint translation)</t>
        </is>
      </c>
      <c r="D27" s="41" t="inlineStr">
        <is>
          <t>CONFESSIONAL</t>
        </is>
      </c>
      <c r="E27" s="41" t="inlineStr">
        <is>
          <t>CRCNA and RCA</t>
        </is>
      </c>
      <c r="F27" s="41" t="inlineStr">
        <is>
          <t>JURISDICTIONAL</t>
        </is>
      </c>
      <c r="G27" s="41" t="inlineStr"/>
      <c r="H27" s="41" t="inlineStr">
        <is>
          <t>“Reformed / Presbyterian” gathers several bodies with overlapping but distinct standards; the Westminster text differs between the OPC and PC(USA) editions, and the Three Forms of Unity speak for the continental Reformed churches.</t>
        </is>
      </c>
      <c r="I27" s="41" t="inlineStr">
        <is>
          <t>crcna.org</t>
        </is>
      </c>
      <c r="J27" s="41" t="inlineStr">
        <is>
          <t>https://www.crcna.org/welcome/beliefs/confessions/heidelberg-catechism</t>
        </is>
      </c>
      <c r="K27" s="41" t="inlineStr">
        <is>
          <t>HTML</t>
        </is>
      </c>
      <c r="L27" s="41" t="inlineStr"/>
      <c r="M27" s="41" t="inlineStr">
        <is>
          <t>AUTHOR_RATIFIED</t>
        </is>
      </c>
      <c r="N27" s="41" t="inlineStr">
        <is>
          <t>APPROVE</t>
        </is>
      </c>
      <c r="O27" s="41" t="inlineStr"/>
      <c r="P27" s="41" t="inlineStr"/>
      <c r="Q27" s="41" t="inlineStr"/>
      <c r="R27" s="41" t="inlineStr">
        <is>
          <t>INCLUDE</t>
        </is>
      </c>
      <c r="S27" s="41" t="inlineStr">
        <is>
          <t>AJP</t>
        </is>
      </c>
      <c r="T27" s="41" t="inlineStr">
        <is>
          <t>2026-09-10</t>
        </is>
      </c>
    </row>
    <row r="28">
      <c r="A28" s="41" t="inlineStr">
        <is>
          <t>BSR-RP-06</t>
        </is>
      </c>
      <c r="B28" s="41" t="inlineStr">
        <is>
          <t>Reformed / Presbyterian</t>
        </is>
      </c>
      <c r="C28" s="41" t="inlineStr">
        <is>
          <t>Belgic Confession (CRC/RCA 2011)</t>
        </is>
      </c>
      <c r="D28" s="41" t="inlineStr">
        <is>
          <t>CONFESSIONAL</t>
        </is>
      </c>
      <c r="E28" s="41" t="inlineStr">
        <is>
          <t>CRCNA and RCA; Dort required subscription</t>
        </is>
      </c>
      <c r="F28" s="41" t="inlineStr">
        <is>
          <t>JURISDICTIONAL</t>
        </is>
      </c>
      <c r="G28" s="41" t="inlineStr"/>
      <c r="H28" s="41" t="inlineStr">
        <is>
          <t>“Reformed / Presbyterian” gathers several bodies with overlapping but distinct standards; the Westminster text differs between the OPC and PC(USA) editions, and the Three Forms of Unity speak for the continental Reformed churches.</t>
        </is>
      </c>
      <c r="I28" s="41" t="inlineStr">
        <is>
          <t>crcna.org</t>
        </is>
      </c>
      <c r="J28" s="41" t="inlineStr">
        <is>
          <t>https://www.crcna.org/welcome/beliefs/confessions/belgic-confession</t>
        </is>
      </c>
      <c r="K28" s="41" t="inlineStr">
        <is>
          <t>HTML</t>
        </is>
      </c>
      <c r="L28" s="41" t="inlineStr"/>
      <c r="M28" s="41" t="inlineStr">
        <is>
          <t>AUTHOR_RATIFIED</t>
        </is>
      </c>
      <c r="N28" s="41" t="inlineStr">
        <is>
          <t>APPROVE</t>
        </is>
      </c>
      <c r="O28" s="41" t="inlineStr"/>
      <c r="P28" s="41" t="inlineStr"/>
      <c r="Q28" s="41" t="n">
        <v>9</v>
      </c>
      <c r="R28" s="41" t="inlineStr">
        <is>
          <t>INCLUDE (9 released cells)</t>
        </is>
      </c>
      <c r="S28" s="41" t="inlineStr">
        <is>
          <t>AJP</t>
        </is>
      </c>
      <c r="T28" s="41" t="inlineStr">
        <is>
          <t>2026-09-10</t>
        </is>
      </c>
    </row>
    <row r="29">
      <c r="A29" s="41" t="inlineStr">
        <is>
          <t>BSR-AN-01</t>
        </is>
      </c>
      <c r="B29" s="41" t="inlineStr">
        <is>
          <t>Anglican</t>
        </is>
      </c>
      <c r="C29" s="41" t="inlineStr">
        <is>
          <t>Thirty-Nine Articles (Church of England)</t>
        </is>
      </c>
      <c r="D29" s="41" t="inlineStr">
        <is>
          <t>CONFESSIONAL (historic formulary; Canon A5)</t>
        </is>
      </c>
      <c r="E29" s="41" t="inlineStr">
        <is>
          <t>Church of England; received across the Communion</t>
        </is>
      </c>
      <c r="F29" s="41" t="inlineStr">
        <is>
          <t>MULTILATERAL</t>
        </is>
      </c>
      <c r="G29" s="41" t="inlineStr"/>
      <c r="H29" s="41" t="inlineStr">
        <is>
          <t>The Thirty-Nine Articles are a historic formulary of the Church of England received in different ways across the Anglican Communion; the catechisms speak for the province that adopted them.</t>
        </is>
      </c>
      <c r="I29" s="41" t="inlineStr">
        <is>
          <t>churchofengland.org</t>
        </is>
      </c>
      <c r="J29" s="41" t="inlineStr">
        <is>
          <t>https://www.churchofengland.org/prayer-and-worship/worship-texts-and-resources/book-common-prayer/articles-religion</t>
        </is>
      </c>
      <c r="K29" s="41" t="inlineStr">
        <is>
          <t>RENDERED (body not exposed to plain fetch)</t>
        </is>
      </c>
      <c r="L29" s="41" t="inlineStr"/>
      <c r="M29" s="41" t="inlineStr">
        <is>
          <t>AUTHOR_RATIFIED</t>
        </is>
      </c>
      <c r="N29" s="41" t="inlineStr">
        <is>
          <t>APPROVE</t>
        </is>
      </c>
      <c r="O29" s="41" t="inlineStr"/>
      <c r="P29" s="41" t="inlineStr"/>
      <c r="Q29" s="41" t="inlineStr"/>
      <c r="R29" s="41" t="inlineStr">
        <is>
          <t>INCLUDE — Playwright fetch mode</t>
        </is>
      </c>
      <c r="S29" s="41" t="inlineStr">
        <is>
          <t>AJP</t>
        </is>
      </c>
      <c r="T29" s="41" t="inlineStr">
        <is>
          <t>2026-09-10</t>
        </is>
      </c>
    </row>
    <row r="30">
      <c r="A30" s="41" t="inlineStr">
        <is>
          <t>BSR-AN-02</t>
        </is>
      </c>
      <c r="B30" s="41" t="inlineStr">
        <is>
          <t>Anglican</t>
        </is>
      </c>
      <c r="C30" s="41" t="inlineStr">
        <is>
          <t>BCP 1662 Catechism (Church of England)</t>
        </is>
      </c>
      <c r="D30" s="41" t="inlineStr">
        <is>
          <t>CATECHETICAL</t>
        </is>
      </c>
      <c r="E30" s="41" t="inlineStr">
        <is>
          <t>Church of England</t>
        </is>
      </c>
      <c r="F30" s="41" t="inlineStr">
        <is>
          <t>JURISDICTIONAL</t>
        </is>
      </c>
      <c r="G30" s="41" t="inlineStr"/>
      <c r="H30" s="41" t="inlineStr">
        <is>
          <t>The Thirty-Nine Articles are a historic formulary of the Church of England received in different ways across the Anglican Communion; the catechisms speak for the province that adopted them.</t>
        </is>
      </c>
      <c r="I30" s="41" t="inlineStr">
        <is>
          <t>churchofengland.org</t>
        </is>
      </c>
      <c r="J30" s="41" t="inlineStr">
        <is>
          <t>https://www.churchofengland.org/prayer-and-worship/worship-texts-and-resources/book-common-prayer/catechism</t>
        </is>
      </c>
      <c r="K30" s="41" t="inlineStr">
        <is>
          <t>RENDERED</t>
        </is>
      </c>
      <c r="L30" s="41" t="inlineStr"/>
      <c r="M30" s="41" t="inlineStr">
        <is>
          <t>AUTHOR_RATIFIED</t>
        </is>
      </c>
      <c r="N30" s="41" t="inlineStr">
        <is>
          <t>APPROVE</t>
        </is>
      </c>
      <c r="O30" s="41" t="inlineStr"/>
      <c r="P30" s="41" t="inlineStr"/>
      <c r="Q30" s="41" t="inlineStr"/>
      <c r="R30" s="41" t="inlineStr">
        <is>
          <t>INCLUDE — Playwright fetch mode</t>
        </is>
      </c>
      <c r="S30" s="41" t="inlineStr">
        <is>
          <t>AJP</t>
        </is>
      </c>
      <c r="T30" s="41" t="inlineStr">
        <is>
          <t>2026-09-10</t>
        </is>
      </c>
    </row>
    <row r="31">
      <c r="A31" s="41" t="inlineStr">
        <is>
          <t>BSR-AN-03</t>
        </is>
      </c>
      <c r="B31" s="41" t="inlineStr">
        <is>
          <t>Anglican</t>
        </is>
      </c>
      <c r="C31" s="41" t="inlineStr">
        <is>
          <t>Athanasian Creed (Quicunque Vult), BCP</t>
        </is>
      </c>
      <c r="D31" s="41" t="inlineStr">
        <is>
          <t>CONFESSIONAL</t>
        </is>
      </c>
      <c r="E31" s="41" t="inlineStr">
        <is>
          <t>Church of England (appointed in the BCP)</t>
        </is>
      </c>
      <c r="F31" s="41" t="inlineStr">
        <is>
          <t>JURISDICTIONAL</t>
        </is>
      </c>
      <c r="G31" s="41" t="inlineStr">
        <is>
          <t>ccel.org retired as lineage host by this migration. The churchofengland.org BCP 1662 PDF is disallowed by robots.txt and cannot serve as a fetchable fallback, so the rendered HTML page is the only viable official artifact.</t>
        </is>
      </c>
      <c r="H31" s="41" t="inlineStr">
        <is>
          <t>The Thirty-Nine Articles are a historic formulary of the Church of England received in different ways across the Anglican Communion; the catechisms speak for the province that adopted them.</t>
        </is>
      </c>
      <c r="I31" s="41" t="inlineStr">
        <is>
          <t>churchofengland.org</t>
        </is>
      </c>
      <c r="J31" s="41" t="inlineStr">
        <is>
          <t>https://www.churchofengland.org/prayer-and-worship/worship-texts-and-resources/book-common-prayer/creed-s-athanasius</t>
        </is>
      </c>
      <c r="K31" s="41" t="inlineStr">
        <is>
          <t>RENDERED (body not exposed to plain fetch — verified 2026-09-12)</t>
        </is>
      </c>
      <c r="L31" s="41" t="inlineStr"/>
      <c r="M31" s="41" t="inlineStr">
        <is>
          <t>AUTHOR_RATIFIED</t>
        </is>
      </c>
      <c r="N31" s="41" t="inlineStr">
        <is>
          <t>APPROVE</t>
        </is>
      </c>
      <c r="O31" s="41" t="inlineStr"/>
      <c r="P31" s="41" t="inlineStr">
        <is>
          <t>Host migration ratified in conversation 2026-09-12. AC-02 MIGRATE_WHERE_OFFICIAL governs: canonical_url and publisher_domain move from ccel.org to the Church of England's own BCP page. Cowork verified the page carries the full Quicunque Vult, the BCP rubric and the Crown/CUP provenance line before the URL was written. Body is not exposed to plain fetch, so fetch_mode is RENDERED; the churchofengland.org BCP 1662 PDF is robots-disallowed and is not a fallback. Re-chunk required.</t>
        </is>
      </c>
      <c r="Q31" s="41" t="n">
        <v>1</v>
      </c>
      <c r="R31" s="41" t="inlineStr">
        <is>
          <t>INCLUDE — migrated to churchofengland.org per AC-02 MIGRATE_WHERE_OFFICIAL; re-chunk required (1 released cell was fetched from the retired ccel.org host)</t>
        </is>
      </c>
      <c r="S31" s="41" t="inlineStr">
        <is>
          <t>AJP</t>
        </is>
      </c>
      <c r="T31" s="41" t="inlineStr">
        <is>
          <t>2026-09-12</t>
        </is>
      </c>
    </row>
    <row r="32">
      <c r="A32" s="41" t="inlineStr">
        <is>
          <t>BSR-AN-04</t>
        </is>
      </c>
      <c r="B32" s="41" t="inlineStr">
        <is>
          <t>Anglican</t>
        </is>
      </c>
      <c r="C32" s="41" t="inlineStr">
        <is>
          <t>The Episcopal Church BCP 1979, "An Outline of the Faith"</t>
        </is>
      </c>
      <c r="D32" s="41" t="inlineStr">
        <is>
          <t>CATECHETICAL</t>
        </is>
      </c>
      <c r="E32" s="41" t="inlineStr">
        <is>
          <t>The Episcopal Church (certified Standard Book)</t>
        </is>
      </c>
      <c r="F32" s="41" t="inlineStr">
        <is>
          <t>JURISDICTIONAL</t>
        </is>
      </c>
      <c r="G32" s="41" t="inlineStr"/>
      <c r="H32" s="41" t="inlineStr">
        <is>
          <t>The Thirty-Nine Articles are a historic formulary of the Church of England received in different ways across the Anglican Communion; the catechisms speak for the province that adopted them.</t>
        </is>
      </c>
      <c r="I32" s="41" t="inlineStr">
        <is>
          <t>episcopalchurch.org</t>
        </is>
      </c>
      <c r="J32" s="41" t="inlineStr">
        <is>
          <t>https://www.episcopalchurch.org/wp-content/uploads/2023/06/book_of_common_prayer.pdf</t>
        </is>
      </c>
      <c r="K32" s="41" t="inlineStr">
        <is>
          <t>PDF</t>
        </is>
      </c>
      <c r="L32" s="41" t="inlineStr"/>
      <c r="M32" s="41" t="inlineStr">
        <is>
          <t>AUTHOR_RATIFIED</t>
        </is>
      </c>
      <c r="N32" s="41" t="inlineStr">
        <is>
          <t>APPROVE</t>
        </is>
      </c>
      <c r="O32" s="41" t="inlineStr"/>
      <c r="P32" s="41" t="inlineStr"/>
      <c r="Q32" s="41" t="inlineStr"/>
      <c r="R32" s="41" t="inlineStr">
        <is>
          <t>INCLUDE WITH CAVEAT (cite the PDF; use bcponline for reading only)</t>
        </is>
      </c>
      <c r="S32" s="41" t="inlineStr">
        <is>
          <t>AJP</t>
        </is>
      </c>
      <c r="T32" s="41" t="inlineStr">
        <is>
          <t>2026-09-10</t>
        </is>
      </c>
    </row>
    <row r="33">
      <c r="A33" s="41" t="inlineStr">
        <is>
          <t>BSR-AN-05</t>
        </is>
      </c>
      <c r="B33" s="41" t="inlineStr">
        <is>
          <t>Anglican</t>
        </is>
      </c>
      <c r="C33" s="41" t="inlineStr">
        <is>
          <t>ACNA "To Be a Christian" (2020 approved edition)</t>
        </is>
      </c>
      <c r="D33" s="41" t="inlineStr">
        <is>
          <t>CATECHETICAL</t>
        </is>
      </c>
      <c r="E33" s="41" t="inlineStr">
        <is>
          <t>Anglican Church in North America (College of Bishops)</t>
        </is>
      </c>
      <c r="F33" s="41" t="inlineStr">
        <is>
          <t>JURISDICTIONAL</t>
        </is>
      </c>
      <c r="G33" s="41" t="inlineStr"/>
      <c r="H33" s="41" t="inlineStr">
        <is>
          <t>The Thirty-Nine Articles are a historic formulary of the Church of England received in different ways across the Anglican Communion; the catechisms speak for the province that adopted them.</t>
        </is>
      </c>
      <c r="I33" s="41" t="inlineStr">
        <is>
          <t>anglicanchurch.net</t>
        </is>
      </c>
      <c r="J33" s="41" t="inlineStr">
        <is>
          <t>https://anglicanchurch.net/wp-content/uploads/2020/06/To-Be-a-Christian.pdf</t>
        </is>
      </c>
      <c r="K33" s="41" t="inlineStr">
        <is>
          <t>PDF</t>
        </is>
      </c>
      <c r="L33" s="41" t="inlineStr"/>
      <c r="M33" s="41" t="inlineStr">
        <is>
          <t>AUTHOR_RATIFIED</t>
        </is>
      </c>
      <c r="N33" s="41" t="inlineStr">
        <is>
          <t>APPROVE</t>
        </is>
      </c>
      <c r="O33" s="41" t="inlineStr"/>
      <c r="P33" s="41" t="inlineStr"/>
      <c r="Q33" s="41" t="inlineStr"/>
      <c r="R33" s="41" t="inlineStr">
        <is>
          <t>AUTHOR CALL — adds a current catechetical witness; ACNA is not in communion with Canterbury</t>
        </is>
      </c>
      <c r="S33" s="41" t="inlineStr">
        <is>
          <t>AJP</t>
        </is>
      </c>
      <c r="T33" s="41" t="inlineStr">
        <is>
          <t>2026-09-10</t>
        </is>
      </c>
    </row>
    <row r="34">
      <c r="A34" s="41" t="inlineStr">
        <is>
          <t>BSR-BA-01</t>
        </is>
      </c>
      <c r="B34" s="41" t="inlineStr">
        <is>
          <t>Baptist</t>
        </is>
      </c>
      <c r="C34" s="41" t="inlineStr">
        <is>
          <t>Baptist Faith and Message 2000</t>
        </is>
      </c>
      <c r="D34" s="41" t="inlineStr">
        <is>
          <t>CONFESSIONAL (statement of faith, not a creed)</t>
        </is>
      </c>
      <c r="E34" s="41" t="inlineStr">
        <is>
          <t>Southern Baptist Convention</t>
        </is>
      </c>
      <c r="F34" s="41" t="inlineStr">
        <is>
          <t>JURISDICTIONAL</t>
        </is>
      </c>
      <c r="G34" s="41" t="inlineStr"/>
      <c r="H34" s="41" t="inlineStr">
        <is>
          <t>Baptists confess without creeds; the Baptist Faith and Message speaks for the Southern Baptist Convention, the 1689 Confession for churches that subscribe it, and neither for all Baptists.</t>
        </is>
      </c>
      <c r="I34" s="41" t="inlineStr">
        <is>
          <t>bfm.sbc.net</t>
        </is>
      </c>
      <c r="J34" s="41" t="inlineStr">
        <is>
          <t>https://bfm.sbc.net/bfm2000/</t>
        </is>
      </c>
      <c r="K34" s="41" t="inlineStr">
        <is>
          <t>HTML</t>
        </is>
      </c>
      <c r="L34" s="41" t="inlineStr"/>
      <c r="M34" s="41" t="inlineStr">
        <is>
          <t>AUTHOR_RATIFIED</t>
        </is>
      </c>
      <c r="N34" s="41" t="inlineStr">
        <is>
          <t>APPROVE</t>
        </is>
      </c>
      <c r="O34" s="41" t="inlineStr"/>
      <c r="P34" s="41" t="inlineStr"/>
      <c r="Q34" s="41" t="n">
        <v>16</v>
      </c>
      <c r="R34" s="41" t="inlineStr">
        <is>
          <t>INCLUDE (16 released cells)</t>
        </is>
      </c>
      <c r="S34" s="41" t="inlineStr">
        <is>
          <t>AJP</t>
        </is>
      </c>
      <c r="T34" s="41" t="inlineStr">
        <is>
          <t>2026-09-10</t>
        </is>
      </c>
    </row>
    <row r="35">
      <c r="A35" s="41" t="inlineStr">
        <is>
          <t>BSR-BA-02</t>
        </is>
      </c>
      <c r="B35" s="41" t="inlineStr">
        <is>
          <t>Baptist</t>
        </is>
      </c>
      <c r="C35" s="41" t="inlineStr">
        <is>
          <t>Second London Confession 1689, ch. 2</t>
        </is>
      </c>
      <c r="D35" s="41" t="inlineStr">
        <is>
          <t>CONFESSIONAL (voluntary church-level subscription)</t>
        </is>
      </c>
      <c r="E35" s="41" t="inlineStr">
        <is>
          <t>Reformed Baptist churches and associations</t>
        </is>
      </c>
      <c r="F35" s="41" t="inlineStr">
        <is>
          <t>JURISDICTIONAL</t>
        </is>
      </c>
      <c r="G35" s="41" t="inlineStr"/>
      <c r="H35" s="41" t="inlineStr">
        <is>
          <t>Baptists confess without creeds; the Baptist Faith and Message speaks for the Southern Baptist Convention, the 1689 Confession for churches that subscribe it, and neither for all Baptists.</t>
        </is>
      </c>
      <c r="I35" s="41" t="inlineStr">
        <is>
          <t>the1689confession.com</t>
        </is>
      </c>
      <c r="J35" s="41" t="inlineStr">
        <is>
          <t>https://the1689confession.com/1689/chapter-2</t>
        </is>
      </c>
      <c r="K35" s="41" t="inlineStr">
        <is>
          <t>HTML</t>
        </is>
      </c>
      <c r="L35" s="41" t="inlineStr"/>
      <c r="M35" s="41" t="inlineStr">
        <is>
          <t>AUTHOR_RATIFIED</t>
        </is>
      </c>
      <c r="N35" s="41" t="inlineStr">
        <is>
          <t>APPROVE</t>
        </is>
      </c>
      <c r="O35" s="41" t="inlineStr"/>
      <c r="P35" s="41" t="inlineStr"/>
      <c r="Q35" s="41" t="inlineStr"/>
      <c r="R35" s="41" t="inlineStr">
        <is>
          <t>AUTHOR CALL — richest attribute text in the Baptist family; host is a single congregation</t>
        </is>
      </c>
      <c r="S35" s="41" t="inlineStr">
        <is>
          <t>AJP</t>
        </is>
      </c>
      <c r="T35" s="41" t="inlineStr">
        <is>
          <t>2026-09-10</t>
        </is>
      </c>
    </row>
    <row r="36">
      <c r="A36" s="41" t="inlineStr">
        <is>
          <t>BSR-BA-03</t>
        </is>
      </c>
      <c r="B36" s="41" t="inlineStr">
        <is>
          <t>Baptist</t>
        </is>
      </c>
      <c r="C36" s="41" t="inlineStr">
        <is>
          <t>American Baptist Churches USA belief pages</t>
        </is>
      </c>
      <c r="D36" s="41" t="inlineStr">
        <is>
          <t>OFFICIAL_EXPOSITION</t>
        </is>
      </c>
      <c r="E36" s="41" t="inlineStr">
        <is>
          <t>ABC-USA (descriptive, non-binding)</t>
        </is>
      </c>
      <c r="F36" s="41" t="inlineStr">
        <is>
          <t>JURISDICTIONAL</t>
        </is>
      </c>
      <c r="G36" s="41" t="inlineStr"/>
      <c r="H36" s="41" t="inlineStr">
        <is>
          <t>Baptists confess without creeds; the Baptist Faith and Message speaks for the Southern Baptist Convention, the 1689 Confession for churches that subscribe it, and neither for all Baptists.</t>
        </is>
      </c>
      <c r="I36" s="41" t="inlineStr">
        <is>
          <t>abc-usa.org</t>
        </is>
      </c>
      <c r="J36" s="41" t="inlineStr">
        <is>
          <t>https://www.abc-usa.org/10facts</t>
        </is>
      </c>
      <c r="K36" s="41" t="inlineStr">
        <is>
          <t>HTML</t>
        </is>
      </c>
      <c r="L36" s="41" t="inlineStr"/>
      <c r="M36" s="41" t="inlineStr">
        <is>
          <t>AUTHOR_RATIFIED</t>
        </is>
      </c>
      <c r="N36" s="41" t="inlineStr">
        <is>
          <t>APPROVE</t>
        </is>
      </c>
      <c r="O36" s="41" t="inlineStr"/>
      <c r="P36" s="41" t="inlineStr"/>
      <c r="Q36" s="41" t="inlineStr"/>
      <c r="R36" s="41" t="inlineStr">
        <is>
          <t>INCLUDE WITH CAVEAT as CURRENT_OFFICIAL_WITNESS</t>
        </is>
      </c>
      <c r="S36" s="41" t="inlineStr">
        <is>
          <t>AJP</t>
        </is>
      </c>
      <c r="T36" s="41" t="inlineStr">
        <is>
          <t>2026-09-10</t>
        </is>
      </c>
    </row>
    <row r="37">
      <c r="A37" s="41" t="inlineStr">
        <is>
          <t>BSR-MW-01</t>
        </is>
      </c>
      <c r="B37" s="41" t="inlineStr">
        <is>
          <t>Methodist / Wesleyan</t>
        </is>
      </c>
      <c r="C37" s="41" t="inlineStr">
        <is>
          <t>Articles of Religion of The Methodist Church (Book of Discipline)</t>
        </is>
      </c>
      <c r="D37" s="41" t="inlineStr">
        <is>
          <t>CONFESSIONAL (protected by Restrictive Rules)</t>
        </is>
      </c>
      <c r="E37" s="41" t="inlineStr">
        <is>
          <t>United Methodist Church</t>
        </is>
      </c>
      <c r="F37" s="41" t="inlineStr">
        <is>
          <t>JURISDICTIONAL</t>
        </is>
      </c>
      <c r="G37" s="41" t="inlineStr"/>
      <c r="H37"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7" s="41" t="inlineStr">
        <is>
          <t>umc.org</t>
        </is>
      </c>
      <c r="J37" s="41" t="inlineStr">
        <is>
          <t>https://www.umc.org/en/content/articles-of-religion</t>
        </is>
      </c>
      <c r="K37" s="41" t="inlineStr">
        <is>
          <t>HTML (rendered)</t>
        </is>
      </c>
      <c r="L37" s="41" t="inlineStr"/>
      <c r="M37" s="41" t="inlineStr">
        <is>
          <t>AUTHOR_RATIFIED</t>
        </is>
      </c>
      <c r="N37" s="41" t="inlineStr">
        <is>
          <t>APPROVE</t>
        </is>
      </c>
      <c r="O37" s="41" t="inlineStr"/>
      <c r="P37" s="41" t="inlineStr"/>
      <c r="Q37" s="41" t="n">
        <v>10</v>
      </c>
      <c r="R37" s="41" t="inlineStr">
        <is>
          <t>INCLUDE (10 released cells)</t>
        </is>
      </c>
      <c r="S37" s="41" t="inlineStr">
        <is>
          <t>AJP</t>
        </is>
      </c>
      <c r="T37" s="41" t="inlineStr">
        <is>
          <t>2026-09-10</t>
        </is>
      </c>
    </row>
    <row r="38">
      <c r="A38" s="41" t="inlineStr">
        <is>
          <t>BSR-MW-02</t>
        </is>
      </c>
      <c r="B38" s="41" t="inlineStr">
        <is>
          <t>Methodist / Wesleyan</t>
        </is>
      </c>
      <c r="C38" s="41" t="inlineStr">
        <is>
          <t>Confession of Faith of the Evangelical United Brethren Church</t>
        </is>
      </c>
      <c r="D38" s="41" t="inlineStr">
        <is>
          <t>CONFESSIONAL (Restrictive Rules)</t>
        </is>
      </c>
      <c r="E38" s="41" t="inlineStr">
        <is>
          <t>United Methodist Church</t>
        </is>
      </c>
      <c r="F38" s="41" t="inlineStr">
        <is>
          <t>JURISDICTIONAL</t>
        </is>
      </c>
      <c r="G38" s="41" t="inlineStr"/>
      <c r="H38"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8" s="41" t="inlineStr">
        <is>
          <t>umc.org</t>
        </is>
      </c>
      <c r="J38" s="41" t="inlineStr">
        <is>
          <t>https://www.umc.org/en/content/confession-of-faith</t>
        </is>
      </c>
      <c r="K38" s="41" t="inlineStr">
        <is>
          <t>HTML</t>
        </is>
      </c>
      <c r="L38" s="41" t="inlineStr"/>
      <c r="M38" s="41" t="inlineStr">
        <is>
          <t>AUTHOR_RATIFIED</t>
        </is>
      </c>
      <c r="N38" s="41" t="inlineStr">
        <is>
          <t>APPROVE</t>
        </is>
      </c>
      <c r="O38" s="41" t="inlineStr"/>
      <c r="P38" s="41" t="inlineStr"/>
      <c r="Q38" s="41" t="n">
        <v>8</v>
      </c>
      <c r="R38" s="41" t="inlineStr">
        <is>
          <t>INCLUDE (8 released cells)</t>
        </is>
      </c>
      <c r="S38" s="41" t="inlineStr">
        <is>
          <t>AJP</t>
        </is>
      </c>
      <c r="T38" s="41" t="inlineStr">
        <is>
          <t>2026-09-10</t>
        </is>
      </c>
    </row>
    <row r="39">
      <c r="A39" s="41" t="inlineStr">
        <is>
          <t>BSR-MW-03</t>
        </is>
      </c>
      <c r="B39" s="41" t="inlineStr">
        <is>
          <t>Methodist / Wesleyan</t>
        </is>
      </c>
      <c r="C39" s="41" t="inlineStr">
        <is>
          <t>Global Methodist Church, 2024 Book of Doctrines and Discipline</t>
        </is>
      </c>
      <c r="D39" s="41" t="inlineStr">
        <is>
          <t>CONFESSIONAL</t>
        </is>
      </c>
      <c r="E39" s="41" t="inlineStr">
        <is>
          <t>Global Methodist Church</t>
        </is>
      </c>
      <c r="F39" s="41" t="inlineStr">
        <is>
          <t>JURISDICTIONAL</t>
        </is>
      </c>
      <c r="G39" s="41" t="inlineStr">
        <is>
          <t>LINKED FROM: https://www.globalmethodist.org/our-beliefs---governance - the church's official page, from which this file is the linked English edition. Admitted under the controlled-storage ruling of 12 Sep 2026: irp.cdn-website.com/1876eae9/ is the Global Methodist Church's own storage account with its website vendor, not a third-party republication. The 2024 edition supersedes the 2022 Transitional Discipline. Sample phrase corrected: the text reads 'wisdom, and good', NOT 'goodness' - the earlier registry wording would have failed verbatim assertion. Verified against the author's own copy of the 2024 edition.</t>
        </is>
      </c>
      <c r="H39"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9" s="41" t="inlineStr">
        <is>
          <t>irp.cdn-website.com</t>
        </is>
      </c>
      <c r="J39" s="41" t="inlineStr">
        <is>
          <t>https://irp.cdn-website.com/1876eae9/files/uploaded/2024-Book-of-Doctrines-Discipline-FINAL-15JAN2025.pdf</t>
        </is>
      </c>
      <c r="K39" s="41" t="inlineStr">
        <is>
          <t>PDF - text layer present; controlled storage, admitted under the 12 Sep 2026 ruling</t>
        </is>
      </c>
      <c r="L39" s="41" t="inlineStr"/>
      <c r="M39" s="41" t="inlineStr">
        <is>
          <t>AUTHOR_RATIFIED</t>
        </is>
      </c>
      <c r="N39" s="41" t="inlineStr">
        <is>
          <t>APPROVE</t>
        </is>
      </c>
      <c r="O39" s="41" t="inlineStr"/>
      <c r="P39" s="41" t="inlineStr">
        <is>
          <t>Re-pointed to the 2024 Book of Doctrines and Discipline on the church's controlled storage, linked from its official governance page. Sample phrase corrected to 'wisdom, and good'.</t>
        </is>
      </c>
      <c r="Q39" s="41" t="inlineStr"/>
      <c r="R39" s="41" t="inlineStr">
        <is>
          <t>INCLUDE - Articles of Religion, Article I onward</t>
        </is>
      </c>
      <c r="S39" s="41" t="inlineStr">
        <is>
          <t>AJP</t>
        </is>
      </c>
      <c r="T39" s="41" t="inlineStr">
        <is>
          <t>2026-09-12</t>
        </is>
      </c>
    </row>
    <row r="40">
      <c r="A40" s="41" t="inlineStr">
        <is>
          <t>BSR-MW-04</t>
        </is>
      </c>
      <c r="B40" s="41" t="inlineStr">
        <is>
          <t>Methodist / Wesleyan</t>
        </is>
      </c>
      <c r="C40" s="41" t="inlineStr">
        <is>
          <t>The Wesleyan Church Articles of Religion</t>
        </is>
      </c>
      <c r="D40" s="41" t="inlineStr">
        <is>
          <t>CONFESSIONAL</t>
        </is>
      </c>
      <c r="E40" s="41" t="inlineStr">
        <is>
          <t>The Wesleyan Church</t>
        </is>
      </c>
      <c r="F40" s="41" t="inlineStr">
        <is>
          <t>JURISDICTIONAL</t>
        </is>
      </c>
      <c r="G40" s="41" t="inlineStr"/>
      <c r="H40"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40" s="41" t="inlineStr">
        <is>
          <t>wesleyan.org</t>
        </is>
      </c>
      <c r="J40" s="41" t="inlineStr">
        <is>
          <t>https://www.wesleyan.org/about/articles-of-religion</t>
        </is>
      </c>
      <c r="K40" s="41" t="inlineStr">
        <is>
          <t>HTML</t>
        </is>
      </c>
      <c r="L40" s="41" t="inlineStr"/>
      <c r="M40" s="41" t="inlineStr">
        <is>
          <t>AUTHOR_RATIFIED</t>
        </is>
      </c>
      <c r="N40" s="41" t="inlineStr">
        <is>
          <t>APPROVE</t>
        </is>
      </c>
      <c r="O40" s="41" t="inlineStr"/>
      <c r="P40" s="41" t="inlineStr"/>
      <c r="Q40" s="41" t="inlineStr"/>
      <c r="R40" s="41" t="inlineStr">
        <is>
          <t>AUTHOR CALL — Wesleyan-holiness witness</t>
        </is>
      </c>
      <c r="S40" s="41" t="inlineStr">
        <is>
          <t>AJP</t>
        </is>
      </c>
      <c r="T40" s="41" t="inlineStr">
        <is>
          <t>2026-09-10</t>
        </is>
      </c>
    </row>
    <row r="41">
      <c r="A41" s="41" t="inlineStr">
        <is>
          <t>BSR-MA-01</t>
        </is>
      </c>
      <c r="B41" s="41" t="inlineStr">
        <is>
          <t>Mennonite / Anabaptist</t>
        </is>
      </c>
      <c r="C41" s="41" t="inlineStr">
        <is>
          <t>Confession of Faith in a Mennonite Perspective (1995), Article 1 and following</t>
        </is>
      </c>
      <c r="D41" s="41" t="inlineStr">
        <is>
          <t>CONFESSIONAL (adopted 1995; "guidelines," not a creed)</t>
        </is>
      </c>
      <c r="E41" s="41" t="inlineStr">
        <is>
          <t>Mennonite Church USA and Mennonite Church Canada</t>
        </is>
      </c>
      <c r="F41" s="41" t="inlineStr">
        <is>
          <t>JURISDICTIONAL</t>
        </is>
      </c>
      <c r="G41" s="41" t="inlineStr"/>
      <c r="H41" s="41" t="inlineStr">
        <is>
          <t>The 1995 Confession describes itself as guidance for belief and practice rather than a creed; it speaks for the two adopting denominations, and historic confessions are received differently by other Anabaptist bodies.</t>
        </is>
      </c>
      <c r="I41" s="41" t="inlineStr">
        <is>
          <t>mennoniteusa.org</t>
        </is>
      </c>
      <c r="J41" s="41" t="inlineStr">
        <is>
          <t>https://www.mennoniteusa.org/who-are-mennonites/what-we-believe/confession-of-faith/god/</t>
        </is>
      </c>
      <c r="K41" s="41" t="inlineStr">
        <is>
          <t>HTML + PDF</t>
        </is>
      </c>
      <c r="L41" s="41" t="inlineStr"/>
      <c r="M41" s="41" t="inlineStr">
        <is>
          <t>AUTHOR_RATIFIED</t>
        </is>
      </c>
      <c r="N41" s="41" t="inlineStr">
        <is>
          <t>APPROVE</t>
        </is>
      </c>
      <c r="O41" s="41" t="inlineStr"/>
      <c r="P41" s="41" t="inlineStr"/>
      <c r="Q41" s="41" t="n">
        <v>13</v>
      </c>
      <c r="R41" s="41" t="inlineStr">
        <is>
          <t>INCLUDE (13 released cells)</t>
        </is>
      </c>
      <c r="S41" s="41" t="inlineStr">
        <is>
          <t>AJP</t>
        </is>
      </c>
      <c r="T41" s="41" t="inlineStr">
        <is>
          <t>2026-09-10</t>
        </is>
      </c>
    </row>
    <row r="42">
      <c r="A42" s="41" t="inlineStr">
        <is>
          <t>BSR-MA-02</t>
        </is>
      </c>
      <c r="B42" s="41" t="inlineStr">
        <is>
          <t>Mennonite / Anabaptist</t>
        </is>
      </c>
      <c r="C42" s="41" t="inlineStr">
        <is>
          <t>Dordrecht Confession (1632)</t>
        </is>
      </c>
      <c r="D42" s="41" t="inlineStr">
        <is>
          <t>CONFESSIONAL (historic; received by conservative bodies)</t>
        </is>
      </c>
      <c r="E42" s="41" t="inlineStr">
        <is>
          <t>Historic; no current binding statement</t>
        </is>
      </c>
      <c r="F42" s="41" t="inlineStr">
        <is>
          <t>HISTORIC_NO_CURRENT_BODY</t>
        </is>
      </c>
      <c r="G42" s="41" t="inlineStr"/>
      <c r="H42" s="41" t="inlineStr">
        <is>
          <t>The 1995 Confession describes itself as guidance for belief and practice rather than a creed; it speaks for the two adopting denominations, and historic confessions are received differently by other Anabaptist bodies.</t>
        </is>
      </c>
      <c r="I42" s="41" t="inlineStr">
        <is>
          <t>anabaptistresources.org</t>
        </is>
      </c>
      <c r="J42" s="41" t="inlineStr">
        <is>
          <t>https://www.anabaptistresources.org/en/resources/details/932/dordrecht-confession-of-faith</t>
        </is>
      </c>
      <c r="K42" s="41" t="inlineStr">
        <is>
          <t>PDF</t>
        </is>
      </c>
      <c r="L42" s="41" t="inlineStr"/>
      <c r="M42" s="41" t="inlineStr">
        <is>
          <t>AUTHOR_RATIFIED</t>
        </is>
      </c>
      <c r="N42" s="41" t="inlineStr">
        <is>
          <t>APPROVE</t>
        </is>
      </c>
      <c r="O42" s="41" t="inlineStr"/>
      <c r="P42" s="41" t="inlineStr"/>
      <c r="Q42" s="41" t="inlineStr"/>
      <c r="R42" s="41" t="inlineStr">
        <is>
          <t>AUTHOR CALL — host operator unidentified; gameo is the scholarly source but blocks fetch</t>
        </is>
      </c>
      <c r="S42" s="41" t="inlineStr">
        <is>
          <t>AJP</t>
        </is>
      </c>
      <c r="T42" s="41" t="inlineStr">
        <is>
          <t>2026-09-10</t>
        </is>
      </c>
    </row>
    <row r="43">
      <c r="A43" s="41" t="inlineStr">
        <is>
          <t>BSR-MA-03</t>
        </is>
      </c>
      <c r="B43" s="41" t="inlineStr">
        <is>
          <t>Mennonite / Anabaptist</t>
        </is>
      </c>
      <c r="C43" s="41" t="inlineStr">
        <is>
          <t>Schleitheim Confession (1527)</t>
        </is>
      </c>
      <c r="D43" s="41" t="inlineStr">
        <is>
          <t>CONFESSIONAL (historic)</t>
        </is>
      </c>
      <c r="E43" s="41" t="inlineStr">
        <is>
          <t>Historic</t>
        </is>
      </c>
      <c r="F43" s="41" t="inlineStr">
        <is>
          <t>HISTORIC_NO_CURRENT_BODY</t>
        </is>
      </c>
      <c r="G43" s="41" t="inlineStr"/>
      <c r="H43" s="41" t="inlineStr">
        <is>
          <t>The 1995 Confession describes itself as guidance for belief and practice rather than a creed; it speaks for the two adopting denominations, and historic confessions are received differently by other Anabaptist bodies.</t>
        </is>
      </c>
      <c r="I43" s="41" t="inlineStr">
        <is>
          <t>anabaptists.org</t>
        </is>
      </c>
      <c r="J43" s="41" t="inlineStr">
        <is>
          <t>https://www.anabaptists.org/history/the-schleitheim-confession.html</t>
        </is>
      </c>
      <c r="K43" s="41" t="inlineStr">
        <is>
          <t>HTML</t>
        </is>
      </c>
      <c r="L43" s="41" t="inlineStr"/>
      <c r="M43" s="41" t="inlineStr">
        <is>
          <t>RETIRED</t>
        </is>
      </c>
      <c r="N43" s="41" t="inlineStr">
        <is>
          <t>EXCLUDE</t>
        </is>
      </c>
      <c r="O43" s="41" t="inlineStr">
        <is>
          <t>WRONG_SUBJECT</t>
        </is>
      </c>
      <c r="P43" s="41" t="inlineStr"/>
      <c r="Q43" s="41" t="inlineStr"/>
      <c r="R43" s="41" t="inlineStr">
        <is>
          <t>EXCLUDE (ecclesial/ethical articles only)</t>
        </is>
      </c>
      <c r="S43" s="41" t="inlineStr">
        <is>
          <t>AJP</t>
        </is>
      </c>
      <c r="T43" s="41" t="inlineStr">
        <is>
          <t>2026-09-10</t>
        </is>
      </c>
    </row>
    <row r="44">
      <c r="A44" s="41" t="inlineStr">
        <is>
          <t>BSR-EO-07</t>
        </is>
      </c>
      <c r="B44" s="41" t="inlineStr">
        <is>
          <t>Eastern Orthodox</t>
        </is>
      </c>
      <c r="C44" s="41" t="inlineStr">
        <is>
          <t>Divine Liturgy of St John Chrysostom (American Carpatho-Russian Orthodox Diocese)</t>
        </is>
      </c>
      <c r="D44" s="41" t="inlineStr">
        <is>
          <t>CONFESSIONAL (liturgically confessed; the Creed within resolves CONCILIAR)</t>
        </is>
      </c>
      <c r="E44" s="41" t="inlineStr">
        <is>
          <t>American Carpatho-Russian Orthodox Diocese of North America (Ecumenical Patriarchate); the rite of the whole Byzantine tradition</t>
        </is>
      </c>
      <c r="F44" s="41" t="inlineStr">
        <is>
          <t>UNIVERSAL</t>
        </is>
      </c>
      <c r="G44" s="41" t="inlineStr">
        <is>
          <t>Replaces the goarch.org host, which is unusable: its bot check fails for human users in a normal browser, so a citation there cannot be audited by a reader. This translation keeps all four adjectives, so the verifier gets a lexical match rather than a floor judgment. The Creed on the same page reads 'Creator of heaven and earth', not 'Maker' - cut every phrase from this file. RISK: the page footer discloses the site runs on the Department of Internet Ministries of the Greek Orthodox Archdiocese of America, the same platform as the failed host, so BSR-EO-14 exists as the independent-infrastructure alternate. No translator credited.</t>
        </is>
      </c>
      <c r="H44"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4" s="41" t="inlineStr">
        <is>
          <t>acrod.org</t>
        </is>
      </c>
      <c r="J44" s="41" t="inlineStr">
        <is>
          <t>https://www.acrod.org/prayercorner/liturgicaltexts/divineliturgy</t>
        </is>
      </c>
      <c r="K44" s="41" t="inlineStr">
        <is>
          <t>HTML - plain, no JavaScript, no bot challenge</t>
        </is>
      </c>
      <c r="L44" s="41" t="inlineStr"/>
      <c r="M44" s="41" t="inlineStr">
        <is>
          <t>AUTHOR_RATIFIED</t>
        </is>
      </c>
      <c r="N44" s="41" t="inlineStr">
        <is>
          <t>APPROVE</t>
        </is>
      </c>
      <c r="O44" s="41" t="inlineStr"/>
      <c r="P44" s="41" t="inlineStr">
        <is>
          <t>Re-hosted to acrod.org. goarch.org retired as a registry host: its bot check fails for human users, so a citation there cannot be audited.</t>
        </is>
      </c>
      <c r="Q44" s="41" t="inlineStr"/>
      <c r="R44" s="41" t="inlineStr">
        <is>
          <t>INCLUDE - division THE ANAPHORA; carries all four adjectives</t>
        </is>
      </c>
      <c r="S44" s="41" t="inlineStr">
        <is>
          <t>AJP</t>
        </is>
      </c>
      <c r="T44" s="41" t="inlineStr">
        <is>
          <t>2026-09-12</t>
        </is>
      </c>
    </row>
    <row r="45">
      <c r="A45" s="41" t="inlineStr">
        <is>
          <t>BSR-EO-08</t>
        </is>
      </c>
      <c r="B45" s="41" t="inlineStr">
        <is>
          <t>Eastern Orthodox</t>
        </is>
      </c>
      <c r="C45" s="41" t="inlineStr">
        <is>
          <t>Anaphora of St Basil the Great (Romanian Orthodox Episcopate of America)</t>
        </is>
      </c>
      <c r="D45" s="41" t="inlineStr">
        <is>
          <t>CONFESSIONAL (liturgically confessed)</t>
        </is>
      </c>
      <c r="E45" s="41" t="inlineStr">
        <is>
          <t>Romanian Orthodox Episcopate of America; the rite of the whole Byzantine tradition</t>
        </is>
      </c>
      <c r="F45" s="41" t="inlineStr">
        <is>
          <t>UNIVERSAL</t>
        </is>
      </c>
      <c r="G45" s="41" t="inlineStr">
        <is>
          <t>This translation reads 'unseen' and 'immutable'; the words invisible, ineffable and unchangeable do not occur in it. Domain is roea.org - roeaoca.org does not resolve.</t>
        </is>
      </c>
      <c r="H45"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5" s="41" t="inlineStr">
        <is>
          <t>roea.org</t>
        </is>
      </c>
      <c r="J45" s="41" t="inlineStr">
        <is>
          <t>https://roea.org/wp-content/uploads/2026/04/ST-BASIL-LITURGY-PRAYERS.pdf</t>
        </is>
      </c>
      <c r="K45" s="41" t="inlineStr">
        <is>
          <t>PDF - text layer present</t>
        </is>
      </c>
      <c r="L45" s="41" t="inlineStr"/>
      <c r="M45" s="41" t="inlineStr">
        <is>
          <t>AUTHOR_RATIFIED</t>
        </is>
      </c>
      <c r="N45" s="41" t="inlineStr">
        <is>
          <t>APPROVE</t>
        </is>
      </c>
      <c r="O45" s="41" t="inlineStr"/>
      <c r="P45" s="41" t="inlineStr"/>
      <c r="Q45" s="41" t="inlineStr"/>
      <c r="R45" s="41" t="inlineStr">
        <is>
          <t>INCLUDE - division 'The Prayer of Praise and Thanksgiving [Anaphora]'</t>
        </is>
      </c>
      <c r="S45" s="41" t="inlineStr">
        <is>
          <t>AJP</t>
        </is>
      </c>
      <c r="T45" s="41" t="inlineStr">
        <is>
          <t>2026-09-12</t>
        </is>
      </c>
    </row>
    <row r="46">
      <c r="A46" s="41" t="inlineStr">
        <is>
          <t>BSR-EO-09</t>
        </is>
      </c>
      <c r="B46" s="41" t="inlineStr">
        <is>
          <t>Eastern Orthodox</t>
        </is>
      </c>
      <c r="C46" s="41" t="inlineStr">
        <is>
          <t>The Synodikon of Orthodoxy (Romanian Orthodox Episcopate of America)</t>
        </is>
      </c>
      <c r="D46" s="41" t="inlineStr">
        <is>
          <t>CONFESSIONAL (liturgically proclaimed)</t>
        </is>
      </c>
      <c r="E46" s="41" t="inlineStr">
        <is>
          <t>Proclaimed on the Sunday of Orthodoxy across the Byzantine rite</t>
        </is>
      </c>
      <c r="F46" s="41" t="inlineStr">
        <is>
          <t>UNIVERSAL</t>
        </is>
      </c>
      <c r="G46" s="41" t="inlineStr">
        <is>
          <t>BLOCKING GUARD, not a caveat: most Trinitarian sentences here are anathematised propositions - 'To those who dare to say that the Son of God, and likewise the Holy Spirit, are not one in essence with the Father ... ANATHEMA!' Quoting the inner clause inverts the doctrine. The corpus builder must mark anathema-framed clauses non-citable and that guard must be tested before this row is released to the agents. Section 2 is the safe region.</t>
        </is>
      </c>
      <c r="H46"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6" s="41" t="inlineStr">
        <is>
          <t>roea.org</t>
        </is>
      </c>
      <c r="J46" s="41" t="inlineStr">
        <is>
          <t>https://roea.org/wp-content/uploads/2026/04/The-Synodikon-of-Orthodoxy-I.pdf</t>
        </is>
      </c>
      <c r="K46" s="41" t="inlineStr">
        <is>
          <t>PDF - text layer; BLOCKING GUARD: anathema-framed clauses non-citable</t>
        </is>
      </c>
      <c r="L46" s="41" t="inlineStr"/>
      <c r="M46" s="41" t="inlineStr">
        <is>
          <t>AUTHOR_RATIFIED</t>
        </is>
      </c>
      <c r="N46" s="41" t="inlineStr">
        <is>
          <t>APPROVE</t>
        </is>
      </c>
      <c r="O46" s="41" t="inlineStr"/>
      <c r="P46" s="41" t="inlineStr"/>
      <c r="Q46" s="41" t="inlineStr"/>
      <c r="R46" s="41" t="inlineStr">
        <is>
          <t>INCLUDE WITH BLOCKING CORPUS GUARD - sections 1-6; section 2 is The Symbol of Faith</t>
        </is>
      </c>
      <c r="S46" s="41" t="inlineStr">
        <is>
          <t>AJP</t>
        </is>
      </c>
      <c r="T46" s="41" t="inlineStr">
        <is>
          <t>2026-09-12</t>
        </is>
      </c>
    </row>
    <row r="47">
      <c r="A47" s="41" t="inlineStr">
        <is>
          <t>BSR-EO-10</t>
        </is>
      </c>
      <c r="B47" s="41" t="inlineStr">
        <is>
          <t>Eastern Orthodox</t>
        </is>
      </c>
      <c r="C47" s="41" t="inlineStr">
        <is>
          <t>Holy and Great Council of Crete (2016) - official documents</t>
        </is>
      </c>
      <c r="D47" s="41" t="inlineStr">
        <is>
          <t>CONCILIAR (participating churches)</t>
        </is>
      </c>
      <c r="E47" s="41" t="inlineStr">
        <is>
          <t>The ten autocephalous Churches that participated; Antioch, Russia, Bulgaria and Georgia did not</t>
        </is>
      </c>
      <c r="F47" s="41" t="inlineStr">
        <is>
          <t>PARTICIPATING_BODIES</t>
        </is>
      </c>
      <c r="G47" s="41" t="inlineStr">
        <is>
          <t>Four autocephalous Churches were absent, so this is not received pan-Orthodoxly. By the GOARCH criterion recorded on BSR-EO-05 it is also a post-eighth-century synod and therefore secondary. Every Crete text is pastoral, missional or ecclesiological in purpose, so its Trinitarian sentences are openings and doxologies rather than the documents' subject.</t>
        </is>
      </c>
      <c r="H47"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7" s="41" t="inlineStr">
        <is>
          <t>holycouncil.org</t>
        </is>
      </c>
      <c r="J47" s="41" t="inlineStr">
        <is>
          <t>https://www.holycouncil.org/rest-of-christian-world</t>
        </is>
      </c>
      <c r="K47" s="41" t="inlineStr">
        <is>
          <t>HTML - plain; parallel Greek/English/Russian/French</t>
        </is>
      </c>
      <c r="L47" s="41" t="inlineStr"/>
      <c r="M47" s="41" t="inlineStr">
        <is>
          <t>AUTHOR_RATIFIED</t>
        </is>
      </c>
      <c r="N47" s="41" t="inlineStr">
        <is>
          <t>APPROVE</t>
        </is>
      </c>
      <c r="O47" s="41" t="inlineStr"/>
      <c r="P47" s="41" t="inlineStr"/>
      <c r="Q47" s="41" t="inlineStr"/>
      <c r="R47" s="41" t="inlineStr">
        <is>
          <t>INCLUDE - flat-numbered paragraphs 1-24; Encyclical is sections I-VII with paragraphs 1-20</t>
        </is>
      </c>
      <c r="S47" s="41" t="inlineStr">
        <is>
          <t>AJP</t>
        </is>
      </c>
      <c r="T47" s="41" t="inlineStr">
        <is>
          <t>2026-09-12</t>
        </is>
      </c>
    </row>
    <row r="48">
      <c r="A48" s="41" t="inlineStr">
        <is>
          <t>BSR-EO-11</t>
        </is>
      </c>
      <c r="B48" s="41" t="inlineStr">
        <is>
          <t>Eastern Orthodox</t>
        </is>
      </c>
      <c r="C48" s="41" t="inlineStr">
        <is>
          <t>Chalcedon clause as witnessed by the Patriarchate of Antioch</t>
        </is>
      </c>
      <c r="D48" s="41" t="inlineStr">
        <is>
          <t>CONCILIAR (witness; translation)</t>
        </is>
      </c>
      <c r="E48" s="41" t="inlineStr">
        <is>
          <t>Greek Orthodox Patriarchate of Antioch - witness to a universally received council</t>
        </is>
      </c>
      <c r="F48" s="41" t="inlineStr">
        <is>
          <t>UNIVERSAL</t>
        </is>
      </c>
      <c r="G48" s="41" t="inlineStr">
        <is>
          <t>Carries the clause in English with the Greek and the Latin inline. But it is an unsigned, undated devotional article quoting a fragment of the horos, beginning mid-sentence, with no session or horos locator, no edition cited, and a typo ('Chirst') in the text. Nothing on 680-681. BSR-EO-06 remains the controlling conciliar text.</t>
        </is>
      </c>
      <c r="H48"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8" s="41" t="inlineStr">
        <is>
          <t>antiochpatriarchate.org</t>
        </is>
      </c>
      <c r="J48" s="41" t="inlineStr">
        <is>
          <t>https://antiochpatriarchate.org/en/page/whose-goings-forth-are-from-of-old-from-everlasting/2320/</t>
        </is>
      </c>
      <c r="K48" s="41" t="inlineStr">
        <is>
          <t>HTML - plain</t>
        </is>
      </c>
      <c r="L48" s="41" t="inlineStr"/>
      <c r="M48" s="41" t="inlineStr">
        <is>
          <t>AUTHOR_RATIFIED</t>
        </is>
      </c>
      <c r="N48" s="41" t="inlineStr">
        <is>
          <t>APPROVE</t>
        </is>
      </c>
      <c r="O48" s="41" t="inlineStr"/>
      <c r="P48" s="41" t="inlineStr"/>
      <c r="Q48" s="41" t="n">
        <v>1</v>
      </c>
      <c r="R48" s="41" t="inlineStr">
        <is>
          <t>INCLUDE AS WITNESS ONLY - not the controlling text; 1 released cell (Q-434)</t>
        </is>
      </c>
      <c r="S48" s="41" t="inlineStr">
        <is>
          <t>AJP</t>
        </is>
      </c>
      <c r="T48" s="41" t="inlineStr">
        <is>
          <t>2026-09-12</t>
        </is>
      </c>
    </row>
    <row r="49">
      <c r="A49" s="41" t="inlineStr">
        <is>
          <t>BSR-EO-12</t>
        </is>
      </c>
      <c r="B49" s="41" t="inlineStr">
        <is>
          <t>Eastern Orthodox</t>
        </is>
      </c>
      <c r="C49" s="41" t="inlineStr">
        <is>
          <t>Nicene-Constantinopolitan Creed in Greek (Metropolis of Monemvasia and Sparta)</t>
        </is>
      </c>
      <c r="D49" s="41" t="inlineStr">
        <is>
          <t>CONCILIAR (original language)</t>
        </is>
      </c>
      <c r="E49" s="41" t="inlineStr">
        <is>
          <t>A metropolis of the Church of Greece; the Creed of the whole Church</t>
        </is>
      </c>
      <c r="F49" s="41" t="inlineStr">
        <is>
          <t>UNIVERSAL</t>
        </is>
      </c>
      <c r="G49" s="41" t="inlineStr">
        <is>
          <t>The one place the Dei Filius pattern transfers cleanly: original-language text on an official ecclesiastical host controls, English is the reading witness. The Church of Greece library at myriobiblos.gr also carries the Creed in ancient Greek, but as transmitted in a letter of Photios - first-person Pisteuo rather than the conciliar Pisteuomen, and with no article divisions.</t>
        </is>
      </c>
      <c r="H49"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9" s="41" t="inlineStr">
        <is>
          <t>immspartis.gr</t>
        </is>
      </c>
      <c r="J49" s="41" t="inlineStr">
        <is>
          <t>https://immspartis.gr/ofelima/to-symvolo/</t>
        </is>
      </c>
      <c r="K49" s="41" t="inlineStr">
        <is>
          <t>HTML - plain, Greek</t>
        </is>
      </c>
      <c r="L49" s="41" t="inlineStr"/>
      <c r="M49" s="41" t="inlineStr">
        <is>
          <t>AUTHOR_RATIFIED</t>
        </is>
      </c>
      <c r="N49" s="41" t="inlineStr">
        <is>
          <t>APPROVE</t>
        </is>
      </c>
      <c r="O49" s="41" t="inlineStr"/>
      <c r="P49" s="41" t="inlineStr"/>
      <c r="Q49" s="41" t="inlineStr"/>
      <c r="R49" s="41" t="inlineStr">
        <is>
          <t>INCLUDE - twelve numbered articles; the original-language control</t>
        </is>
      </c>
      <c r="S49" s="41" t="inlineStr">
        <is>
          <t>AJP</t>
        </is>
      </c>
      <c r="T49" s="41" t="inlineStr">
        <is>
          <t>2026-09-12</t>
        </is>
      </c>
    </row>
    <row r="50">
      <c r="A50" s="41" t="inlineStr">
        <is>
          <t>BSR-EO-13</t>
        </is>
      </c>
      <c r="B50" s="41" t="inlineStr">
        <is>
          <t>Eastern Orthodox</t>
        </is>
      </c>
      <c r="C50" s="41" t="inlineStr">
        <is>
          <t>Third Council of Constantinople (New Advent transcription) - LINEAGE</t>
        </is>
      </c>
      <c r="D50" s="41" t="inlineStr">
        <is>
          <t>CONCILIAR (translation)</t>
        </is>
      </c>
      <c r="E50" s="41" t="inlineStr">
        <is>
          <t>-</t>
        </is>
      </c>
      <c r="F50" s="41" t="inlineStr">
        <is>
          <t>TRANSLATION_WITNESS</t>
        </is>
      </c>
      <c r="G50" s="41" t="inlineStr">
        <is>
          <t>Restores a domain that R001 admitted before 12 September and that the Draft2 edit dropped in error, breaking released cell Q-034. AC-02 ratified MIGRATE_WHERE_OFFICIAL - migrate where an official host exists - and a search across eleven Orthodox jurisdictions on 12 Sep 2026 established that none publishes the conciliar definitions, so the condition in the ratified decision keeps this host eligible. Registered as its own row rather than as a second domain on BSR-EO-06, following the BSR-RC-05 pattern, so that publisher_domain names it explicitly and R001 admits it by design rather than by parsing prose.</t>
        </is>
      </c>
      <c r="H50"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50" s="41" t="inlineStr">
        <is>
          <t>newadvent.org</t>
        </is>
      </c>
      <c r="J50" s="41" t="inlineStr">
        <is>
          <t>https://www.newadvent.org/fathers/3813.htm</t>
        </is>
      </c>
      <c r="K50" s="41" t="inlineStr">
        <is>
          <t>HTML - pages truncate on retrieval; witness role only</t>
        </is>
      </c>
      <c r="L50" s="41" t="inlineStr"/>
      <c r="M50" s="41" t="inlineStr">
        <is>
          <t>AUTHOR_RATIFIED</t>
        </is>
      </c>
      <c r="N50" s="41" t="inlineStr">
        <is>
          <t>APPROVE</t>
        </is>
      </c>
      <c r="O50" s="41" t="inlineStr"/>
      <c r="P50" s="41" t="inlineStr">
        <is>
          <t>Ratified in conversation 2026-09-12. Restores the newadvent.org domain that R001 admitted before the Draft2 edit of BSR-EO-06 dropped it, breaking released cell Q-034. Registered as its own LINEAGE row on the BSR-RC-05 pattern so publisher_domain names the host explicitly, rather than as prose inside another row's canonical_url.</t>
        </is>
      </c>
      <c r="Q50" s="41" t="n">
        <v>1</v>
      </c>
      <c r="R50" s="41" t="inlineStr">
        <is>
          <t>LINEAGE - 1 released cell (Q-034); retained under AC-02</t>
        </is>
      </c>
      <c r="S50" s="41" t="inlineStr">
        <is>
          <t>AJP</t>
        </is>
      </c>
      <c r="T50" s="41" t="inlineStr">
        <is>
          <t>2026-09-12</t>
        </is>
      </c>
    </row>
    <row r="51">
      <c r="A51" s="41" t="inlineStr">
        <is>
          <t>BSR-EO-14</t>
        </is>
      </c>
      <c r="B51" s="41" t="inlineStr">
        <is>
          <t>Eastern Orthodox</t>
        </is>
      </c>
      <c r="C51" s="41" t="inlineStr">
        <is>
          <t>Divine Liturgy of St John Chrysostom (Greek Orthodox Archdiocese of Canada)</t>
        </is>
      </c>
      <c r="D51" s="41" t="inlineStr">
        <is>
          <t>CONFESSIONAL (liturgically confessed; the Creed within resolves CONCILIAR)</t>
        </is>
      </c>
      <c r="E51" s="41" t="inlineStr">
        <is>
          <t>Greek Orthodox Archdiocese of Canada (Ecumenical Patriarchate); the rite of the whole Byzantine tradition</t>
        </is>
      </c>
      <c r="F51" s="41" t="inlineStr">
        <is>
          <t>UNIVERSAL</t>
        </is>
      </c>
      <c r="G51" s="41" t="inlineStr">
        <is>
          <t>Registered alongside BSR-EO-07 so the branch does not depend on a single host again. Independent infrastructure - its own WordPress, not the GOARCH Internet Ministries platform - and dual format, so the text survives a page restructure. WORDING DIFFERS from BSR-EO-07: this translation reads 'beyond comprehension' and 'beyond understanding' where ACROD reads 'inconceivable' and 'incomprehensible'. Both are faithful; a cell must quote whichever file it cites. The Creed here reads 'Creator of heaven and earth and of all things visible and invisible' with no comma after 'earth'. No translator credited.</t>
        </is>
      </c>
      <c r="H51"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51" s="41" t="inlineStr">
        <is>
          <t>goarchdiocese.ca</t>
        </is>
      </c>
      <c r="J51" s="41" t="inlineStr">
        <is>
          <t>https://goarchdiocese.ca/divine-liturgy-of-saint-john-chrysostom/</t>
        </is>
      </c>
      <c r="K51" s="41" t="inlineStr">
        <is>
          <t>HTML plus text-layer PDF at /wp-content/uploads/2011/10/Divine-Liturgy-of-Saint-John-Chrysostom-PDF.pdf</t>
        </is>
      </c>
      <c r="L51" s="41" t="inlineStr"/>
      <c r="M51" s="41" t="inlineStr">
        <is>
          <t>AUTHOR_RATIFIED</t>
        </is>
      </c>
      <c r="N51" s="41" t="inlineStr">
        <is>
          <t>APPROVE</t>
        </is>
      </c>
      <c r="O51" s="41" t="inlineStr"/>
      <c r="P51" s="41" t="inlineStr">
        <is>
          <t>New row. Registered alongside BSR-EO-07 for independent infrastructure and dual format.</t>
        </is>
      </c>
      <c r="Q51" s="41" t="inlineStr"/>
      <c r="R51" s="41" t="inlineStr">
        <is>
          <t>INCLUDE - division THE HOLY ANAPHORA; the durable alternate to BSR-EO-07</t>
        </is>
      </c>
      <c r="S51" s="41" t="inlineStr">
        <is>
          <t>AJP</t>
        </is>
      </c>
      <c r="T51" s="41" t="inlineStr">
        <is>
          <t>2026-09-12</t>
        </is>
      </c>
    </row>
  </sheetData>
  <mergeCells count="2">
    <mergeCell ref="A1:T1"/>
    <mergeCell ref="A2:T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ColWidth="12.63" defaultRowHeight="15" customHeight="1"/>
  <cols>
    <col width="34" customWidth="1" style="29" min="1" max="1"/>
    <col width="92" customWidth="1" style="29" min="2" max="2"/>
    <col width="8.630000000000001" customWidth="1" style="29" min="3" max="26"/>
  </cols>
  <sheetData>
    <row r="1">
      <c r="A1" s="5" t="inlineStr">
        <is>
          <t>Term</t>
        </is>
      </c>
      <c r="B1" s="5" t="inlineStr">
        <is>
          <t>Working definition</t>
        </is>
      </c>
    </row>
    <row r="2">
      <c r="A2" s="4" t="inlineStr">
        <is>
          <t>Predicate family</t>
        </is>
      </c>
      <c r="B2" s="4" t="inlineStr">
        <is>
          <t>A normalized theological proposition/concept counted once even when similar language recurs in multiple documents.</t>
        </is>
      </c>
    </row>
    <row r="3">
      <c r="A3" s="4" t="inlineStr">
        <is>
          <t>Kataphatic / positive</t>
        </is>
      </c>
      <c r="B3" s="4" t="inlineStr">
        <is>
          <t>Affirmative language about who God is or what God does.</t>
        </is>
      </c>
    </row>
    <row r="4">
      <c r="A4" s="4" t="inlineStr">
        <is>
          <t>Apophatic / privative</t>
        </is>
      </c>
      <c r="B4" s="4" t="inlineStr">
        <is>
          <t>Language describing God by negation, denial, or limits placed on creaturely categories.</t>
        </is>
      </c>
    </row>
    <row r="5">
      <c r="A5" s="4" t="inlineStr">
        <is>
          <t>A — Substantive Agreement</t>
        </is>
      </c>
      <c r="B5" s="4" t="inlineStr">
        <is>
          <t>The same or substantially equivalent proposition is affirmed at the controlling semantic floor.</t>
        </is>
      </c>
    </row>
    <row r="6">
      <c r="A6" s="4" t="inlineStr">
        <is>
          <t>Q — Qualified / Redefined Agreement</t>
        </is>
      </c>
      <c r="B6" s="4" t="inlineStr">
        <is>
          <t>A genuine concern is shared, but ontology, mechanism, scope, or metaphysical interpretation is materially changed.</t>
        </is>
      </c>
    </row>
    <row r="7">
      <c r="A7" s="4" t="inlineStr">
        <is>
          <t>D — Direct Divergence</t>
        </is>
      </c>
      <c r="B7" s="4" t="inlineStr">
        <is>
          <t>The historical proposition, at its accepted scope, is incompatible with authoritative Restoration teaching.</t>
        </is>
      </c>
    </row>
    <row r="8">
      <c r="A8" s="4" t="inlineStr">
        <is>
          <t>U — Underdetermined</t>
        </is>
      </c>
      <c r="B8" s="4" t="inlineStr">
        <is>
          <t>Available evidence is insufficient for a responsible classification.</t>
        </is>
      </c>
    </row>
    <row r="9">
      <c r="A9" s="4" t="inlineStr">
        <is>
          <t>Continuity</t>
        </is>
      </c>
      <c r="B9" s="4" t="inlineStr">
        <is>
          <t>Teaching label for inherited A rows.</t>
        </is>
      </c>
    </row>
    <row r="10">
      <c r="A10" s="4" t="inlineStr">
        <is>
          <t>Reconstruction / qualified continuity</t>
        </is>
      </c>
      <c r="B10" s="4" t="inlineStr">
        <is>
          <t>Teaching label for inherited Q rows; descriptive comparison, not proof of primitive-Christian recovery.</t>
        </is>
      </c>
    </row>
    <row r="11">
      <c r="A11" s="4" t="inlineStr">
        <is>
          <t>Rejection / direct divergence</t>
        </is>
      </c>
      <c r="B11" s="4" t="inlineStr">
        <is>
          <t>Teaching label for inherited D rows; does not establish historical origin or corruption.</t>
        </is>
      </c>
    </row>
    <row r="12">
      <c r="A12" s="4" t="inlineStr">
        <is>
          <t>Expansion</t>
        </is>
      </c>
      <c r="B12" s="4" t="inlineStr">
        <is>
          <t>Teaching label for A01–A26 Restoration additions relative to the admitted historical creed/confession corpus.</t>
        </is>
      </c>
    </row>
    <row r="13">
      <c r="A13" s="4" t="inlineStr">
        <is>
          <t>Semantic floor</t>
        </is>
      </c>
      <c r="B13" s="4" t="inlineStr">
        <is>
          <t>The minimum proposition that controls a comparison; prevents a shared term from importing all of a tradition's thicker metaphysical entailments.</t>
        </is>
      </c>
    </row>
    <row r="14">
      <c r="A14" s="4" t="inlineStr">
        <is>
          <t>Authority Tier I</t>
        </is>
      </c>
      <c r="B14" s="4" t="inlineStr">
        <is>
          <t>Canonical scripture in the project source-role model.</t>
        </is>
      </c>
    </row>
    <row r="15">
      <c r="A15" s="4" t="inlineStr">
        <is>
          <t>Authority Tier II</t>
        </is>
      </c>
      <c r="B15" s="4" t="inlineStr">
        <is>
          <t>Collective / strongly authoritative official doctrine in the project source-role model.</t>
        </is>
      </c>
    </row>
    <row r="16">
      <c r="A16" s="4" t="inlineStr">
        <is>
          <t>Authority Tier III</t>
        </is>
      </c>
      <c r="B16" s="4" t="inlineStr">
        <is>
          <t>Attributable prophetic / apostolic exposition in the project source-role model.</t>
        </is>
      </c>
    </row>
    <row r="17">
      <c r="A17" s="4" t="inlineStr">
        <is>
          <t>Corpus-relative addition</t>
        </is>
      </c>
      <c r="B17" s="4" t="inlineStr">
        <is>
          <t>Present as a positive Restoration proposition but absent as a substantive positive doctrine from the admitted historical creed/confession corpus.</t>
        </is>
      </c>
    </row>
    <row r="18">
      <c r="A18" s="4" t="inlineStr">
        <is>
          <t>Historical antecedent</t>
        </is>
      </c>
      <c r="B18" s="4" t="inlineStr">
        <is>
          <t>An earlier biblical, patristic, medieval, or later-Christian analogue; analogue does not automatically mean exact equivalence.</t>
        </is>
      </c>
    </row>
    <row r="19">
      <c r="A19" s="4" t="inlineStr">
        <is>
          <t>External validation</t>
        </is>
      </c>
      <c r="B19" s="4" t="inlineStr">
        <is>
          <t>Independent blinded coding planned for scholarly publication; not yet completed in the current project state.</t>
        </is>
      </c>
    </row>
    <row r="20">
      <c r="A20" s="4" t="inlineStr">
        <is>
          <t>Unity of faith</t>
        </is>
      </c>
      <c r="B20" s="4" t="inlineStr">
        <is>
          <t>For teaching use: shared discipleship and common faith need not imply total conformity of doctrinal interpretation.</t>
        </is>
      </c>
    </row>
    <row r="21" ht="15.75" customHeight="1" s="29">
      <c r="A21" s="4" t="n"/>
      <c r="B21" s="4" t="n"/>
    </row>
    <row r="22" ht="15.75" customHeight="1" s="29">
      <c r="A22" s="4" t="inlineStr">
        <is>
          <t>Tradition matrix cell</t>
        </is>
      </c>
      <c r="B22" s="4" t="inlineStr">
        <is>
          <t>A/Q/D means the inherited predicate is source-attested for that tradition in the working source-report reconstruction and carries the current Latter-day Saint comparison code; NL means not located.</t>
        </is>
      </c>
    </row>
    <row r="23" ht="15.75" customHeight="1" s="29">
      <c r="A23" s="4" t="inlineStr">
        <is>
          <t>NL — Not located</t>
        </is>
      </c>
      <c r="B23" s="4" t="inlineStr">
        <is>
          <t>No admitted source in the working reconstruction was located for the predicate. It is a comparison gap, not a denial and not proof of absence from the tradition.</t>
        </is>
      </c>
    </row>
    <row r="24" ht="15.75" customHeight="1" s="29">
      <c r="A24" s="4" t="inlineStr">
        <is>
          <t>Minimum-attestation denominator</t>
        </is>
      </c>
      <c r="B24" s="4" t="inlineStr">
        <is>
          <t>A tradition denominator includes only inherited predicates explicitly attested by an admitted tradition-specific source.</t>
        </is>
      </c>
    </row>
    <row r="25" ht="15.75" customHeight="1" s="29">
      <c r="A25" s="4" t="inlineStr">
        <is>
          <t>SR-R</t>
        </is>
      </c>
      <c r="B25" s="4" t="inlineStr">
        <is>
          <t>Source-report reconstruction. Used where the accepted aggregate/profile controls are known but the exact Session 19B final cell artifact is not currently recovered.</t>
        </is>
      </c>
    </row>
    <row r="26" ht="15.75" customHeight="1" s="29">
      <c r="A26" s="4" t="inlineStr">
        <is>
          <t>Tradition scope</t>
        </is>
      </c>
      <c r="B26" s="4" t="inlineStr">
        <is>
          <t>The institution, jurisdiction, or historical confessional family to which a source can responsibly be attributed; broad family inflation is prohibited.</t>
        </is>
      </c>
    </row>
    <row r="27" ht="15.75" customHeight="1" s="29">
      <c r="A27" s="4" t="inlineStr">
        <is>
          <t>Branch profile</t>
        </is>
      </c>
      <c r="B27" s="4" t="inlineStr">
        <is>
          <t>Provisional A/Q/D distribution among source-attested predicates for one tradition family; not a publication-final closeness ranking.</t>
        </is>
      </c>
    </row>
    <row r="28" ht="15.75" customHeight="1" s="29">
      <c r="A28" s="4" t="n"/>
      <c r="B28" s="4" t="n"/>
    </row>
    <row r="29" ht="15.75" customHeight="1" s="29">
      <c r="A29" s="4" t="inlineStr">
        <is>
          <t>Direct observation</t>
        </is>
      </c>
      <c r="B29" s="4" t="inlineStr">
        <is>
          <t>A statement limited to what the controlled cells, counts, proportions, or source-attested breadth directly display.</t>
        </is>
      </c>
    </row>
    <row r="30" ht="15.75" customHeight="1" s="29">
      <c r="A30" s="4" t="inlineStr">
        <is>
          <t>Defensible inference</t>
        </is>
      </c>
      <c r="B30" s="4" t="inlineStr">
        <is>
          <t>A bounded interpretation that follows from the observed pattern if the corpus, coding, and source-scope assumptions are accepted.</t>
        </is>
      </c>
    </row>
    <row r="31" ht="15.75" customHeight="1" s="29">
      <c r="A31" s="4" t="inlineStr">
        <is>
          <t>Alternative interpretation</t>
        </is>
      </c>
      <c r="B31" s="4" t="inlineStr">
        <is>
          <t>A plausible competing explanation or methodological challenge that should be considered before treating an inference as settled.</t>
        </is>
      </c>
    </row>
    <row r="32" ht="15.75" customHeight="1" s="29">
      <c r="A32" s="4" t="inlineStr">
        <is>
          <t>Prohibited over-inference</t>
        </is>
      </c>
      <c r="B32" s="4" t="inlineStr">
        <is>
          <t>A stronger claim the current data do not establish, such as treating NL as denial or predicate counts as proof of historical causation.</t>
        </is>
      </c>
    </row>
    <row r="33" ht="15.75" customHeight="1" s="29">
      <c r="A33" s="4" t="inlineStr">
        <is>
          <t>Inference support layer</t>
        </is>
      </c>
      <c r="B33" s="4" t="inlineStr">
        <is>
          <t>The workbook layer connecting formula-derived metrics to observations, bounded inferences, counterinterpretations, drill-down evidence, and teaching prompts.</t>
        </is>
      </c>
    </row>
    <row r="34" ht="15.75" customHeight="1" s="29">
      <c r="A34" s="0" t="inlineStr">
        <is>
          <t>H43 Eastern Orthodox note (learner-facing)</t>
        </is>
      </c>
      <c r="B34" s="0" t="inlineStr">
        <is>
          <t>Eastern Orthodox teaching affirms divine simplicity, but the Orthodox distinction between God's essence and His energies means the Western formula "without parts" is not simply equivalent; this cell stays pending review rather than being coded D.</t>
        </is>
      </c>
    </row>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12.63" defaultRowHeight="15" customHeight="1"/>
  <cols>
    <col width="18" customWidth="1" style="29" min="1" max="1"/>
    <col width="36" customWidth="1" style="29" min="2" max="2"/>
    <col width="56" customWidth="1" style="29" min="3" max="3"/>
    <col width="62" customWidth="1" style="29" min="4" max="5"/>
    <col width="8.630000000000001" customWidth="1" style="29" min="6" max="26"/>
  </cols>
  <sheetData>
    <row r="1">
      <c r="A1" s="5" t="inlineStr">
        <is>
          <t>Predicate link</t>
        </is>
      </c>
      <c r="B1" s="5" t="inlineStr">
        <is>
          <t>Topic</t>
        </is>
      </c>
      <c r="C1" s="5" t="inlineStr">
        <is>
          <t>Historical analogue / source stream</t>
        </is>
      </c>
      <c r="D1" s="5" t="inlineStr">
        <is>
          <t>What is genuinely analogous</t>
        </is>
      </c>
      <c r="E1" s="5" t="inlineStr">
        <is>
          <t>Material difference that must remain explicit</t>
        </is>
      </c>
    </row>
    <row r="2">
      <c r="A2" s="4" t="inlineStr">
        <is>
          <t>RNR-A19</t>
        </is>
      </c>
      <c r="B2" s="4" t="inlineStr">
        <is>
          <t>Theosis / deification</t>
        </is>
      </c>
      <c r="C2" s="4" t="inlineStr">
        <is>
          <t>Irenaeus and Athanasius</t>
        </is>
      </c>
      <c r="D2" s="4" t="inlineStr">
        <is>
          <t>Strong patristic evidence for participation in God and deification language.</t>
        </is>
      </c>
      <c r="E2" s="4" t="inlineStr">
        <is>
          <t>Does not by itself supply Latter-day Saint literal divine kinship, sealing, eternal family, or the broader exaltational ontology.</t>
        </is>
      </c>
    </row>
    <row r="3">
      <c r="A3" s="4" t="inlineStr">
        <is>
          <t>RNR-A08</t>
        </is>
      </c>
      <c r="B3" s="4" t="inlineStr">
        <is>
          <t>Premortal existence</t>
        </is>
      </c>
      <c r="C3" s="4" t="inlineStr">
        <is>
          <t>Origen</t>
        </is>
      </c>
      <c r="D3" s="4" t="inlineStr">
        <is>
          <t>Substantial early-Christian precedent for pre-bodily rational-soul existence and moral history.</t>
        </is>
      </c>
      <c r="E3" s="4" t="inlineStr">
        <is>
          <t>Origen's cosmology of souls, fall, embodiment, and restoration differs materially from Latter-day Saint spirit-child ontology.</t>
        </is>
      </c>
    </row>
    <row r="4">
      <c r="A4" s="4" t="inlineStr">
        <is>
          <t>RNR-A14 / RNR-A01</t>
        </is>
      </c>
      <c r="B4" s="4" t="inlineStr">
        <is>
          <t>Corporealist language</t>
        </is>
      </c>
      <c r="C4" s="4" t="inlineStr">
        <is>
          <t>Tertullian</t>
        </is>
      </c>
      <c r="D4" s="4" t="inlineStr">
        <is>
          <t>Real early Latin Christian corporealist precedent concerning the soul.</t>
        </is>
      </c>
      <c r="E4" s="4" t="inlineStr">
        <is>
          <t>A corporeal soul is not equivalent to an embodied, tangible Father; divine-corporeality claims require separate argument.</t>
        </is>
      </c>
    </row>
    <row r="5">
      <c r="A5" s="4" t="inlineStr">
        <is>
          <t>RNR-A13 / RNR-A15</t>
        </is>
      </c>
      <c r="B5" s="4" t="inlineStr">
        <is>
          <t>Creation and preexistent matter</t>
        </is>
      </c>
      <c r="C5" s="4" t="inlineStr">
        <is>
          <t>Early Christian creation/matter debate</t>
        </is>
      </c>
      <c r="D5" s="4" t="inlineStr">
        <is>
          <t>Shows that creation from preexistent matter was a real early debate.</t>
        </is>
      </c>
      <c r="E5" s="4" t="inlineStr">
        <is>
          <t>The debate does not establish Latter-day Saint–like ex-materia ontology as early Christian consensus; counterevidence also exists.</t>
        </is>
      </c>
    </row>
    <row r="6">
      <c r="A6" s="4" t="inlineStr">
        <is>
          <t>RNR-A02</t>
        </is>
      </c>
      <c r="B6" s="4" t="inlineStr">
        <is>
          <t>Monarchy / taxis of the Father</t>
        </is>
      </c>
      <c r="C6" s="4" t="inlineStr">
        <is>
          <t>Cappadocian pro-Nicene theology</t>
        </is>
      </c>
      <c r="D6" s="4" t="inlineStr">
        <is>
          <t>Strong analogue for relational order and the Father as source/cause.</t>
        </is>
      </c>
      <c r="E6" s="4" t="inlineStr">
        <is>
          <t>Cappadocians simultaneously affirm one divine essence and consubstantiality, unlike Latter-day Saint social-Godhead ontology.</t>
        </is>
      </c>
    </row>
    <row r="7">
      <c r="A7" s="4" t="inlineStr">
        <is>
          <t>RNR-A07</t>
        </is>
      </c>
      <c r="B7" s="4" t="inlineStr">
        <is>
          <t>Divine maternal imagery</t>
        </is>
      </c>
      <c r="C7" s="4" t="inlineStr">
        <is>
          <t>Early feminine/maternal Spirit language</t>
        </is>
      </c>
      <c r="D7" s="4" t="inlineStr">
        <is>
          <t>Early Christian sources can contain feminine or maternal language for the Spirit.</t>
        </is>
      </c>
      <c r="E7" s="4" t="inlineStr">
        <is>
          <t>At most remote divine-maternal imagery; not a distinct Heavenly Mother, divine co-parent, or direct antecedent.</t>
        </is>
      </c>
    </row>
    <row r="8">
      <c r="A8" s="4" t="inlineStr">
        <is>
          <t>RNR-A26</t>
        </is>
      </c>
      <c r="B8" s="4" t="inlineStr">
        <is>
          <t>Unending progress</t>
        </is>
      </c>
      <c r="C8" s="4" t="inlineStr">
        <is>
          <t>Gregory of Nyssa (epektasis)</t>
        </is>
      </c>
      <c r="D8" s="4" t="inlineStr">
        <is>
          <t>Substantial analogue for unending ascent or progress in the good.</t>
        </is>
      </c>
      <c r="E8" s="4" t="inlineStr">
        <is>
          <t>Concerns endless creaturely participation in infinite God, not the full Latter-day Saint complex of eternal increase/divine parenthood/ontological lineage.</t>
        </is>
      </c>
    </row>
    <row r="9">
      <c r="A9" s="4" t="inlineStr">
        <is>
          <t>RNR-A20 / RNR-A22</t>
        </is>
      </c>
      <c r="B9" s="4" t="inlineStr">
        <is>
          <t>Heavenly marriage</t>
        </is>
      </c>
      <c r="C9" s="4" t="inlineStr">
        <is>
          <t>Swedenborg</t>
        </is>
      </c>
      <c r="D9" s="4" t="inlineStr">
        <is>
          <t>Later-Christian analogue for postmortem marriage and marital continuity.</t>
        </is>
      </c>
      <c r="E9" s="4" t="inlineStr">
        <is>
          <t>Not Latter-day Saint priesthood sealing, celestial degrees, exaltation requirements, or spirit-parenthood mechanics.</t>
        </is>
      </c>
    </row>
    <row r="10">
      <c r="A10" s="4" t="n"/>
      <c r="B10" s="4" t="n"/>
      <c r="C10" s="4" t="n"/>
      <c r="D10" s="4" t="n"/>
      <c r="E10" s="4" t="n"/>
    </row>
    <row r="11">
      <c r="A11" s="4" t="inlineStr">
        <is>
          <t>Control: these are selected publication-priority examples, not a complete antecedent census of all 26 additions.</t>
        </is>
      </c>
      <c r="B11" s="4" t="n"/>
      <c r="C11" s="4" t="n"/>
      <c r="D11" s="4" t="n"/>
      <c r="E11"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ColWidth="12.63" defaultRowHeight="15" customHeight="1"/>
  <cols>
    <col width="12" customWidth="1" style="29" min="1" max="1"/>
    <col width="36" customWidth="1" style="29" min="2" max="2"/>
    <col width="20" customWidth="1" style="29" min="3" max="3"/>
    <col width="62" customWidth="1" style="29" min="4" max="5"/>
    <col width="8.630000000000001" customWidth="1" style="29" min="6" max="26"/>
  </cols>
  <sheetData>
    <row r="1">
      <c r="A1" s="5" t="inlineStr">
        <is>
          <t>CTA parent</t>
        </is>
      </c>
      <c r="B1" s="5" t="inlineStr">
        <is>
          <t>Teaching topic</t>
        </is>
      </c>
      <c r="C1" s="5" t="inlineStr">
        <is>
          <t>Readiness</t>
        </is>
      </c>
      <c r="D1" s="5" t="inlineStr">
        <is>
          <t>Core-predicate crosswalk</t>
        </is>
      </c>
      <c r="E1" s="5" t="inlineStr">
        <is>
          <t>Teaching control</t>
        </is>
      </c>
    </row>
    <row r="2">
      <c r="A2" s="4" t="inlineStr">
        <is>
          <t>P01</t>
        </is>
      </c>
      <c r="B2" s="4" t="inlineStr">
        <is>
          <t>Divine goodness and love</t>
        </is>
      </c>
      <c r="C2" s="4" t="inlineStr">
        <is>
          <t>Ready</t>
        </is>
      </c>
      <c r="D2" s="4" t="inlineStr">
        <is>
          <t>H09, H14</t>
        </is>
      </c>
      <c r="E2" s="4" t="inlineStr">
        <is>
          <t>Contextual teaching map only; not an 83-predicate denominator row.</t>
        </is>
      </c>
    </row>
    <row r="3">
      <c r="A3" s="4" t="inlineStr">
        <is>
          <t>P02</t>
        </is>
      </c>
      <c r="B3" s="4" t="inlineStr">
        <is>
          <t>God as Father</t>
        </is>
      </c>
      <c r="C3" s="4" t="inlineStr">
        <is>
          <t>Ready</t>
        </is>
      </c>
      <c r="D3" s="4" t="inlineStr">
        <is>
          <t>H04; A06 only at thicker layer</t>
        </is>
      </c>
      <c r="E3" s="4" t="inlineStr">
        <is>
          <t>Contextual teaching map only; distinguish general Father-language from literal spirit parentage.</t>
        </is>
      </c>
    </row>
    <row r="4">
      <c r="A4" s="4" t="inlineStr">
        <is>
          <t>P03</t>
        </is>
      </c>
      <c r="B4" s="4" t="inlineStr">
        <is>
          <t>Father of spirits</t>
        </is>
      </c>
      <c r="C4" s="4" t="inlineStr">
        <is>
          <t>Ready with layer control</t>
        </is>
      </c>
      <c r="D4" s="4" t="inlineStr">
        <is>
          <t>H04; A06, A11</t>
        </is>
      </c>
      <c r="E4" s="4" t="inlineStr">
        <is>
          <t>Contextual teaching map only; semantic layer matters.</t>
        </is>
      </c>
    </row>
    <row r="5">
      <c r="A5" s="4" t="inlineStr">
        <is>
          <t>P04</t>
        </is>
      </c>
      <c r="B5" s="4" t="inlineStr">
        <is>
          <t>Heavenly council participants</t>
        </is>
      </c>
      <c r="C5" s="4" t="inlineStr">
        <is>
          <t>Not ready — U-HOLD</t>
        </is>
      </c>
      <c r="D5" s="4" t="inlineStr">
        <is>
          <t>A08, A12 contextual only</t>
        </is>
      </c>
      <c r="E5" s="4" t="inlineStr">
        <is>
          <t>Council motif may be taught carefully; named identities/roles require separate evidence.</t>
        </is>
      </c>
    </row>
    <row r="6">
      <c r="A6" s="4" t="inlineStr">
        <is>
          <t>P05</t>
        </is>
      </c>
      <c r="B6" s="4" t="inlineStr">
        <is>
          <t>Preexistent Son and appointment</t>
        </is>
      </c>
      <c r="C6" s="4" t="inlineStr">
        <is>
          <t>Ready</t>
        </is>
      </c>
      <c r="D6" s="4" t="inlineStr">
        <is>
          <t>H05, H22, H27, H28, H30</t>
        </is>
      </c>
      <c r="E6" s="4" t="inlineStr">
        <is>
          <t>Contextual teaching map only.</t>
        </is>
      </c>
    </row>
    <row r="7">
      <c r="A7" s="4" t="inlineStr">
        <is>
          <t>P06</t>
        </is>
      </c>
      <c r="B7" s="4" t="inlineStr">
        <is>
          <t>Divine embodiment</t>
        </is>
      </c>
      <c r="C7" s="4" t="inlineStr">
        <is>
          <t>Ready</t>
        </is>
      </c>
      <c r="D7" s="4" t="inlineStr">
        <is>
          <t>H41, H42; A01</t>
        </is>
      </c>
      <c r="E7" s="4" t="inlineStr">
        <is>
          <t>High-value contrast topic.</t>
        </is>
      </c>
    </row>
    <row r="8">
      <c r="A8" s="4" t="inlineStr">
        <is>
          <t>P07</t>
        </is>
      </c>
      <c r="B8" s="4" t="inlineStr">
        <is>
          <t>Creation mechanics</t>
        </is>
      </c>
      <c r="C8" s="4" t="inlineStr">
        <is>
          <t>Ready</t>
        </is>
      </c>
      <c r="D8" s="4" t="inlineStr">
        <is>
          <t>H22, H29; A13–A15</t>
        </is>
      </c>
      <c r="E8" s="4" t="inlineStr">
        <is>
          <t>High-value reconstruction topic.</t>
        </is>
      </c>
    </row>
    <row r="9">
      <c r="A9" s="4" t="inlineStr">
        <is>
          <t>P08</t>
        </is>
      </c>
      <c r="B9" s="4" t="inlineStr">
        <is>
          <t>Providential status of the Fall</t>
        </is>
      </c>
      <c r="C9" s="4" t="inlineStr">
        <is>
          <t>Partial</t>
        </is>
      </c>
      <c r="D9" s="4" t="inlineStr">
        <is>
          <t>No exact H or A family</t>
        </is>
      </c>
      <c r="E9" s="4" t="inlineStr">
        <is>
          <t>Not an exact normalized family in the 83-row core.</t>
        </is>
      </c>
    </row>
    <row r="10">
      <c r="A10" s="4" t="inlineStr">
        <is>
          <t>P09</t>
        </is>
      </c>
      <c r="B10" s="4" t="inlineStr">
        <is>
          <t>Agency and opposition</t>
        </is>
      </c>
      <c r="C10" s="4" t="inlineStr">
        <is>
          <t>Partial</t>
        </is>
      </c>
      <c r="D10" s="4" t="inlineStr">
        <is>
          <t>H36 / A10 related, not identical</t>
        </is>
      </c>
      <c r="E10" s="4" t="inlineStr">
        <is>
          <t>Related concepts only; do not collapse agency/opposition into 'uncreated' ontology.</t>
        </is>
      </c>
    </row>
    <row r="11">
      <c r="A11" s="4" t="inlineStr">
        <is>
          <t>P10</t>
        </is>
      </c>
      <c r="B11" s="4" t="inlineStr">
        <is>
          <t>Mortal developmental formation</t>
        </is>
      </c>
      <c r="C11" s="4" t="inlineStr">
        <is>
          <t>Partial</t>
        </is>
      </c>
      <c r="D11" s="4" t="inlineStr">
        <is>
          <t>A11, A17, A26 thematic</t>
        </is>
      </c>
      <c r="E11" s="4" t="inlineStr">
        <is>
          <t>Thematic rather than exact crosswalk.</t>
        </is>
      </c>
    </row>
    <row r="12">
      <c r="A12" s="4" t="inlineStr">
        <is>
          <t>P11</t>
        </is>
      </c>
      <c r="B12" s="4" t="inlineStr">
        <is>
          <t>Glorification and exaltation</t>
        </is>
      </c>
      <c r="C12" s="4" t="inlineStr">
        <is>
          <t>Ready; atomization required</t>
        </is>
      </c>
      <c r="D12" s="4" t="inlineStr">
        <is>
          <t>H20, H57; A19–A26</t>
        </is>
      </c>
      <c r="E12" s="4" t="inlineStr">
        <is>
          <t>Rich teaching topic; keep separate propositions distinct.</t>
        </is>
      </c>
    </row>
    <row r="13">
      <c r="A13" s="4" t="inlineStr">
        <is>
          <t>P12</t>
        </is>
      </c>
      <c r="B13" s="4" t="inlineStr">
        <is>
          <t>John 17 unity and glory</t>
        </is>
      </c>
      <c r="C13" s="4" t="inlineStr">
        <is>
          <t>Ready with layer control</t>
        </is>
      </c>
      <c r="D13" s="4" t="inlineStr">
        <is>
          <t>H04, H05, H14, H20; A19 partial</t>
        </is>
      </c>
      <c r="E13" s="4" t="inlineStr">
        <is>
          <t>Textual unity/glory does not automatically establish identical metaphysical conclusions.</t>
        </is>
      </c>
    </row>
    <row r="14">
      <c r="A14" s="4" t="n"/>
      <c r="B14" s="4" t="n"/>
      <c r="C14" s="4" t="n"/>
      <c r="D14" s="4" t="n"/>
      <c r="E14" s="4" t="n"/>
    </row>
    <row r="15">
      <c r="A15" s="4" t="inlineStr">
        <is>
          <t>These 12 CTA parents are thematic/contextual analysis units. They do not vote into the 57 inherited predicates, the 26 additions, or the 83-concept teaching universe.</t>
        </is>
      </c>
      <c r="B15" s="4" t="n"/>
      <c r="C15" s="4" t="n"/>
      <c r="D15" s="4" t="n"/>
      <c r="E15"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ColWidth="12.63" defaultRowHeight="15" customHeight="1"/>
  <cols>
    <col width="34" customWidth="1" style="29" min="1" max="1"/>
    <col width="18" customWidth="1" style="29" min="2" max="2"/>
    <col width="56" customWidth="1" style="29" min="3" max="4"/>
    <col width="48" customWidth="1" style="29" min="5" max="5"/>
    <col width="30" customWidth="1" style="29" min="6" max="6"/>
    <col width="20" customWidth="1" style="29" min="7" max="7"/>
    <col width="62" customWidth="1" style="29" min="8" max="8"/>
    <col width="8.630000000000001" customWidth="1" style="29" min="9" max="26"/>
  </cols>
  <sheetData>
    <row r="1">
      <c r="A1" s="1" t="inlineStr">
        <is>
          <t>Public Interactive App Readiness — v2.14 author-workflow controlled</t>
        </is>
      </c>
    </row>
    <row r="3">
      <c r="A3" s="5" t="inlineStr">
        <is>
          <t>Gate</t>
        </is>
      </c>
      <c r="B3" s="5" t="inlineStr">
        <is>
          <t>Status</t>
        </is>
      </c>
      <c r="C3" s="5" t="inlineStr">
        <is>
          <t>App behavior</t>
        </is>
      </c>
      <c r="D3" s="5" t="inlineStr">
        <is>
          <t>Reason</t>
        </is>
      </c>
      <c r="E3" s="5" t="inlineStr">
        <is>
          <t>Next condition</t>
        </is>
      </c>
      <c r="F3" s="5" t="inlineStr">
        <is>
          <t>Source sheet</t>
        </is>
      </c>
      <c r="G3" s="5" t="inlineStr">
        <is>
          <t>Public now?</t>
        </is>
      </c>
      <c r="H3" s="5" t="inlineStr">
        <is>
          <t>Notes</t>
        </is>
      </c>
    </row>
    <row r="4">
      <c r="A4" s="4" t="inlineStr">
        <is>
          <t>Gate 2 pipeline development</t>
        </is>
      </c>
      <c r="B4" s="4" t="inlineStr">
        <is>
          <t>READY</t>
        </is>
      </c>
      <c r="C4" s="4" t="inlineStr">
        <is>
          <t>Use v2.13 workbook; re-execute P001–P026.</t>
        </is>
      </c>
      <c r="D4" s="4" t="inlineStr">
        <is>
          <t>Existing quantitative/citation pipeline remains intact and ICL is isolated as NOT COUNTED.</t>
        </is>
      </c>
      <c r="E4" s="4" t="inlineStr">
        <is>
          <t>Code pipeline implements all build gates.</t>
        </is>
      </c>
      <c r="F4" s="4" t="inlineStr">
        <is>
          <t>Pipeline Validation Spec</t>
        </is>
      </c>
      <c r="G4" s="4" t="inlineStr">
        <is>
          <t>YES</t>
        </is>
      </c>
      <c r="H4" s="4" t="inlineStr">
        <is>
          <t>ICL expansion does not reopen Gate 2.</t>
        </is>
      </c>
    </row>
    <row r="5">
      <c r="A5" s="4" t="inlineStr">
        <is>
          <t>83-row public wording ratification</t>
        </is>
      </c>
      <c r="B5" s="4" t="inlineStr">
        <is>
          <t>OPEN</t>
        </is>
      </c>
      <c r="C5" s="4" t="inlineStr">
        <is>
          <t>Do not treat row explanatory summaries as author-approved learner copy.</t>
        </is>
      </c>
      <c r="D5" s="4" t="inlineStr">
        <is>
          <t>83/83 remain PENDING.</t>
        </is>
      </c>
      <c r="E5" s="4" t="inlineStr">
        <is>
          <t>Author reviews Row Ratification.</t>
        </is>
      </c>
      <c r="F5" s="4" t="inlineStr">
        <is>
          <t>Row Ratification</t>
        </is>
      </c>
      <c r="G5" s="4" t="inlineStr">
        <is>
          <t>NO for M1/M2 copy</t>
        </is>
      </c>
      <c r="H5" s="4" t="inlineStr">
        <is>
          <t>Author-owned long pole.</t>
        </is>
      </c>
    </row>
    <row r="6">
      <c r="A6" s="4" t="inlineStr">
        <is>
          <t>Inherited two-sided citations</t>
        </is>
      </c>
      <c r="B6" s="4" t="inlineStr">
        <is>
          <t>READY EXCEPT H50 HISTORICAL GAP</t>
        </is>
      </c>
      <c r="C6" s="4" t="inlineStr">
        <is>
          <t>Validate both historical and Restoration phrase targets before rendering.</t>
        </is>
      </c>
      <c r="D6" s="4" t="inlineStr">
        <is>
          <t>56 historical public targets + 63 Restoration assertions.</t>
        </is>
      </c>
      <c r="E6" s="4" t="inlineStr">
        <is>
          <t>P018/P019/P020 pass.</t>
        </is>
      </c>
      <c r="F6" s="4" t="inlineStr">
        <is>
          <t>Citation Phrase Targets / Restoration Phrase Targets</t>
        </is>
      </c>
      <c r="G6" s="4" t="inlineStr">
        <is>
          <t>YES WITH H50 GAP</t>
        </is>
      </c>
      <c r="H6" s="4" t="inlineStr">
        <is>
          <t>Four comparator review flags unchanged.</t>
        </is>
      </c>
    </row>
    <row r="7">
      <c r="A7" s="4" t="inlineStr">
        <is>
          <t>Case-study evidence</t>
        </is>
      </c>
      <c r="B7" s="4" t="inlineStr">
        <is>
          <t>READY WITH EXPLICIT UNRELEASED STATES</t>
        </is>
      </c>
      <c r="C7" s="4" t="inlineStr">
        <is>
          <t>M3a uses 24 Queue-ID phrase records.</t>
        </is>
      </c>
      <c r="D7" s="4" t="inlineStr">
        <is>
          <t>21 released assertions; 3 explicit no-target unreleased states.</t>
        </is>
      </c>
      <c r="E7" s="4" t="inlineStr">
        <is>
          <t>P021 passes.</t>
        </is>
      </c>
      <c r="F7" s="4" t="inlineStr">
        <is>
          <t>Case Study Phrase Targets</t>
        </is>
      </c>
      <c r="G7" s="4" t="inlineStr">
        <is>
          <t>YES</t>
        </is>
      </c>
      <c r="H7" s="4" t="inlineStr">
        <is>
          <t>No target invented for unreleased cells.</t>
        </is>
      </c>
    </row>
    <row r="8">
      <c r="A8" s="4" t="inlineStr">
        <is>
          <t>Vector-family cards</t>
        </is>
      </c>
      <c r="B8" s="4" t="inlineStr">
        <is>
          <t>READY</t>
        </is>
      </c>
      <c r="C8" s="4" t="inlineStr">
        <is>
          <t>H07/H32/H56 render as VECTOR with learner captions.</t>
        </is>
      </c>
      <c r="D8" s="4" t="inlineStr">
        <is>
          <t>Atomic evidence must not look like a single family tile.</t>
        </is>
      </c>
      <c r="E8" s="4" t="inlineStr">
        <is>
          <t>P022 passes.</t>
        </is>
      </c>
      <c r="F8" s="4" t="inlineStr">
        <is>
          <t>Vector Family Captions</t>
        </is>
      </c>
      <c r="G8" s="4" t="inlineStr">
        <is>
          <t>YES</t>
        </is>
      </c>
      <c r="H8" s="4" t="inlineStr">
        <is>
          <t>Master family codes unchanged.</t>
        </is>
      </c>
    </row>
    <row r="9">
      <c r="A9" s="4" t="inlineStr">
        <is>
          <t>Interpretive Clarification architecture</t>
        </is>
      </c>
      <c r="B9" s="4" t="inlineStr">
        <is>
          <t>READY</t>
        </is>
      </c>
      <c r="C9" s="4" t="inlineStr">
        <is>
          <t>App may ingest cases/triggers/sources; only APPROVED cases can auto-cue or become preferred answer authority.</t>
        </is>
      </c>
      <c r="D9" s="4" t="inlineStr">
        <is>
          <t>Layer is structurally isolated and NOT COUNTED.</t>
        </is>
      </c>
      <c r="E9" s="4" t="inlineStr">
        <is>
          <t>Author approves ICC-001 and future cases individually.</t>
        </is>
      </c>
      <c r="F9" s="4" t="inlineStr">
        <is>
          <t>Interpretive Clarifications</t>
        </is>
      </c>
      <c r="G9" s="4" t="inlineStr">
        <is>
          <t>ARCHITECTURE YES; ICC-001 NO</t>
        </is>
      </c>
      <c r="H9" s="4" t="inlineStr">
        <is>
          <t>Prototype is author-review pending.</t>
        </is>
      </c>
    </row>
    <row r="10">
      <c r="A10" s="4" t="inlineStr">
        <is>
          <t>Clarification auto-surface policy</t>
        </is>
      </c>
      <c r="B10" s="4" t="inlineStr">
        <is>
          <t>READY</t>
        </is>
      </c>
      <c r="C10" s="4" t="inlineStr">
        <is>
          <t>HIGH relevance → one automatic cue; full explanation requires user expansion. MEDIUM/LOW stay related/explorer.</t>
        </is>
      </c>
      <c r="D10" s="4" t="inlineStr">
        <is>
          <t>Prevents under-explanation without turning the app into a footnote swarm.</t>
        </is>
      </c>
      <c r="E10" s="4" t="inlineStr">
        <is>
          <t>P024 passes.</t>
        </is>
      </c>
      <c r="F10" s="4" t="inlineStr">
        <is>
          <t>Clarification Trigger Map</t>
        </is>
      </c>
      <c r="G10" s="4" t="inlineStr">
        <is>
          <t>YES AFTER CASE APPROVAL</t>
        </is>
      </c>
      <c r="H10" s="4" t="inlineStr">
        <is>
          <t>Tradition alone never triggers automatically.</t>
        </is>
      </c>
    </row>
    <row r="11">
      <c r="A11" s="4" t="inlineStr">
        <is>
          <t>Full denomination heat map</t>
        </is>
      </c>
      <c r="B11" s="4" t="inlineStr">
        <is>
          <t>HOLD</t>
        </is>
      </c>
      <c r="C11" s="4" t="inlineStr">
        <is>
          <t>No concordance percentages/ranking.</t>
        </is>
      </c>
      <c r="D11" s="4" t="inlineStr">
        <is>
          <t>Evidence coverage remains lopsided.</t>
        </is>
      </c>
      <c r="E11" s="4" t="inlineStr">
        <is>
          <t>Approve completeness threshold after recovery.</t>
        </is>
      </c>
      <c r="F11" s="4" t="inlineStr">
        <is>
          <t>Branch State Summary</t>
        </is>
      </c>
      <c r="G11" s="4" t="inlineStr">
        <is>
          <t>NO</t>
        </is>
      </c>
      <c r="H11" s="4" t="inlineStr">
        <is>
          <t>MATCH remains partition check only.</t>
        </is>
      </c>
    </row>
    <row r="12">
      <c r="A12" s="4" t="inlineStr">
        <is>
          <t>Author workflow control</t>
        </is>
      </c>
      <c r="B12" s="4" t="inlineStr">
        <is>
          <t>READY</t>
        </is>
      </c>
      <c r="C12" s="4" t="inlineStr">
        <is>
          <t>All 104 author decisions are registered; 101 are actionable and 3 future gates are blocked but visible.</t>
        </is>
      </c>
      <c r="D12" s="4" t="inlineStr">
        <is>
          <t>Console/queue/dashboard prevent overlooked decisions and false gate clearance.</t>
        </is>
      </c>
      <c r="E12" s="4" t="inlineStr">
        <is>
          <t>Complete current author queue; resolve holds; future gates become actionable only when prerequisites exist.</t>
        </is>
      </c>
      <c r="F12" s="4" t="inlineStr">
        <is>
          <t>AUTHOR REVIEW CONSOLE / Author Gate Dashboard</t>
        </is>
      </c>
      <c r="G12" s="4" t="inlineStr">
        <is>
          <t>INTERNAL AUTHOR TOOL</t>
        </is>
      </c>
      <c r="H12" s="4" t="inlineStr">
        <is>
          <t>Source of author gate clearance.</t>
        </is>
      </c>
    </row>
    <row r="13">
      <c r="A13" s="4" t="inlineStr">
        <is>
          <t>Source artifact format</t>
        </is>
      </c>
      <c r="B13" s="4" t="inlineStr">
        <is>
          <t>READY</t>
        </is>
      </c>
      <c r="C13" s="4" t="inlineStr">
        <is>
          <t>Distribute controlled workbook as .xlsx.</t>
        </is>
      </c>
      <c r="D13" s="4" t="inlineStr">
        <is>
          <t>No VBA project is required; validation belongs in the pipeline.</t>
        </is>
      </c>
      <c r="E13" s="4" t="inlineStr">
        <is>
          <t>Keep macro-enabled formats out unless executable code is intentionally added/audited.</t>
        </is>
      </c>
      <c r="F13" s="4" t="inlineStr">
        <is>
          <t>Build Metadata / APP CONFIG</t>
        </is>
      </c>
      <c r="G13" s="4" t="inlineStr">
        <is>
          <t>YES</t>
        </is>
      </c>
      <c r="H13" s="4" t="inlineStr">
        <is>
          <t>.xlsx only for controlled source.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6.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ColWidth="12.63" defaultRowHeight="15" customHeight="1"/>
  <cols>
    <col width="30" customWidth="1" style="29" min="1" max="1"/>
    <col width="18" customWidth="1" style="29" min="2" max="2"/>
    <col width="34" customWidth="1" style="29" min="3" max="3"/>
    <col width="64" customWidth="1" style="29" min="4" max="4"/>
    <col width="18" customWidth="1" style="29" min="5" max="5"/>
    <col width="48" customWidth="1" style="29" min="6" max="6"/>
    <col width="20" customWidth="1" style="29" min="7" max="7"/>
    <col width="62" customWidth="1" style="29" min="8" max="8"/>
    <col width="8.630000000000001" customWidth="1" style="29" min="9" max="26"/>
  </cols>
  <sheetData>
    <row r="1">
      <c r="A1" s="1" t="inlineStr">
        <is>
          <t>Lineage &amp; Repair Audit — v2.9 hardened</t>
        </is>
      </c>
    </row>
    <row r="3">
      <c r="A3" s="5" t="inlineStr">
        <is>
          <t>Item</t>
        </is>
      </c>
      <c r="B3" s="5" t="inlineStr">
        <is>
          <t>Status</t>
        </is>
      </c>
      <c r="C3" s="5" t="inlineStr">
        <is>
          <t>Source</t>
        </is>
      </c>
      <c r="D3" s="5" t="inlineStr">
        <is>
          <t>Repair / carry-forward</t>
        </is>
      </c>
      <c r="E3" s="5" t="inlineStr">
        <is>
          <t>App role</t>
        </is>
      </c>
      <c r="F3" s="5" t="inlineStr">
        <is>
          <t>Audit rule</t>
        </is>
      </c>
      <c r="G3" s="5" t="inlineStr">
        <is>
          <t>Known issue resolved?</t>
        </is>
      </c>
      <c r="H3" s="5" t="inlineStr">
        <is>
          <t>Notes</t>
        </is>
      </c>
    </row>
    <row r="4">
      <c r="A4" s="4" t="inlineStr">
        <is>
          <t>Evidence-first queue</t>
        </is>
      </c>
      <c r="B4" s="4" t="inlineStr">
        <is>
          <t>REBUILT</t>
        </is>
      </c>
      <c r="C4" s="4" t="inlineStr">
        <is>
          <t>v2.7 controlled base + v2.8 reconciliation</t>
        </is>
      </c>
      <c r="D4" s="4" t="inlineStr">
        <is>
          <t>Restored all Q-001…Q-456; H09 Anglican Q-069 and Baptist Q-070 restored.</t>
        </is>
      </c>
      <c r="E4" s="4" t="inlineStr">
        <is>
          <t>PRIMARY</t>
        </is>
      </c>
      <c r="F4" s="4" t="inlineStr">
        <is>
          <t>456 unique Queue IDs required.</t>
        </is>
      </c>
      <c r="G4" s="4" t="inlineStr">
        <is>
          <t>YES</t>
        </is>
      </c>
      <c r="H4" s="4" t="inlineStr">
        <is>
          <t>Defective v2.8 merge is retired.</t>
        </is>
      </c>
    </row>
    <row r="5">
      <c r="A5" s="4" t="inlineStr">
        <is>
          <t>Rendered State</t>
        </is>
      </c>
      <c r="B5" s="4" t="inlineStr">
        <is>
          <t>REBUILT</t>
        </is>
      </c>
      <c r="C5" s="4" t="inlineStr">
        <is>
          <t>v2.7 queue + explicit fallback rules</t>
        </is>
      </c>
      <c r="D5" s="4" t="inlineStr">
        <is>
          <t>0 blank X states.</t>
        </is>
      </c>
      <c r="E5" s="4" t="inlineStr">
        <is>
          <t>PRIMARY</t>
        </is>
      </c>
      <c r="F5" s="4" t="inlineStr">
        <is>
          <t>Blank Rendered State is blocking FAIL.</t>
        </is>
      </c>
      <c r="G5" s="4" t="inlineStr">
        <is>
          <t>YES</t>
        </is>
      </c>
      <c r="H5" s="4" t="inlineStr">
        <is>
          <t>Never infer from null.</t>
        </is>
      </c>
    </row>
    <row r="6">
      <c r="A6" s="4" t="inlineStr">
        <is>
          <t>Metric Class</t>
        </is>
      </c>
      <c r="B6" s="4" t="inlineStr">
        <is>
          <t>REBUILT</t>
        </is>
      </c>
      <c r="C6" s="4" t="inlineStr">
        <is>
          <t>authoritative vocabulary</t>
        </is>
      </c>
      <c r="D6" s="4" t="inlineStr">
        <is>
          <t>0 blank Y states; A-SF→A.</t>
        </is>
      </c>
      <c r="E6" s="4" t="inlineStr">
        <is>
          <t>PRIMARY</t>
        </is>
      </c>
      <c r="F6" s="4" t="inlineStr">
        <is>
          <t>Unknown/blank metric is blocking FAIL.</t>
        </is>
      </c>
      <c r="G6" s="4" t="inlineStr">
        <is>
          <t>YES</t>
        </is>
      </c>
      <c r="H6" s="4" t="inlineStr">
        <is>
          <t>Vectors/gaps/holds EXCLUDED.</t>
        </is>
      </c>
    </row>
    <row r="7">
      <c r="A7" s="4" t="inlineStr">
        <is>
          <t>PC(USA) sources</t>
        </is>
      </c>
      <c r="B7" s="4" t="inlineStr">
        <is>
          <t>REPAIRED</t>
        </is>
      </c>
      <c r="C7" s="4" t="inlineStr">
        <is>
          <t>official PC(USA) Constitution page + Book of Confessions PDF</t>
        </is>
      </c>
      <c r="D7" s="4" t="inlineStr">
        <is>
          <t>Landing-page text URLs replaced.</t>
        </is>
      </c>
      <c r="E7" s="4" t="inlineStr">
        <is>
          <t>SOURCE</t>
        </is>
      </c>
      <c r="F7" s="4" t="inlineStr">
        <is>
          <t>No old landing page in Text URL.</t>
        </is>
      </c>
      <c r="G7" s="4" t="inlineStr">
        <is>
          <t>YES</t>
        </is>
      </c>
      <c r="H7" s="4" t="inlineStr">
        <is>
          <t>Authority and text paths separated.</t>
        </is>
      </c>
    </row>
    <row r="8">
      <c r="A8" s="4" t="inlineStr">
        <is>
          <t>Truncated URLs</t>
        </is>
      </c>
      <c r="B8" s="4" t="inlineStr">
        <is>
          <t>REPAIRED</t>
        </is>
      </c>
      <c r="C8" s="4" t="inlineStr">
        <is>
          <t>rebuild from v2.7 + full source records</t>
        </is>
      </c>
      <c r="D8" s="4" t="inlineStr">
        <is>
          <t>No URL ending literal ellipsis.</t>
        </is>
      </c>
      <c r="E8" s="4" t="inlineStr">
        <is>
          <t>SOURCE</t>
        </is>
      </c>
      <c r="F8" s="4" t="inlineStr">
        <is>
          <t>Ellipsis URL count must be 0.</t>
        </is>
      </c>
      <c r="G8" s="4" t="inlineStr">
        <is>
          <t>YES</t>
        </is>
      </c>
      <c r="H8" s="4" t="inlineStr">
        <is>
          <t>Protects H22 case.</t>
        </is>
      </c>
    </row>
    <row r="9">
      <c r="A9" s="4" t="inlineStr">
        <is>
          <t>Case study A</t>
        </is>
      </c>
      <c r="B9" s="4" t="inlineStr">
        <is>
          <t>REPLACED</t>
        </is>
      </c>
      <c r="C9" s="4" t="inlineStr">
        <is>
          <t>evidence-first queue</t>
        </is>
      </c>
      <c r="D9" s="4" t="inlineStr">
        <is>
          <t>H05 Son replaces H07 Almighty.</t>
        </is>
      </c>
      <c r="E9" s="4" t="inlineStr">
        <is>
          <t>TEACHING</t>
        </is>
      </c>
      <c r="F9" s="4" t="inlineStr">
        <is>
          <t>H05 must show 8 A.</t>
        </is>
      </c>
      <c r="G9" s="4" t="inlineStr">
        <is>
          <t>YES</t>
        </is>
      </c>
      <c r="H9" s="4" t="inlineStr">
        <is>
          <t>H07 remains vector pending.</t>
        </is>
      </c>
    </row>
    <row r="10">
      <c r="A10" s="4" t="inlineStr">
        <is>
          <t>Inference INF-05…10</t>
        </is>
      </c>
      <c r="B10" s="4" t="inlineStr">
        <is>
          <t>REWRITTEN</t>
        </is>
      </c>
      <c r="C10" s="4" t="inlineStr">
        <is>
          <t>evidence-first queue</t>
        </is>
      </c>
      <c r="D10" s="4" t="inlineStr">
        <is>
          <t>Removed retired 138/155, 301/456, 6/8, 7/8 matrix logic.</t>
        </is>
      </c>
      <c r="E10" s="4" t="inlineStr">
        <is>
          <t>TEACHING</t>
        </is>
      </c>
      <c r="F10" s="4" t="inlineStr">
        <is>
          <t>No retired-matrix strings.</t>
        </is>
      </c>
      <c r="G10" s="4" t="inlineStr">
        <is>
          <t>YES</t>
        </is>
      </c>
      <c r="H10" s="4" t="inlineStr">
        <is>
          <t>All six now queue-based.</t>
        </is>
      </c>
    </row>
    <row r="11">
      <c r="A11" s="4" t="inlineStr">
        <is>
          <t>Inherited citations</t>
        </is>
      </c>
      <c r="B11" s="4" t="inlineStr">
        <is>
          <t>ADDED</t>
        </is>
      </c>
      <c r="C11" s="4" t="inlineStr">
        <is>
          <t>queue + Session 8/9 lineage + Latter-day Saint comparators</t>
        </is>
      </c>
      <c r="D11" s="4" t="inlineStr">
        <is>
          <t>57 two-sided citation rows; H43 cites D&amp;C 130:22.</t>
        </is>
      </c>
      <c r="E11" s="4" t="inlineStr">
        <is>
          <t>SOURCE</t>
        </is>
      </c>
      <c r="F11" s="4" t="inlineStr">
        <is>
          <t>57 Latter-day Saint URLs required.</t>
        </is>
      </c>
      <c r="G11" s="4" t="inlineStr">
        <is>
          <t>YES</t>
        </is>
      </c>
      <c r="H11" s="4" t="inlineStr">
        <is>
          <t>H50 historical side is SOURCE-PACKET-REQUIRED.</t>
        </is>
      </c>
    </row>
    <row r="12">
      <c r="A12" s="4" t="inlineStr">
        <is>
          <t>State vocabulary</t>
        </is>
      </c>
      <c r="B12" s="4" t="inlineStr">
        <is>
          <t>ADDED</t>
        </is>
      </c>
      <c r="C12" s="4" t="inlineStr">
        <is>
          <t>v2.9 authoritative enum</t>
        </is>
      </c>
      <c r="D12" s="4" t="inlineStr">
        <is>
          <t>A-SF/vector/gap/hold states and confidence enums normalized.</t>
        </is>
      </c>
      <c r="E12" s="4" t="inlineStr">
        <is>
          <t>SCHEMA</t>
        </is>
      </c>
      <c r="F12" s="4" t="inlineStr">
        <is>
          <t>Unknown state/enums blocking FAIL.</t>
        </is>
      </c>
      <c r="G12" s="4" t="inlineStr">
        <is>
          <t>YES</t>
        </is>
      </c>
      <c r="H12" s="4" t="inlineStr">
        <is>
          <t>One vocabulary sheet.</t>
        </is>
      </c>
    </row>
    <row r="13">
      <c r="A13" s="4" t="inlineStr">
        <is>
          <t>Reconciliation keys</t>
        </is>
      </c>
      <c r="B13" s="4" t="inlineStr">
        <is>
          <t>REKEYED</t>
        </is>
      </c>
      <c r="C13" s="4" t="inlineStr">
        <is>
          <t>Queue ID</t>
        </is>
      </c>
      <c r="D13" s="4" t="inlineStr">
        <is>
          <t>Final 24 and Pass 2 use Q-IDs, not row numbers.</t>
        </is>
      </c>
      <c r="E13" s="4" t="inlineStr">
        <is>
          <t>PRIMARY</t>
        </is>
      </c>
      <c r="F13" s="4" t="inlineStr">
        <is>
          <t>All reconciliation QIDs must exist in queue.</t>
        </is>
      </c>
      <c r="G13" s="4" t="inlineStr">
        <is>
          <t>YES</t>
        </is>
      </c>
      <c r="H13" s="4" t="inlineStr">
        <is>
          <t>Stable across row shifts.</t>
        </is>
      </c>
    </row>
    <row r="14">
      <c r="A14" s="4" t="inlineStr">
        <is>
          <t>Row Ratification</t>
        </is>
      </c>
      <c r="B14" s="4" t="inlineStr">
        <is>
          <t>UNCHANGED</t>
        </is>
      </c>
      <c r="C14" s="4" t="inlineStr">
        <is>
          <t>author-owned</t>
        </is>
      </c>
      <c r="D14" s="4" t="inlineStr">
        <is>
          <t>83 PENDING, 0 auto-approved.</t>
        </is>
      </c>
      <c r="E14" s="4" t="inlineStr">
        <is>
          <t>GATE</t>
        </is>
      </c>
      <c r="F14" s="4" t="inlineStr">
        <is>
          <t>Must remain explicit until author action.</t>
        </is>
      </c>
      <c r="G14" s="4" t="inlineStr">
        <is>
          <t>N/A</t>
        </is>
      </c>
      <c r="H14" s="4" t="inlineStr">
        <is>
          <t>Long pole for M1/M2.</t>
        </is>
      </c>
    </row>
    <row r="16">
      <c r="A16" s="6" t="inlineStr">
        <is>
          <t>v2.10 repair</t>
        </is>
      </c>
      <c r="B16" s="6" t="inlineStr">
        <is>
          <t>Status</t>
        </is>
      </c>
      <c r="C16" s="6" t="inlineStr">
        <is>
          <t>Evidence</t>
        </is>
      </c>
      <c r="D16" s="6" t="inlineStr">
        <is>
          <t>Action</t>
        </is>
      </c>
      <c r="E16" s="6" t="inlineStr">
        <is>
          <t>App role</t>
        </is>
      </c>
      <c r="F16" s="6" t="inlineStr">
        <is>
          <t>Regression guard</t>
        </is>
      </c>
      <c r="G16" s="6" t="inlineStr">
        <is>
          <t>Result</t>
        </is>
      </c>
      <c r="H16" s="6" t="inlineStr">
        <is>
          <t>Notes</t>
        </is>
      </c>
    </row>
    <row r="17">
      <c r="A17" s="4" t="inlineStr">
        <is>
          <t>PC(USA) dead PDF</t>
        </is>
      </c>
      <c r="B17" s="4" t="inlineStr">
        <is>
          <t>REPAIRED</t>
        </is>
      </c>
      <c r="C17" s="4" t="inlineStr">
        <is>
          <t>10 queue cells + citation layer</t>
        </is>
      </c>
      <c r="D17" s="4" t="inlineStr">
        <is>
          <t>Replaced with live /sites/default/files/boc2016.pdf.</t>
        </is>
      </c>
      <c r="E17" s="4" t="inlineStr">
        <is>
          <t>SOURCE</t>
        </is>
      </c>
      <c r="F17" s="4" t="inlineStr">
        <is>
          <t>P006/P007</t>
        </is>
      </c>
      <c r="G17" s="4" t="inlineStr">
        <is>
          <t>PASS</t>
        </is>
      </c>
      <c r="H17" s="4" t="inlineStr">
        <is>
          <t>Blocking review item closed.</t>
        </is>
      </c>
    </row>
    <row r="18">
      <c r="A18" s="4" t="inlineStr">
        <is>
          <t>Citation derivation</t>
        </is>
      </c>
      <c r="B18" s="4" t="inlineStr">
        <is>
          <t>REPAIRED</t>
        </is>
      </c>
      <c r="C18" s="4" t="inlineStr">
        <is>
          <t>Inherited Public Citations</t>
        </is>
      </c>
      <c r="D18" s="4" t="inlineStr">
        <is>
          <t>Manual best-locator/direct pass; 0 LOCATOR REVIEW REQUIRED.</t>
        </is>
      </c>
      <c r="E18" s="4" t="inlineStr">
        <is>
          <t>M1 SOURCE</t>
        </is>
      </c>
      <c r="F18" s="4" t="inlineStr">
        <is>
          <t>P012</t>
        </is>
      </c>
      <c r="G18" s="4" t="inlineStr">
        <is>
          <t>PASS</t>
        </is>
      </c>
      <c r="H18" s="4" t="inlineStr">
        <is>
          <t>H07/H32/H56 direct atomic-layer support.</t>
        </is>
      </c>
    </row>
    <row r="19">
      <c r="A19" s="4" t="inlineStr">
        <is>
          <t>Dei Filius language</t>
        </is>
      </c>
      <c r="B19" s="4" t="inlineStr">
        <is>
          <t>REPAIRED</t>
        </is>
      </c>
      <c r="C19" s="4" t="inlineStr">
        <is>
          <t>Historical text URLs</t>
        </is>
      </c>
      <c r="D19" s="4" t="inlineStr">
        <is>
          <t>Latin stays authority; English becomes learner-facing text.</t>
        </is>
      </c>
      <c r="E19" s="4" t="inlineStr">
        <is>
          <t>M1 SOURCE</t>
        </is>
      </c>
      <c r="F19" s="4" t="inlineStr">
        <is>
          <t>V041</t>
        </is>
      </c>
      <c r="G19" s="4" t="inlineStr">
        <is>
          <t>PASS</t>
        </is>
      </c>
      <c r="H19" s="4" t="inlineStr">
        <is>
          <t>H03 normalized too.</t>
        </is>
      </c>
    </row>
    <row r="20">
      <c r="A20" s="4" t="inlineStr">
        <is>
          <t>H50 readiness</t>
        </is>
      </c>
      <c r="B20" s="4" t="inlineStr">
        <is>
          <t>REPAIRED</t>
        </is>
      </c>
      <c r="C20" s="4" t="inlineStr">
        <is>
          <t>H50 citation row</t>
        </is>
      </c>
      <c r="D20" s="4" t="inlineStr">
        <is>
          <t>NOT READY — HISTORICAL PACKET.</t>
        </is>
      </c>
      <c r="E20" s="4" t="inlineStr">
        <is>
          <t>M1 SOURCE</t>
        </is>
      </c>
      <c r="F20" s="4" t="inlineStr">
        <is>
          <t>P012</t>
        </is>
      </c>
      <c r="G20" s="4" t="inlineStr">
        <is>
          <t>PASS</t>
        </is>
      </c>
      <c r="H20" s="4" t="inlineStr">
        <is>
          <t>App renders gap.</t>
        </is>
      </c>
    </row>
    <row r="21" ht="15.75" customHeight="1" s="29">
      <c r="A21" s="4" t="inlineStr">
        <is>
          <t>Inference metrics</t>
        </is>
      </c>
      <c r="B21" s="4" t="inlineStr">
        <is>
          <t>REPAIRED</t>
        </is>
      </c>
      <c r="C21" s="4" t="inlineStr">
        <is>
          <t>INF-01…13</t>
        </is>
      </c>
      <c r="D21" s="4" t="inlineStr">
        <is>
          <t>E:F:G restored as live formulas.</t>
        </is>
      </c>
      <c r="E21" s="4" t="inlineStr">
        <is>
          <t>TEACHING</t>
        </is>
      </c>
      <c r="F21" s="4" t="inlineStr">
        <is>
          <t>P009</t>
        </is>
      </c>
      <c r="G21" s="4" t="inlineStr">
        <is>
          <t>PASS</t>
        </is>
      </c>
      <c r="H21" s="4" t="inlineStr">
        <is>
          <t>No static drift.</t>
        </is>
      </c>
    </row>
    <row r="22" ht="15.75" customHeight="1" s="29">
      <c r="A22" s="4" t="inlineStr">
        <is>
          <t>Validation semantics</t>
        </is>
      </c>
      <c r="B22" s="4" t="inlineStr">
        <is>
          <t>REPAIRED</t>
        </is>
      </c>
      <c r="C22" s="4" t="inlineStr">
        <is>
          <t>Build Validation / Pipeline Spec</t>
        </is>
      </c>
      <c r="D22" s="4" t="inlineStr">
        <is>
          <t>Export snapshot labeled; pipeline re-execution required.</t>
        </is>
      </c>
      <c r="E22" s="4" t="inlineStr">
        <is>
          <t>PIPELINE</t>
        </is>
      </c>
      <c r="F22" s="4" t="inlineStr">
        <is>
          <t>P001–P017</t>
        </is>
      </c>
      <c r="G22" s="4" t="inlineStr">
        <is>
          <t>PASS</t>
        </is>
      </c>
      <c r="H22" s="4" t="inlineStr">
        <is>
          <t>HTTP numeric status is a pipeline rule.</t>
        </is>
      </c>
    </row>
    <row r="23" ht="15.75" customHeight="1" s="29"/>
    <row r="24" ht="15.75" customHeight="1" s="29">
      <c r="A24" s="6" t="inlineStr">
        <is>
          <t>v2.11 repair</t>
        </is>
      </c>
      <c r="B24" s="6" t="inlineStr">
        <is>
          <t>Status</t>
        </is>
      </c>
      <c r="C24" s="6" t="inlineStr">
        <is>
          <t>Evidence</t>
        </is>
      </c>
      <c r="D24" s="6" t="inlineStr">
        <is>
          <t>Action</t>
        </is>
      </c>
      <c r="E24" s="6" t="inlineStr">
        <is>
          <t>App role</t>
        </is>
      </c>
      <c r="F24" s="6" t="inlineStr">
        <is>
          <t>Regression guard</t>
        </is>
      </c>
      <c r="G24" s="6" t="inlineStr">
        <is>
          <t>Result</t>
        </is>
      </c>
      <c r="H24" s="6" t="inlineStr">
        <is>
          <t>Notes</t>
        </is>
      </c>
    </row>
    <row r="25" ht="15.75" customHeight="1" s="29">
      <c r="A25" s="4" t="inlineStr">
        <is>
          <t>Dei Filius learner text</t>
        </is>
      </c>
      <c r="B25" s="4" t="inlineStr">
        <is>
          <t>REPAIRED</t>
        </is>
      </c>
      <c r="C25" s="4" t="inlineStr">
        <is>
          <t>7 former citation rows + queue witnesses</t>
        </is>
      </c>
      <c r="D25" s="4" t="inlineStr">
        <is>
          <t>Public citations reselected to released English witnesses; queue Dei Filius Text URL uses actual English translation.</t>
        </is>
      </c>
      <c r="E25" s="4" t="inlineStr">
        <is>
          <t>SOURCE</t>
        </is>
      </c>
      <c r="F25" s="4" t="inlineStr">
        <is>
          <t>P006/P018</t>
        </is>
      </c>
      <c r="G25" s="4" t="inlineStr">
        <is>
          <t>PASS</t>
        </is>
      </c>
      <c r="H25" s="4" t="inlineStr">
        <is>
          <t>Vatican Latin remains authority where applicable.</t>
        </is>
      </c>
    </row>
    <row r="26" ht="15.75" customHeight="1" s="29">
      <c r="A26" s="4" t="inlineStr">
        <is>
          <t>Athanasian learner text</t>
        </is>
      </c>
      <c r="B26" s="4" t="inlineStr">
        <is>
          <t>REPAIRED</t>
        </is>
      </c>
      <c r="C26" s="4" t="inlineStr">
        <is>
          <t>H07/H36/H46/H56 + Anglican H37 queue</t>
        </is>
      </c>
      <c r="D26" s="4" t="inlineStr">
        <is>
          <t>Authority/adoption path separated from CCEL server-rendered text witness.</t>
        </is>
      </c>
      <c r="E26" s="4" t="inlineStr">
        <is>
          <t>SOURCE</t>
        </is>
      </c>
      <c r="F26" s="4" t="inlineStr">
        <is>
          <t>P006/P018</t>
        </is>
      </c>
      <c r="G26" s="4" t="inlineStr">
        <is>
          <t>PASS</t>
        </is>
      </c>
      <c r="H26" s="4" t="inlineStr">
        <is>
          <t>No reliance on non-rendering CoE Athanasian body.</t>
        </is>
      </c>
    </row>
    <row r="27" ht="15.75" customHeight="1" s="29">
      <c r="A27" s="4" t="inlineStr">
        <is>
          <t>Quoted historical phrases</t>
        </is>
      </c>
      <c r="B27" s="4" t="inlineStr">
        <is>
          <t>COMPLETED</t>
        </is>
      </c>
      <c r="C27" s="4" t="inlineStr">
        <is>
          <t>Inherited Public Citations</t>
        </is>
      </c>
      <c r="D27" s="4" t="inlineStr">
        <is>
          <t>56/56 public-ready rows have ≤15-word phrase target; H50 deliberately blank.</t>
        </is>
      </c>
      <c r="E27" s="4" t="inlineStr">
        <is>
          <t>M1 SOURCE</t>
        </is>
      </c>
      <c r="F27" s="4" t="inlineStr">
        <is>
          <t>P018</t>
        </is>
      </c>
      <c r="G27" s="4" t="inlineStr">
        <is>
          <t>PASS</t>
        </is>
      </c>
      <c r="H27" s="4" t="inlineStr">
        <is>
          <t>Content-addressable citations.</t>
        </is>
      </c>
    </row>
    <row r="28" ht="15.75" customHeight="1" s="29">
      <c r="A28" s="4" t="inlineStr">
        <is>
          <t>Citation content validation</t>
        </is>
      </c>
      <c r="B28" s="4" t="inlineStr">
        <is>
          <t>ADDED</t>
        </is>
      </c>
      <c r="C28" s="4" t="inlineStr">
        <is>
          <t>Citation Phrase Targets + Pipeline Validation Spec</t>
        </is>
      </c>
      <c r="D28" s="4" t="inlineStr">
        <is>
          <t>HTTP success and phrase containment are separate blocking checks.</t>
        </is>
      </c>
      <c r="E28" s="4" t="inlineStr">
        <is>
          <t>PIPELINE</t>
        </is>
      </c>
      <c r="F28" s="4" t="inlineStr">
        <is>
          <t>P018</t>
        </is>
      </c>
      <c r="G28" s="4" t="inlineStr">
        <is>
          <t>PASS DESIGN</t>
        </is>
      </c>
      <c r="H28" s="4" t="inlineStr">
        <is>
          <t>Pipeline must perform actual fetch/extract/match.</t>
        </is>
      </c>
    </row>
    <row r="29" ht="15.75" customHeight="1" s="29">
      <c r="A29" s="4" t="inlineStr">
        <is>
          <t>H50 historical citation</t>
        </is>
      </c>
      <c r="B29" s="4" t="inlineStr">
        <is>
          <t>UNCHANGED GAP</t>
        </is>
      </c>
      <c r="C29" s="4" t="inlineStr">
        <is>
          <t>SOURCE-PACKET-REQUIRED</t>
        </is>
      </c>
      <c r="D29" s="4" t="inlineStr">
        <is>
          <t>No phrase or public URL fabricated.</t>
        </is>
      </c>
      <c r="E29" s="4" t="inlineStr">
        <is>
          <t>M1 SOURCE</t>
        </is>
      </c>
      <c r="F29" s="4" t="inlineStr">
        <is>
          <t>P012/P018 exclusion</t>
        </is>
      </c>
      <c r="G29" s="4" t="inlineStr">
        <is>
          <t>PASS</t>
        </is>
      </c>
      <c r="H29" s="4" t="inlineStr">
        <is>
          <t>Render explicit gap.</t>
        </is>
      </c>
    </row>
    <row r="30" ht="15.75" customHeight="1" s="29"/>
    <row r="31" ht="15.75" customHeight="1" s="29">
      <c r="A31" s="6" t="inlineStr">
        <is>
          <t>v2.12 engineering hardening</t>
        </is>
      </c>
      <c r="B31" s="6" t="inlineStr">
        <is>
          <t>Status</t>
        </is>
      </c>
      <c r="C31" s="6" t="inlineStr">
        <is>
          <t>Evidence</t>
        </is>
      </c>
      <c r="D31" s="6" t="inlineStr">
        <is>
          <t>Action</t>
        </is>
      </c>
      <c r="E31" s="6" t="inlineStr">
        <is>
          <t>App role</t>
        </is>
      </c>
      <c r="F31" s="6" t="inlineStr">
        <is>
          <t>Regression guard</t>
        </is>
      </c>
      <c r="G31" s="6" t="inlineStr">
        <is>
          <t>Result</t>
        </is>
      </c>
      <c r="H31" s="6" t="inlineStr">
        <is>
          <t>Notes</t>
        </is>
      </c>
    </row>
    <row r="32" ht="15.75" customHeight="1" s="29">
      <c r="A32" s="4" t="inlineStr">
        <is>
          <t>Restoration comparator assertions</t>
        </is>
      </c>
      <c r="B32" s="4" t="inlineStr">
        <is>
          <t>ADDED</t>
        </is>
      </c>
      <c r="C32" s="4" t="inlineStr">
        <is>
          <t>57 primary + 6 supplemental URLs</t>
        </is>
      </c>
      <c r="D32" s="4" t="inlineStr">
        <is>
          <t>Added symmetric quoted phrases, fetch modes, locator rules, and target sheet.</t>
        </is>
      </c>
      <c r="E32" s="4" t="inlineStr">
        <is>
          <t>M1 SOURCE</t>
        </is>
      </c>
      <c r="F32" s="4" t="inlineStr">
        <is>
          <t>P019/P020</t>
        </is>
      </c>
      <c r="G32" s="4" t="inlineStr">
        <is>
          <t>PASS DESIGN</t>
        </is>
      </c>
      <c r="H32" s="4" t="inlineStr">
        <is>
          <t>No comparator decisions changed.</t>
        </is>
      </c>
    </row>
    <row r="33" ht="15.75" customHeight="1" s="29">
      <c r="A33" s="4" t="inlineStr">
        <is>
          <t>Locator-scoped validation</t>
        </is>
      </c>
      <c r="B33" s="4" t="inlineStr">
        <is>
          <t>ADDED</t>
        </is>
      </c>
      <c r="C33" s="4" t="inlineStr">
        <is>
          <t>Historical + Restoration + case targets</t>
        </is>
      </c>
      <c r="D33" s="4" t="inlineStr">
        <is>
          <t>Phrase checks occur inside cited verse/article/section where structure permits.</t>
        </is>
      </c>
      <c r="E33" s="4" t="inlineStr">
        <is>
          <t>PIPELINE</t>
        </is>
      </c>
      <c r="F33" s="4" t="inlineStr">
        <is>
          <t>P020</t>
        </is>
      </c>
      <c r="G33" s="4" t="inlineStr">
        <is>
          <t>PASS DESIGN</t>
        </is>
      </c>
      <c r="H33" s="4" t="inlineStr">
        <is>
          <t>No silent whole-page fallback.</t>
        </is>
      </c>
    </row>
    <row r="34" ht="15.75" customHeight="1" s="29">
      <c r="A34" s="4" t="inlineStr">
        <is>
          <t>PDF normalization</t>
        </is>
      </c>
      <c r="B34" s="4" t="inlineStr">
        <is>
          <t>HARDENED</t>
        </is>
      </c>
      <c r="C34" s="4" t="inlineStr">
        <is>
          <t>3 PC(USA) phrase targets</t>
        </is>
      </c>
      <c r="D34" s="4" t="inlineStr">
        <is>
          <t>Strip soft hyphens, expand ﬁ/ﬂ, join hyphenated line breaks before normalization.</t>
        </is>
      </c>
      <c r="E34" s="4" t="inlineStr">
        <is>
          <t>PIPELINE</t>
        </is>
      </c>
      <c r="F34" s="4" t="inlineStr">
        <is>
          <t>P020</t>
        </is>
      </c>
      <c r="G34" s="4" t="inlineStr">
        <is>
          <t>PASS DESIGN</t>
        </is>
      </c>
      <c r="H34" s="4" t="inlineStr">
        <is>
          <t>Protects PDF extraction assertions.</t>
        </is>
      </c>
    </row>
    <row r="35" ht="15.75" customHeight="1" s="29">
      <c r="A35" s="4" t="inlineStr">
        <is>
          <t>Case-study content targets</t>
        </is>
      </c>
      <c r="B35" s="4" t="inlineStr">
        <is>
          <t>ADDED</t>
        </is>
      </c>
      <c r="C35" s="4" t="inlineStr">
        <is>
          <t>H05/H22/H43 × 8 branches</t>
        </is>
      </c>
      <c r="D35" s="4" t="inlineStr">
        <is>
          <t>24 Queue-ID records: 21 assertions + 3 explicit no-target unreleased.</t>
        </is>
      </c>
      <c r="E35" s="4" t="inlineStr">
        <is>
          <t>M3a SOURCE</t>
        </is>
      </c>
      <c r="F35" s="4" t="inlineStr">
        <is>
          <t>P021</t>
        </is>
      </c>
      <c r="G35" s="4" t="inlineStr">
        <is>
          <t>PASS DESIGN</t>
        </is>
      </c>
      <c r="H35" s="4" t="inlineStr">
        <is>
          <t>Q-034/Q-169 text witnesses strengthened without recoding.</t>
        </is>
      </c>
    </row>
    <row r="36" ht="15.75" customHeight="1" s="29">
      <c r="A36" s="4" t="inlineStr">
        <is>
          <t>Vector captions</t>
        </is>
      </c>
      <c r="B36" s="4" t="inlineStr">
        <is>
          <t>ADDED</t>
        </is>
      </c>
      <c r="C36" s="4" t="inlineStr">
        <is>
          <t>H07/H32/H56</t>
        </is>
      </c>
      <c r="D36" s="4" t="inlineStr">
        <is>
          <t>Required VECTOR card mode and learner-facing multi-layer captions.</t>
        </is>
      </c>
      <c r="E36" s="4" t="inlineStr">
        <is>
          <t>CARD SCHEMA</t>
        </is>
      </c>
      <c r="F36" s="4" t="inlineStr">
        <is>
          <t>P022</t>
        </is>
      </c>
      <c r="G36" s="4" t="inlineStr">
        <is>
          <t>PASS DESIGN</t>
        </is>
      </c>
      <c r="H36" s="4" t="inlineStr">
        <is>
          <t>Prevents atomic citation → family tile collapse.</t>
        </is>
      </c>
    </row>
    <row r="37" ht="15.75" customHeight="1" s="29">
      <c r="A37" s="4" t="inlineStr">
        <is>
          <t>Author-owned decisions</t>
        </is>
      </c>
      <c r="B37" s="4" t="inlineStr">
        <is>
          <t>UNCHANGED</t>
        </is>
      </c>
      <c r="C37" s="4" t="inlineStr">
        <is>
          <t>Row Ratification + four comparator flags + Orthodox holds</t>
        </is>
      </c>
      <c r="D37" s="4" t="inlineStr">
        <is>
          <t>No author decision made by engineering pass.</t>
        </is>
      </c>
      <c r="E37" s="4" t="inlineStr">
        <is>
          <t>GATE</t>
        </is>
      </c>
      <c r="F37" s="4" t="inlineStr">
        <is>
          <t>P015 + existing holds</t>
        </is>
      </c>
      <c r="G37" s="4" t="inlineStr">
        <is>
          <t>PRESERVED</t>
        </is>
      </c>
      <c r="H37" s="4" t="inlineStr">
        <is>
          <t>Pure engineering hardening.</t>
        </is>
      </c>
    </row>
    <row r="38" ht="15.75" customHeight="1" s="29"/>
    <row r="39" ht="15.75" customHeight="1" s="29">
      <c r="A39" s="5" t="inlineStr">
        <is>
          <t>v2.13 Interpretive Clarification Layer</t>
        </is>
      </c>
      <c r="B39" s="5" t="inlineStr">
        <is>
          <t>Status</t>
        </is>
      </c>
      <c r="C39" s="5" t="inlineStr">
        <is>
          <t>Evidence</t>
        </is>
      </c>
      <c r="D39" s="5" t="inlineStr">
        <is>
          <t>Action</t>
        </is>
      </c>
      <c r="E39" s="5" t="inlineStr">
        <is>
          <t>App role</t>
        </is>
      </c>
      <c r="F39" s="5" t="inlineStr">
        <is>
          <t>Regression guard</t>
        </is>
      </c>
      <c r="G39" s="5" t="inlineStr">
        <is>
          <t>Result</t>
        </is>
      </c>
      <c r="H39" s="5" t="inlineStr">
        <is>
          <t>Notes</t>
        </is>
      </c>
    </row>
    <row r="40" ht="15.75" customHeight="1" s="29">
      <c r="A40" s="4" t="inlineStr">
        <is>
          <t>Canonical architecture</t>
        </is>
      </c>
      <c r="B40" s="4" t="inlineStr">
        <is>
          <t>ADDED</t>
        </is>
      </c>
      <c r="C40" s="4" t="inlineStr">
        <is>
          <t>APP CONFIG + four ICL sheets</t>
        </is>
      </c>
      <c r="D40" s="4" t="inlineStr">
        <is>
          <t>Workbook remains research source of truth; runtime DB is optional derived store.</t>
        </is>
      </c>
      <c r="E40" s="4" t="inlineStr">
        <is>
          <t>ARCHITECTURE</t>
        </is>
      </c>
      <c r="F40" s="4" t="inlineStr">
        <is>
          <t>P023–P026</t>
        </is>
      </c>
      <c r="G40" s="4" t="inlineStr">
        <is>
          <t>PASS DESIGN</t>
        </is>
      </c>
      <c r="H40" s="4" t="inlineStr">
        <is>
          <t>No second authoritative data store introduced.</t>
        </is>
      </c>
    </row>
    <row r="41" ht="15.75" customHeight="1" s="29">
      <c r="A41" s="4" t="inlineStr">
        <is>
          <t>ICC-001 prototype</t>
        </is>
      </c>
      <c r="B41" s="4" t="inlineStr">
        <is>
          <t>ADDED</t>
        </is>
      </c>
      <c r="C41" s="4" t="inlineStr">
        <is>
          <t>Baptist sola fide / discipline case</t>
        </is>
      </c>
      <c r="D41" s="4" t="inlineStr">
        <is>
          <t>Added one NOT COUNTED case in AUTHOR_REVIEW state.</t>
        </is>
      </c>
      <c r="E41" s="4" t="inlineStr">
        <is>
          <t>CLARIFICATION</t>
        </is>
      </c>
      <c r="F41" s="4" t="inlineStr">
        <is>
          <t>P023/P026</t>
        </is>
      </c>
      <c r="G41" s="4" t="inlineStr">
        <is>
          <t>AUTHOR REVIEW</t>
        </is>
      </c>
      <c r="H41" s="4" t="inlineStr">
        <is>
          <t>No public auto-cue or approved-answer authority yet.</t>
        </is>
      </c>
    </row>
    <row r="42" ht="15.75" customHeight="1" s="29">
      <c r="A42" s="4" t="inlineStr">
        <is>
          <t>Trigger policy</t>
        </is>
      </c>
      <c r="B42" s="4" t="inlineStr">
        <is>
          <t>ADDED</t>
        </is>
      </c>
      <c r="C42" s="4" t="inlineStr">
        <is>
          <t>18 trigger rows</t>
        </is>
      </c>
      <c r="D42" s="4" t="inlineStr">
        <is>
          <t>HIGH-priority context-bundled cues; tradition alone never auto-cues; one cue maximum.</t>
        </is>
      </c>
      <c r="E42" s="4" t="inlineStr">
        <is>
          <t>RUNTIME</t>
        </is>
      </c>
      <c r="F42" s="4" t="inlineStr">
        <is>
          <t>P024</t>
        </is>
      </c>
      <c r="G42" s="4" t="inlineStr">
        <is>
          <t>PASS DESIGN</t>
        </is>
      </c>
      <c r="H42" s="4" t="inlineStr">
        <is>
          <t>Automatic invitation, manual expansion.</t>
        </is>
      </c>
    </row>
    <row r="43" ht="15.75" customHeight="1" s="29">
      <c r="A43" s="4" t="inlineStr">
        <is>
          <t>Clarification source control</t>
        </is>
      </c>
      <c r="B43" s="4" t="inlineStr">
        <is>
          <t>ADDED</t>
        </is>
      </c>
      <c r="C43" s="4" t="inlineStr">
        <is>
          <t>10 source rows</t>
        </is>
      </c>
      <c r="D43" s="4" t="inlineStr">
        <is>
          <t>Current SBC, historical 1689, and Free Will Baptist variation sources with phrase assertions.</t>
        </is>
      </c>
      <c r="E43" s="4" t="inlineStr">
        <is>
          <t>SOURCE</t>
        </is>
      </c>
      <c r="F43" s="4" t="inlineStr">
        <is>
          <t>P025</t>
        </is>
      </c>
      <c r="G43" s="4" t="inlineStr">
        <is>
          <t>PASS</t>
        </is>
      </c>
      <c r="H43" s="4" t="inlineStr">
        <is>
          <t>Content-addressable case evidence.</t>
        </is>
      </c>
    </row>
    <row r="44" ht="15.75" customHeight="1" s="29">
      <c r="A44" s="4" t="inlineStr">
        <is>
          <t>Quantitative isolation</t>
        </is>
      </c>
      <c r="B44" s="4" t="inlineStr">
        <is>
          <t>PRESERVED</t>
        </is>
      </c>
      <c r="C44" s="4" t="inlineStr">
        <is>
          <t>Counted?=FALSE; quantitative impact NONE</t>
        </is>
      </c>
      <c r="D44" s="4" t="inlineStr">
        <is>
          <t>No change to 57/26/83 or branch denominators.</t>
        </is>
      </c>
      <c r="E44" s="4" t="inlineStr">
        <is>
          <t>RESEARCH</t>
        </is>
      </c>
      <c r="F44" s="4" t="inlineStr">
        <is>
          <t>P023</t>
        </is>
      </c>
      <c r="G44" s="4" t="inlineStr">
        <is>
          <t>PASS</t>
        </is>
      </c>
      <c r="H44" s="4" t="inlineStr">
        <is>
          <t>Interpretive breadth without denominator drift.</t>
        </is>
      </c>
    </row>
    <row r="45" ht="15.75" customHeight="1" s="29">
      <c r="A45" s="4" t="inlineStr">
        <is>
          <t>Author-owned gates</t>
        </is>
      </c>
      <c r="B45" s="4" t="inlineStr">
        <is>
          <t>UNCHANGED</t>
        </is>
      </c>
      <c r="C45" s="4" t="inlineStr">
        <is>
          <t>Existing author review items</t>
        </is>
      </c>
      <c r="D45" s="4" t="inlineStr">
        <is>
          <t>No theological adjudication performed by architecture pass.</t>
        </is>
      </c>
      <c r="E45" s="4" t="inlineStr">
        <is>
          <t>GATE</t>
        </is>
      </c>
      <c r="F45" s="4" t="inlineStr">
        <is>
          <t>Existing author gates</t>
        </is>
      </c>
      <c r="G45" s="4" t="inlineStr">
        <is>
          <t>PRESERVED</t>
        </is>
      </c>
      <c r="H45" s="4" t="inlineStr">
        <is>
          <t>Row Ratification and Orthodox holds unchanged.</t>
        </is>
      </c>
    </row>
    <row r="46" ht="15.75" customHeight="1" s="29"/>
    <row r="47" ht="15.75" customHeight="1" s="29">
      <c r="A47" s="5" t="inlineStr">
        <is>
          <t>v2.14 Author Workflow System</t>
        </is>
      </c>
      <c r="B47" s="5" t="inlineStr">
        <is>
          <t>Status</t>
        </is>
      </c>
      <c r="C47" s="5" t="inlineStr">
        <is>
          <t>Evidence</t>
        </is>
      </c>
      <c r="D47" s="5" t="inlineStr">
        <is>
          <t>Action</t>
        </is>
      </c>
      <c r="E47" s="5" t="inlineStr">
        <is>
          <t>App / research role</t>
        </is>
      </c>
      <c r="F47" s="5" t="inlineStr">
        <is>
          <t>Regression guard</t>
        </is>
      </c>
      <c r="G47" s="5" t="inlineStr">
        <is>
          <t>Result</t>
        </is>
      </c>
      <c r="H47" s="5" t="inlineStr">
        <is>
          <t>Notes</t>
        </is>
      </c>
    </row>
    <row r="48" ht="15.75" customHeight="1" s="29">
      <c r="A48" s="4" t="inlineStr">
        <is>
          <t>Decision inventory</t>
        </is>
      </c>
      <c r="B48" s="4" t="inlineStr">
        <is>
          <t>ADDED</t>
        </is>
      </c>
      <c r="C48" s="4" t="inlineStr">
        <is>
          <t>104 queue rows</t>
        </is>
      </c>
      <c r="D48" s="4" t="inlineStr">
        <is>
          <t>101 actionable + 3 future blocked decisions normalized into one queue.</t>
        </is>
      </c>
      <c r="E48" s="4" t="inlineStr">
        <is>
          <t>AUTHOR GOVERNANCE</t>
        </is>
      </c>
      <c r="F48" s="4" t="inlineStr">
        <is>
          <t>P027/V090–V098</t>
        </is>
      </c>
      <c r="G48" s="4" t="inlineStr">
        <is>
          <t>PASS DESIGN</t>
        </is>
      </c>
      <c r="H48" s="4" t="inlineStr">
        <is>
          <t>Includes all 83 row ratifications plus specialized author decisions.</t>
        </is>
      </c>
    </row>
    <row r="49" ht="15.75" customHeight="1" s="29">
      <c r="A49" s="4" t="inlineStr">
        <is>
          <t>One-at-a-time console</t>
        </is>
      </c>
      <c r="B49" s="4" t="inlineStr">
        <is>
          <t>ADDED</t>
        </is>
      </c>
      <c r="C49" s="4" t="inlineStr">
        <is>
          <t>AUTHOR REVIEW CONSOLE</t>
        </is>
      </c>
      <c r="D49" s="4" t="inlineStr">
        <is>
          <t>First unresolved READY decision is mirrored with context and suggested options.</t>
        </is>
      </c>
      <c r="E49" s="4" t="inlineStr">
        <is>
          <t>AUTHOR UX</t>
        </is>
      </c>
      <c r="F49" s="4" t="inlineStr">
        <is>
          <t>P028/V100</t>
        </is>
      </c>
      <c r="G49" s="4" t="inlineStr">
        <is>
          <t>PASS</t>
        </is>
      </c>
      <c r="H49" s="4" t="inlineStr">
        <is>
          <t>Tested automatic advance and reset.</t>
        </is>
      </c>
    </row>
    <row r="50" ht="15.75" customHeight="1" s="29">
      <c r="A50" s="4" t="inlineStr">
        <is>
          <t>Gate safety dashboard</t>
        </is>
      </c>
      <c r="B50" s="4" t="inlineStr">
        <is>
          <t>ADDED</t>
        </is>
      </c>
      <c r="C50" s="4" t="inlineStr">
        <is>
          <t>Author Gate Dashboard</t>
        </is>
      </c>
      <c r="D50" s="4" t="inlineStr">
        <is>
          <t>Nine author gates derive live from queue status.</t>
        </is>
      </c>
      <c r="E50" s="4" t="inlineStr">
        <is>
          <t>GOVERNANCE</t>
        </is>
      </c>
      <c r="F50" s="4" t="inlineStr">
        <is>
          <t>P028/V099</t>
        </is>
      </c>
      <c r="G50" s="4" t="inlineStr">
        <is>
          <t>PASS</t>
        </is>
      </c>
      <c r="H50" s="4" t="inlineStr">
        <is>
          <t>HOLD and future dependencies remain visible.</t>
        </is>
      </c>
    </row>
    <row r="51" ht="15.75" customHeight="1" s="29">
      <c r="A51" s="4" t="inlineStr">
        <is>
          <t>Auditable responses</t>
        </is>
      </c>
      <c r="B51" s="4" t="inlineStr">
        <is>
          <t>ADDED</t>
        </is>
      </c>
      <c r="C51" s="4" t="inlineStr">
        <is>
          <t>Response menu + custom text + initials/date</t>
        </is>
      </c>
      <c r="D51" s="4" t="inlineStr">
        <is>
          <t>Incomplete custom/metadata responses remain current.</t>
        </is>
      </c>
      <c r="E51" s="4" t="inlineStr">
        <is>
          <t>AUTHOR RECORD</t>
        </is>
      </c>
      <c r="F51" s="4" t="inlineStr">
        <is>
          <t>P029</t>
        </is>
      </c>
      <c r="G51" s="4" t="inlineStr">
        <is>
          <t>PASS</t>
        </is>
      </c>
      <c r="H51" s="4" t="inlineStr">
        <is>
          <t>No macros or Apps Script required.</t>
        </is>
      </c>
    </row>
    <row r="52" ht="15.75" customHeight="1" s="29">
      <c r="A52" s="4" t="inlineStr">
        <is>
          <t>Source propagation</t>
        </is>
      </c>
      <c r="B52" s="4" t="inlineStr">
        <is>
          <t>ADDED</t>
        </is>
      </c>
      <c r="C52" s="4" t="inlineStr">
        <is>
          <t>Row Ratification + Godhead Context</t>
        </is>
      </c>
      <c r="D52" s="4" t="inlineStr">
        <is>
          <t>Central responses mirror into author fields; research-code changes remain controlled.</t>
        </is>
      </c>
      <c r="E52" s="4" t="inlineStr">
        <is>
          <t>LINEAGE</t>
        </is>
      </c>
      <c r="F52" s="4" t="inlineStr">
        <is>
          <t>P030</t>
        </is>
      </c>
      <c r="G52" s="4" t="inlineStr">
        <is>
          <t>PASS</t>
        </is>
      </c>
      <c r="H52" s="4" t="inlineStr">
        <is>
          <t>No silent comparator/semantic recoding.</t>
        </is>
      </c>
    </row>
    <row r="53" ht="15.75" customHeight="1" s="29">
      <c r="A53" s="4" t="inlineStr">
        <is>
          <t>File format</t>
        </is>
      </c>
      <c r="B53" s="4" t="inlineStr">
        <is>
          <t>HARDENED</t>
        </is>
      </c>
      <c r="C53" s="4" t="inlineStr">
        <is>
          <t>XLSX</t>
        </is>
      </c>
      <c r="D53" s="4" t="inlineStr">
        <is>
          <t>Controlled source remains non-macro workbook.</t>
        </is>
      </c>
      <c r="E53" s="4" t="inlineStr">
        <is>
          <t>ARTIFACT</t>
        </is>
      </c>
      <c r="F53" s="4" t="inlineStr">
        <is>
          <t>APP CONFIG</t>
        </is>
      </c>
      <c r="G53" s="4" t="inlineStr">
        <is>
          <t>PASS</t>
        </is>
      </c>
      <c r="H53" s="4" t="inlineStr">
        <is>
          <t>Executable-code extension not used.</t>
        </is>
      </c>
    </row>
    <row r="54" ht="15.75" customHeight="1" s="29">
      <c r="A54" s="0" t="inlineStr">
        <is>
          <t>Internal branch analytics</t>
        </is>
      </c>
      <c r="B54" s="0" t="inlineStr">
        <is>
          <t>ADDED</t>
        </is>
      </c>
      <c r="C54" s="0" t="inlineStr">
        <is>
          <t>Branch Study</t>
        </is>
      </c>
      <c r="D54" s="0" t="inlineStr">
        <is>
          <t>Personal-study counts/percentages by branch, formula-driven from the queue; never emitted to src/_data.</t>
        </is>
      </c>
      <c r="E54" s="0" t="inlineStr">
        <is>
          <t>GOVERNANCE</t>
        </is>
      </c>
      <c r="F54" s="0" t="inlineStr">
        <is>
          <t>APP CONFIG internal_stats_public</t>
        </is>
      </c>
      <c r="G54" s="0" t="inlineStr">
        <is>
          <t>PASS</t>
        </is>
      </c>
      <c r="H54" s="0" t="inlineStr">
        <is>
          <t>Coverage vs agreement-among-located kept on separate denominators; eligibility flag for Gate 8.</t>
        </is>
      </c>
    </row>
    <row r="55" ht="15.75" customHeight="1" s="29">
      <c r="A55" s="41" t="inlineStr">
        <is>
          <t>Branch source registries</t>
        </is>
      </c>
      <c r="B55" s="42" t="inlineStr">
        <is>
          <t>ADDED</t>
        </is>
      </c>
      <c r="C55" s="41" t="inlineStr">
        <is>
          <t>Decision Console sitting gate5-registries-20260910</t>
        </is>
      </c>
      <c r="D55" s="41" t="inlineStr">
        <is>
          <t>38 standards ratified, 0 retired, 0 held; scope caveats inherited per branch.</t>
        </is>
      </c>
      <c r="E55" s="42" t="inlineStr">
        <is>
          <t>SOURCE GOVERNANCE</t>
        </is>
      </c>
      <c r="F55" s="41" t="inlineStr">
        <is>
          <t>R001 registry-only citation check; APP CONFIG registry_only_enforcement</t>
        </is>
      </c>
      <c r="G55" s="42" t="inlineStr">
        <is>
          <t>PASS</t>
        </is>
      </c>
      <c r="H55" s="41" t="inlineStr">
        <is>
          <t>Merged by sjn_merge_decisions.py on 2026-09-10 from the console decisions JSON. No doctrinal, copy, count, or gate-value change outside the registry.</t>
        </is>
      </c>
    </row>
    <row r="56" ht="15.75" customHeight="1" s="29">
      <c r="A56" s="41" t="inlineStr">
        <is>
          <t>Branch source registries</t>
        </is>
      </c>
      <c r="B56" s="42" t="inlineStr">
        <is>
          <t>REVISED</t>
        </is>
      </c>
      <c r="C56" s="41" t="inlineStr">
        <is>
          <t>Decision Console sitting gate5-registries-20260910</t>
        </is>
      </c>
      <c r="D56" s="41" t="inlineStr">
        <is>
          <t>36 standards ratified, 2 retired, 0 held; scope caveats inherited per branch. Corrections pass — registry rows re-merged from the console.</t>
        </is>
      </c>
      <c r="E56" s="42" t="inlineStr">
        <is>
          <t>SOURCE GOVERNANCE</t>
        </is>
      </c>
      <c r="F56" s="41" t="inlineStr">
        <is>
          <t>R001 registry-only citation check; APP CONFIG registry_only_enforcement</t>
        </is>
      </c>
      <c r="G56" s="42" t="inlineStr">
        <is>
          <t>PASS</t>
        </is>
      </c>
      <c r="H56" s="41" t="inlineStr">
        <is>
          <t>Merged by sjn_merge_decisions.py on 2026-09-10 from the console decisions JSON. No doctrinal, copy, count, or gate-value change outside the registry.</t>
        </is>
      </c>
    </row>
    <row r="57" ht="15.75" customHeight="1" s="29">
      <c r="A57" s="41" t="inlineStr">
        <is>
          <t>Branch source registries</t>
        </is>
      </c>
      <c r="B57" s="42" t="inlineStr">
        <is>
          <t>REVISED</t>
        </is>
      </c>
      <c r="C57" s="41" t="inlineStr">
        <is>
          <t>Decision Console sitting gate5-registries-20260910 + gate7-registry-corrections-20260911</t>
        </is>
      </c>
      <c r="D57" s="41" t="inlineStr">
        <is>
          <t>36 standards ratified, 2 retired, 0 held; scope caveats inherited per branch. Corrections pass — registry rows re-merged from the console.</t>
        </is>
      </c>
      <c r="E57" s="42" t="inlineStr">
        <is>
          <t>SOURCE GOVERNANCE</t>
        </is>
      </c>
      <c r="F57" s="41" t="inlineStr">
        <is>
          <t>R001 registry-only citation check; APP CONFIG registry_only_enforcement</t>
        </is>
      </c>
      <c r="G57" s="42" t="inlineStr">
        <is>
          <t>PASS</t>
        </is>
      </c>
      <c r="H57" s="41" t="inlineStr">
        <is>
          <t>Merged by sjn_merge_decisions.py on 2026-09-12 from the console decisions JSON. No doctrinal, copy, count, or gate-value change outside the registry.</t>
        </is>
      </c>
    </row>
    <row r="58" ht="15.75" customHeight="1" s="29">
      <c r="A58" s="41" t="inlineStr">
        <is>
          <t>Branch source registries</t>
        </is>
      </c>
      <c r="B58" s="42" t="inlineStr">
        <is>
          <t>REVISED</t>
        </is>
      </c>
      <c r="C58" s="41" t="inlineStr">
        <is>
          <t>Decision Console sitting gate5-registries-20260910 + gate7-registry-corrections-20260911 + gate7b-reception-axis-20260912</t>
        </is>
      </c>
      <c r="D58" s="41" t="inlineStr">
        <is>
          <t>42 standards ratified, 2 retired, 0 held; scope caveats inherited per branch. Corrections pass — registry rows re-merged from the console.</t>
        </is>
      </c>
      <c r="E58" s="42" t="inlineStr">
        <is>
          <t>SOURCE GOVERNANCE</t>
        </is>
      </c>
      <c r="F58" s="41" t="inlineStr">
        <is>
          <t>R001 registry-only citation check; APP CONFIG registry_only_enforcement</t>
        </is>
      </c>
      <c r="G58" s="42" t="inlineStr">
        <is>
          <t>PASS</t>
        </is>
      </c>
      <c r="H58" s="41" t="inlineStr">
        <is>
          <t>Merged by sjn_merge_decisions.py on 2026-09-12 from the console decisions JSON. No doctrinal, copy, count, or gate-value change outside the registry.</t>
        </is>
      </c>
    </row>
    <row r="59" ht="15.75" customHeight="1" s="29">
      <c r="A59" s="41" t="inlineStr">
        <is>
          <t>Branch source registries</t>
        </is>
      </c>
      <c r="B59" s="42" t="inlineStr">
        <is>
          <t>REVISED</t>
        </is>
      </c>
      <c r="C59" s="41" t="inlineStr">
        <is>
          <t>Decision Console sitting gate5-registries-20260910 + gate7-registry-corrections-20260911 + gate7b-reception-axis-20260912 + EO-13 repair 20260912</t>
        </is>
      </c>
      <c r="D59" s="41" t="inlineStr">
        <is>
          <t>43 standards ratified, 2 retired, 0 held; scope caveats inherited per branch. Corrections pass — registry rows re-merged from the console.</t>
        </is>
      </c>
      <c r="E59" s="42" t="inlineStr">
        <is>
          <t>SOURCE GOVERNANCE</t>
        </is>
      </c>
      <c r="F59" s="41" t="inlineStr">
        <is>
          <t>R001 registry-only citation check; APP CONFIG registry_only_enforcement</t>
        </is>
      </c>
      <c r="G59" s="42" t="inlineStr">
        <is>
          <t>PASS</t>
        </is>
      </c>
      <c r="H59" s="41" t="inlineStr">
        <is>
          <t>Merged by sjn_merge_decisions.py on 2026-09-12 from the console decisions JSON. No doctrinal, copy, count, or gate-value change outside the registry.</t>
        </is>
      </c>
    </row>
    <row r="60" ht="15.75" customHeight="1" s="29">
      <c r="A60" s="41" t="inlineStr">
        <is>
          <t>Branch source registries</t>
        </is>
      </c>
      <c r="B60" s="42" t="inlineStr">
        <is>
          <t>REVISED</t>
        </is>
      </c>
      <c r="C60" s="41" t="inlineStr">
        <is>
          <t>Decision Console sitting gate5-registries-20260910 + gate7-registry-corrections-20260911 + gate7b-reception-axis-20260912 + EO-13 repair 20260912 + EO-07/EO-14/MW-03 + AC-15 20260912</t>
        </is>
      </c>
      <c r="D60" s="41" t="inlineStr">
        <is>
          <t>44 standards ratified, 2 retired, 0 held; scope caveats inherited per branch. Corrections pass — registry rows re-merged from the console.</t>
        </is>
      </c>
      <c r="E60" s="42" t="inlineStr">
        <is>
          <t>SOURCE GOVERNANCE</t>
        </is>
      </c>
      <c r="F60" s="41" t="inlineStr">
        <is>
          <t>R001 registry-only citation check; APP CONFIG registry_only_enforcement</t>
        </is>
      </c>
      <c r="G60" s="42" t="inlineStr">
        <is>
          <t>PASS</t>
        </is>
      </c>
      <c r="H60" s="41" t="inlineStr">
        <is>
          <t>Merged by sjn_merge_decisions.py on 2026-09-12 from the console decisions JSON. No doctrinal, copy, count, or gate-value change outside the registry.</t>
        </is>
      </c>
    </row>
    <row r="61" ht="15.75" customHeight="1" s="29">
      <c r="A61" s="41" t="inlineStr">
        <is>
          <t>Branch source registries</t>
        </is>
      </c>
      <c r="B61" s="42" t="inlineStr">
        <is>
          <t>REVISED</t>
        </is>
      </c>
      <c r="C61" s="41" t="inlineStr">
        <is>
          <t>Decision Console sitting gate5-registries-20260910 + gate7-registry-corrections-20260911 + gate7b-reception-axis-20260912 + EO-13 repair 20260912 + EO-07/EO-14/MW-03 + AC-15 20260912 + AN-03 migration / RC-08 vaticannews 20260912</t>
        </is>
      </c>
      <c r="D61" s="41" t="inlineStr">
        <is>
          <t>45 standards ratified, 2 retired, 0 held; scope caveats inherited per branch. Corrections pass — registry rows re-merged from the console.</t>
        </is>
      </c>
      <c r="E61" s="42" t="inlineStr">
        <is>
          <t>SOURCE GOVERNANCE</t>
        </is>
      </c>
      <c r="F61" s="41" t="inlineStr">
        <is>
          <t>R001 registry-only citation check; APP CONFIG registry_only_enforcement</t>
        </is>
      </c>
      <c r="G61" s="42" t="inlineStr">
        <is>
          <t>PASS</t>
        </is>
      </c>
      <c r="H61" s="41" t="inlineStr">
        <is>
          <t>Merged by sjn_merge_decisions.py on 2026-09-12 from the console decisions JSON. No doctrinal, copy, count, or gate-value change outside the registry.</t>
        </is>
      </c>
    </row>
    <row r="62" ht="15.75" customHeight="1" s="29">
      <c r="A62" s="41" t="inlineStr">
        <is>
          <t>Branch source registries</t>
        </is>
      </c>
      <c r="B62" s="42" t="inlineStr">
        <is>
          <t>REVISED</t>
        </is>
      </c>
      <c r="C62" s="41" t="inlineStr">
        <is>
          <t>Decision Console sitting gate5-registries-20260910 + gate7-registry-corrections-20260911 + gate7b-reception-axis-20260912 + EO-13 repair 20260912 + EO-07/EO-14/MW-03 + AC-15 20260912 + AN-03 migration / RC-08 vaticannews 20260912 + Gate 6 open-cell scope 20260913</t>
        </is>
      </c>
      <c r="D62" s="41" t="inlineStr">
        <is>
          <t>45 standards ratified, 2 retired, 0 held; scope caveats inherited per branch. Corrections pass — registry rows re-merged from the console.</t>
        </is>
      </c>
      <c r="E62" s="42" t="inlineStr">
        <is>
          <t>SOURCE GOVERNANCE</t>
        </is>
      </c>
      <c r="F62" s="41" t="inlineStr">
        <is>
          <t>R001 registry-only citation check; APP CONFIG registry_only_enforcement</t>
        </is>
      </c>
      <c r="G62" s="42" t="inlineStr">
        <is>
          <t>PASS</t>
        </is>
      </c>
      <c r="H62" s="41" t="inlineStr">
        <is>
          <t>Merged by sjn_merge_decisions.py on 2026-09-13 from the console decisions JSON. No doctrinal, copy, count, or gate-value change outside the registry.</t>
        </is>
      </c>
    </row>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7.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ColWidth="12.63" defaultRowHeight="15" customHeight="1"/>
  <cols>
    <col width="10" customWidth="1" style="29" min="1" max="2"/>
    <col width="56" customWidth="1" style="29" min="3" max="3"/>
    <col width="18" customWidth="1" style="29" min="4" max="5"/>
    <col width="12" customWidth="1" style="29" min="6" max="7"/>
    <col width="70" customWidth="1" style="29" min="8" max="8"/>
    <col width="8.630000000000001" customWidth="1" style="29" min="9" max="26"/>
  </cols>
  <sheetData>
    <row r="1">
      <c r="A1" s="1" t="inlineStr">
        <is>
          <t>Blocking Build Validation — v2.9 hardened</t>
        </is>
      </c>
    </row>
    <row r="2">
      <c r="A2" s="3" t="inlineStr">
        <is>
          <t>Every BLOCKING rule must be PASS before the workbook is handed to the app build. Rules are intentionally redundant: some are computed from sheet formulas, others are pre-export integrity checks. Row Ratification is reported separately as an author-owned gate, not mechanically auto-resolved.</t>
        </is>
      </c>
    </row>
    <row r="3"/>
    <row r="4"/>
    <row r="5">
      <c r="A5" s="5" t="inlineStr">
        <is>
          <t>Rule ID</t>
        </is>
      </c>
      <c r="B5" s="5" t="inlineStr">
        <is>
          <t>Severity</t>
        </is>
      </c>
      <c r="C5" s="5" t="inlineStr">
        <is>
          <t>Description</t>
        </is>
      </c>
      <c r="D5" s="5" t="inlineStr">
        <is>
          <t>Expected</t>
        </is>
      </c>
      <c r="E5" s="5" t="inlineStr">
        <is>
          <t>Actual</t>
        </is>
      </c>
      <c r="F5" s="5" t="inlineStr">
        <is>
          <t>Status</t>
        </is>
      </c>
      <c r="G5" s="5" t="inlineStr">
        <is>
          <t>Blocking</t>
        </is>
      </c>
      <c r="H5" s="5" t="inlineStr">
        <is>
          <t>Pipeline rule / rationale</t>
        </is>
      </c>
    </row>
    <row r="6">
      <c r="A6" s="7" t="inlineStr">
        <is>
          <t>V001</t>
        </is>
      </c>
      <c r="B6" s="7" t="inlineStr">
        <is>
          <t>ERROR</t>
        </is>
      </c>
      <c r="C6" s="7" t="inlineStr">
        <is>
          <t>Evidence-first queue data rows</t>
        </is>
      </c>
      <c r="D6" s="7" t="n">
        <v>456</v>
      </c>
      <c r="E6" s="7" t="n">
        <v>456</v>
      </c>
      <c r="F6" s="7">
        <f>IF(TEXT(E6,"@")=TEXT(D6,"@"),"PASS","FAIL")</f>
        <v/>
      </c>
      <c r="G6" s="7" t="inlineStr">
        <is>
          <t>YES</t>
        </is>
      </c>
      <c r="H6" s="7" t="inlineStr">
        <is>
          <t>len(queue)==456</t>
        </is>
      </c>
    </row>
    <row r="7">
      <c r="A7" s="7" t="inlineStr">
        <is>
          <t>V002</t>
        </is>
      </c>
      <c r="B7" s="7" t="inlineStr">
        <is>
          <t>ERROR</t>
        </is>
      </c>
      <c r="C7" s="7" t="inlineStr">
        <is>
          <t>Unique Queue IDs</t>
        </is>
      </c>
      <c r="D7" s="7" t="n">
        <v>456</v>
      </c>
      <c r="E7" s="7" t="n">
        <v>456</v>
      </c>
      <c r="F7" s="7">
        <f>IF(TEXT(E7,"@")=TEXT(D7,"@"),"PASS","FAIL")</f>
        <v/>
      </c>
      <c r="G7" s="7" t="inlineStr">
        <is>
          <t>YES</t>
        </is>
      </c>
      <c r="H7" s="7" t="inlineStr">
        <is>
          <t>len(set(QueueID))==456</t>
        </is>
      </c>
    </row>
    <row r="8">
      <c r="A8" s="7" t="inlineStr">
        <is>
          <t>V003</t>
        </is>
      </c>
      <c r="B8" s="7" t="inlineStr">
        <is>
          <t>ERROR</t>
        </is>
      </c>
      <c r="C8" s="7" t="inlineStr">
        <is>
          <t>Missing Q-001…Q-456 IDs</t>
        </is>
      </c>
      <c r="D8" s="7" t="n">
        <v>0</v>
      </c>
      <c r="E8" s="7" t="n">
        <v>0</v>
      </c>
      <c r="F8" s="7">
        <f>IF(TEXT(E8,"@")=TEXT(D8,"@"),"PASS","FAIL")</f>
        <v/>
      </c>
      <c r="G8" s="7" t="inlineStr">
        <is>
          <t>YES</t>
        </is>
      </c>
      <c r="H8" s="7" t="inlineStr">
        <is>
          <t>expected QueueID set minus actual set is empty</t>
        </is>
      </c>
    </row>
    <row r="9">
      <c r="A9" s="7" t="inlineStr">
        <is>
          <t>V004</t>
        </is>
      </c>
      <c r="B9" s="7" t="inlineStr">
        <is>
          <t>ERROR</t>
        </is>
      </c>
      <c r="C9" s="7" t="inlineStr">
        <is>
          <t>Duplicate Queue IDs</t>
        </is>
      </c>
      <c r="D9" s="7" t="n">
        <v>0</v>
      </c>
      <c r="E9" s="7" t="n">
        <v>0</v>
      </c>
      <c r="F9" s="7">
        <f>IF(TEXT(E9,"@")=TEXT(D9,"@"),"PASS","FAIL")</f>
        <v/>
      </c>
      <c r="G9" s="7" t="inlineStr">
        <is>
          <t>YES</t>
        </is>
      </c>
      <c r="H9" s="7" t="inlineStr">
        <is>
          <t>no duplicate QueueID</t>
        </is>
      </c>
    </row>
    <row r="10">
      <c r="A10" s="7" t="inlineStr">
        <is>
          <t>V005</t>
        </is>
      </c>
      <c r="B10" s="7" t="inlineStr">
        <is>
          <t>ERROR</t>
        </is>
      </c>
      <c r="C10" s="7" t="inlineStr">
        <is>
          <t>Q-069 exists (H09 Good × Anglican)</t>
        </is>
      </c>
      <c r="D10" s="7" t="n">
        <v>1</v>
      </c>
      <c r="E10" s="7" t="n">
        <v>1</v>
      </c>
      <c r="F10" s="7">
        <f>IF(TEXT(E10,"@")=TEXT(D10,"@"),"PASS","FAIL")</f>
        <v/>
      </c>
      <c r="G10" s="7" t="inlineStr">
        <is>
          <t>YES</t>
        </is>
      </c>
      <c r="H10" s="7" t="inlineStr">
        <is>
          <t>COUNT(Q-069)==1</t>
        </is>
      </c>
    </row>
    <row r="11">
      <c r="A11" s="7" t="inlineStr">
        <is>
          <t>V006</t>
        </is>
      </c>
      <c r="B11" s="7" t="inlineStr">
        <is>
          <t>ERROR</t>
        </is>
      </c>
      <c r="C11" s="7" t="inlineStr">
        <is>
          <t>Q-070 exists (H09 Good × Baptist)</t>
        </is>
      </c>
      <c r="D11" s="7" t="n">
        <v>1</v>
      </c>
      <c r="E11" s="7" t="n">
        <v>1</v>
      </c>
      <c r="F11" s="7">
        <f>IF(TEXT(E11,"@")=TEXT(D11,"@"),"PASS","FAIL")</f>
        <v/>
      </c>
      <c r="G11" s="7" t="inlineStr">
        <is>
          <t>YES</t>
        </is>
      </c>
      <c r="H11" s="7" t="inlineStr">
        <is>
          <t>COUNT(Q-070)==1</t>
        </is>
      </c>
    </row>
    <row r="12">
      <c r="A12" s="7" t="inlineStr">
        <is>
          <t>V007</t>
        </is>
      </c>
      <c r="B12" s="7" t="inlineStr">
        <is>
          <t>ERROR</t>
        </is>
      </c>
      <c r="C12" s="7" t="inlineStr">
        <is>
          <t>Blank Rendered State cells</t>
        </is>
      </c>
      <c r="D12" s="7" t="n">
        <v>0</v>
      </c>
      <c r="E12" s="7" t="n">
        <v>0</v>
      </c>
      <c r="F12" s="7">
        <f>IF(TEXT(E12,"@")=TEXT(D12,"@"),"PASS","FAIL")</f>
        <v/>
      </c>
      <c r="G12" s="7" t="inlineStr">
        <is>
          <t>YES</t>
        </is>
      </c>
      <c r="H12" s="7" t="inlineStr">
        <is>
          <t>COUNTBLANK(Rendered State)==0</t>
        </is>
      </c>
    </row>
    <row r="13">
      <c r="A13" s="7" t="inlineStr">
        <is>
          <t>V008</t>
        </is>
      </c>
      <c r="B13" s="7" t="inlineStr">
        <is>
          <t>ERROR</t>
        </is>
      </c>
      <c r="C13" s="7" t="inlineStr">
        <is>
          <t>PUBLIC-CERTIFIED* rows with blank Rendered State</t>
        </is>
      </c>
      <c r="D13" s="7" t="n">
        <v>0</v>
      </c>
      <c r="E13" s="7" t="n">
        <v>0</v>
      </c>
      <c r="F13" s="7">
        <f>IF(TEXT(E13,"@")=TEXT(D13,"@"),"PASS","FAIL")</f>
        <v/>
      </c>
      <c r="G13" s="7" t="inlineStr">
        <is>
          <t>YES</t>
        </is>
      </c>
      <c r="H13" s="7" t="inlineStr">
        <is>
          <t>no certified result may disappear from app rendering</t>
        </is>
      </c>
    </row>
    <row r="14">
      <c r="A14" s="7" t="inlineStr">
        <is>
          <t>V009</t>
        </is>
      </c>
      <c r="B14" s="7" t="inlineStr">
        <is>
          <t>ERROR</t>
        </is>
      </c>
      <c r="C14" s="7" t="inlineStr">
        <is>
          <t>Queue URLs ending literal '...'</t>
        </is>
      </c>
      <c r="D14" s="7" t="n">
        <v>0</v>
      </c>
      <c r="E14" s="7" t="n">
        <v>0</v>
      </c>
      <c r="F14" s="7">
        <f>IF(TEXT(E14,"@")=TEXT(D14,"@"),"PASS","FAIL")</f>
        <v/>
      </c>
      <c r="G14" s="7" t="inlineStr">
        <is>
          <t>YES</t>
        </is>
      </c>
      <c r="H14" s="7" t="inlineStr">
        <is>
          <t>reject truncated/pasted display URLs</t>
        </is>
      </c>
    </row>
    <row r="15">
      <c r="A15" s="7" t="inlineStr">
        <is>
          <t>V010</t>
        </is>
      </c>
      <c r="B15" s="7" t="inlineStr">
        <is>
          <t>ERROR</t>
        </is>
      </c>
      <c r="C15" s="7" t="inlineStr">
        <is>
          <t>Old/dead PC(USA) Book of Confessions URL occurrences</t>
        </is>
      </c>
      <c r="D15" s="7" t="n">
        <v>0</v>
      </c>
      <c r="E15" s="7" t="n">
        <v>0</v>
      </c>
      <c r="F15" s="7">
        <f>IF(TEXT(E15,"@")=TEXT(D15,"@"),"PASS","FAIL")</f>
        <v/>
      </c>
      <c r="G15" s="7" t="inlineStr">
        <is>
          <t>YES</t>
        </is>
      </c>
      <c r="H15" s="7" t="inlineStr">
        <is>
          <t>Reject the retired PC(USA) Book of Confessions text path; require the live boc2016.pdf Text URL.</t>
        </is>
      </c>
    </row>
    <row r="16">
      <c r="A16" s="7" t="inlineStr">
        <is>
          <t>V011</t>
        </is>
      </c>
      <c r="B16" s="7" t="inlineStr">
        <is>
          <t>ERROR</t>
        </is>
      </c>
      <c r="C16" s="7" t="inlineStr">
        <is>
          <t>H05 Son A states</t>
        </is>
      </c>
      <c r="D16" s="7" t="n">
        <v>8</v>
      </c>
      <c r="E16" s="7" t="n">
        <v>8</v>
      </c>
      <c r="F16" s="7">
        <f>IF(TEXT(E16,"@")=TEXT(D16,"@"),"PASS","FAIL")</f>
        <v/>
      </c>
      <c r="G16" s="7" t="inlineStr">
        <is>
          <t>YES</t>
        </is>
      </c>
      <c r="H16" s="7" t="inlineStr">
        <is>
          <t>RNR-H05 must be 8 A for CASE-A</t>
        </is>
      </c>
    </row>
    <row r="17">
      <c r="A17" s="7" t="inlineStr">
        <is>
          <t>V012</t>
        </is>
      </c>
      <c r="B17" s="7" t="inlineStr">
        <is>
          <t>ERROR</t>
        </is>
      </c>
      <c r="C17" s="7" t="inlineStr">
        <is>
          <t>H22 Creator Q states</t>
        </is>
      </c>
      <c r="D17" s="7" t="n">
        <v>8</v>
      </c>
      <c r="E17" s="7" t="n">
        <v>8</v>
      </c>
      <c r="F17" s="7">
        <f>IF(TEXT(E17,"@")=TEXT(D17,"@"),"PASS","FAIL")</f>
        <v/>
      </c>
      <c r="G17" s="7" t="inlineStr">
        <is>
          <t>YES</t>
        </is>
      </c>
      <c r="H17" s="7" t="inlineStr">
        <is>
          <t>RNR-H22 must be 8 Q for CASE-Q</t>
        </is>
      </c>
    </row>
    <row r="18">
      <c r="A18" s="7" t="inlineStr">
        <is>
          <t>V013</t>
        </is>
      </c>
      <c r="B18" s="7" t="inlineStr">
        <is>
          <t>ERROR</t>
        </is>
      </c>
      <c r="C18" s="7" t="inlineStr">
        <is>
          <t>H43 D states</t>
        </is>
      </c>
      <c r="D18" s="7" t="n">
        <v>5</v>
      </c>
      <c r="E18" s="7" t="n">
        <v>5</v>
      </c>
      <c r="F18" s="7">
        <f>IF(TEXT(E18,"@")=TEXT(D18,"@"),"PASS","FAIL")</f>
        <v/>
      </c>
      <c r="G18" s="7" t="inlineStr">
        <is>
          <t>YES</t>
        </is>
      </c>
      <c r="H18" s="7" t="inlineStr">
        <is>
          <t>current explicit-state case</t>
        </is>
      </c>
    </row>
    <row r="19">
      <c r="A19" s="7" t="inlineStr">
        <is>
          <t>V014</t>
        </is>
      </c>
      <c r="B19" s="7" t="inlineStr">
        <is>
          <t>ERROR</t>
        </is>
      </c>
      <c r="C19" s="7" t="inlineStr">
        <is>
          <t>H43 PENDING REVIEW states</t>
        </is>
      </c>
      <c r="D19" s="7" t="n">
        <v>1</v>
      </c>
      <c r="E19" s="7" t="n">
        <v>1</v>
      </c>
      <c r="F19" s="7">
        <f>IF(TEXT(E19,"@")=TEXT(D19,"@"),"PASS","FAIL")</f>
        <v/>
      </c>
      <c r="G19" s="7" t="inlineStr">
        <is>
          <t>YES</t>
        </is>
      </c>
      <c r="H19" s="7" t="inlineStr">
        <is>
          <t>Orthodox semantic review remains visible</t>
        </is>
      </c>
    </row>
    <row r="20">
      <c r="A20" s="7" t="inlineStr">
        <is>
          <t>V015</t>
        </is>
      </c>
      <c r="B20" s="7" t="inlineStr">
        <is>
          <t>ERROR</t>
        </is>
      </c>
      <c r="C20" s="7" t="inlineStr">
        <is>
          <t>H43 current-source gap states</t>
        </is>
      </c>
      <c r="D20" s="7" t="n">
        <v>2</v>
      </c>
      <c r="E20" s="7" t="n">
        <v>2</v>
      </c>
      <c r="F20" s="7">
        <f>IF(TEXT(E20,"@")=TEXT(D20,"@"),"PASS","FAIL")</f>
        <v/>
      </c>
      <c r="G20" s="7" t="inlineStr">
        <is>
          <t>YES</t>
        </is>
      </c>
      <c r="H20" s="7" t="inlineStr">
        <is>
          <t>Baptist and Mennonite gaps remain visible</t>
        </is>
      </c>
    </row>
    <row r="21" ht="15.75" customHeight="1" s="29">
      <c r="A21" s="7" t="inlineStr">
        <is>
          <t>V016</t>
        </is>
      </c>
      <c r="B21" s="7" t="inlineStr">
        <is>
          <t>ERROR</t>
        </is>
      </c>
      <c r="C21" s="7" t="inlineStr">
        <is>
          <t>Retired-matrix strings in INF-05…INF-10</t>
        </is>
      </c>
      <c r="D21" s="7" t="n">
        <v>0</v>
      </c>
      <c r="E21" s="7" t="n">
        <v>0</v>
      </c>
      <c r="F21" s="7">
        <f>IF(TEXT(E21,"@")=TEXT(D21,"@"),"PASS","FAIL")</f>
        <v/>
      </c>
      <c r="G21" s="7" t="inlineStr">
        <is>
          <t>YES</t>
        </is>
      </c>
      <c r="H21" s="7" t="inlineStr">
        <is>
          <t>no 138/155, 301/456, 6/8, 7/8, or SR-R logic</t>
        </is>
      </c>
    </row>
    <row r="22" ht="15.75" customHeight="1" s="29">
      <c r="A22" s="7" t="inlineStr">
        <is>
          <t>V017</t>
        </is>
      </c>
      <c r="B22" s="7" t="inlineStr">
        <is>
          <t>ERROR</t>
        </is>
      </c>
      <c r="C22" s="7" t="inlineStr">
        <is>
          <t>Rendered States outside authoritative vocabulary</t>
        </is>
      </c>
      <c r="D22" s="7" t="n">
        <v>0</v>
      </c>
      <c r="E22" s="7" t="n">
        <v>0</v>
      </c>
      <c r="F22" s="7">
        <f>IF(TEXT(E22,"@")=TEXT(D22,"@"),"PASS","FAIL")</f>
        <v/>
      </c>
      <c r="G22" s="7" t="inlineStr">
        <is>
          <t>YES</t>
        </is>
      </c>
      <c r="H22" s="7" t="inlineStr">
        <is>
          <t>State Vocabulary is authoritative</t>
        </is>
      </c>
    </row>
    <row r="23" ht="15.75" customHeight="1" s="29">
      <c r="A23" s="7" t="inlineStr">
        <is>
          <t>V018</t>
        </is>
      </c>
      <c r="B23" s="7" t="inlineStr">
        <is>
          <t>ERROR</t>
        </is>
      </c>
      <c r="C23" s="7" t="inlineStr">
        <is>
          <t>Metric Classes outside A/Q/D/EXCLUDED</t>
        </is>
      </c>
      <c r="D23" s="7" t="n">
        <v>0</v>
      </c>
      <c r="E23" s="7" t="n">
        <v>0</v>
      </c>
      <c r="F23" s="7">
        <f>IF(TEXT(E23,"@")=TEXT(D23,"@"),"PASS","FAIL")</f>
        <v/>
      </c>
      <c r="G23" s="7" t="inlineStr">
        <is>
          <t>YES</t>
        </is>
      </c>
      <c r="H23" s="7" t="inlineStr">
        <is>
          <t>reject unknown metric enums</t>
        </is>
      </c>
    </row>
    <row r="24" ht="15.75" customHeight="1" s="29">
      <c r="A24" s="7" t="inlineStr">
        <is>
          <t>V019</t>
        </is>
      </c>
      <c r="B24" s="7" t="inlineStr">
        <is>
          <t>ERROR</t>
        </is>
      </c>
      <c r="C24" s="7" t="inlineStr">
        <is>
          <t>Confidence values outside canonical enumeration</t>
        </is>
      </c>
      <c r="D24" s="7" t="n">
        <v>0</v>
      </c>
      <c r="E24" s="7" t="n">
        <v>0</v>
      </c>
      <c r="F24" s="7">
        <f>IF(TEXT(E24,"@")=TEXT(D24,"@"),"PASS","FAIL")</f>
        <v/>
      </c>
      <c r="G24" s="7" t="inlineStr">
        <is>
          <t>YES</t>
        </is>
      </c>
      <c r="H24" s="7" t="inlineStr">
        <is>
          <t>reject High/HIGH drift and ad-hoc values</t>
        </is>
      </c>
    </row>
    <row r="25" ht="15.75" customHeight="1" s="29">
      <c r="A25" s="7" t="inlineStr">
        <is>
          <t>V020</t>
        </is>
      </c>
      <c r="B25" s="7" t="inlineStr">
        <is>
          <t>ERROR</t>
        </is>
      </c>
      <c r="C25" s="7" t="inlineStr">
        <is>
          <t>Final reconciliation unique Queue IDs</t>
        </is>
      </c>
      <c r="D25" s="7" t="n">
        <v>24</v>
      </c>
      <c r="E25" s="7" t="n">
        <v>24</v>
      </c>
      <c r="F25" s="7">
        <f>IF(TEXT(E25,"@")=TEXT(D25,"@"),"PASS","FAIL")</f>
        <v/>
      </c>
      <c r="G25" s="7" t="inlineStr">
        <is>
          <t>YES</t>
        </is>
      </c>
      <c r="H25" s="7" t="inlineStr">
        <is>
          <t>24 H37/H39/H45 cells keyed by Queue ID</t>
        </is>
      </c>
    </row>
    <row r="26" ht="15.75" customHeight="1" s="29">
      <c r="A26" s="7" t="inlineStr">
        <is>
          <t>V021</t>
        </is>
      </c>
      <c r="B26" s="7" t="inlineStr">
        <is>
          <t>ERROR</t>
        </is>
      </c>
      <c r="C26" s="7" t="inlineStr">
        <is>
          <t>Final reconciliation Queue IDs missing from queue</t>
        </is>
      </c>
      <c r="D26" s="7" t="n">
        <v>0</v>
      </c>
      <c r="E26" s="7" t="n">
        <v>0</v>
      </c>
      <c r="F26" s="7">
        <f>IF(TEXT(E26,"@")=TEXT(D26,"@"),"PASS","FAIL")</f>
        <v/>
      </c>
      <c r="G26" s="7" t="inlineStr">
        <is>
          <t>YES</t>
        </is>
      </c>
      <c r="H26" s="7" t="inlineStr">
        <is>
          <t>foreign-key validation</t>
        </is>
      </c>
    </row>
    <row r="27" ht="15.75" customHeight="1" s="29">
      <c r="A27" s="7" t="inlineStr">
        <is>
          <t>V022</t>
        </is>
      </c>
      <c r="B27" s="7" t="inlineStr">
        <is>
          <t>ERROR</t>
        </is>
      </c>
      <c r="C27" s="7" t="inlineStr">
        <is>
          <t>Pass-2 reconciliation unique Queue IDs</t>
        </is>
      </c>
      <c r="D27" s="7" t="n">
        <v>16</v>
      </c>
      <c r="E27" s="7" t="n">
        <v>16</v>
      </c>
      <c r="F27" s="7">
        <f>IF(TEXT(E27,"@")=TEXT(D27,"@"),"PASS","FAIL")</f>
        <v/>
      </c>
      <c r="G27" s="7" t="inlineStr">
        <is>
          <t>YES</t>
        </is>
      </c>
      <c r="H27" s="7" t="inlineStr">
        <is>
          <t>16 pass-2 cells keyed by Queue ID</t>
        </is>
      </c>
    </row>
    <row r="28" ht="15.75" customHeight="1" s="29">
      <c r="A28" s="7" t="inlineStr">
        <is>
          <t>V023</t>
        </is>
      </c>
      <c r="B28" s="7" t="inlineStr">
        <is>
          <t>ERROR</t>
        </is>
      </c>
      <c r="C28" s="7" t="inlineStr">
        <is>
          <t>Pass-2 Queue IDs missing from queue</t>
        </is>
      </c>
      <c r="D28" s="7" t="n">
        <v>0</v>
      </c>
      <c r="E28" s="7" t="n">
        <v>0</v>
      </c>
      <c r="F28" s="7">
        <f>IF(TEXT(E28,"@")=TEXT(D28,"@"),"PASS","FAIL")</f>
        <v/>
      </c>
      <c r="G28" s="7" t="inlineStr">
        <is>
          <t>YES</t>
        </is>
      </c>
      <c r="H28" s="7" t="inlineStr">
        <is>
          <t>foreign-key validation</t>
        </is>
      </c>
    </row>
    <row r="29" ht="15.75" customHeight="1" s="29">
      <c r="A29" s="7" t="inlineStr">
        <is>
          <t>V024</t>
        </is>
      </c>
      <c r="B29" s="7" t="inlineStr">
        <is>
          <t>ERROR</t>
        </is>
      </c>
      <c r="C29" s="7" t="inlineStr">
        <is>
          <t>Inherited Public Citation rows</t>
        </is>
      </c>
      <c r="D29" s="7" t="n">
        <v>57</v>
      </c>
      <c r="E29" s="7" t="n">
        <v>57</v>
      </c>
      <c r="F29" s="7">
        <f>IF(TEXT(E29,"@")=TEXT(D29,"@"),"PASS","FAIL")</f>
        <v/>
      </c>
      <c r="G29" s="7" t="inlineStr">
        <is>
          <t>YES</t>
        </is>
      </c>
      <c r="H29" s="7" t="inlineStr">
        <is>
          <t>one row per inherited family</t>
        </is>
      </c>
    </row>
    <row r="30" ht="15.75" customHeight="1" s="29">
      <c r="A30" s="7" t="inlineStr">
        <is>
          <t>V025</t>
        </is>
      </c>
      <c r="B30" s="7" t="inlineStr">
        <is>
          <t>ERROR</t>
        </is>
      </c>
      <c r="C30" s="7" t="inlineStr">
        <is>
          <t>Inherited rows with Restoration comparator URL</t>
        </is>
      </c>
      <c r="D30" s="7" t="n">
        <v>57</v>
      </c>
      <c r="E30" s="7" t="n">
        <v>57</v>
      </c>
      <c r="F30" s="7">
        <f>IF(TEXT(E30,"@")=TEXT(D30,"@"),"PASS","FAIL")</f>
        <v/>
      </c>
      <c r="G30" s="7" t="inlineStr">
        <is>
          <t>YES</t>
        </is>
      </c>
      <c r="H30" s="7" t="inlineStr">
        <is>
          <t>all H01–H57 require Latter-day Saint comparator source</t>
        </is>
      </c>
    </row>
    <row r="31" ht="15.75" customHeight="1" s="29">
      <c r="A31" s="7" t="inlineStr">
        <is>
          <t>V026</t>
        </is>
      </c>
      <c r="B31" s="7" t="inlineStr">
        <is>
          <t>ERROR</t>
        </is>
      </c>
      <c r="C31" s="7" t="inlineStr">
        <is>
          <t>Truncated URLs in Inherited Public Citations</t>
        </is>
      </c>
      <c r="D31" s="7" t="n">
        <v>0</v>
      </c>
      <c r="E31" s="7" t="n">
        <v>0</v>
      </c>
      <c r="F31" s="7">
        <f>IF(TEXT(E31,"@")=TEXT(D31,"@"),"PASS","FAIL")</f>
        <v/>
      </c>
      <c r="G31" s="7" t="inlineStr">
        <is>
          <t>YES</t>
        </is>
      </c>
      <c r="H31" s="7" t="inlineStr">
        <is>
          <t>reject literal ellipsis URLs</t>
        </is>
      </c>
    </row>
    <row r="32" ht="15.75" customHeight="1" s="29">
      <c r="A32" s="7" t="inlineStr">
        <is>
          <t>V027</t>
        </is>
      </c>
      <c r="B32" s="7" t="inlineStr">
        <is>
          <t>ERROR</t>
        </is>
      </c>
      <c r="C32" s="7" t="inlineStr">
        <is>
          <t>H50 historical SOURCE-PACKET-REQUIRED guards</t>
        </is>
      </c>
      <c r="D32" s="7" t="n">
        <v>1</v>
      </c>
      <c r="E32" s="7" t="n">
        <v>1</v>
      </c>
      <c r="F32" s="7">
        <f>IF(TEXT(E32,"@")=TEXT(D32,"@"),"PASS","FAIL")</f>
        <v/>
      </c>
      <c r="G32" s="7" t="inlineStr">
        <is>
          <t>YES</t>
        </is>
      </c>
      <c r="H32" s="7" t="inlineStr">
        <is>
          <t>do not fabricate H50 public historical URL</t>
        </is>
      </c>
    </row>
    <row r="33" ht="15.75" customHeight="1" s="29">
      <c r="A33" s="7" t="inlineStr">
        <is>
          <t>V028</t>
        </is>
      </c>
      <c r="B33" s="7" t="inlineStr">
        <is>
          <t>GATE</t>
        </is>
      </c>
      <c r="C33" s="7" t="inlineStr">
        <is>
          <t>Row Ratification rows still PENDING (author-owned gate)</t>
        </is>
      </c>
      <c r="D33" s="7" t="n">
        <v>0</v>
      </c>
      <c r="E33" s="7" t="n">
        <v>0</v>
      </c>
      <c r="F33" s="7">
        <f>IF(TEXT(E33,"@")=TEXT(D33,"@"),"PASS","FAIL")</f>
        <v/>
      </c>
      <c r="G33" s="7" t="inlineStr">
        <is>
          <t>NO</t>
        </is>
      </c>
      <c r="H33" s="7" t="inlineStr">
        <is>
          <t>Author completed G6 on 2026-09-09; 0 PENDING is now the expected state.</t>
        </is>
      </c>
    </row>
    <row r="34" ht="15.75" customHeight="1" s="29">
      <c r="A34" s="7" t="inlineStr">
        <is>
          <t>V029</t>
        </is>
      </c>
      <c r="B34" s="7" t="inlineStr">
        <is>
          <t>ERROR</t>
        </is>
      </c>
      <c r="C34" s="7" t="inlineStr">
        <is>
          <t>Row Ratification rows auto-approved</t>
        </is>
      </c>
      <c r="D34" s="7" t="n">
        <v>0</v>
      </c>
      <c r="E34" s="7" t="n">
        <v>0</v>
      </c>
      <c r="F34" s="7">
        <f>IF(TEXT(E34,"@")=TEXT(D34,"@"),"PASS","FAIL")</f>
        <v/>
      </c>
      <c r="G34" s="7" t="inlineStr">
        <is>
          <t>YES</t>
        </is>
      </c>
      <c r="H34" s="7" t="inlineStr">
        <is>
          <t>All 83 decisions entered by author via Author Response Entry (AJP, 2026-09-09); none auto-approved.</t>
        </is>
      </c>
    </row>
    <row r="35" ht="15.75" customHeight="1" s="29">
      <c r="A35" s="7" t="inlineStr">
        <is>
          <t>V030</t>
        </is>
      </c>
      <c r="B35" s="7" t="inlineStr">
        <is>
          <t>ERROR</t>
        </is>
      </c>
      <c r="C35" s="7" t="inlineStr">
        <is>
          <t>full_branch_map_enabled</t>
        </is>
      </c>
      <c r="D35" s="7" t="b">
        <v>0</v>
      </c>
      <c r="E35" s="7" t="b">
        <v>0</v>
      </c>
      <c r="F35" s="7">
        <f>IF(TEXT(E35,"@")=TEXT(D35,"@"),"PASS","FAIL")</f>
        <v/>
      </c>
      <c r="G35" s="7" t="inlineStr">
        <is>
          <t>YES</t>
        </is>
      </c>
      <c r="H35" s="7" t="inlineStr">
        <is>
          <t>must remain FALSE while coverage is incomplete</t>
        </is>
      </c>
    </row>
    <row r="36" ht="15.75" customHeight="1" s="29">
      <c r="A36" s="7" t="inlineStr">
        <is>
          <t>V031</t>
        </is>
      </c>
      <c r="B36" s="7" t="inlineStr">
        <is>
          <t>ERROR</t>
        </is>
      </c>
      <c r="C36" s="7" t="inlineStr">
        <is>
          <t>External validation state</t>
        </is>
      </c>
      <c r="D36" s="7" t="inlineStr">
        <is>
          <t>PENDING</t>
        </is>
      </c>
      <c r="E36" s="7" t="inlineStr">
        <is>
          <t>PENDING</t>
        </is>
      </c>
      <c r="F36" s="7">
        <f>IF(TEXT(E36,"@")=TEXT(D36,"@"),"PASS","FAIL")</f>
        <v/>
      </c>
      <c r="G36" s="7" t="inlineStr">
        <is>
          <t>YES</t>
        </is>
      </c>
      <c r="H36" s="7" t="inlineStr">
        <is>
          <t>must not imply completed reliability</t>
        </is>
      </c>
    </row>
    <row r="37" ht="15.75" customHeight="1" s="29">
      <c r="A37" s="7" t="inlineStr">
        <is>
          <t>V032</t>
        </is>
      </c>
      <c r="B37" s="7" t="inlineStr">
        <is>
          <t>ERROR</t>
        </is>
      </c>
      <c r="C37" s="7" t="inlineStr">
        <is>
          <t>Formula-derived Branch State Summary QA MATCH rows</t>
        </is>
      </c>
      <c r="D37" s="7" t="n">
        <v>8</v>
      </c>
      <c r="E37" s="7">
        <f>COUNTIF('Branch State Summary'!$N$2:$N$9,"MATCH")</f>
        <v/>
      </c>
      <c r="F37" s="7">
        <f>IF(TEXT(E37,"@")=TEXT(D37,"@"),"PASS","FAIL")</f>
        <v/>
      </c>
      <c r="G37" s="7" t="inlineStr">
        <is>
          <t>YES</t>
        </is>
      </c>
      <c r="H37" s="7" t="inlineStr">
        <is>
          <t>All eight branch summaries must total exactly 57 from queue-derived formulas.</t>
        </is>
      </c>
    </row>
    <row r="38" ht="15.75" customHeight="1" s="29">
      <c r="A38" s="7" t="inlineStr">
        <is>
          <t>V033</t>
        </is>
      </c>
      <c r="B38" s="7" t="inlineStr">
        <is>
          <t>ERROR</t>
        </is>
      </c>
      <c r="C38" s="7" t="inlineStr">
        <is>
          <t>Distinct public URLs in URL Validation Snapshot</t>
        </is>
      </c>
      <c r="D38" s="7" t="n">
        <v>89</v>
      </c>
      <c r="E38" s="7" t="n">
        <v>89</v>
      </c>
      <c r="F38" s="7">
        <f>IF(TEXT(E38,"@")=TEXT(D38,"@"),"PASS","FAIL")</f>
        <v/>
      </c>
      <c r="G38" s="7" t="inlineStr">
        <is>
          <t>YES</t>
        </is>
      </c>
      <c r="H38" s="7" t="inlineStr">
        <is>
          <t>Pipeline must numeric-HTTP-check every distinct URL.</t>
        </is>
      </c>
    </row>
    <row r="39" ht="15.75" customHeight="1" s="29">
      <c r="A39" s="7" t="inlineStr">
        <is>
          <t>V034</t>
        </is>
      </c>
      <c r="B39" s="7" t="inlineStr">
        <is>
          <t>ERROR</t>
        </is>
      </c>
      <c r="C39" s="7" t="inlineStr">
        <is>
          <t>URL reachability snapshot unresolved failures</t>
        </is>
      </c>
      <c r="D39" s="7" t="n">
        <v>0</v>
      </c>
      <c r="E39" s="7" t="n">
        <v>0</v>
      </c>
      <c r="F39" s="7">
        <f>IF(TEXT(E39,"@")=TEXT(D39,"@"),"PASS","FAIL")</f>
        <v/>
      </c>
      <c r="G39" s="7" t="inlineStr">
        <is>
          <t>YES</t>
        </is>
      </c>
      <c r="H39" s="7" t="inlineStr">
        <is>
          <t>Reachability snapshot contains no unresolved source-status flags; pipeline must perform numeric HTTP checks anew.</t>
        </is>
      </c>
    </row>
    <row r="40" ht="15.75" customHeight="1" s="29">
      <c r="A40" s="7" t="inlineStr">
        <is>
          <t>V035</t>
        </is>
      </c>
      <c r="B40" s="7" t="inlineStr">
        <is>
          <t>ERROR</t>
        </is>
      </c>
      <c r="C40" s="7" t="inlineStr">
        <is>
          <t>Inference metric formula cells E5:G17</t>
        </is>
      </c>
      <c r="D40" s="7" t="n">
        <v>39</v>
      </c>
      <c r="E40" s="7" t="n">
        <v>39</v>
      </c>
      <c r="F40" s="7">
        <f>IF(TEXT(E40,"@")=TEXT(D40,"@"),"PASS","FAIL")</f>
        <v/>
      </c>
      <c r="G40" s="7" t="inlineStr">
        <is>
          <t>YES</t>
        </is>
      </c>
      <c r="H40" s="7" t="inlineStr">
        <is>
          <t>Pipeline recomputes INF-01…13 from raw sheets and fails on mismatch.</t>
        </is>
      </c>
    </row>
    <row r="41" ht="15.75" customHeight="1" s="29">
      <c r="A41" s="7" t="inlineStr">
        <is>
          <t>V036</t>
        </is>
      </c>
      <c r="B41" s="7" t="inlineStr">
        <is>
          <t>ERROR</t>
        </is>
      </c>
      <c r="C41" s="7" t="inlineStr">
        <is>
          <t>Historical Witness Retired TRUE flags</t>
        </is>
      </c>
      <c r="D41" s="7" t="n">
        <v>3</v>
      </c>
      <c r="E41" s="7" t="n">
        <v>3</v>
      </c>
      <c r="F41" s="7">
        <f>IF(TEXT(E41,"@")=TEXT(D41,"@"),"PASS","FAIL")</f>
        <v/>
      </c>
      <c r="G41" s="7" t="inlineStr">
        <is>
          <t>YES</t>
        </is>
      </c>
      <c r="H41" s="7" t="inlineStr">
        <is>
          <t>Q-056, Q-342, Q-344 must be lineage-only.</t>
        </is>
      </c>
    </row>
    <row r="42" ht="15.75" customHeight="1" s="29">
      <c r="A42" s="7" t="inlineStr">
        <is>
          <t>V037</t>
        </is>
      </c>
      <c r="B42" s="7" t="inlineStr">
        <is>
          <t>ERROR</t>
        </is>
      </c>
      <c r="C42" s="7" t="inlineStr">
        <is>
          <t>Inherited citation locators still marked LOCATOR REVIEW REQUIRED</t>
        </is>
      </c>
      <c r="D42" s="7" t="n">
        <v>0</v>
      </c>
      <c r="E42" s="7" t="n">
        <v>0</v>
      </c>
      <c r="F42" s="7">
        <f>IF(TEXT(E42,"@")=TEXT(D42,"@"),"PASS","FAIL")</f>
        <v/>
      </c>
      <c r="G42" s="7" t="inlineStr">
        <is>
          <t>YES</t>
        </is>
      </c>
      <c r="H42" s="7" t="inlineStr">
        <is>
          <t>Citation derivation pass must eliminate block-level locators.</t>
        </is>
      </c>
    </row>
    <row r="43" ht="15.75" customHeight="1" s="29">
      <c r="A43" s="7" t="inlineStr">
        <is>
          <t>V038</t>
        </is>
      </c>
      <c r="B43" s="7" t="inlineStr">
        <is>
          <t>ERROR</t>
        </is>
      </c>
      <c r="C43" s="7" t="inlineStr">
        <is>
          <t>H50 Public citation readiness</t>
        </is>
      </c>
      <c r="D43" s="7" t="inlineStr">
        <is>
          <t>NOT READY — HISTORICAL PACKET</t>
        </is>
      </c>
      <c r="E43" s="7" t="inlineStr">
        <is>
          <t>NOT READY — HISTORICAL PACKET</t>
        </is>
      </c>
      <c r="F43" s="7">
        <f>IF(TEXT(E43,"@")=TEXT(D43,"@"),"PASS","FAIL")</f>
        <v/>
      </c>
      <c r="G43" s="7" t="inlineStr">
        <is>
          <t>YES</t>
        </is>
      </c>
      <c r="H43" s="7" t="inlineStr">
        <is>
          <t>No fabricated historical public URL.</t>
        </is>
      </c>
    </row>
    <row r="44" ht="15.75" customHeight="1" s="29">
      <c r="A44" s="7" t="inlineStr">
        <is>
          <t>V039</t>
        </is>
      </c>
      <c r="B44" s="7" t="inlineStr">
        <is>
          <t>GATE</t>
        </is>
      </c>
      <c r="C44" s="7" t="inlineStr">
        <is>
          <t>Comparator author-review flags</t>
        </is>
      </c>
      <c r="D44" s="7" t="n">
        <v>4</v>
      </c>
      <c r="E44" s="7" t="n">
        <v>4</v>
      </c>
      <c r="F44" s="7">
        <f>IF(TEXT(E44,"@")=TEXT(D44,"@"),"PASS","FAIL")</f>
        <v/>
      </c>
      <c r="G44" s="7" t="inlineStr">
        <is>
          <t>NO</t>
        </is>
      </c>
      <c r="H44" s="7" t="inlineStr">
        <is>
          <t>H06, H09, H19, H20 remain author-review suggestions, not defects.</t>
        </is>
      </c>
    </row>
    <row r="45" ht="15.75" customHeight="1" s="29">
      <c r="A45" s="7" t="inlineStr">
        <is>
          <t>V040</t>
        </is>
      </c>
      <c r="B45" s="7" t="inlineStr">
        <is>
          <t>ERROR</t>
        </is>
      </c>
      <c r="C45" s="7" t="inlineStr">
        <is>
          <t>Citation rows using dead PC(USA) URL</t>
        </is>
      </c>
      <c r="D45" s="7" t="n">
        <v>0</v>
      </c>
      <c r="E45" s="7" t="n">
        <v>0</v>
      </c>
      <c r="F45" s="7">
        <f>IF(TEXT(E45,"@")=TEXT(D45,"@"),"PASS","FAIL")</f>
        <v/>
      </c>
      <c r="G45" s="7" t="inlineStr">
        <is>
          <t>YES</t>
        </is>
      </c>
      <c r="H45" s="7" t="inlineStr">
        <is>
          <t>Applies to historical citation Authority/Text URLs.</t>
        </is>
      </c>
    </row>
    <row r="46" ht="15.75" customHeight="1" s="29">
      <c r="A46" s="7" t="inlineStr">
        <is>
          <t>V041</t>
        </is>
      </c>
      <c r="B46" s="7" t="inlineStr">
        <is>
          <t>ERROR</t>
        </is>
      </c>
      <c r="C46" s="7" t="inlineStr">
        <is>
          <t>Citation rows using Latin Dei Filius as Text URL</t>
        </is>
      </c>
      <c r="D46" s="7" t="n">
        <v>0</v>
      </c>
      <c r="E46" s="7">
        <f>COUNTIF('Inherited Public Citations'!K2:K58,"*dei-filius_la.html*")</f>
        <v/>
      </c>
      <c r="F46" s="7">
        <f>IF(TEXT(E46,"@")=TEXT(D46,"@"),"PASS","FAIL")</f>
        <v/>
      </c>
      <c r="G46" s="7" t="inlineStr">
        <is>
          <t>YES</t>
        </is>
      </c>
      <c r="H46" s="7" t="inlineStr">
        <is>
          <t>Latin may remain Authority URL; learner-facing Text URL must be English.</t>
        </is>
      </c>
    </row>
    <row r="47" ht="15.75" customHeight="1" s="29">
      <c r="A47" s="7" t="inlineStr">
        <is>
          <t>V042</t>
        </is>
      </c>
      <c r="B47" s="7" t="inlineStr">
        <is>
          <t>ERROR</t>
        </is>
      </c>
      <c r="C47" s="7" t="inlineStr">
        <is>
          <t>Queue rows with dead PC(USA) URL</t>
        </is>
      </c>
      <c r="D47" s="7" t="n">
        <v>0</v>
      </c>
      <c r="E47" s="7" t="n">
        <v>0</v>
      </c>
      <c r="F47" s="7">
        <f>IF(TEXT(E47,"@")=TEXT(D47,"@"),"PASS","FAIL")</f>
        <v/>
      </c>
      <c r="G47" s="7" t="inlineStr">
        <is>
          <t>YES</t>
        </is>
      </c>
      <c r="H47" s="7" t="inlineStr">
        <is>
          <t>Blocking URL regression check.</t>
        </is>
      </c>
    </row>
    <row r="48" ht="15.75" customHeight="1" s="29">
      <c r="A48" s="7" t="inlineStr">
        <is>
          <t>V043</t>
        </is>
      </c>
      <c r="B48" s="7" t="inlineStr">
        <is>
          <t>ERROR</t>
        </is>
      </c>
      <c r="C48" s="7" t="inlineStr">
        <is>
          <t>Build Validation mode</t>
        </is>
      </c>
      <c r="D48" s="7" t="inlineStr">
        <is>
          <t>EXPORT SNAPSHOT + PIPELINE REEXECUTION</t>
        </is>
      </c>
      <c r="E48" s="7" t="inlineStr">
        <is>
          <t>EXPORT SNAPSHOT + PIPELINE REEXECUTION</t>
        </is>
      </c>
      <c r="F48" s="7">
        <f>IF(TEXT(E48,"@")=TEXT(D48,"@"),"PASS","FAIL")</f>
        <v/>
      </c>
      <c r="G48" s="7" t="inlineStr">
        <is>
          <t>YES</t>
        </is>
      </c>
      <c r="H48" s="7" t="inlineStr">
        <is>
          <t>Persisted PASS values are not trusted after edits.</t>
        </is>
      </c>
    </row>
    <row r="49" ht="15.75" customHeight="1" s="29">
      <c r="A49" s="7" t="inlineStr">
        <is>
          <t>V044</t>
        </is>
      </c>
      <c r="B49" s="7" t="inlineStr">
        <is>
          <t>ERROR</t>
        </is>
      </c>
      <c r="C49" s="7" t="inlineStr">
        <is>
          <t>Public-ready inherited citations with nonblank quoted phrase</t>
        </is>
      </c>
      <c r="D49" s="7" t="n">
        <v>56</v>
      </c>
      <c r="E49" s="7">
        <f>COUNTIFS('Inherited Public Citations'!$Q$2:$Q$58,"READY",'Inherited Public Citations'!$R$2:$R$58,"&lt;&gt;")</f>
        <v/>
      </c>
      <c r="F49" s="7">
        <f>IF(TEXT(E49,"@")=TEXT(D49,"@"),"PASS","FAIL")</f>
        <v/>
      </c>
      <c r="G49" s="7" t="inlineStr">
        <is>
          <t>YES</t>
        </is>
      </c>
      <c r="H49" s="7" t="inlineStr">
        <is>
          <t>All non-H50 public rows must carry phrase assertion.</t>
        </is>
      </c>
    </row>
    <row r="50" ht="15.75" customHeight="1" s="29">
      <c r="A50" s="7" t="inlineStr">
        <is>
          <t>V045</t>
        </is>
      </c>
      <c r="B50" s="7" t="inlineStr">
        <is>
          <t>ERROR</t>
        </is>
      </c>
      <c r="C50" s="7" t="inlineStr">
        <is>
          <t>Quoted phrases longer than 15 words</t>
        </is>
      </c>
      <c r="D50" s="7" t="n">
        <v>0</v>
      </c>
      <c r="E50" s="7">
        <f>COUNTIF('Citation Phrase Targets'!$D$2:$D$58,"&gt;15")</f>
        <v/>
      </c>
      <c r="F50" s="7">
        <f>IF(TEXT(E50,"@")=TEXT(D50,"@"),"PASS","FAIL")</f>
        <v/>
      </c>
      <c r="G50" s="7" t="inlineStr">
        <is>
          <t>YES</t>
        </is>
      </c>
      <c r="H50" s="7" t="inlineStr">
        <is>
          <t>Keeps snippets bounded and machine-checkable.</t>
        </is>
      </c>
    </row>
    <row r="51" ht="15.75" customHeight="1" s="29">
      <c r="A51" s="7" t="inlineStr">
        <is>
          <t>V046</t>
        </is>
      </c>
      <c r="B51" s="7" t="inlineStr">
        <is>
          <t>ERROR</t>
        </is>
      </c>
      <c r="C51" s="7" t="inlineStr">
        <is>
          <t>H50 quoted phrase blank while readiness is packet-only</t>
        </is>
      </c>
      <c r="D51" s="7" t="n">
        <v>1</v>
      </c>
      <c r="E51" s="7">
        <f>IF(AND('Inherited Public Citations'!$A$51="RNR-H50",'Inherited Public Citations'!$R$51="",'Inherited Public Citations'!$Q$51="NOT READY — HISTORICAL PACKET"),1,0)</f>
        <v/>
      </c>
      <c r="F51" s="7">
        <f>IF(TEXT(E51,"@")=TEXT(D51,"@"),"PASS","FAIL")</f>
        <v/>
      </c>
      <c r="G51" s="7" t="inlineStr">
        <is>
          <t>YES</t>
        </is>
      </c>
      <c r="H51" s="7" t="inlineStr">
        <is>
          <t>Intentional gap; no fabricated phrase.</t>
        </is>
      </c>
    </row>
    <row r="52" ht="15.75" customHeight="1" s="29">
      <c r="A52" s="7" t="inlineStr">
        <is>
          <t>V047</t>
        </is>
      </c>
      <c r="B52" s="7" t="inlineStr">
        <is>
          <t>ERROR</t>
        </is>
      </c>
      <c r="C52" s="7" t="inlineStr">
        <is>
          <t>Citation Text URLs using false-English Vatican Dei Filius UI page</t>
        </is>
      </c>
      <c r="D52" s="7" t="n">
        <v>0</v>
      </c>
      <c r="E52" s="7">
        <f>COUNTIF('Inherited Public Citations'!$K$2:$K$58,"https://www.vatican.va/content/pius-ix/en/documents/constitutio-dogmatica-dei-filius-24-aprilis-1870.html")</f>
        <v/>
      </c>
      <c r="F52" s="7">
        <f>IF(TEXT(E52,"@")=TEXT(D52,"@"),"PASS","FAIL")</f>
        <v/>
      </c>
      <c r="G52" s="7" t="inlineStr">
        <is>
          <t>YES</t>
        </is>
      </c>
      <c r="H52" s="7" t="inlineStr">
        <is>
          <t>Learner-facing Dei Filius text must be actually English.</t>
        </is>
      </c>
    </row>
    <row r="53" ht="15.75" customHeight="1" s="29">
      <c r="A53" s="7" t="inlineStr">
        <is>
          <t>V048</t>
        </is>
      </c>
      <c r="B53" s="7" t="inlineStr">
        <is>
          <t>ERROR</t>
        </is>
      </c>
      <c r="C53" s="7" t="inlineStr">
        <is>
          <t>Citation Text URLs using non-rendering CoE Athanasian page</t>
        </is>
      </c>
      <c r="D53" s="7" t="n">
        <v>0</v>
      </c>
      <c r="E53" s="7">
        <f>COUNTIF('Inherited Public Citations'!$K$2:$K$58,"https://www.churchofengland.org/prayer-and-worship/worship-texts-and-resources/book-common-prayer/creed-s-athanasius")</f>
        <v/>
      </c>
      <c r="F53" s="7">
        <f>IF(TEXT(E53,"@")=TEXT(D53,"@"),"PASS","FAIL")</f>
        <v/>
      </c>
      <c r="G53" s="7" t="inlineStr">
        <is>
          <t>YES</t>
        </is>
      </c>
      <c r="H53" s="7" t="inlineStr">
        <is>
          <t>Use server-rendered Athanasian text witness.</t>
        </is>
      </c>
    </row>
    <row r="54" ht="15.75" customHeight="1" s="29">
      <c r="A54" s="7" t="inlineStr">
        <is>
          <t>V049</t>
        </is>
      </c>
      <c r="B54" s="7" t="inlineStr">
        <is>
          <t>ERROR</t>
        </is>
      </c>
      <c r="C54" s="7" t="inlineStr">
        <is>
          <t>Citation Phrase Target data rows</t>
        </is>
      </c>
      <c r="D54" s="7" t="n">
        <v>57</v>
      </c>
      <c r="E54" s="7">
        <f>COUNTA('Citation Phrase Targets'!$A$2:$A$58)</f>
        <v/>
      </c>
      <c r="F54" s="7">
        <f>IF(TEXT(E54,"@")=TEXT(D54,"@"),"PASS","FAIL")</f>
        <v/>
      </c>
      <c r="G54" s="7" t="inlineStr">
        <is>
          <t>YES</t>
        </is>
      </c>
      <c r="H54" s="7" t="inlineStr">
        <is>
          <t>56 public targets + H50 explicit no-target record.</t>
        </is>
      </c>
    </row>
    <row r="55" ht="15.75" customHeight="1" s="29">
      <c r="A55" s="7" t="inlineStr">
        <is>
          <t>V050</t>
        </is>
      </c>
      <c r="B55" s="7" t="inlineStr">
        <is>
          <t>ERROR</t>
        </is>
      </c>
      <c r="C55" s="7" t="inlineStr">
        <is>
          <t>Public phrase targets marked FAIL/blank</t>
        </is>
      </c>
      <c r="D55" s="7" t="n">
        <v>0</v>
      </c>
      <c r="E55" s="7">
        <f>COUNTIFS('Citation Phrase Targets'!$E$2:$E$58,"READY",'Citation Phrase Targets'!$C$2:$C$58,"")</f>
        <v/>
      </c>
      <c r="F55" s="7">
        <f>IF(TEXT(E55,"@")=TEXT(D55,"@"),"PASS","FAIL")</f>
        <v/>
      </c>
      <c r="G55" s="7" t="inlineStr">
        <is>
          <t>YES</t>
        </is>
      </c>
      <c r="H55" s="7" t="inlineStr">
        <is>
          <t>Every READY row has a content assertion target.</t>
        </is>
      </c>
    </row>
    <row r="56" ht="15.75" customHeight="1" s="29">
      <c r="A56" s="7" t="inlineStr">
        <is>
          <t>V051</t>
        </is>
      </c>
      <c r="B56" s="7" t="inlineStr">
        <is>
          <t>ERROR</t>
        </is>
      </c>
      <c r="C56" s="7" t="inlineStr">
        <is>
          <t>Pipeline phrase-containment rule P018 present</t>
        </is>
      </c>
      <c r="D56" s="7" t="n">
        <v>1</v>
      </c>
      <c r="E56" s="7">
        <f>COUNTIF('Pipeline Validation Spec'!$A$1:$A$30,"P018")</f>
        <v/>
      </c>
      <c r="F56" s="7">
        <f>IF(TEXT(E56,"@")=TEXT(D56,"@"),"PASS","FAIL")</f>
        <v/>
      </c>
      <c r="G56" s="7" t="inlineStr">
        <is>
          <t>YES</t>
        </is>
      </c>
      <c r="H56" s="7" t="inlineStr">
        <is>
          <t>HTTP status alone is insufficient.</t>
        </is>
      </c>
    </row>
    <row r="57" ht="15.75" customHeight="1" s="29">
      <c r="A57" s="7" t="inlineStr">
        <is>
          <t>V052</t>
        </is>
      </c>
      <c r="B57" s="7" t="inlineStr">
        <is>
          <t>ERROR</t>
        </is>
      </c>
      <c r="C57" s="7" t="inlineStr">
        <is>
          <t>Current distinct public URLs in reachability snapshot</t>
        </is>
      </c>
      <c r="D57" s="7" t="n">
        <v>89</v>
      </c>
      <c r="E57" s="7" t="n">
        <v>89</v>
      </c>
      <c r="F57" s="7">
        <f>IF(TEXT(E57,"@")=TEXT(D57,"@"),"PASS","FAIL")</f>
        <v/>
      </c>
      <c r="G57" s="7" t="inlineStr">
        <is>
          <t>YES</t>
        </is>
      </c>
      <c r="H57" s="7" t="inlineStr">
        <is>
          <t>Snapshot must cover current URL set after source replacement.</t>
        </is>
      </c>
    </row>
    <row r="58" ht="15.75" customHeight="1" s="29">
      <c r="A58" s="7" t="inlineStr">
        <is>
          <t>V053</t>
        </is>
      </c>
      <c r="B58" s="7" t="inlineStr">
        <is>
          <t>ERROR</t>
        </is>
      </c>
      <c r="C58" s="7" t="inlineStr">
        <is>
          <t>Restoration Phrase Target rows</t>
        </is>
      </c>
      <c r="D58" s="7" t="n">
        <v>63</v>
      </c>
      <c r="E58" s="7" t="n">
        <v>63</v>
      </c>
      <c r="F58" s="7">
        <f>IF(TEXT(E58,"@")=TEXT(D58,"@"),"PASS","FAIL")</f>
        <v/>
      </c>
      <c r="G58" s="7" t="inlineStr">
        <is>
          <t>YES</t>
        </is>
      </c>
      <c r="H58" s="7" t="inlineStr">
        <is>
          <t>57 primary + 6 supplemental comparator assertions.</t>
        </is>
      </c>
    </row>
    <row r="59" ht="15.75" customHeight="1" s="29">
      <c r="A59" s="7" t="inlineStr">
        <is>
          <t>V054</t>
        </is>
      </c>
      <c r="B59" s="7" t="inlineStr">
        <is>
          <t>ERROR</t>
        </is>
      </c>
      <c r="C59" s="7" t="inlineStr">
        <is>
          <t>Restoration PRIMARY target rows</t>
        </is>
      </c>
      <c r="D59" s="7" t="n">
        <v>57</v>
      </c>
      <c r="E59" s="7" t="n">
        <v>57</v>
      </c>
      <c r="F59" s="7">
        <f>IF(TEXT(E59,"@")=TEXT(D59,"@"),"PASS","FAIL")</f>
        <v/>
      </c>
      <c r="G59" s="7" t="inlineStr">
        <is>
          <t>YES</t>
        </is>
      </c>
      <c r="H59" s="7" t="inlineStr">
        <is>
          <t>One primary assertion per inherited predicate.</t>
        </is>
      </c>
    </row>
    <row r="60" ht="15.75" customHeight="1" s="29">
      <c r="A60" s="7" t="inlineStr">
        <is>
          <t>V055</t>
        </is>
      </c>
      <c r="B60" s="7" t="inlineStr">
        <is>
          <t>ERROR</t>
        </is>
      </c>
      <c r="C60" s="7" t="inlineStr">
        <is>
          <t>Restoration SUPPLEMENTAL target rows</t>
        </is>
      </c>
      <c r="D60" s="7" t="n">
        <v>6</v>
      </c>
      <c r="E60" s="7" t="n">
        <v>6</v>
      </c>
      <c r="F60" s="7">
        <f>IF(TEXT(E60,"@")=TEXT(D60,"@"),"PASS","FAIL")</f>
        <v/>
      </c>
      <c r="G60" s="7" t="inlineStr">
        <is>
          <t>YES</t>
        </is>
      </c>
      <c r="H60" s="7" t="inlineStr">
        <is>
          <t>Every supplemental comparator URL is content-asserted.</t>
        </is>
      </c>
    </row>
    <row r="61" ht="15.75" customHeight="1" s="29">
      <c r="A61" s="7" t="inlineStr">
        <is>
          <t>V056</t>
        </is>
      </c>
      <c r="B61" s="7" t="inlineStr">
        <is>
          <t>ERROR</t>
        </is>
      </c>
      <c r="C61" s="7" t="inlineStr">
        <is>
          <t>Restoration target blank phrases</t>
        </is>
      </c>
      <c r="D61" s="7" t="n">
        <v>0</v>
      </c>
      <c r="E61" s="7" t="n">
        <v>0</v>
      </c>
      <c r="F61" s="7">
        <f>IF(TEXT(E61,"@")=TEXT(D61,"@"),"PASS","FAIL")</f>
        <v/>
      </c>
      <c r="G61" s="7" t="inlineStr">
        <is>
          <t>YES</t>
        </is>
      </c>
      <c r="H61" s="7" t="inlineStr">
        <is>
          <t>No comparator URL may lack a phrase target.</t>
        </is>
      </c>
    </row>
    <row r="62" ht="15.75" customHeight="1" s="29">
      <c r="A62" s="7" t="inlineStr">
        <is>
          <t>V057</t>
        </is>
      </c>
      <c r="B62" s="7" t="inlineStr">
        <is>
          <t>ERROR</t>
        </is>
      </c>
      <c r="C62" s="7" t="inlineStr">
        <is>
          <t>Restoration phrases longer than 15 words</t>
        </is>
      </c>
      <c r="D62" s="7" t="n">
        <v>0</v>
      </c>
      <c r="E62" s="7" t="n">
        <v>0</v>
      </c>
      <c r="F62" s="7">
        <f>IF(TEXT(E62,"@")=TEXT(D62,"@"),"PASS","FAIL")</f>
        <v/>
      </c>
      <c r="G62" s="7" t="inlineStr">
        <is>
          <t>YES</t>
        </is>
      </c>
      <c r="H62" s="7" t="inlineStr">
        <is>
          <t>Keep assertion snippets bounded.</t>
        </is>
      </c>
    </row>
    <row r="63" ht="15.75" customHeight="1" s="29">
      <c r="A63" s="7" t="inlineStr">
        <is>
          <t>V058</t>
        </is>
      </c>
      <c r="B63" s="7" t="inlineStr">
        <is>
          <t>ERROR</t>
        </is>
      </c>
      <c r="C63" s="7" t="inlineStr">
        <is>
          <t>Restoration citation primary phrase mismatches target sheet</t>
        </is>
      </c>
      <c r="D63" s="7" t="n">
        <v>0</v>
      </c>
      <c r="E63" s="7" t="n">
        <v>0</v>
      </c>
      <c r="F63" s="7">
        <f>IF(TEXT(E63,"@")=TEXT(D63,"@"),"PASS","FAIL")</f>
        <v/>
      </c>
      <c r="G63" s="7" t="inlineStr">
        <is>
          <t>YES</t>
        </is>
      </c>
      <c r="H63" s="7" t="inlineStr">
        <is>
          <t>Citation W must equal PRIMARY target phrase.</t>
        </is>
      </c>
    </row>
    <row r="64" ht="15.75" customHeight="1" s="29">
      <c r="A64" s="7" t="inlineStr">
        <is>
          <t>V059</t>
        </is>
      </c>
      <c r="B64" s="7" t="inlineStr">
        <is>
          <t>ERROR</t>
        </is>
      </c>
      <c r="C64" s="7" t="inlineStr">
        <is>
          <t>Pipeline Restoration content rule P019 present</t>
        </is>
      </c>
      <c r="D64" s="7" t="n">
        <v>1</v>
      </c>
      <c r="E64" s="7" t="n">
        <v>1</v>
      </c>
      <c r="F64" s="7">
        <f>IF(TEXT(E64,"@")=TEXT(D64,"@"),"PASS","FAIL")</f>
        <v/>
      </c>
      <c r="G64" s="7" t="inlineStr">
        <is>
          <t>YES</t>
        </is>
      </c>
      <c r="H64" s="7" t="inlineStr">
        <is>
          <t>Symmetric comparator validation.</t>
        </is>
      </c>
    </row>
    <row r="65" ht="15.75" customHeight="1" s="29">
      <c r="A65" s="7" t="inlineStr">
        <is>
          <t>V060</t>
        </is>
      </c>
      <c r="B65" s="7" t="inlineStr">
        <is>
          <t>ERROR</t>
        </is>
      </c>
      <c r="C65" s="7" t="inlineStr">
        <is>
          <t>Historical PDF phrase-target rows</t>
        </is>
      </c>
      <c r="D65" s="7" t="n">
        <v>3</v>
      </c>
      <c r="E65" s="7" t="n">
        <v>3</v>
      </c>
      <c r="F65" s="7">
        <f>IF(TEXT(E65,"@")=TEXT(D65,"@"),"PASS","FAIL")</f>
        <v/>
      </c>
      <c r="G65" s="7" t="inlineStr">
        <is>
          <t>YES</t>
        </is>
      </c>
      <c r="H65" s="7" t="inlineStr">
        <is>
          <t>Current PDF branch comprises H04/H06/H49 PC(USA) targets.</t>
        </is>
      </c>
    </row>
    <row r="66" ht="15.75" customHeight="1" s="29">
      <c r="A66" s="7" t="inlineStr">
        <is>
          <t>V061</t>
        </is>
      </c>
      <c r="B66" s="7" t="inlineStr">
        <is>
          <t>ERROR</t>
        </is>
      </c>
      <c r="C66" s="7" t="inlineStr">
        <is>
          <t>Historical PDF normalization rows missing soft-hyphen/ligature/line-break repair</t>
        </is>
      </c>
      <c r="D66" s="7" t="n">
        <v>0</v>
      </c>
      <c r="E66" s="7" t="n">
        <v>0</v>
      </c>
      <c r="F66" s="7">
        <f>IF(TEXT(E66,"@")=TEXT(D66,"@"),"PASS","FAIL")</f>
        <v/>
      </c>
      <c r="G66" s="7" t="inlineStr">
        <is>
          <t>YES</t>
        </is>
      </c>
      <c r="H66" s="7" t="inlineStr">
        <is>
          <t>PDF-specific normalization required.</t>
        </is>
      </c>
    </row>
    <row r="67" ht="15.75" customHeight="1" s="29">
      <c r="A67" s="7" t="inlineStr">
        <is>
          <t>V062</t>
        </is>
      </c>
      <c r="B67" s="7" t="inlineStr">
        <is>
          <t>ERROR</t>
        </is>
      </c>
      <c r="C67" s="7" t="inlineStr">
        <is>
          <t>Pipeline locator-scope/PDF rule P020 present</t>
        </is>
      </c>
      <c r="D67" s="7" t="n">
        <v>1</v>
      </c>
      <c r="E67" s="7" t="n">
        <v>1</v>
      </c>
      <c r="F67" s="7">
        <f>IF(TEXT(E67,"@")=TEXT(D67,"@"),"PASS","FAIL")</f>
        <v/>
      </c>
      <c r="G67" s="7" t="inlineStr">
        <is>
          <t>YES</t>
        </is>
      </c>
      <c r="H67" s="7" t="inlineStr">
        <is>
          <t>Scoped assertion validation required.</t>
        </is>
      </c>
    </row>
    <row r="68" ht="15.75" customHeight="1" s="29">
      <c r="A68" s="7" t="inlineStr">
        <is>
          <t>V063</t>
        </is>
      </c>
      <c r="B68" s="7" t="inlineStr">
        <is>
          <t>ERROR</t>
        </is>
      </c>
      <c r="C68" s="7" t="inlineStr">
        <is>
          <t>Case Study Phrase Target rows</t>
        </is>
      </c>
      <c r="D68" s="7" t="n">
        <v>26</v>
      </c>
      <c r="E68" s="7" t="n">
        <v>26</v>
      </c>
      <c r="F68" s="7">
        <f>IF(TEXT(E68,"@")=TEXT(D68,"@"),"PASS","FAIL")</f>
        <v/>
      </c>
      <c r="G68" s="7" t="inlineStr">
        <is>
          <t>YES</t>
        </is>
      </c>
      <c r="H68" s="7" t="inlineStr">
        <is>
          <t>H05/H22/H43 × 8 branches (24) + Q-290 Eastern Orthodox H37 supplemental targets (2) = 26 rows in sheet.</t>
        </is>
      </c>
    </row>
    <row r="69" ht="15.75" customHeight="1" s="29">
      <c r="A69" s="7" t="inlineStr">
        <is>
          <t>V064</t>
        </is>
      </c>
      <c r="B69" s="7" t="inlineStr">
        <is>
          <t>ERROR</t>
        </is>
      </c>
      <c r="C69" s="7" t="inlineStr">
        <is>
          <t>Case Study ASSERT targets</t>
        </is>
      </c>
      <c r="D69" s="7" t="n">
        <v>21</v>
      </c>
      <c r="E69" s="7" t="n">
        <v>21</v>
      </c>
      <c r="F69" s="7">
        <f>IF(TEXT(E69,"@")=TEXT(D69,"@"),"PASS","FAIL")</f>
        <v/>
      </c>
      <c r="G69" s="7" t="inlineStr">
        <is>
          <t>YES</t>
        </is>
      </c>
      <c r="H69" s="7" t="inlineStr">
        <is>
          <t>All released case-study cells must be asserted.</t>
        </is>
      </c>
    </row>
    <row r="70" ht="15.75" customHeight="1" s="29">
      <c r="A70" s="7" t="inlineStr">
        <is>
          <t>V065</t>
        </is>
      </c>
      <c r="B70" s="7" t="inlineStr">
        <is>
          <t>ERROR</t>
        </is>
      </c>
      <c r="C70" s="7" t="inlineStr">
        <is>
          <t>Case Study NO TARGET — UNRELEASED rows</t>
        </is>
      </c>
      <c r="D70" s="7" t="n">
        <v>3</v>
      </c>
      <c r="E70" s="7" t="n">
        <v>3</v>
      </c>
      <c r="F70" s="7">
        <f>IF(TEXT(E70,"@")=TEXT(D70,"@"),"PASS","FAIL")</f>
        <v/>
      </c>
      <c r="G70" s="7" t="inlineStr">
        <is>
          <t>YES</t>
        </is>
      </c>
      <c r="H70" s="7" t="inlineStr">
        <is>
          <t>Q-338/Q-342/Q-344 remain explicit no-targets.</t>
        </is>
      </c>
    </row>
    <row r="71" ht="15.75" customHeight="1" s="29">
      <c r="A71" s="7" t="inlineStr">
        <is>
          <t>V066</t>
        </is>
      </c>
      <c r="B71" s="7" t="inlineStr">
        <is>
          <t>ERROR</t>
        </is>
      </c>
      <c r="C71" s="7" t="inlineStr">
        <is>
          <t>Case Study phrases longer than 15 words</t>
        </is>
      </c>
      <c r="D71" s="7" t="n">
        <v>0</v>
      </c>
      <c r="E71" s="7" t="n">
        <v>0</v>
      </c>
      <c r="F71" s="7">
        <f>IF(TEXT(E71,"@")=TEXT(D71,"@"),"PASS","FAIL")</f>
        <v/>
      </c>
      <c r="G71" s="7" t="inlineStr">
        <is>
          <t>YES</t>
        </is>
      </c>
      <c r="H71" s="7" t="inlineStr">
        <is>
          <t>Bounded phrase assertions.</t>
        </is>
      </c>
    </row>
    <row r="72" ht="15.75" customHeight="1" s="29">
      <c r="A72" s="7" t="inlineStr">
        <is>
          <t>V067</t>
        </is>
      </c>
      <c r="B72" s="7" t="inlineStr">
        <is>
          <t>ERROR</t>
        </is>
      </c>
      <c r="C72" s="7" t="inlineStr">
        <is>
          <t>Case Study Queue-ID foreign-key failures</t>
        </is>
      </c>
      <c r="D72" s="7" t="n">
        <v>0</v>
      </c>
      <c r="E72" s="7" t="n">
        <v>0</v>
      </c>
      <c r="F72" s="7">
        <f>IF(TEXT(E72,"@")=TEXT(D72,"@"),"PASS","FAIL")</f>
        <v/>
      </c>
      <c r="G72" s="7" t="inlineStr">
        <is>
          <t>YES</t>
        </is>
      </c>
      <c r="H72" s="7" t="inlineStr">
        <is>
          <t>Targets keyed to stable Queue ID.</t>
        </is>
      </c>
    </row>
    <row r="73" ht="15.75" customHeight="1" s="29">
      <c r="A73" s="7" t="inlineStr">
        <is>
          <t>V068</t>
        </is>
      </c>
      <c r="B73" s="7" t="inlineStr">
        <is>
          <t>ERROR</t>
        </is>
      </c>
      <c r="C73" s="7" t="inlineStr">
        <is>
          <t>Case Study Rendered State mismatches queue</t>
        </is>
      </c>
      <c r="D73" s="7" t="n">
        <v>0</v>
      </c>
      <c r="E73" s="7" t="n">
        <v>0</v>
      </c>
      <c r="F73" s="7">
        <f>IF(TEXT(E73,"@")=TEXT(D73,"@"),"PASS","FAIL")</f>
        <v/>
      </c>
      <c r="G73" s="7" t="inlineStr">
        <is>
          <t>YES</t>
        </is>
      </c>
      <c r="H73" s="7" t="inlineStr">
        <is>
          <t>Target status must mirror queue state.</t>
        </is>
      </c>
    </row>
    <row r="74" ht="15.75" customHeight="1" s="29">
      <c r="A74" s="7" t="inlineStr">
        <is>
          <t>V069</t>
        </is>
      </c>
      <c r="B74" s="7" t="inlineStr">
        <is>
          <t>ERROR</t>
        </is>
      </c>
      <c r="C74" s="7" t="inlineStr">
        <is>
          <t>Pipeline case-study rule P021 present</t>
        </is>
      </c>
      <c r="D74" s="7" t="n">
        <v>1</v>
      </c>
      <c r="E74" s="7" t="n">
        <v>1</v>
      </c>
      <c r="F74" s="7">
        <f>IF(TEXT(E74,"@")=TEXT(D74,"@"),"PASS","FAIL")</f>
        <v/>
      </c>
      <c r="G74" s="7" t="inlineStr">
        <is>
          <t>YES</t>
        </is>
      </c>
      <c r="H74" s="7" t="inlineStr">
        <is>
          <t>Case-study assertions are blocking.</t>
        </is>
      </c>
    </row>
    <row r="75" ht="15.75" customHeight="1" s="29">
      <c r="A75" s="7" t="inlineStr">
        <is>
          <t>V070</t>
        </is>
      </c>
      <c r="B75" s="7" t="inlineStr">
        <is>
          <t>ERROR</t>
        </is>
      </c>
      <c r="C75" s="7" t="inlineStr">
        <is>
          <t>Vector Family Caption rows</t>
        </is>
      </c>
      <c r="D75" s="7" t="n">
        <v>3</v>
      </c>
      <c r="E75" s="7" t="n">
        <v>3</v>
      </c>
      <c r="F75" s="7">
        <f>IF(TEXT(E75,"@")=TEXT(D75,"@"),"PASS","FAIL")</f>
        <v/>
      </c>
      <c r="G75" s="7" t="inlineStr">
        <is>
          <t>YES</t>
        </is>
      </c>
      <c r="H75" s="7" t="inlineStr">
        <is>
          <t>H07/H32/H56 only.</t>
        </is>
      </c>
    </row>
    <row r="76" ht="15.75" customHeight="1" s="29">
      <c r="A76" s="7" t="inlineStr">
        <is>
          <t>V071</t>
        </is>
      </c>
      <c r="B76" s="7" t="inlineStr">
        <is>
          <t>ERROR</t>
        </is>
      </c>
      <c r="C76" s="7" t="inlineStr">
        <is>
          <t>Vector rows with Card Mode=VECTOR</t>
        </is>
      </c>
      <c r="D76" s="7" t="n">
        <v>3</v>
      </c>
      <c r="E76" s="7" t="n">
        <v>3</v>
      </c>
      <c r="F76" s="7">
        <f>IF(TEXT(E76,"@")=TEXT(D76,"@"),"PASS","FAIL")</f>
        <v/>
      </c>
      <c r="G76" s="7" t="inlineStr">
        <is>
          <t>YES</t>
        </is>
      </c>
      <c r="H76" s="7" t="inlineStr">
        <is>
          <t>Prevent single-tile rendering.</t>
        </is>
      </c>
    </row>
    <row r="77" ht="15.75" customHeight="1" s="29">
      <c r="A77" s="7" t="inlineStr">
        <is>
          <t>V072</t>
        </is>
      </c>
      <c r="B77" s="7" t="inlineStr">
        <is>
          <t>ERROR</t>
        </is>
      </c>
      <c r="C77" s="7" t="inlineStr">
        <is>
          <t>Vector rows with nonblank learner caption</t>
        </is>
      </c>
      <c r="D77" s="7" t="n">
        <v>3</v>
      </c>
      <c r="E77" s="7" t="n">
        <v>3</v>
      </c>
      <c r="F77" s="7">
        <f>IF(TEXT(E77,"@")=TEXT(D77,"@"),"PASS","FAIL")</f>
        <v/>
      </c>
      <c r="G77" s="7" t="inlineStr">
        <is>
          <t>YES</t>
        </is>
      </c>
      <c r="H77" s="7" t="inlineStr">
        <is>
          <t>Caption must accompany atomic evidence.</t>
        </is>
      </c>
    </row>
    <row r="78" ht="15.75" customHeight="1" s="29">
      <c r="A78" s="7" t="inlineStr">
        <is>
          <t>V073</t>
        </is>
      </c>
      <c r="B78" s="7" t="inlineStr">
        <is>
          <t>ERROR</t>
        </is>
      </c>
      <c r="C78" s="7" t="inlineStr">
        <is>
          <t>Pipeline vector-caption rule P022 present</t>
        </is>
      </c>
      <c r="D78" s="7" t="n">
        <v>1</v>
      </c>
      <c r="E78" s="7" t="n">
        <v>1</v>
      </c>
      <c r="F78" s="7">
        <f>IF(TEXT(E78,"@")=TEXT(D78,"@"),"PASS","FAIL")</f>
        <v/>
      </c>
      <c r="G78" s="7" t="inlineStr">
        <is>
          <t>YES</t>
        </is>
      </c>
      <c r="H78" s="7" t="inlineStr">
        <is>
          <t>Card renderer must enforce VECTOR captions.</t>
        </is>
      </c>
    </row>
    <row r="79" ht="15.75" customHeight="1" s="29">
      <c r="A79" s="7" t="inlineStr">
        <is>
          <t>V074</t>
        </is>
      </c>
      <c r="B79" s="7" t="inlineStr">
        <is>
          <t>ERROR</t>
        </is>
      </c>
      <c r="C79" s="7" t="inlineStr">
        <is>
          <t>Total phrase assertions across historical + Restoration + released case targets</t>
        </is>
      </c>
      <c r="D79" s="7" t="n">
        <v>142</v>
      </c>
      <c r="E79" s="7" t="n">
        <v>142</v>
      </c>
      <c r="F79" s="7">
        <f>IF(TEXT(E79,"@")=TEXT(D79,"@"),"PASS","FAIL")</f>
        <v/>
      </c>
      <c r="G79" s="7" t="inlineStr">
        <is>
          <t>YES</t>
        </is>
      </c>
      <c r="H79" s="7" t="inlineStr">
        <is>
          <t>56 + 63 + 21 + 2 (Q-290 queue-cell) content assertions.</t>
        </is>
      </c>
    </row>
    <row r="80" ht="15.75" customHeight="1" s="29">
      <c r="A80" s="7" t="inlineStr">
        <is>
          <t>V075</t>
        </is>
      </c>
      <c r="B80" s="7" t="inlineStr">
        <is>
          <t>ERROR</t>
        </is>
      </c>
      <c r="C80" s="7" t="inlineStr">
        <is>
          <t>Interpretive Clarification case rows</t>
        </is>
      </c>
      <c r="D80" s="7" t="n">
        <v>2</v>
      </c>
      <c r="E80" s="7" t="n">
        <v>2</v>
      </c>
      <c r="F80" s="7">
        <f>IF(TEXT(E80,"@")=TEXT(D80,"@"),"PASS","FAIL")</f>
        <v/>
      </c>
      <c r="G80" s="7" t="inlineStr">
        <is>
          <t>YES</t>
        </is>
      </c>
      <c r="H80" s="7" t="inlineStr">
        <is>
          <t>ICC-001 and ICC-002 (paired).</t>
        </is>
      </c>
    </row>
    <row r="81" ht="15.75" customHeight="1" s="29">
      <c r="A81" s="7" t="inlineStr">
        <is>
          <t>V076</t>
        </is>
      </c>
      <c r="B81" s="7" t="inlineStr">
        <is>
          <t>ERROR</t>
        </is>
      </c>
      <c r="C81" s="7" t="inlineStr">
        <is>
          <t>Clarification cases with Counted?=TRUE</t>
        </is>
      </c>
      <c r="D81" s="7" t="n">
        <v>0</v>
      </c>
      <c r="E81" s="7" t="n">
        <v>0</v>
      </c>
      <c r="F81" s="7">
        <f>IF(TEXT(E81,"@")=TEXT(D81,"@"),"PASS","FAIL")</f>
        <v/>
      </c>
      <c r="G81" s="7" t="inlineStr">
        <is>
          <t>YES</t>
        </is>
      </c>
      <c r="H81" s="7" t="inlineStr">
        <is>
          <t>Interpretive cases must not enter quantitative denominators.</t>
        </is>
      </c>
    </row>
    <row r="82" ht="15.75" customHeight="1" s="29">
      <c r="A82" s="7" t="inlineStr">
        <is>
          <t>V077</t>
        </is>
      </c>
      <c r="B82" s="7" t="inlineStr">
        <is>
          <t>GATE</t>
        </is>
      </c>
      <c r="C82" s="7" t="inlineStr">
        <is>
          <t>Clarification cases awaiting author review</t>
        </is>
      </c>
      <c r="D82" s="7" t="n">
        <v>0</v>
      </c>
      <c r="E82" s="7" t="n">
        <v>0</v>
      </c>
      <c r="F82" s="7">
        <f>IF(TEXT(E82,"@")=TEXT(D82,"@"),"PASS","FAIL")</f>
        <v/>
      </c>
      <c r="G82" s="7" t="inlineStr">
        <is>
          <t>NO</t>
        </is>
      </c>
      <c r="H82" s="7" t="inlineStr">
        <is>
          <t>Both cases author-approved 2026-09-09.</t>
        </is>
      </c>
    </row>
    <row r="83" ht="15.75" customHeight="1" s="29">
      <c r="A83" s="7" t="inlineStr">
        <is>
          <t>V078</t>
        </is>
      </c>
      <c r="B83" s="7" t="inlineStr">
        <is>
          <t>ERROR</t>
        </is>
      </c>
      <c r="C83" s="7" t="inlineStr">
        <is>
          <t>Clarification Trigger Map rows</t>
        </is>
      </c>
      <c r="D83" s="7" t="n">
        <v>35</v>
      </c>
      <c r="E83" s="7" t="n">
        <v>35</v>
      </c>
      <c r="F83" s="7">
        <f>IF(TEXT(E83,"@")=TEXT(D83,"@"),"PASS","FAIL")</f>
        <v/>
      </c>
      <c r="G83" s="7" t="inlineStr">
        <is>
          <t>YES</t>
        </is>
      </c>
      <c r="H83" s="7" t="inlineStr">
        <is>
          <t>18 ICC-001 + 17 ICC-002 triggers.</t>
        </is>
      </c>
    </row>
    <row r="84" ht="15.75" customHeight="1" s="29">
      <c r="A84" s="7" t="inlineStr">
        <is>
          <t>V079</t>
        </is>
      </c>
      <c r="B84" s="7" t="inlineStr">
        <is>
          <t>ERROR</t>
        </is>
      </c>
      <c r="C84" s="7" t="inlineStr">
        <is>
          <t>Clarification trigger Case-ID foreign-key failures</t>
        </is>
      </c>
      <c r="D84" s="7" t="n">
        <v>0</v>
      </c>
      <c r="E84" s="7" t="n">
        <v>0</v>
      </c>
      <c r="F84" s="7">
        <f>IF(TEXT(E84,"@")=TEXT(D84,"@"),"PASS","FAIL")</f>
        <v/>
      </c>
      <c r="G84" s="7" t="inlineStr">
        <is>
          <t>YES</t>
        </is>
      </c>
      <c r="H84" s="7" t="inlineStr">
        <is>
          <t>All triggers must resolve to a case.</t>
        </is>
      </c>
    </row>
    <row r="85" ht="15.75" customHeight="1" s="29">
      <c r="A85" s="7" t="inlineStr">
        <is>
          <t>V080</t>
        </is>
      </c>
      <c r="B85" s="7" t="inlineStr">
        <is>
          <t>ERROR</t>
        </is>
      </c>
      <c r="C85" s="7" t="inlineStr">
        <is>
          <t>Clarification Source rows</t>
        </is>
      </c>
      <c r="D85" s="7" t="n">
        <v>20</v>
      </c>
      <c r="E85" s="7" t="n">
        <v>20</v>
      </c>
      <c r="F85" s="7">
        <f>IF(TEXT(E85,"@")=TEXT(D85,"@"),"PASS","FAIL")</f>
        <v/>
      </c>
      <c r="G85" s="7" t="inlineStr">
        <is>
          <t>YES</t>
        </is>
      </c>
      <c r="H85" s="7" t="inlineStr">
        <is>
          <t>10 ICC-001 + 10 ICC-002 sources.</t>
        </is>
      </c>
    </row>
    <row r="86" ht="15.75" customHeight="1" s="29">
      <c r="A86" s="7" t="inlineStr">
        <is>
          <t>V081</t>
        </is>
      </c>
      <c r="B86" s="7" t="inlineStr">
        <is>
          <t>ERROR</t>
        </is>
      </c>
      <c r="C86" s="7" t="inlineStr">
        <is>
          <t>Clarification source Case-ID foreign-key failures</t>
        </is>
      </c>
      <c r="D86" s="7" t="n">
        <v>0</v>
      </c>
      <c r="E86" s="7" t="n">
        <v>0</v>
      </c>
      <c r="F86" s="7">
        <f>IF(TEXT(E86,"@")=TEXT(D86,"@"),"PASS","FAIL")</f>
        <v/>
      </c>
      <c r="G86" s="7" t="inlineStr">
        <is>
          <t>YES</t>
        </is>
      </c>
      <c r="H86" s="7" t="inlineStr">
        <is>
          <t>All sources must resolve to a case.</t>
        </is>
      </c>
    </row>
    <row r="87" ht="15.75" customHeight="1" s="29">
      <c r="A87" s="7" t="inlineStr">
        <is>
          <t>V082</t>
        </is>
      </c>
      <c r="B87" s="7" t="inlineStr">
        <is>
          <t>ERROR</t>
        </is>
      </c>
      <c r="C87" s="7" t="inlineStr">
        <is>
          <t>Clarification sources with blank phrase assertion</t>
        </is>
      </c>
      <c r="D87" s="7" t="n">
        <v>0</v>
      </c>
      <c r="E87" s="7" t="n">
        <v>0</v>
      </c>
      <c r="F87" s="7">
        <f>IF(TEXT(E87,"@")=TEXT(D87,"@"),"PASS","FAIL")</f>
        <v/>
      </c>
      <c r="G87" s="7" t="inlineStr">
        <is>
          <t>YES</t>
        </is>
      </c>
      <c r="H87" s="7" t="inlineStr">
        <is>
          <t>Every clarification source is content-addressable.</t>
        </is>
      </c>
    </row>
    <row r="88" ht="15.75" customHeight="1" s="29">
      <c r="A88" s="7" t="inlineStr">
        <is>
          <t>V083</t>
        </is>
      </c>
      <c r="B88" s="7" t="inlineStr">
        <is>
          <t>ERROR</t>
        </is>
      </c>
      <c r="C88" s="7" t="inlineStr">
        <is>
          <t>Clarification source phrases longer than 15 words</t>
        </is>
      </c>
      <c r="D88" s="7" t="n">
        <v>0</v>
      </c>
      <c r="E88" s="7" t="n">
        <v>0</v>
      </c>
      <c r="F88" s="7">
        <f>IF(TEXT(E88,"@")=TEXT(D88,"@"),"PASS","FAIL")</f>
        <v/>
      </c>
      <c r="G88" s="7" t="inlineStr">
        <is>
          <t>YES</t>
        </is>
      </c>
      <c r="H88" s="7" t="inlineStr">
        <is>
          <t>Bounded content assertions.</t>
        </is>
      </c>
    </row>
    <row r="89" ht="15.75" customHeight="1" s="29">
      <c r="A89" s="7" t="inlineStr">
        <is>
          <t>V084</t>
        </is>
      </c>
      <c r="B89" s="7" t="inlineStr">
        <is>
          <t>ERROR</t>
        </is>
      </c>
      <c r="C89" s="7" t="inlineStr">
        <is>
          <t>Tradition-only triggers eligible for automatic cue</t>
        </is>
      </c>
      <c r="D89" s="7" t="n">
        <v>0</v>
      </c>
      <c r="E89" s="7" t="n">
        <v>0</v>
      </c>
      <c r="F89" s="7">
        <f>IF(TEXT(E89,"@")=TEXT(D89,"@"),"PASS","FAIL")</f>
        <v/>
      </c>
      <c r="G89" s="7" t="inlineStr">
        <is>
          <t>YES</t>
        </is>
      </c>
      <c r="H89" s="7" t="inlineStr">
        <is>
          <t>Tradition selection alone may not create intrusive clarifications.</t>
        </is>
      </c>
    </row>
    <row r="90" ht="15.75" customHeight="1" s="29">
      <c r="A90" s="7" t="inlineStr">
        <is>
          <t>V085</t>
        </is>
      </c>
      <c r="B90" s="7" t="inlineStr">
        <is>
          <t>ERROR</t>
        </is>
      </c>
      <c r="C90" s="7" t="inlineStr">
        <is>
          <t>Clarification auto-cue maximum per view</t>
        </is>
      </c>
      <c r="D90" s="7" t="n">
        <v>1</v>
      </c>
      <c r="E90" s="7" t="n">
        <v>1</v>
      </c>
      <c r="F90" s="7">
        <f>IF(TEXT(E90,"@")=TEXT(D90,"@"),"PASS","FAIL")</f>
        <v/>
      </c>
      <c r="G90" s="7" t="inlineStr">
        <is>
          <t>YES</t>
        </is>
      </c>
      <c r="H90" s="7" t="inlineStr">
        <is>
          <t>One automatic invitation maximum.</t>
        </is>
      </c>
    </row>
    <row r="91" ht="15.75" customHeight="1" s="29">
      <c r="A91" s="7" t="inlineStr">
        <is>
          <t>V086</t>
        </is>
      </c>
      <c r="B91" s="7" t="inlineStr">
        <is>
          <t>ERROR</t>
        </is>
      </c>
      <c r="C91" s="7" t="inlineStr">
        <is>
          <t>Clarification authority-state violations</t>
        </is>
      </c>
      <c r="D91" s="7" t="n">
        <v>0</v>
      </c>
      <c r="E91" s="7" t="n">
        <v>0</v>
      </c>
      <c r="F91" s="7">
        <f>IF(TEXT(E91,"@")=TEXT(D91,"@"),"PASS","FAIL")</f>
        <v/>
      </c>
      <c r="G91" s="7" t="inlineStr">
        <is>
          <t>YES</t>
        </is>
      </c>
      <c r="H91" s="7" t="inlineStr">
        <is>
          <t>Unapproved cases may not become approved answer authority/public auto-cues.</t>
        </is>
      </c>
    </row>
    <row r="92" ht="15.75" customHeight="1" s="29">
      <c r="A92" s="7" t="inlineStr">
        <is>
          <t>V087</t>
        </is>
      </c>
      <c r="B92" s="7" t="inlineStr">
        <is>
          <t>ERROR</t>
        </is>
      </c>
      <c r="C92" s="7" t="inlineStr">
        <is>
          <t>Clarification source phrase assertions</t>
        </is>
      </c>
      <c r="D92" s="7" t="n">
        <v>20</v>
      </c>
      <c r="E92" s="7" t="n">
        <v>20</v>
      </c>
      <c r="F92" s="7">
        <f>IF(TEXT(E92,"@")=TEXT(D92,"@"),"PASS","FAIL")</f>
        <v/>
      </c>
      <c r="G92" s="7" t="inlineStr">
        <is>
          <t>YES</t>
        </is>
      </c>
      <c r="H92" s="7" t="inlineStr">
        <is>
          <t>P025 validates all 20; ICS-020 pending rendered fetch.</t>
        </is>
      </c>
    </row>
    <row r="93" ht="15.75" customHeight="1" s="29">
      <c r="A93" s="7" t="inlineStr">
        <is>
          <t>V088</t>
        </is>
      </c>
      <c r="B93" s="7" t="inlineStr">
        <is>
          <t>ERROR</t>
        </is>
      </c>
      <c r="C93" s="7" t="inlineStr">
        <is>
          <t>Pipeline clarification rules P023–P026 present</t>
        </is>
      </c>
      <c r="D93" s="7" t="n">
        <v>4</v>
      </c>
      <c r="E93" s="7" t="n">
        <v>4</v>
      </c>
      <c r="F93" s="7">
        <f>IF(TEXT(E93,"@")=TEXT(D93,"@"),"PASS","FAIL")</f>
        <v/>
      </c>
      <c r="G93" s="7" t="inlineStr">
        <is>
          <t>YES</t>
        </is>
      </c>
      <c r="H93" s="7" t="inlineStr">
        <is>
          <t>Counted, trigger-policy, source, and answer-authority guards are required.</t>
        </is>
      </c>
    </row>
    <row r="94" ht="15.75" customHeight="1" s="29">
      <c r="A94" s="7" t="inlineStr">
        <is>
          <t>V089</t>
        </is>
      </c>
      <c r="B94" s="7" t="inlineStr">
        <is>
          <t>ERROR</t>
        </is>
      </c>
      <c r="C94" s="7" t="inlineStr">
        <is>
          <t>Total phrase assertions including clarification layer</t>
        </is>
      </c>
      <c r="D94" s="7" t="n">
        <v>162</v>
      </c>
      <c r="E94" s="7" t="n">
        <v>162</v>
      </c>
      <c r="F94" s="7">
        <f>IF(TEXT(E94,"@")=TEXT(D94,"@"),"PASS","FAIL")</f>
        <v/>
      </c>
      <c r="G94" s="7" t="inlineStr">
        <is>
          <t>YES</t>
        </is>
      </c>
      <c r="H94" s="7" t="inlineStr">
        <is>
          <t>56 + 63 + 21 + 2 + 20 clarification assertions.</t>
        </is>
      </c>
    </row>
    <row r="95" ht="15.75" customHeight="1" s="29">
      <c r="A95" s="7" t="inlineStr">
        <is>
          <t>V090</t>
        </is>
      </c>
      <c r="B95" s="7" t="inlineStr">
        <is>
          <t>ERROR</t>
        </is>
      </c>
      <c r="C95" s="7" t="inlineStr">
        <is>
          <t>Author Decision Queue data rows</t>
        </is>
      </c>
      <c r="D95" s="7" t="n">
        <v>104</v>
      </c>
      <c r="E95" s="7">
        <f>COUNTA('Author Decision Queue'!$B$2:$B$105)</f>
        <v/>
      </c>
      <c r="F95" s="7">
        <f>IF(TEXT(E95,"@")=TEXT(D95,"@"),"PASS","FAIL")</f>
        <v/>
      </c>
      <c r="G95" s="7" t="inlineStr">
        <is>
          <t>YES</t>
        </is>
      </c>
      <c r="H95" s="7" t="inlineStr">
        <is>
          <t>Complete author inventory.</t>
        </is>
      </c>
    </row>
    <row r="96" ht="15.75" customHeight="1" s="29">
      <c r="A96" s="7" t="inlineStr">
        <is>
          <t>V091</t>
        </is>
      </c>
      <c r="B96" s="7" t="inlineStr">
        <is>
          <t>ERROR</t>
        </is>
      </c>
      <c r="C96" s="7" t="inlineStr">
        <is>
          <t>Duplicate Author Decision IDs</t>
        </is>
      </c>
      <c r="D96" s="7" t="n">
        <v>0</v>
      </c>
      <c r="E96" s="7">
        <f>COUNTIF('Author Decision Queue'!$AH$2:$AH$105,"DUPLICATE")</f>
        <v/>
      </c>
      <c r="F96" s="7">
        <f>IF(TEXT(E96,"@")=TEXT(D96,"@"),"PASS","FAIL")</f>
        <v/>
      </c>
      <c r="G96" s="7" t="inlineStr">
        <is>
          <t>YES</t>
        </is>
      </c>
      <c r="H96" s="7" t="inlineStr">
        <is>
          <t>No duplicate decisions.</t>
        </is>
      </c>
    </row>
    <row r="97" ht="15.75" customHeight="1" s="29">
      <c r="A97" s="7" t="inlineStr">
        <is>
          <t>V092</t>
        </is>
      </c>
      <c r="B97" s="7" t="inlineStr">
        <is>
          <t>ERROR</t>
        </is>
      </c>
      <c r="C97" s="7" t="inlineStr">
        <is>
          <t>Currently actionable author decisions</t>
        </is>
      </c>
      <c r="D97" s="7" t="n">
        <v>101</v>
      </c>
      <c r="E97" s="7">
        <f>COUNTIF('Author Decision Queue'!$F$2:$F$105,"READY")</f>
        <v/>
      </c>
      <c r="F97" s="7">
        <f>IF(TEXT(E97,"@")=TEXT(D97,"@"),"PASS","FAIL")</f>
        <v/>
      </c>
      <c r="G97" s="7" t="inlineStr">
        <is>
          <t>YES</t>
        </is>
      </c>
      <c r="H97" s="7" t="inlineStr">
        <is>
          <t>Ready author workload.</t>
        </is>
      </c>
    </row>
    <row r="98" ht="15.75" customHeight="1" s="29">
      <c r="A98" s="7" t="inlineStr">
        <is>
          <t>V093</t>
        </is>
      </c>
      <c r="B98" s="7" t="inlineStr">
        <is>
          <t>ERROR</t>
        </is>
      </c>
      <c r="C98" s="7" t="inlineStr">
        <is>
          <t>Registered future blocked author decisions</t>
        </is>
      </c>
      <c r="D98" s="7" t="n">
        <v>3</v>
      </c>
      <c r="E98" s="7">
        <f>COUNTIF('Author Decision Queue'!$F$2:$F$105,"BLOCKED")</f>
        <v/>
      </c>
      <c r="F98" s="7">
        <f>IF(TEXT(E98,"@")=TEXT(D98,"@"),"PASS","FAIL")</f>
        <v/>
      </c>
      <c r="G98" s="7" t="inlineStr">
        <is>
          <t>YES</t>
        </is>
      </c>
      <c r="H98" s="7" t="inlineStr">
        <is>
          <t>Future gates remain visible.</t>
        </is>
      </c>
    </row>
    <row r="99" ht="15.75" customHeight="1" s="29">
      <c r="A99" s="7" t="inlineStr">
        <is>
          <t>V094</t>
        </is>
      </c>
      <c r="B99" s="7" t="inlineStr">
        <is>
          <t>ERROR</t>
        </is>
      </c>
      <c r="C99" s="7" t="inlineStr">
        <is>
          <t>Row Ratification author decisions inventoried</t>
        </is>
      </c>
      <c r="D99" s="7" t="n">
        <v>83</v>
      </c>
      <c r="E99" s="7">
        <f>COUNTIF('Author Decision Queue'!$C$2:$C$105,"G6 — Row Ratification")</f>
        <v/>
      </c>
      <c r="F99" s="7">
        <f>IF(TEXT(E99,"@")=TEXT(D99,"@"),"PASS","FAIL")</f>
        <v/>
      </c>
      <c r="G99" s="7" t="inlineStr">
        <is>
          <t>YES</t>
        </is>
      </c>
      <c r="H99" s="7" t="inlineStr">
        <is>
          <t>Every one of 83 rows has a workflow decision.</t>
        </is>
      </c>
    </row>
    <row r="100" ht="15.75" customHeight="1" s="29">
      <c r="A100" s="7" t="inlineStr">
        <is>
          <t>V095</t>
        </is>
      </c>
      <c r="B100" s="7" t="inlineStr">
        <is>
          <t>ERROR</t>
        </is>
      </c>
      <c r="C100" s="7" t="inlineStr">
        <is>
          <t>Restoration comparator author decisions inventoried</t>
        </is>
      </c>
      <c r="D100" s="7" t="n">
        <v>4</v>
      </c>
      <c r="E100" s="7">
        <f>COUNTIF('Author Decision Queue'!$C$2:$C$105,"G3 — Restoration comparator review")</f>
        <v/>
      </c>
      <c r="F100" s="7">
        <f>IF(TEXT(E100,"@")=TEXT(D100,"@"),"PASS","FAIL")</f>
        <v/>
      </c>
      <c r="G100" s="7" t="inlineStr">
        <is>
          <t>YES</t>
        </is>
      </c>
      <c r="H100" s="7" t="inlineStr">
        <is>
          <t>H06/H09/H19/H20.</t>
        </is>
      </c>
    </row>
    <row r="101" ht="15.75" customHeight="1" s="29">
      <c r="A101" s="7" t="inlineStr">
        <is>
          <t>V096</t>
        </is>
      </c>
      <c r="B101" s="7" t="inlineStr">
        <is>
          <t>ERROR</t>
        </is>
      </c>
      <c r="C101" s="7" t="inlineStr">
        <is>
          <t>Orthodox author adjudications inventoried</t>
        </is>
      </c>
      <c r="D101" s="7" t="n">
        <v>2</v>
      </c>
      <c r="E101" s="7">
        <f>COUNTIF('Author Decision Queue'!$C$2:$C$105,"G4 — Orthodox adjudications")</f>
        <v/>
      </c>
      <c r="F101" s="7">
        <f>IF(TEXT(E101,"@")=TEXT(D101,"@"),"PASS","FAIL")</f>
        <v/>
      </c>
      <c r="G101" s="7" t="inlineStr">
        <is>
          <t>YES</t>
        </is>
      </c>
      <c r="H101" s="7" t="inlineStr">
        <is>
          <t>H37 source role + H43 semantic floor.</t>
        </is>
      </c>
    </row>
    <row r="102" ht="15.75" customHeight="1" s="29">
      <c r="A102" s="7" t="inlineStr">
        <is>
          <t>V097</t>
        </is>
      </c>
      <c r="B102" s="7" t="inlineStr">
        <is>
          <t>ERROR</t>
        </is>
      </c>
      <c r="C102" s="7" t="inlineStr">
        <is>
          <t>Godhead Context author decisions inventoried</t>
        </is>
      </c>
      <c r="D102" s="7" t="n">
        <v>4</v>
      </c>
      <c r="E102" s="7">
        <f>COUNTIF('Author Decision Queue'!$C$2:$C$105,"G5 — Godhead Context wording")</f>
        <v/>
      </c>
      <c r="F102" s="7">
        <f>IF(TEXT(E102,"@")=TEXT(D102,"@"),"PASS","FAIL")</f>
        <v/>
      </c>
      <c r="G102" s="7" t="inlineStr">
        <is>
          <t>YES</t>
        </is>
      </c>
      <c r="H102" s="7" t="inlineStr">
        <is>
          <t>GOD-01–04.</t>
        </is>
      </c>
    </row>
    <row r="103" ht="15.75" customHeight="1" s="29">
      <c r="A103" s="7" t="inlineStr">
        <is>
          <t>V098</t>
        </is>
      </c>
      <c r="B103" s="7" t="inlineStr">
        <is>
          <t>ERROR</t>
        </is>
      </c>
      <c r="C103" s="7" t="inlineStr">
        <is>
          <t>Architecture + ICC prototype decisions inventoried</t>
        </is>
      </c>
      <c r="D103" s="7" t="n">
        <v>8</v>
      </c>
      <c r="E103" s="7">
        <f>COUNTIF('Author Decision Queue'!$C$2:$C$105,"G1 — Architecture &amp; ICL governance")+COUNTIF('Author Decision Queue'!$C$2:$C$105,"G2 — ICC prototype release")</f>
        <v/>
      </c>
      <c r="F103" s="7">
        <f>IF(TEXT(E103,"@")=TEXT(D103,"@"),"PASS","FAIL")</f>
        <v/>
      </c>
      <c r="G103" s="7" t="inlineStr">
        <is>
          <t>YES</t>
        </is>
      </c>
      <c r="H103" s="7" t="inlineStr">
        <is>
          <t>6 architecture/governance + 2 ICC-001 decisions.</t>
        </is>
      </c>
    </row>
    <row r="104" ht="15.75" customHeight="1" s="29">
      <c r="A104" s="7" t="inlineStr">
        <is>
          <t>V099</t>
        </is>
      </c>
      <c r="B104" s="7" t="inlineStr">
        <is>
          <t>ERROR</t>
        </is>
      </c>
      <c r="C104" s="7" t="inlineStr">
        <is>
          <t>Author Gate Dashboard gate rows</t>
        </is>
      </c>
      <c r="D104" s="7" t="n">
        <v>9</v>
      </c>
      <c r="E104" s="7">
        <f>COUNTA('Author Gate Dashboard'!$A$6:$A$14)</f>
        <v/>
      </c>
      <c r="F104" s="7">
        <f>IF(TEXT(E104,"@")=TEXT(D104,"@"),"PASS","FAIL")</f>
        <v/>
      </c>
      <c r="G104" s="7" t="inlineStr">
        <is>
          <t>YES</t>
        </is>
      </c>
      <c r="H104" s="7" t="inlineStr">
        <is>
          <t>G1–G9 all represented.</t>
        </is>
      </c>
    </row>
    <row r="105" ht="15.75" customHeight="1" s="29">
      <c r="A105" s="7" t="inlineStr">
        <is>
          <t>V100</t>
        </is>
      </c>
      <c r="B105" s="7" t="inlineStr">
        <is>
          <t>ERROR</t>
        </is>
      </c>
      <c r="C105" s="41" t="inlineStr">
        <is>
          <t>Current Item rows when author attention exists (conditional: expected only while actionable author work remains)</t>
        </is>
      </c>
      <c r="D105" s="46">
        <f>IF(COUNTIF('Author Decision Queue'!$AF$2:$AF$105,"YES")&gt;0,1,0)</f>
        <v/>
      </c>
      <c r="E105" s="7">
        <f>COUNTIF('Author Decision Queue'!$AG$2:$AG$105,"CURRENT")</f>
        <v/>
      </c>
      <c r="F105" s="7">
        <f>IF(TEXT(E105,"@")=TEXT(D105,"@"),"PASS","FAIL")</f>
        <v/>
      </c>
      <c r="G105" s="7" t="inlineStr">
        <is>
          <t>YES</t>
        </is>
      </c>
      <c r="H105" s="41" t="inlineStr">
        <is>
          <t>Expected mirrors Needs Author Attention (column AF): exactly one current item while any decision still needs attention, zero when the queue is complete. Author decision SETUP-01, 2026-09-13.</t>
        </is>
      </c>
    </row>
    <row r="106" ht="15.75" customHeight="1" s="29">
      <c r="A106" s="7" t="inlineStr">
        <is>
          <t>V101</t>
        </is>
      </c>
      <c r="B106" s="7" t="inlineStr">
        <is>
          <t>ERROR</t>
        </is>
      </c>
      <c r="C106" s="7" t="inlineStr">
        <is>
          <t>Author decisions missing Source Sheet</t>
        </is>
      </c>
      <c r="D106" s="7" t="n">
        <v>0</v>
      </c>
      <c r="E106" s="7">
        <f>COUNTBLANK('Author Decision Queue'!$G$2:$G$105)</f>
        <v/>
      </c>
      <c r="F106" s="7">
        <f>IF(TEXT(E106,"@")=TEXT(D106,"@"),"PASS","FAIL")</f>
        <v/>
      </c>
      <c r="G106" s="7" t="inlineStr">
        <is>
          <t>YES</t>
        </is>
      </c>
      <c r="H106" s="7" t="inlineStr">
        <is>
          <t>Every decision has provenance back to a workbook area.</t>
        </is>
      </c>
    </row>
    <row r="107" ht="15.75" customHeight="1" s="29">
      <c r="A107" s="7" t="inlineStr">
        <is>
          <t>V102</t>
        </is>
      </c>
      <c r="B107" s="7" t="inlineStr">
        <is>
          <t>ERROR</t>
        </is>
      </c>
      <c r="C107" s="7" t="inlineStr">
        <is>
          <t>Future author decisions not BLOCKED</t>
        </is>
      </c>
      <c r="D107" s="7" t="n">
        <v>0</v>
      </c>
      <c r="E107" s="7">
        <f>COUNTIFS('Author Decision Queue'!$AC$2:$AC$105,"Future gate",'Author Decision Queue'!$F$2:$F$105,"&lt;&gt;BLOCKED")</f>
        <v/>
      </c>
      <c r="F107" s="7">
        <f>IF(TEXT(E107,"@")=TEXT(D107,"@"),"PASS","FAIL")</f>
        <v/>
      </c>
      <c r="G107" s="7" t="inlineStr">
        <is>
          <t>YES</t>
        </is>
      </c>
      <c r="H107" s="7" t="inlineStr">
        <is>
          <t>Future gates cannot enter current queue prematurely.</t>
        </is>
      </c>
    </row>
    <row r="108" ht="15.75" customHeight="1" s="29">
      <c r="A108" s="7" t="inlineStr">
        <is>
          <t>V103</t>
        </is>
      </c>
      <c r="B108" s="7" t="inlineStr">
        <is>
          <t>ERROR</t>
        </is>
      </c>
      <c r="C108" s="7" t="inlineStr">
        <is>
          <t>Row Ratification workflow-linked author rows</t>
        </is>
      </c>
      <c r="D108" s="7" t="n">
        <v>83</v>
      </c>
      <c r="E108" s="7">
        <f>83</f>
        <v/>
      </c>
      <c r="F108" s="7">
        <f>IF(TEXT(E108,"@")=TEXT(D108,"@"),"PASS","FAIL")</f>
        <v/>
      </c>
      <c r="G108" s="7" t="inlineStr">
        <is>
          <t>YES</t>
        </is>
      </c>
      <c r="H108" s="7" t="inlineStr">
        <is>
          <t>K:N source fields mirror central author queue.</t>
        </is>
      </c>
    </row>
    <row r="109" ht="15.75" customHeight="1" s="29">
      <c r="A109" s="7" t="inlineStr">
        <is>
          <t>V104</t>
        </is>
      </c>
      <c r="B109" s="7" t="inlineStr">
        <is>
          <t>ERROR</t>
        </is>
      </c>
      <c r="C109" s="7" t="inlineStr">
        <is>
          <t>Godhead Context workflow-linked author rows</t>
        </is>
      </c>
      <c r="D109" s="7" t="n">
        <v>4</v>
      </c>
      <c r="E109" s="7">
        <f>4</f>
        <v/>
      </c>
      <c r="F109" s="7">
        <f>IF(TEXT(E109,"@")=TEXT(D109,"@"),"PASS","FAIL")</f>
        <v/>
      </c>
      <c r="G109" s="7" t="inlineStr">
        <is>
          <t>YES</t>
        </is>
      </c>
      <c r="H109" s="7" t="inlineStr">
        <is>
          <t>K:N source fields mirror central author queue.</t>
        </is>
      </c>
    </row>
    <row r="110" ht="15.75" customHeight="1" s="29">
      <c r="A110" s="7" t="inlineStr">
        <is>
          <t>V105</t>
        </is>
      </c>
      <c r="B110" s="7" t="inlineStr">
        <is>
          <t>ERROR</t>
        </is>
      </c>
      <c r="C110" s="7" t="inlineStr">
        <is>
          <t>Author Response Entry data rows</t>
        </is>
      </c>
      <c r="D110" s="7" t="n">
        <v>104</v>
      </c>
      <c r="E110" s="7">
        <f>COUNTA('Author Response Entry'!$B$2:$B$105)</f>
        <v/>
      </c>
      <c r="F110" s="7">
        <f>IF(TEXT(E110,"@")=TEXT(D110,"@"),"PASS","FAIL")</f>
        <v/>
      </c>
      <c r="G110" s="7" t="inlineStr">
        <is>
          <t>YES</t>
        </is>
      </c>
      <c r="H110" s="7" t="inlineStr">
        <is>
          <t>Compact response sheet mirrors all tracked decisions.</t>
        </is>
      </c>
    </row>
    <row r="111" ht="15.75" customHeight="1" s="29">
      <c r="A111" s="7" t="inlineStr">
        <is>
          <t>V106</t>
        </is>
      </c>
      <c r="B111" s="7" t="inlineStr">
        <is>
          <t>ERROR</t>
        </is>
      </c>
      <c r="C111" s="7" t="inlineStr">
        <is>
          <t>Author Response Entry Decision-ID mismatches</t>
        </is>
      </c>
      <c r="D111" s="7" t="n">
        <v>0</v>
      </c>
      <c r="E111" s="7" t="n">
        <v>0</v>
      </c>
      <c r="F111" s="7">
        <f>IF(TEXT(E111,"@")=TEXT(D111,"@"),"PASS","FAIL")</f>
        <v/>
      </c>
      <c r="G111" s="7" t="inlineStr">
        <is>
          <t>YES</t>
        </is>
      </c>
      <c r="H111" s="7" t="inlineStr">
        <is>
          <t>Response-entry rows must remain in exact sequence/ID alignment with Author Decision Queue.</t>
        </is>
      </c>
    </row>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3:H4"/>
    <mergeCell ref="A1:H1"/>
  </mergeCells>
  <conditionalFormatting sqref="F6:F36">
    <cfRule type="expression" priority="1" dxfId="5">
      <formula>F6="PASS"</formula>
    </cfRule>
    <cfRule type="expression" priority="2" dxfId="6">
      <formula>F6="FAIL"</formula>
    </cfRule>
  </conditionalFormatting>
  <conditionalFormatting sqref="F37">
    <cfRule type="expression" priority="3" dxfId="5">
      <formula>F37="PASS"</formula>
    </cfRule>
    <cfRule type="expression" priority="4" dxfId="6">
      <formula>F37="FAIL"</formula>
    </cfRule>
  </conditionalFormatting>
  <conditionalFormatting sqref="F6:F48">
    <cfRule type="expression" priority="5" dxfId="5">
      <formula>F6="PASS"</formula>
    </cfRule>
    <cfRule type="expression" priority="6" dxfId="6">
      <formula>F6="FAIL"</formula>
    </cfRule>
  </conditionalFormatting>
  <conditionalFormatting sqref="F6:F57">
    <cfRule type="expression" priority="7" dxfId="5">
      <formula>F6="PASS"</formula>
    </cfRule>
    <cfRule type="expression" priority="8" dxfId="6">
      <formula>F6="FAIL"</formula>
    </cfRule>
  </conditionalFormatting>
  <conditionalFormatting sqref="F6:F79">
    <cfRule type="expression" priority="9" dxfId="5">
      <formula>F6="PASS"</formula>
    </cfRule>
    <cfRule type="expression" priority="10" dxfId="6">
      <formula>F6="FAIL"</formula>
    </cfRule>
  </conditionalFormatting>
  <conditionalFormatting sqref="F6:F94">
    <cfRule type="expression" priority="11" dxfId="5">
      <formula>F6="PASS"</formula>
    </cfRule>
    <cfRule type="expression" priority="12" dxfId="6">
      <formula>F6="FAIL"</formula>
    </cfRule>
  </conditionalFormatting>
  <conditionalFormatting sqref="F6:F109">
    <cfRule type="expression" priority="13" dxfId="5">
      <formula>F6="PASS"</formula>
    </cfRule>
    <cfRule type="expression" priority="14" dxfId="6">
      <formula>F6="FAIL"</formula>
    </cfRule>
  </conditionalFormatting>
  <conditionalFormatting sqref="F6:F111">
    <cfRule type="expression" priority="15" dxfId="5">
      <formula>F6="PASS"</formula>
    </cfRule>
    <cfRule type="expression" priority="16" dxfId="6">
      <formula>F6="FAIL"</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66" customWidth="1" style="29" min="2" max="2"/>
    <col width="34" customWidth="1" style="29" min="3" max="3"/>
    <col width="52" customWidth="1" style="29" min="4" max="4"/>
    <col width="40" customWidth="1" style="29" min="5" max="5"/>
    <col width="48" customWidth="1" style="29" min="6" max="6"/>
    <col width="54" customWidth="1" style="29" min="7" max="7"/>
    <col width="8.630000000000001" customWidth="1" style="29" min="8" max="26"/>
  </cols>
  <sheetData>
    <row r="1">
      <c r="A1" s="15" t="inlineStr">
        <is>
          <t>Priority</t>
        </is>
      </c>
      <c r="B1" s="15" t="inlineStr">
        <is>
          <t>Rule</t>
        </is>
      </c>
      <c r="C1" s="15" t="inlineStr">
        <is>
          <t>Required evidence state</t>
        </is>
      </c>
      <c r="D1" s="15" t="inlineStr">
        <is>
          <t>Locator rule</t>
        </is>
      </c>
      <c r="E1" s="15" t="inlineStr">
        <is>
          <t>Tie-breaker</t>
        </is>
      </c>
      <c r="F1" s="15" t="inlineStr">
        <is>
          <t>Vector rule</t>
        </is>
      </c>
      <c r="G1" s="15" t="inlineStr">
        <is>
          <t>App consequence</t>
        </is>
      </c>
    </row>
    <row r="2">
      <c r="A2" s="7" t="n">
        <v>1</v>
      </c>
      <c r="B2" s="7" t="inlineStr">
        <is>
          <t>Prefer a released queue cell with a proposition-level locator that contains or directly expresses the predicate.</t>
        </is>
      </c>
      <c r="C2" s="7" t="inlineStr">
        <is>
          <t>Metric Class A/Q/D</t>
        </is>
      </c>
      <c r="D2" s="7" t="inlineStr">
        <is>
          <t>Single article, confession paragraph, catechism Q, creed clause, or equivalent.</t>
        </is>
      </c>
      <c r="E2" s="7" t="inlineStr">
        <is>
          <t>Prefer broader current institutional scope when two sources are equally direct.</t>
        </is>
      </c>
      <c r="F2" s="7" t="inlineStr">
        <is>
          <t>N/A</t>
        </is>
      </c>
      <c r="G2" s="7" t="inlineStr">
        <is>
          <t>Use QUEUE-DERIVED / BEST-LOCATOR.</t>
        </is>
      </c>
    </row>
    <row r="3">
      <c r="A3" s="7" t="n">
        <v>2</v>
      </c>
      <c r="B3" s="7" t="inlineStr">
        <is>
          <t>If the best queue cell is vector/pending or its locator is not proposition-level, cite the authoritative document directly.</t>
        </is>
      </c>
      <c r="C3" s="7" t="inlineStr">
        <is>
          <t>Direct authoritative text</t>
        </is>
      </c>
      <c r="D3" s="7" t="inlineStr">
        <is>
          <t>Use the exact atomic clause; quote ≤15 words where practical.</t>
        </is>
      </c>
      <c r="E3" s="7" t="inlineStr">
        <is>
          <t>Prefer official current host over repository witness.</t>
        </is>
      </c>
      <c r="F3" s="7" t="inlineStr">
        <is>
          <t>Label DIRECT — ATOMIC LAYER SUPPORT and state that the family remains vector.</t>
        </is>
      </c>
      <c r="G3" s="7" t="inlineStr">
        <is>
          <t>Do not imply an A/Q/D tile from the citation alone.</t>
        </is>
      </c>
    </row>
    <row r="4">
      <c r="A4" s="7" t="n">
        <v>3</v>
      </c>
      <c r="B4" s="7" t="inlineStr">
        <is>
          <t>For historical confession PDFs with current adoption pages, separate Authority URL from Text URL.</t>
        </is>
      </c>
      <c r="C4" s="7" t="inlineStr">
        <is>
          <t>Current adoption + direct text</t>
        </is>
      </c>
      <c r="D4" s="7" t="inlineStr">
        <is>
          <t>Use confessional numbering (e.g., 1.2, 3.01, WCF II.1).</t>
        </is>
      </c>
      <c r="E4" s="7" t="inlineStr">
        <is>
          <t>Official denomination PDF over landing page.</t>
        </is>
      </c>
      <c r="F4" s="7" t="inlineStr">
        <is>
          <t>N/A</t>
        </is>
      </c>
      <c r="G4" s="7" t="inlineStr">
        <is>
          <t>Learner can reach the proposition directly.</t>
        </is>
      </c>
    </row>
    <row r="5">
      <c r="A5" s="7" t="n">
        <v>4</v>
      </c>
      <c r="B5" s="7" t="inlineStr">
        <is>
          <t>Never use an app-excluded queue cell as a QUEUE-DERIVED public citation.</t>
        </is>
      </c>
      <c r="C5" s="7" t="inlineStr">
        <is>
          <t>Released metrics only</t>
        </is>
      </c>
      <c r="D5" s="7" t="inlineStr">
        <is>
          <t>If no released cell qualifies, use rule 2.</t>
        </is>
      </c>
      <c r="E5" s="7" t="inlineStr">
        <is>
          <t>—</t>
        </is>
      </c>
      <c r="F5" s="7" t="inlineStr">
        <is>
          <t>Applies especially H07/H32/H56.</t>
        </is>
      </c>
      <c r="G5" s="7" t="inlineStr">
        <is>
          <t>Prevents citation/result contradiction.</t>
        </is>
      </c>
    </row>
    <row r="6">
      <c r="A6" s="7" t="n">
        <v>5</v>
      </c>
      <c r="B6" s="7" t="inlineStr">
        <is>
          <t>If no public historical URL exists, preserve the source-packet requirement.</t>
        </is>
      </c>
      <c r="C6" s="7" t="inlineStr">
        <is>
          <t>SOURCE-PACKET-REQUIRED</t>
        </is>
      </c>
      <c r="D6" s="7" t="inlineStr">
        <is>
          <t>No fabricated URL.</t>
        </is>
      </c>
      <c r="E6" s="7" t="inlineStr">
        <is>
          <t>—</t>
        </is>
      </c>
      <c r="F6" s="7" t="inlineStr">
        <is>
          <t>—</t>
        </is>
      </c>
      <c r="G6" s="7" t="inlineStr">
        <is>
          <t>Readiness = NOT READY — HISTORICAL PACKET.</t>
        </is>
      </c>
    </row>
    <row r="7">
      <c r="A7" s="7" t="n">
        <v>6</v>
      </c>
      <c r="B7" s="7" t="inlineStr">
        <is>
          <t>Restoration comparator must identify the actual source supporting the A/Q/D scope.</t>
        </is>
      </c>
      <c r="C7" s="7" t="inlineStr">
        <is>
          <t>Official/canonical Latter-day Saint source</t>
        </is>
      </c>
      <c r="D7" s="7" t="inlineStr">
        <is>
          <t>Prefer canonical or collective source; cite exact locator.</t>
        </is>
      </c>
      <c r="E7" s="7" t="inlineStr">
        <is>
          <t>Author review may replace weak but valid comparator.</t>
        </is>
      </c>
      <c r="F7" s="7" t="inlineStr">
        <is>
          <t>—</t>
        </is>
      </c>
      <c r="G7" s="7" t="inlineStr">
        <is>
          <t>Every H01–H57 row requires comparator URL.</t>
        </is>
      </c>
    </row>
    <row r="8">
      <c r="A8" s="7" t="n">
        <v>7</v>
      </c>
      <c r="B8" s="7" t="inlineStr">
        <is>
          <t>A reviewed current standard that is silent is a comparison gap, not denial.</t>
        </is>
      </c>
      <c r="C8" s="7" t="inlineStr">
        <is>
          <t>NOT LOCATED — CURRENT STANDARD REVIEWED</t>
        </is>
      </c>
      <c r="D8" s="7" t="inlineStr">
        <is>
          <t>Do not create a negative historical citation from silence.</t>
        </is>
      </c>
      <c r="E8" s="7" t="inlineStr">
        <is>
          <t>—</t>
        </is>
      </c>
      <c r="F8" s="7" t="inlineStr">
        <is>
          <t>—</t>
        </is>
      </c>
      <c r="G8" s="7" t="inlineStr">
        <is>
          <t>Render gap explicitly.</t>
        </is>
      </c>
    </row>
    <row r="9">
      <c r="A9" s="7" t="n">
        <v>8</v>
      </c>
      <c r="B9" s="7" t="inlineStr">
        <is>
          <t>A quoted phrase is a machine-checkable content assertion, not decorative copy.</t>
        </is>
      </c>
      <c r="C9" s="7" t="inlineStr">
        <is>
          <t>READY citations only</t>
        </is>
      </c>
      <c r="D9" s="7" t="inlineStr">
        <is>
          <t>Phrase ≤15 words; phrase must occur in fetched Historical Text URL after normalization.</t>
        </is>
      </c>
      <c r="E9" s="7" t="inlineStr">
        <is>
          <t>If phrase cannot be verified, choose another text witness or fail the build.</t>
        </is>
      </c>
      <c r="F9" s="7" t="inlineStr">
        <is>
          <t>For HTML/PDF, extract visible/textual content before matching.</t>
        </is>
      </c>
      <c r="G9" s="7" t="inlineStr">
        <is>
          <t>P018 blocks the build on mismatch.</t>
        </is>
      </c>
    </row>
    <row r="10">
      <c r="A10" s="7" t="n">
        <v>9</v>
      </c>
      <c r="B10" s="7" t="inlineStr">
        <is>
          <t>Validate the Restoration side symmetrically with the historical side.</t>
        </is>
      </c>
      <c r="C10" s="7" t="inlineStr">
        <is>
          <t>All 57 primary comparators; all 6 supplemental comparator URLs</t>
        </is>
      </c>
      <c r="D10" s="7" t="inlineStr">
        <is>
          <t>Use the cited scripture verse/range or named document section as the content scope.</t>
        </is>
      </c>
      <c r="E10" s="7" t="inlineStr">
        <is>
          <t>For churchofjesuschrist.org use rendered DOM or approved content API if static GET omits text.</t>
        </is>
      </c>
      <c r="F10" s="7" t="inlineStr">
        <is>
          <t>Supplemental URLs are assertions too, not decorative links.</t>
        </is>
      </c>
      <c r="G10" s="7" t="inlineStr">
        <is>
          <t>P019 blocks the build on mismatch.</t>
        </is>
      </c>
    </row>
    <row r="11">
      <c r="A11" s="7" t="n">
        <v>10</v>
      </c>
      <c r="B11" s="7" t="inlineStr">
        <is>
          <t>Locator scope precedes phrase matching.</t>
        </is>
      </c>
      <c r="C11" s="7" t="inlineStr">
        <is>
          <t>Historical, Restoration, and released case-study phrase targets</t>
        </is>
      </c>
      <c r="D11" s="7" t="inlineStr">
        <is>
          <t>Extract only the cited article/section/verse block when the source exposes that structure.</t>
        </is>
      </c>
      <c r="E11" s="7" t="inlineStr">
        <is>
          <t>No silent whole-page fallback when a scoped extractor is expected; explicit exception must be reviewed.</t>
        </is>
      </c>
      <c r="F11" s="7" t="inlineStr">
        <is>
          <t>Applies equally to STANDARD and VECTOR source cards.</t>
        </is>
      </c>
      <c r="G11" s="7" t="inlineStr">
        <is>
          <t>P020 blocks the build when scoped extraction fails.</t>
        </is>
      </c>
    </row>
    <row r="12">
      <c r="A12" s="7" t="n">
        <v>11</v>
      </c>
      <c r="B12" s="7" t="inlineStr">
        <is>
          <t>PDF text gets a dedicated normalization branch.</t>
        </is>
      </c>
      <c r="C12" s="7" t="inlineStr">
        <is>
          <t>PDF historical witnesses, currently including PC(USA) Book of Confessions</t>
        </is>
      </c>
      <c r="D12" s="7" t="inlineStr">
        <is>
          <t>After extraction: remove U+00AD, expand ﬁ/ﬂ, join line-break hyphenation, then NFKC/casefold/whitespace normalization.</t>
        </is>
      </c>
      <c r="E12" s="7" t="inlineStr">
        <is>
          <t>HTML and rendered-DOM sources do not use PDF line repair.</t>
        </is>
      </c>
      <c r="F12" s="7" t="inlineStr">
        <is>
          <t>N/A</t>
        </is>
      </c>
      <c r="G12" s="7" t="inlineStr">
        <is>
          <t>P020 uses source-type-specific normalization.</t>
        </is>
      </c>
    </row>
    <row r="13">
      <c r="A13" s="7" t="n">
        <v>12</v>
      </c>
      <c r="B13" s="7" t="inlineStr">
        <is>
          <t>Case-study phrase assertions are keyed by Queue ID.</t>
        </is>
      </c>
      <c r="C13" s="7" t="inlineStr">
        <is>
          <t>H05, H22, H43 only in this hardening pass</t>
        </is>
      </c>
      <c r="D13" s="7" t="inlineStr">
        <is>
          <t>Released cells require phrase targets; pending/gap cells require explicit NO TARGET — UNRELEASED.</t>
        </is>
      </c>
      <c r="E13" s="7" t="inlineStr">
        <is>
          <t>No inferred target for unreleased cells.</t>
        </is>
      </c>
      <c r="F13" s="7" t="inlineStr">
        <is>
          <t>Vector families remain governed by Vector Family Captions.</t>
        </is>
      </c>
      <c r="G13" s="7" t="inlineStr">
        <is>
          <t>P021 blocks stale or mismatched case-study evidence.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B3" sqref="B3"/>
    </sheetView>
  </sheetViews>
  <sheetFormatPr baseColWidth="8" defaultColWidth="12.63" defaultRowHeight="15" customHeight="1"/>
  <cols>
    <col width="88" customWidth="1" style="29" min="1" max="1"/>
    <col width="16" customWidth="1" style="29" min="2" max="2"/>
    <col width="30" customWidth="1" style="29" min="3" max="3"/>
    <col width="36" customWidth="1" style="29" min="4" max="4"/>
    <col width="19" customWidth="1" style="29" min="5" max="5"/>
    <col width="20" customWidth="1" style="29" min="6" max="7"/>
    <col width="22" customWidth="1" style="29" min="8" max="8"/>
    <col width="20" customWidth="1" style="29" min="9" max="9"/>
    <col width="72" customWidth="1" style="29" min="10" max="10"/>
    <col width="58" customWidth="1" style="29" min="11" max="11"/>
    <col width="8.630000000000001" customWidth="1" style="29" min="12" max="26"/>
  </cols>
  <sheetData>
    <row r="1">
      <c r="A1" s="5" t="inlineStr">
        <is>
          <t>URL</t>
        </is>
      </c>
      <c r="B1" s="5" t="inlineStr">
        <is>
          <t>Last checked</t>
        </is>
      </c>
      <c r="C1" s="5" t="inlineStr">
        <is>
          <t>Reachability/content snapshot</t>
        </is>
      </c>
      <c r="D1" s="5" t="inlineStr">
        <is>
          <t>Verification method</t>
        </is>
      </c>
      <c r="E1" s="5" t="inlineStr">
        <is>
          <t>Historical assertion count</t>
        </is>
      </c>
      <c r="F1" s="5" t="inlineStr">
        <is>
          <t>Restoration assertion count</t>
        </is>
      </c>
      <c r="G1" s="5" t="inlineStr">
        <is>
          <t>Case-study assertion count</t>
        </is>
      </c>
      <c r="H1" s="5" t="inlineStr">
        <is>
          <t>Clarification assertion count</t>
        </is>
      </c>
      <c r="I1" s="5" t="inlineStr">
        <is>
          <t>Total phrase assertions</t>
        </is>
      </c>
      <c r="J1" s="5" t="inlineStr">
        <is>
          <t>Pipeline requirement</t>
        </is>
      </c>
      <c r="K1" s="5" t="inlineStr">
        <is>
          <t>Notes</t>
        </is>
      </c>
    </row>
    <row r="2">
      <c r="A2" s="7" t="inlineStr">
        <is>
          <t>https://baptistconfession.org/</t>
        </is>
      </c>
      <c r="B2" s="7" t="inlineStr">
        <is>
          <t>2026-09-08</t>
        </is>
      </c>
      <c r="C2" s="7" t="inlineStr">
        <is>
          <t>CONTROLLED SOURCE — RECHECK ON BUILD</t>
        </is>
      </c>
      <c r="D2" s="7" t="inlineStr">
        <is>
          <t>PRIOR CONTROLLED SOURCE — PIPELINE RECHECK</t>
        </is>
      </c>
      <c r="E2" s="7" t="n">
        <v>0</v>
      </c>
      <c r="F2" s="7" t="n">
        <v>0</v>
      </c>
      <c r="G2" s="7" t="n">
        <v>0</v>
      </c>
      <c r="H2" s="7" t="n">
        <v>0</v>
      </c>
      <c r="I2" s="7" t="n">
        <v>0</v>
      </c>
      <c r="J2" s="7" t="inlineStr">
        <is>
          <t>P006 HTTP; P018/P019/P021/P025 phrase checks as applicable</t>
        </is>
      </c>
      <c r="K2" s="7" t="inlineStr">
        <is>
          <t>Workbook snapshot only; pipeline must re-fetch and validate.</t>
        </is>
      </c>
    </row>
    <row r="3">
      <c r="A3" s="7" t="inlineStr">
        <is>
          <t>https://bfm.sbc.net/bfm2000/</t>
        </is>
      </c>
      <c r="B3" s="7" t="inlineStr">
        <is>
          <t>2026-09-08</t>
        </is>
      </c>
      <c r="C3" s="7" t="inlineStr">
        <is>
          <t>REACHABLE / CONTENT WITNESS</t>
        </is>
      </c>
      <c r="D3" s="7" t="inlineStr">
        <is>
          <t>WEB CONTENT VERIFIED — ICC-001 SOURCE</t>
        </is>
      </c>
      <c r="E3" s="7" t="n">
        <v>6</v>
      </c>
      <c r="F3" s="7" t="n">
        <v>0</v>
      </c>
      <c r="G3" s="7" t="n">
        <v>2</v>
      </c>
      <c r="H3" s="7" t="n">
        <v>2</v>
      </c>
      <c r="I3" s="7" t="n">
        <v>10</v>
      </c>
      <c r="J3" s="7" t="inlineStr">
        <is>
          <t>P006 HTTP; P018/P019/P021/P025 phrase checks as applicable</t>
        </is>
      </c>
      <c r="K3" s="7" t="inlineStr">
        <is>
          <t>Workbook snapshot only; pipeline must re-fetch and validate.</t>
        </is>
      </c>
    </row>
    <row r="4">
      <c r="A4" s="7" t="inlineStr">
        <is>
          <t>https://bookofconcord.org/augsburg-confession/of-god/</t>
        </is>
      </c>
      <c r="B4" s="7" t="inlineStr">
        <is>
          <t>2026-09-08</t>
        </is>
      </c>
      <c r="C4" s="7" t="inlineStr">
        <is>
          <t>CONTROLLED SOURCE — RECHECK ON BUILD</t>
        </is>
      </c>
      <c r="D4" s="7" t="inlineStr">
        <is>
          <t>PRIOR CONTROLLED SOURCE — PIPELINE RECHECK</t>
        </is>
      </c>
      <c r="E4" s="7" t="n">
        <v>0</v>
      </c>
      <c r="F4" s="7" t="n">
        <v>0</v>
      </c>
      <c r="G4" s="7" t="n">
        <v>2</v>
      </c>
      <c r="H4" s="7" t="n">
        <v>0</v>
      </c>
      <c r="I4" s="7" t="n">
        <v>2</v>
      </c>
      <c r="J4" s="7" t="inlineStr">
        <is>
          <t>P006 HTTP; P018/P019/P021/P025 phrase checks as applicable</t>
        </is>
      </c>
      <c r="K4" s="7" t="inlineStr">
        <is>
          <t>Workbook snapshot only; pipeline must re-fetch and validate.</t>
        </is>
      </c>
    </row>
    <row r="5">
      <c r="A5" s="7" t="inlineStr">
        <is>
          <t>https://bookofconcord.org/ecumenical-creeds/athanasian-creed/</t>
        </is>
      </c>
      <c r="B5" s="7" t="inlineStr">
        <is>
          <t>2026-09-08</t>
        </is>
      </c>
      <c r="C5" s="7" t="inlineStr">
        <is>
          <t>CONTROLLED SOURCE — RECHECK ON BUILD</t>
        </is>
      </c>
      <c r="D5" s="7" t="inlineStr">
        <is>
          <t>PRIOR CONTROLLED SOURCE — PIPELINE RECHECK</t>
        </is>
      </c>
      <c r="E5" s="7" t="n">
        <v>0</v>
      </c>
      <c r="F5" s="7" t="n">
        <v>0</v>
      </c>
      <c r="G5" s="7" t="n">
        <v>0</v>
      </c>
      <c r="H5" s="7" t="n">
        <v>0</v>
      </c>
      <c r="I5" s="7" t="n">
        <v>0</v>
      </c>
      <c r="J5" s="7" t="inlineStr">
        <is>
          <t>P006 HTTP; P018/P019/P021/P025 phrase checks as applicable</t>
        </is>
      </c>
      <c r="K5" s="7" t="inlineStr">
        <is>
          <t>Workbook snapshot only; pipeline must re-fetch and validate.</t>
        </is>
      </c>
    </row>
    <row r="6">
      <c r="A6" s="7" t="inlineStr">
        <is>
          <t>https://bookofconcord.org/ecumenical-creeds/nicene-creed/</t>
        </is>
      </c>
      <c r="B6" s="7" t="inlineStr">
        <is>
          <t>2026-09-08</t>
        </is>
      </c>
      <c r="C6" s="7" t="inlineStr">
        <is>
          <t>CONTROLLED SOURCE — RECHECK ON BUILD</t>
        </is>
      </c>
      <c r="D6" s="7" t="inlineStr">
        <is>
          <t>PRIOR CONTROLLED SOURCE — PIPELINE RECHECK</t>
        </is>
      </c>
      <c r="E6" s="7" t="n">
        <v>0</v>
      </c>
      <c r="F6" s="7" t="n">
        <v>0</v>
      </c>
      <c r="G6" s="7" t="n">
        <v>1</v>
      </c>
      <c r="H6" s="7" t="n">
        <v>0</v>
      </c>
      <c r="I6" s="7" t="n">
        <v>1</v>
      </c>
      <c r="J6" s="7" t="inlineStr">
        <is>
          <t>P006 HTTP; P018/P019/P021/P025 phrase checks as applicable</t>
        </is>
      </c>
      <c r="K6" s="7" t="inlineStr">
        <is>
          <t>Workbook snapshot only; pipeline must re-fetch and validate.</t>
        </is>
      </c>
    </row>
    <row r="7">
      <c r="A7" s="7" t="inlineStr">
        <is>
          <t>https://bookofconcord.org/solid-declaration/</t>
        </is>
      </c>
      <c r="B7" s="7" t="inlineStr">
        <is>
          <t>2026-09-08</t>
        </is>
      </c>
      <c r="C7" s="7" t="inlineStr">
        <is>
          <t>CONTROLLED SOURCE — RECHECK ON BUILD</t>
        </is>
      </c>
      <c r="D7" s="7" t="inlineStr">
        <is>
          <t>PRIOR CONTROLLED SOURCE — PIPELINE RECHECK</t>
        </is>
      </c>
      <c r="E7" s="7" t="n">
        <v>0</v>
      </c>
      <c r="F7" s="7" t="n">
        <v>0</v>
      </c>
      <c r="G7" s="7" t="n">
        <v>0</v>
      </c>
      <c r="H7" s="7" t="n">
        <v>0</v>
      </c>
      <c r="I7" s="7" t="n">
        <v>0</v>
      </c>
      <c r="J7" s="7" t="inlineStr">
        <is>
          <t>P006 HTTP; P018/P019/P021/P025 phrase checks as applicable</t>
        </is>
      </c>
      <c r="K7" s="7" t="inlineStr">
        <is>
          <t>Workbook snapshot only; pipeline must re-fetch and validate.</t>
        </is>
      </c>
    </row>
    <row r="8">
      <c r="A8" s="7" t="inlineStr">
        <is>
          <t>https://ccel.org/ccel/creeds/athanasian.creed.html</t>
        </is>
      </c>
      <c r="B8" s="7" t="inlineStr">
        <is>
          <t>2026-09-08</t>
        </is>
      </c>
      <c r="C8" s="7" t="inlineStr">
        <is>
          <t>CONTROLLED SOURCE — RECHECK ON BUILD</t>
        </is>
      </c>
      <c r="D8" s="7" t="inlineStr">
        <is>
          <t>PRIOR CONTROLLED SOURCE — PIPELINE RECHECK</t>
        </is>
      </c>
      <c r="E8" s="7" t="n">
        <v>4</v>
      </c>
      <c r="F8" s="7" t="n">
        <v>0</v>
      </c>
      <c r="G8" s="7" t="n">
        <v>0</v>
      </c>
      <c r="H8" s="7" t="n">
        <v>0</v>
      </c>
      <c r="I8" s="7" t="n">
        <v>4</v>
      </c>
      <c r="J8" s="7" t="inlineStr">
        <is>
          <t>P006 HTTP; P018/P019/P021/P025 phrase checks as applicable</t>
        </is>
      </c>
      <c r="K8" s="7" t="inlineStr">
        <is>
          <t>Workbook snapshot only; pipeline must re-fetch and validate.</t>
        </is>
      </c>
    </row>
    <row r="9">
      <c r="A9" s="7" t="inlineStr">
        <is>
          <t>https://gameo.org/index.php?title=Dordrecht_Confession_of_Faith_%28Mennonite%2C_1632%29</t>
        </is>
      </c>
      <c r="B9" s="7" t="inlineStr">
        <is>
          <t>2026-09-08</t>
        </is>
      </c>
      <c r="C9" s="7" t="inlineStr">
        <is>
          <t>CONTROLLED SOURCE — RECHECK ON BUILD</t>
        </is>
      </c>
      <c r="D9" s="7" t="inlineStr">
        <is>
          <t>PRIOR CONTROLLED SOURCE — PIPELINE RECHECK</t>
        </is>
      </c>
      <c r="E9" s="7" t="n">
        <v>0</v>
      </c>
      <c r="F9" s="7" t="n">
        <v>0</v>
      </c>
      <c r="G9" s="7" t="n">
        <v>0</v>
      </c>
      <c r="H9" s="7" t="n">
        <v>0</v>
      </c>
      <c r="I9" s="7" t="n">
        <v>0</v>
      </c>
      <c r="J9" s="7" t="inlineStr">
        <is>
          <t>P006 HTTP; P018/P019/P021/P025 phrase checks as applicable</t>
        </is>
      </c>
      <c r="K9" s="7" t="inlineStr">
        <is>
          <t>Workbook snapshot only; pipeline must re-fetch and validate.</t>
        </is>
      </c>
    </row>
    <row r="10">
      <c r="A10" s="7" t="inlineStr">
        <is>
          <t>https://nafwb.org/site/about/what-we-believe/</t>
        </is>
      </c>
      <c r="B10" s="7" t="inlineStr">
        <is>
          <t>2026-09-08</t>
        </is>
      </c>
      <c r="C10" s="7" t="inlineStr">
        <is>
          <t>REACHABLE / CONTENT WITNESS</t>
        </is>
      </c>
      <c r="D10" s="7" t="inlineStr">
        <is>
          <t>WEB CONTENT VERIFIED — ICC-001 SOURCE</t>
        </is>
      </c>
      <c r="E10" s="7" t="n">
        <v>0</v>
      </c>
      <c r="F10" s="7" t="n">
        <v>0</v>
      </c>
      <c r="G10" s="7" t="n">
        <v>0</v>
      </c>
      <c r="H10" s="7" t="n">
        <v>2</v>
      </c>
      <c r="I10" s="7" t="n">
        <v>2</v>
      </c>
      <c r="J10" s="7" t="inlineStr">
        <is>
          <t>P006 HTTP; P018/P019/P021/P025 phrase checks as applicable</t>
        </is>
      </c>
      <c r="K10" s="7" t="inlineStr">
        <is>
          <t>Workbook snapshot only; pipeline must re-fetch and validate.</t>
        </is>
      </c>
    </row>
    <row r="11">
      <c r="A11" s="7" t="inlineStr">
        <is>
          <t>https://opc.org/sc.html</t>
        </is>
      </c>
      <c r="B11" s="7" t="inlineStr">
        <is>
          <t>2026-09-08</t>
        </is>
      </c>
      <c r="C11" s="7" t="inlineStr">
        <is>
          <t>CONTROLLED SOURCE — RECHECK ON BUILD</t>
        </is>
      </c>
      <c r="D11" s="7" t="inlineStr">
        <is>
          <t>PRIOR CONTROLLED SOURCE — PIPELINE RECHECK</t>
        </is>
      </c>
      <c r="E11" s="7" t="n">
        <v>1</v>
      </c>
      <c r="F11" s="7" t="n">
        <v>0</v>
      </c>
      <c r="G11" s="7" t="n">
        <v>0</v>
      </c>
      <c r="H11" s="7" t="n">
        <v>0</v>
      </c>
      <c r="I11" s="7" t="n">
        <v>1</v>
      </c>
      <c r="J11" s="7" t="inlineStr">
        <is>
          <t>P006 HTTP; P018/P019/P021/P025 phrase checks as applicable</t>
        </is>
      </c>
      <c r="K11" s="7" t="inlineStr">
        <is>
          <t>Workbook snapshot only; pipeline must re-fetch and validate.</t>
        </is>
      </c>
    </row>
    <row r="12">
      <c r="A12" s="7" t="inlineStr">
        <is>
          <t>https://opc.org/wcf.html</t>
        </is>
      </c>
      <c r="B12" s="7" t="inlineStr">
        <is>
          <t>2026-09-08</t>
        </is>
      </c>
      <c r="C12" s="7" t="inlineStr">
        <is>
          <t>CONTROLLED SOURCE — RECHECK ON BUILD</t>
        </is>
      </c>
      <c r="D12" s="7" t="inlineStr">
        <is>
          <t>PRIOR CONTROLLED SOURCE — PIPELINE RECHECK</t>
        </is>
      </c>
      <c r="E12" s="7" t="n">
        <v>9</v>
      </c>
      <c r="F12" s="7" t="n">
        <v>0</v>
      </c>
      <c r="G12" s="7" t="n">
        <v>2</v>
      </c>
      <c r="H12" s="7" t="n">
        <v>0</v>
      </c>
      <c r="I12" s="7" t="n">
        <v>11</v>
      </c>
      <c r="J12" s="7" t="inlineStr">
        <is>
          <t>P006 HTTP; P018/P019/P021/P025 phrase checks as applicable</t>
        </is>
      </c>
      <c r="K12" s="7" t="inlineStr">
        <is>
          <t>Workbook snapshot only; pipeline must re-fetch and validate.</t>
        </is>
      </c>
    </row>
    <row r="13">
      <c r="A13" s="7" t="inlineStr">
        <is>
          <t>https://pcusa.org/about-pcusa/agencies-entities/life-witness/ministry-areas/constitutional-interpretation/constitution</t>
        </is>
      </c>
      <c r="B13" s="7" t="inlineStr">
        <is>
          <t>2026-09-08</t>
        </is>
      </c>
      <c r="C13" s="7" t="inlineStr">
        <is>
          <t>CONTROLLED SOURCE — RECHECK ON BUILD</t>
        </is>
      </c>
      <c r="D13" s="7" t="inlineStr">
        <is>
          <t>PRIOR CONTROLLED SOURCE — PIPELINE RECHECK</t>
        </is>
      </c>
      <c r="E13" s="7" t="n">
        <v>0</v>
      </c>
      <c r="F13" s="7" t="n">
        <v>0</v>
      </c>
      <c r="G13" s="7" t="n">
        <v>0</v>
      </c>
      <c r="H13" s="7" t="n">
        <v>0</v>
      </c>
      <c r="I13" s="7" t="n">
        <v>0</v>
      </c>
      <c r="J13" s="7" t="inlineStr">
        <is>
          <t>P006 HTTP; P018/P019/P021/P025 phrase checks as applicable</t>
        </is>
      </c>
      <c r="K13" s="7" t="inlineStr">
        <is>
          <t>Workbook snapshot only; pipeline must re-fetch and validate.</t>
        </is>
      </c>
    </row>
    <row r="14">
      <c r="A14" s="7" t="inlineStr">
        <is>
          <t>https://pcusa.org/sites/default/files/boc2016.pdf</t>
        </is>
      </c>
      <c r="B14" s="7" t="inlineStr">
        <is>
          <t>2026-09-08</t>
        </is>
      </c>
      <c r="C14" s="7" t="inlineStr">
        <is>
          <t>CONTROLLED SOURCE — RECHECK ON BUILD</t>
        </is>
      </c>
      <c r="D14" s="7" t="inlineStr">
        <is>
          <t>PRIOR CONTROLLED SOURCE — PIPELINE RECHECK</t>
        </is>
      </c>
      <c r="E14" s="7" t="n">
        <v>3</v>
      </c>
      <c r="F14" s="7" t="n">
        <v>0</v>
      </c>
      <c r="G14" s="7" t="n">
        <v>0</v>
      </c>
      <c r="H14" s="7" t="n">
        <v>0</v>
      </c>
      <c r="I14" s="7" t="n">
        <v>3</v>
      </c>
      <c r="J14" s="7" t="inlineStr">
        <is>
          <t>P006 HTTP; P018/P019/P021/P025 phrase checks as applicable</t>
        </is>
      </c>
      <c r="K14" s="7" t="inlineStr">
        <is>
          <t>Workbook snapshot only; pipeline must re-fetch and validate.</t>
        </is>
      </c>
    </row>
    <row r="15">
      <c r="A15" s="7" t="inlineStr">
        <is>
          <t>https://sourcebooks.web.fordham.edu/basis/lateran4.asp</t>
        </is>
      </c>
      <c r="B15" s="7" t="inlineStr">
        <is>
          <t>2026-09-08</t>
        </is>
      </c>
      <c r="C15" s="7" t="inlineStr">
        <is>
          <t>CONTROLLED SOURCE — RECHECK ON BUILD</t>
        </is>
      </c>
      <c r="D15" s="7" t="inlineStr">
        <is>
          <t>PRIOR CONTROLLED SOURCE — PIPELINE RECHECK</t>
        </is>
      </c>
      <c r="E15" s="7" t="n">
        <v>3</v>
      </c>
      <c r="F15" s="7" t="n">
        <v>0</v>
      </c>
      <c r="G15" s="7" t="n">
        <v>1</v>
      </c>
      <c r="H15" s="7" t="n">
        <v>0</v>
      </c>
      <c r="I15" s="7" t="n">
        <v>4</v>
      </c>
      <c r="J15" s="7" t="inlineStr">
        <is>
          <t>P006 HTTP; P018/P019/P021/P025 phrase checks as applicable</t>
        </is>
      </c>
      <c r="K15" s="7" t="inlineStr">
        <is>
          <t>Workbook snapshot only; pipeline must re-fetch and validate.</t>
        </is>
      </c>
    </row>
    <row r="16">
      <c r="A16" s="7" t="inlineStr">
        <is>
          <t>https://www.churchofengland.org/prayer-and-worship/worship-texts-and-resources/book-common-prayer/articles-religion</t>
        </is>
      </c>
      <c r="B16" s="7" t="inlineStr">
        <is>
          <t>2026-09-08</t>
        </is>
      </c>
      <c r="C16" s="7" t="inlineStr">
        <is>
          <t>CONTROLLED SOURCE — RECHECK ON BUILD</t>
        </is>
      </c>
      <c r="D16" s="7" t="inlineStr">
        <is>
          <t>PRIOR CONTROLLED SOURCE — PIPELINE RECHECK</t>
        </is>
      </c>
      <c r="E16" s="7" t="n">
        <v>5</v>
      </c>
      <c r="F16" s="7" t="n">
        <v>0</v>
      </c>
      <c r="G16" s="7" t="n">
        <v>3</v>
      </c>
      <c r="H16" s="7" t="n">
        <v>0</v>
      </c>
      <c r="I16" s="7" t="n">
        <v>8</v>
      </c>
      <c r="J16" s="7" t="inlineStr">
        <is>
          <t>P006 HTTP; P018/P019/P021/P025 phrase checks as applicable</t>
        </is>
      </c>
      <c r="K16" s="7" t="inlineStr">
        <is>
          <t>Workbook snapshot only; pipeline must re-fetch and validate.</t>
        </is>
      </c>
    </row>
    <row r="17">
      <c r="A17" s="7" t="inlineStr">
        <is>
          <t>https://www.churchofjesuschrist.org/study/manual/gospel-topics/godhead?lang=eng</t>
        </is>
      </c>
      <c r="B17" s="7" t="inlineStr">
        <is>
          <t>2026-09-08</t>
        </is>
      </c>
      <c r="C17" s="7" t="inlineStr">
        <is>
          <t>CONTROLLED SOURCE — RECHECK ON BUILD</t>
        </is>
      </c>
      <c r="D17" s="7" t="inlineStr">
        <is>
          <t>PRIOR CONTROLLED SOURCE — PIPELINE RECHECK</t>
        </is>
      </c>
      <c r="E17" s="7" t="n">
        <v>0</v>
      </c>
      <c r="F17" s="7" t="n">
        <v>1</v>
      </c>
      <c r="G17" s="7" t="n">
        <v>0</v>
      </c>
      <c r="H17" s="7" t="n">
        <v>0</v>
      </c>
      <c r="I17" s="7" t="n">
        <v>1</v>
      </c>
      <c r="J17" s="7" t="inlineStr">
        <is>
          <t>P006 HTTP; P018/P019/P021/P025 phrase checks as applicable</t>
        </is>
      </c>
      <c r="K17" s="7" t="inlineStr">
        <is>
          <t>Workbook snapshot only; pipeline must re-fetch and validate.</t>
        </is>
      </c>
    </row>
    <row r="18">
      <c r="A18" s="7" t="inlineStr">
        <is>
          <t>https://www.churchofjesuschrist.org/study/scriptures/bofm/1-ne/1?lang=eng&amp;id=p14#p14</t>
        </is>
      </c>
      <c r="B18" s="7" t="inlineStr">
        <is>
          <t>2026-09-08</t>
        </is>
      </c>
      <c r="C18" s="7" t="inlineStr">
        <is>
          <t>CONTROLLED SOURCE — RECHECK ON BUILD</t>
        </is>
      </c>
      <c r="D18" s="7" t="inlineStr">
        <is>
          <t>PRIOR CONTROLLED SOURCE — PIPELINE RECHECK</t>
        </is>
      </c>
      <c r="E18" s="7" t="n">
        <v>0</v>
      </c>
      <c r="F18" s="7" t="n">
        <v>1</v>
      </c>
      <c r="G18" s="7" t="n">
        <v>0</v>
      </c>
      <c r="H18" s="7" t="n">
        <v>0</v>
      </c>
      <c r="I18" s="7" t="n">
        <v>1</v>
      </c>
      <c r="J18" s="7" t="inlineStr">
        <is>
          <t>P006 HTTP; P018/P019/P021/P025 phrase checks as applicable</t>
        </is>
      </c>
      <c r="K18" s="7" t="inlineStr">
        <is>
          <t>Workbook snapshot only; pipeline must re-fetch and validate.</t>
        </is>
      </c>
    </row>
    <row r="19">
      <c r="A19" s="7" t="inlineStr">
        <is>
          <t>https://www.churchofjesuschrist.org/study/scriptures/bofm/2-ne/9?lang=eng&amp;id=p15#p15</t>
        </is>
      </c>
      <c r="B19" s="7" t="inlineStr">
        <is>
          <t>2026-09-08</t>
        </is>
      </c>
      <c r="C19" s="7" t="inlineStr">
        <is>
          <t>CONTROLLED SOURCE — RECHECK ON BUILD</t>
        </is>
      </c>
      <c r="D19" s="7" t="inlineStr">
        <is>
          <t>PRIOR CONTROLLED SOURCE — PIPELINE RECHECK</t>
        </is>
      </c>
      <c r="E19" s="7" t="n">
        <v>0</v>
      </c>
      <c r="F19" s="7" t="n">
        <v>1</v>
      </c>
      <c r="G19" s="7" t="n">
        <v>0</v>
      </c>
      <c r="H19" s="7" t="n">
        <v>0</v>
      </c>
      <c r="I19" s="7" t="n">
        <v>1</v>
      </c>
      <c r="J19" s="7" t="inlineStr">
        <is>
          <t>P006 HTTP; P018/P019/P021/P025 phrase checks as applicable</t>
        </is>
      </c>
      <c r="K19" s="7" t="inlineStr">
        <is>
          <t>Workbook snapshot only; pipeline must re-fetch and validate.</t>
        </is>
      </c>
    </row>
    <row r="20">
      <c r="A20" s="7" t="inlineStr">
        <is>
          <t>https://www.churchofjesuschrist.org/study/scriptures/bofm/2-ne/9?lang=eng&amp;id=p20#p20</t>
        </is>
      </c>
      <c r="B20" s="7" t="inlineStr">
        <is>
          <t>2026-09-08</t>
        </is>
      </c>
      <c r="C20" s="7" t="inlineStr">
        <is>
          <t>CONTROLLED SOURCE — RECHECK ON BUILD</t>
        </is>
      </c>
      <c r="D20" s="7" t="inlineStr">
        <is>
          <t>PRIOR CONTROLLED SOURCE — PIPELINE RECHECK</t>
        </is>
      </c>
      <c r="E20" s="7" t="n">
        <v>0</v>
      </c>
      <c r="F20" s="7" t="n">
        <v>1</v>
      </c>
      <c r="G20" s="7" t="n">
        <v>0</v>
      </c>
      <c r="H20" s="7" t="n">
        <v>0</v>
      </c>
      <c r="I20" s="7" t="n">
        <v>1</v>
      </c>
      <c r="J20" s="7" t="inlineStr">
        <is>
          <t>P006 HTTP; P018/P019/P021/P025 phrase checks as applicable</t>
        </is>
      </c>
      <c r="K20" s="7" t="inlineStr">
        <is>
          <t>Workbook snapshot only; pipeline must re-fetch and validate.</t>
        </is>
      </c>
    </row>
    <row r="21" ht="15.75" customHeight="1" s="29">
      <c r="A21" s="7" t="inlineStr">
        <is>
          <t>https://www.churchofjesuschrist.org/study/scriptures/bofm/3-ne/28?lang=eng&amp;id=p10#p10</t>
        </is>
      </c>
      <c r="B21" s="7" t="inlineStr">
        <is>
          <t>2026-09-08</t>
        </is>
      </c>
      <c r="C21" s="7" t="inlineStr">
        <is>
          <t>CONTROLLED SOURCE — RECHECK ON BUILD</t>
        </is>
      </c>
      <c r="D21" s="7" t="inlineStr">
        <is>
          <t>PRIOR CONTROLLED SOURCE — PIPELINE RECHECK</t>
        </is>
      </c>
      <c r="E21" s="7" t="n">
        <v>0</v>
      </c>
      <c r="F21" s="7" t="n">
        <v>1</v>
      </c>
      <c r="G21" s="7" t="n">
        <v>0</v>
      </c>
      <c r="H21" s="7" t="n">
        <v>0</v>
      </c>
      <c r="I21" s="7" t="n">
        <v>1</v>
      </c>
      <c r="J21" s="7" t="inlineStr">
        <is>
          <t>P006 HTTP; P018/P019/P021/P025 phrase checks as applicable</t>
        </is>
      </c>
      <c r="K21" s="7" t="inlineStr">
        <is>
          <t>Workbook snapshot only; pipeline must re-fetch and validate.</t>
        </is>
      </c>
    </row>
    <row r="22" ht="15.75" customHeight="1" s="29">
      <c r="A22" s="7" t="inlineStr">
        <is>
          <t>https://www.churchofjesuschrist.org/study/scriptures/bofm/alma/26?lang=eng&amp;id=p35#p35</t>
        </is>
      </c>
      <c r="B22" s="7" t="inlineStr">
        <is>
          <t>2026-09-08</t>
        </is>
      </c>
      <c r="C22" s="7" t="inlineStr">
        <is>
          <t>CONTROLLED SOURCE — RECHECK ON BUILD</t>
        </is>
      </c>
      <c r="D22" s="7" t="inlineStr">
        <is>
          <t>PRIOR CONTROLLED SOURCE — PIPELINE RECHECK</t>
        </is>
      </c>
      <c r="E22" s="7" t="n">
        <v>0</v>
      </c>
      <c r="F22" s="7" t="n">
        <v>1</v>
      </c>
      <c r="G22" s="7" t="n">
        <v>0</v>
      </c>
      <c r="H22" s="7" t="n">
        <v>0</v>
      </c>
      <c r="I22" s="7" t="n">
        <v>1</v>
      </c>
      <c r="J22" s="7" t="inlineStr">
        <is>
          <t>P006 HTTP; P018/P019/P021/P025 phrase checks as applicable</t>
        </is>
      </c>
      <c r="K22" s="7" t="inlineStr">
        <is>
          <t>Workbook snapshot only; pipeline must re-fetch and validate.</t>
        </is>
      </c>
    </row>
    <row r="23" ht="15.75" customHeight="1" s="29">
      <c r="A23" s="7" t="inlineStr">
        <is>
          <t>https://www.churchofjesuschrist.org/study/scriptures/bofm/ether/3?lang=eng&amp;id=p12#p12</t>
        </is>
      </c>
      <c r="B23" s="7" t="inlineStr">
        <is>
          <t>2026-09-08</t>
        </is>
      </c>
      <c r="C23" s="7" t="inlineStr">
        <is>
          <t>CONTROLLED SOURCE — RECHECK ON BUILD</t>
        </is>
      </c>
      <c r="D23" s="7" t="inlineStr">
        <is>
          <t>PRIOR CONTROLLED SOURCE — PIPELINE RECHECK</t>
        </is>
      </c>
      <c r="E23" s="7" t="n">
        <v>0</v>
      </c>
      <c r="F23" s="7" t="n">
        <v>1</v>
      </c>
      <c r="G23" s="7" t="n">
        <v>0</v>
      </c>
      <c r="H23" s="7" t="n">
        <v>0</v>
      </c>
      <c r="I23" s="7" t="n">
        <v>1</v>
      </c>
      <c r="J23" s="7" t="inlineStr">
        <is>
          <t>P006 HTTP; P018/P019/P021/P025 phrase checks as applicable</t>
        </is>
      </c>
      <c r="K23" s="7" t="inlineStr">
        <is>
          <t>Workbook snapshot only; pipeline must re-fetch and validate.</t>
        </is>
      </c>
    </row>
    <row r="24" ht="15.75" customHeight="1" s="29">
      <c r="A24" s="7" t="inlineStr">
        <is>
          <t>https://www.churchofjesuschrist.org/study/scriptures/bofm/morm/9?lang=eng&amp;id=p19#p19</t>
        </is>
      </c>
      <c r="B24" s="7" t="inlineStr">
        <is>
          <t>2026-09-08</t>
        </is>
      </c>
      <c r="C24" s="7" t="inlineStr">
        <is>
          <t>CONTROLLED SOURCE — RECHECK ON BUILD</t>
        </is>
      </c>
      <c r="D24" s="7" t="inlineStr">
        <is>
          <t>PRIOR CONTROLLED SOURCE — PIPELINE RECHECK</t>
        </is>
      </c>
      <c r="E24" s="7" t="n">
        <v>0</v>
      </c>
      <c r="F24" s="7" t="n">
        <v>1</v>
      </c>
      <c r="G24" s="7" t="n">
        <v>0</v>
      </c>
      <c r="H24" s="7" t="n">
        <v>0</v>
      </c>
      <c r="I24" s="7" t="n">
        <v>1</v>
      </c>
      <c r="J24" s="7" t="inlineStr">
        <is>
          <t>P006 HTTP; P018/P019/P021/P025 phrase checks as applicable</t>
        </is>
      </c>
      <c r="K24" s="7" t="inlineStr">
        <is>
          <t>Workbook snapshot only; pipeline must re-fetch and validate.</t>
        </is>
      </c>
    </row>
    <row r="25" ht="15.75" customHeight="1" s="29">
      <c r="A25" s="7" t="inlineStr">
        <is>
          <t>https://www.churchofjesuschrist.org/study/scriptures/bofm/moro/7?lang=eng&amp;id=p12-p13#p12</t>
        </is>
      </c>
      <c r="B25" s="7" t="inlineStr">
        <is>
          <t>2026-09-08</t>
        </is>
      </c>
      <c r="C25" s="7" t="inlineStr">
        <is>
          <t>CONTROLLED SOURCE — RECHECK ON BUILD</t>
        </is>
      </c>
      <c r="D25" s="7" t="inlineStr">
        <is>
          <t>PRIOR CONTROLLED SOURCE — PIPELINE RECHECK</t>
        </is>
      </c>
      <c r="E25" s="7" t="n">
        <v>0</v>
      </c>
      <c r="F25" s="7" t="n">
        <v>1</v>
      </c>
      <c r="G25" s="7" t="n">
        <v>0</v>
      </c>
      <c r="H25" s="7" t="n">
        <v>0</v>
      </c>
      <c r="I25" s="7" t="n">
        <v>1</v>
      </c>
      <c r="J25" s="7" t="inlineStr">
        <is>
          <t>P006 HTTP; P018/P019/P021/P025 phrase checks as applicable</t>
        </is>
      </c>
      <c r="K25" s="7" t="inlineStr">
        <is>
          <t>Workbook snapshot only; pipeline must re-fetch and validate.</t>
        </is>
      </c>
    </row>
    <row r="26" ht="15.75" customHeight="1" s="29">
      <c r="A26" s="7" t="inlineStr">
        <is>
          <t>https://www.churchofjesuschrist.org/study/scriptures/bofm/mosiah/2?lang=eng&amp;id=p21#p21</t>
        </is>
      </c>
      <c r="B26" s="7" t="inlineStr">
        <is>
          <t>2026-09-08</t>
        </is>
      </c>
      <c r="C26" s="7" t="inlineStr">
        <is>
          <t>CONTROLLED SOURCE — RECHECK ON BUILD</t>
        </is>
      </c>
      <c r="D26" s="7" t="inlineStr">
        <is>
          <t>PRIOR CONTROLLED SOURCE — PIPELINE RECHECK</t>
        </is>
      </c>
      <c r="E26" s="7" t="n">
        <v>0</v>
      </c>
      <c r="F26" s="7" t="n">
        <v>1</v>
      </c>
      <c r="G26" s="7" t="n">
        <v>0</v>
      </c>
      <c r="H26" s="7" t="n">
        <v>0</v>
      </c>
      <c r="I26" s="7" t="n">
        <v>1</v>
      </c>
      <c r="J26" s="7" t="inlineStr">
        <is>
          <t>P006 HTTP; P018/P019/P021/P025 phrase checks as applicable</t>
        </is>
      </c>
      <c r="K26" s="7" t="inlineStr">
        <is>
          <t>Workbook snapshot only; pipeline must re-fetch and validate.</t>
        </is>
      </c>
    </row>
    <row r="27" ht="15.75" customHeight="1" s="29">
      <c r="A27" s="7" t="inlineStr">
        <is>
          <t>https://www.churchofjesuschrist.org/study/scriptures/bofm/mosiah/4?lang=eng&amp;id=p9#p9</t>
        </is>
      </c>
      <c r="B27" s="7" t="inlineStr">
        <is>
          <t>2026-09-08</t>
        </is>
      </c>
      <c r="C27" s="7" t="inlineStr">
        <is>
          <t>CONTROLLED SOURCE — RECHECK ON BUILD</t>
        </is>
      </c>
      <c r="D27" s="7" t="inlineStr">
        <is>
          <t>PRIOR CONTROLLED SOURCE — PIPELINE RECHECK</t>
        </is>
      </c>
      <c r="E27" s="7" t="n">
        <v>0</v>
      </c>
      <c r="F27" s="7" t="n">
        <v>3</v>
      </c>
      <c r="G27" s="7" t="n">
        <v>0</v>
      </c>
      <c r="H27" s="7" t="n">
        <v>0</v>
      </c>
      <c r="I27" s="7" t="n">
        <v>3</v>
      </c>
      <c r="J27" s="7" t="inlineStr">
        <is>
          <t>P006 HTTP; P018/P019/P021/P025 phrase checks as applicable</t>
        </is>
      </c>
      <c r="K27" s="7" t="inlineStr">
        <is>
          <t>Workbook snapshot only; pipeline must re-fetch and validate.</t>
        </is>
      </c>
    </row>
    <row r="28" ht="15.75" customHeight="1" s="29">
      <c r="A28" s="7" t="inlineStr">
        <is>
          <t>https://www.churchofjesuschrist.org/study/scriptures/dc-testament/dc/104?lang=eng&amp;id=p14-p17#p14</t>
        </is>
      </c>
      <c r="B28" s="7" t="inlineStr">
        <is>
          <t>2026-09-08</t>
        </is>
      </c>
      <c r="C28" s="7" t="inlineStr">
        <is>
          <t>CONTROLLED SOURCE — RECHECK ON BUILD</t>
        </is>
      </c>
      <c r="D28" s="7" t="inlineStr">
        <is>
          <t>PRIOR CONTROLLED SOURCE — PIPELINE RECHECK</t>
        </is>
      </c>
      <c r="E28" s="7" t="n">
        <v>0</v>
      </c>
      <c r="F28" s="7" t="n">
        <v>1</v>
      </c>
      <c r="G28" s="7" t="n">
        <v>0</v>
      </c>
      <c r="H28" s="7" t="n">
        <v>0</v>
      </c>
      <c r="I28" s="7" t="n">
        <v>1</v>
      </c>
      <c r="J28" s="7" t="inlineStr">
        <is>
          <t>P006 HTTP; P018/P019/P021/P025 phrase checks as applicable</t>
        </is>
      </c>
      <c r="K28" s="7" t="inlineStr">
        <is>
          <t>Workbook snapshot only; pipeline must re-fetch and validate.</t>
        </is>
      </c>
    </row>
    <row r="29" ht="15.75" customHeight="1" s="29">
      <c r="A29" s="7" t="inlineStr">
        <is>
          <t>https://www.churchofjesuschrist.org/study/scriptures/dc-testament/dc/130?lang=eng&amp;id=p22#p22</t>
        </is>
      </c>
      <c r="B29" s="7" t="inlineStr">
        <is>
          <t>2026-09-08</t>
        </is>
      </c>
      <c r="C29" s="7" t="inlineStr">
        <is>
          <t>CONTROLLED SOURCE — RECHECK ON BUILD</t>
        </is>
      </c>
      <c r="D29" s="7" t="inlineStr">
        <is>
          <t>PRIOR CONTROLLED SOURCE — PIPELINE RECHECK</t>
        </is>
      </c>
      <c r="E29" s="7" t="n">
        <v>0</v>
      </c>
      <c r="F29" s="7" t="n">
        <v>6</v>
      </c>
      <c r="G29" s="7" t="n">
        <v>0</v>
      </c>
      <c r="H29" s="7" t="n">
        <v>0</v>
      </c>
      <c r="I29" s="7" t="n">
        <v>6</v>
      </c>
      <c r="J29" s="7" t="inlineStr">
        <is>
          <t>P006 HTTP; P018/P019/P021/P025 phrase checks as applicable</t>
        </is>
      </c>
      <c r="K29" s="7" t="inlineStr">
        <is>
          <t>Workbook snapshot only; pipeline must re-fetch and validate.</t>
        </is>
      </c>
    </row>
    <row r="30" ht="15.75" customHeight="1" s="29">
      <c r="A30" s="7" t="inlineStr">
        <is>
          <t>https://www.churchofjesuschrist.org/study/scriptures/dc-testament/dc/131?lang=eng&amp;id=p7-p8#p7</t>
        </is>
      </c>
      <c r="B30" s="7" t="inlineStr">
        <is>
          <t>2026-09-08</t>
        </is>
      </c>
      <c r="C30" s="7" t="inlineStr">
        <is>
          <t>CONTROLLED SOURCE — RECHECK ON BUILD</t>
        </is>
      </c>
      <c r="D30" s="7" t="inlineStr">
        <is>
          <t>PRIOR CONTROLLED SOURCE — PIPELINE RECHECK</t>
        </is>
      </c>
      <c r="E30" s="7" t="n">
        <v>0</v>
      </c>
      <c r="F30" s="7" t="n">
        <v>1</v>
      </c>
      <c r="G30" s="7" t="n">
        <v>0</v>
      </c>
      <c r="H30" s="7" t="n">
        <v>0</v>
      </c>
      <c r="I30" s="7" t="n">
        <v>1</v>
      </c>
      <c r="J30" s="7" t="inlineStr">
        <is>
          <t>P006 HTTP; P018/P019/P021/P025 phrase checks as applicable</t>
        </is>
      </c>
      <c r="K30" s="7" t="inlineStr">
        <is>
          <t>Workbook snapshot only; pipeline must re-fetch and validate.</t>
        </is>
      </c>
    </row>
    <row r="31" ht="15.75" customHeight="1" s="29">
      <c r="A31" s="7" t="inlineStr">
        <is>
          <t>https://www.churchofjesuschrist.org/study/scriptures/dc-testament/dc/1?lang=eng&amp;id=p38#p38</t>
        </is>
      </c>
      <c r="B31" s="7" t="inlineStr">
        <is>
          <t>2026-09-08</t>
        </is>
      </c>
      <c r="C31" s="7" t="inlineStr">
        <is>
          <t>CONTROLLED SOURCE — RECHECK ON BUILD</t>
        </is>
      </c>
      <c r="D31" s="7" t="inlineStr">
        <is>
          <t>PRIOR CONTROLLED SOURCE — PIPELINE RECHECK</t>
        </is>
      </c>
      <c r="E31" s="7" t="n">
        <v>0</v>
      </c>
      <c r="F31" s="7" t="n">
        <v>1</v>
      </c>
      <c r="G31" s="7" t="n">
        <v>0</v>
      </c>
      <c r="H31" s="7" t="n">
        <v>0</v>
      </c>
      <c r="I31" s="7" t="n">
        <v>1</v>
      </c>
      <c r="J31" s="7" t="inlineStr">
        <is>
          <t>P006 HTTP; P018/P019/P021/P025 phrase checks as applicable</t>
        </is>
      </c>
      <c r="K31" s="7" t="inlineStr">
        <is>
          <t>Workbook snapshot only; pipeline must re-fetch and validate.</t>
        </is>
      </c>
    </row>
    <row r="32" ht="15.75" customHeight="1" s="29">
      <c r="A32" s="7" t="inlineStr">
        <is>
          <t>https://www.churchofjesuschrist.org/study/scriptures/dc-testament/dc/20?lang=eng&amp;id=p17#p17</t>
        </is>
      </c>
      <c r="B32" s="7" t="inlineStr">
        <is>
          <t>2026-09-08</t>
        </is>
      </c>
      <c r="C32" s="7" t="inlineStr">
        <is>
          <t>CONTROLLED SOURCE — RECHECK ON BUILD</t>
        </is>
      </c>
      <c r="D32" s="7" t="inlineStr">
        <is>
          <t>PRIOR CONTROLLED SOURCE — PIPELINE RECHECK</t>
        </is>
      </c>
      <c r="E32" s="7" t="n">
        <v>0</v>
      </c>
      <c r="F32" s="7" t="n">
        <v>2</v>
      </c>
      <c r="G32" s="7" t="n">
        <v>0</v>
      </c>
      <c r="H32" s="7" t="n">
        <v>0</v>
      </c>
      <c r="I32" s="7" t="n">
        <v>2</v>
      </c>
      <c r="J32" s="7" t="inlineStr">
        <is>
          <t>P006 HTTP; P018/P019/P021/P025 phrase checks as applicable</t>
        </is>
      </c>
      <c r="K32" s="7" t="inlineStr">
        <is>
          <t>Workbook snapshot only; pipeline must re-fetch and validate.</t>
        </is>
      </c>
    </row>
    <row r="33" ht="15.75" customHeight="1" s="29">
      <c r="A33" s="7" t="inlineStr">
        <is>
          <t>https://www.churchofjesuschrist.org/study/scriptures/dc-testament/dc/20?lang=eng&amp;id=p17-p28#p17</t>
        </is>
      </c>
      <c r="B33" s="7" t="inlineStr">
        <is>
          <t>2026-09-08</t>
        </is>
      </c>
      <c r="C33" s="7" t="inlineStr">
        <is>
          <t>CONTROLLED SOURCE — RECHECK ON BUILD</t>
        </is>
      </c>
      <c r="D33" s="7" t="inlineStr">
        <is>
          <t>PRIOR CONTROLLED SOURCE — PIPELINE RECHECK</t>
        </is>
      </c>
      <c r="E33" s="7" t="n">
        <v>0</v>
      </c>
      <c r="F33" s="7" t="n">
        <v>1</v>
      </c>
      <c r="G33" s="7" t="n">
        <v>0</v>
      </c>
      <c r="H33" s="7" t="n">
        <v>0</v>
      </c>
      <c r="I33" s="7" t="n">
        <v>1</v>
      </c>
      <c r="J33" s="7" t="inlineStr">
        <is>
          <t>P006 HTTP; P018/P019/P021/P025 phrase checks as applicable</t>
        </is>
      </c>
      <c r="K33" s="7" t="inlineStr">
        <is>
          <t>Workbook snapshot only; pipeline must re-fetch and validate.</t>
        </is>
      </c>
    </row>
    <row r="34" ht="15.75" customHeight="1" s="29">
      <c r="A34" s="7" t="inlineStr">
        <is>
          <t>https://www.churchofjesuschrist.org/study/scriptures/dc-testament/dc/20?lang=eng&amp;id=p19#p19</t>
        </is>
      </c>
      <c r="B34" s="7" t="inlineStr">
        <is>
          <t>2026-09-08</t>
        </is>
      </c>
      <c r="C34" s="7" t="inlineStr">
        <is>
          <t>CONTROLLED SOURCE — RECHECK ON BUILD</t>
        </is>
      </c>
      <c r="D34" s="7" t="inlineStr">
        <is>
          <t>PRIOR CONTROLLED SOURCE — PIPELINE RECHECK</t>
        </is>
      </c>
      <c r="E34" s="7" t="n">
        <v>0</v>
      </c>
      <c r="F34" s="7" t="n">
        <v>2</v>
      </c>
      <c r="G34" s="7" t="n">
        <v>0</v>
      </c>
      <c r="H34" s="7" t="n">
        <v>0</v>
      </c>
      <c r="I34" s="7" t="n">
        <v>2</v>
      </c>
      <c r="J34" s="7" t="inlineStr">
        <is>
          <t>P006 HTTP; P018/P019/P021/P025 phrase checks as applicable</t>
        </is>
      </c>
      <c r="K34" s="7" t="inlineStr">
        <is>
          <t>Workbook snapshot only; pipeline must re-fetch and validate.</t>
        </is>
      </c>
    </row>
    <row r="35" ht="15.75" customHeight="1" s="29">
      <c r="A35" s="7" t="inlineStr">
        <is>
          <t>https://www.churchofjesuschrist.org/study/scriptures/dc-testament/dc/20?lang=eng&amp;id=p21#p21</t>
        </is>
      </c>
      <c r="B35" s="7" t="inlineStr">
        <is>
          <t>2026-09-08</t>
        </is>
      </c>
      <c r="C35" s="7" t="inlineStr">
        <is>
          <t>CONTROLLED SOURCE — RECHECK ON BUILD</t>
        </is>
      </c>
      <c r="D35" s="7" t="inlineStr">
        <is>
          <t>PRIOR CONTROLLED SOURCE — PIPELINE RECHECK</t>
        </is>
      </c>
      <c r="E35" s="7" t="n">
        <v>0</v>
      </c>
      <c r="F35" s="7" t="n">
        <v>1</v>
      </c>
      <c r="G35" s="7" t="n">
        <v>0</v>
      </c>
      <c r="H35" s="7" t="n">
        <v>0</v>
      </c>
      <c r="I35" s="7" t="n">
        <v>1</v>
      </c>
      <c r="J35" s="7" t="inlineStr">
        <is>
          <t>P006 HTTP; P018/P019/P021/P025 phrase checks as applicable</t>
        </is>
      </c>
      <c r="K35" s="7" t="inlineStr">
        <is>
          <t>Workbook snapshot only; pipeline must re-fetch and validate.</t>
        </is>
      </c>
    </row>
    <row r="36" ht="15.75" customHeight="1" s="29">
      <c r="A36" s="7" t="inlineStr">
        <is>
          <t>https://www.churchofjesuschrist.org/study/scriptures/dc-testament/dc/64?lang=eng&amp;id=p10#p10</t>
        </is>
      </c>
      <c r="B36" s="7" t="inlineStr">
        <is>
          <t>2026-09-08</t>
        </is>
      </c>
      <c r="C36" s="7" t="inlineStr">
        <is>
          <t>CONTROLLED SOURCE — RECHECK ON BUILD</t>
        </is>
      </c>
      <c r="D36" s="7" t="inlineStr">
        <is>
          <t>PRIOR CONTROLLED SOURCE — PIPELINE RECHECK</t>
        </is>
      </c>
      <c r="E36" s="7" t="n">
        <v>0</v>
      </c>
      <c r="F36" s="7" t="n">
        <v>1</v>
      </c>
      <c r="G36" s="7" t="n">
        <v>0</v>
      </c>
      <c r="H36" s="7" t="n">
        <v>0</v>
      </c>
      <c r="I36" s="7" t="n">
        <v>1</v>
      </c>
      <c r="J36" s="7" t="inlineStr">
        <is>
          <t>P006 HTTP; P018/P019/P021/P025 phrase checks as applicable</t>
        </is>
      </c>
      <c r="K36" s="7" t="inlineStr">
        <is>
          <t>Workbook snapshot only; pipeline must re-fetch and validate.</t>
        </is>
      </c>
    </row>
    <row r="37" ht="15.75" customHeight="1" s="29">
      <c r="A37" s="7" t="inlineStr">
        <is>
          <t>https://www.churchofjesuschrist.org/study/scriptures/dc-testament/dc/76?lang=eng&amp;id=p114-p116#p114</t>
        </is>
      </c>
      <c r="B37" s="7" t="inlineStr">
        <is>
          <t>2026-09-08</t>
        </is>
      </c>
      <c r="C37" s="7" t="inlineStr">
        <is>
          <t>CONTROLLED SOURCE — RECHECK ON BUILD</t>
        </is>
      </c>
      <c r="D37" s="7" t="inlineStr">
        <is>
          <t>PRIOR CONTROLLED SOURCE — PIPELINE RECHECK</t>
        </is>
      </c>
      <c r="E37" s="7" t="n">
        <v>0</v>
      </c>
      <c r="F37" s="7" t="n">
        <v>1</v>
      </c>
      <c r="G37" s="7" t="n">
        <v>0</v>
      </c>
      <c r="H37" s="7" t="n">
        <v>0</v>
      </c>
      <c r="I37" s="7" t="n">
        <v>1</v>
      </c>
      <c r="J37" s="7" t="inlineStr">
        <is>
          <t>P006 HTTP; P018/P019/P021/P025 phrase checks as applicable</t>
        </is>
      </c>
      <c r="K37" s="7" t="inlineStr">
        <is>
          <t>Workbook snapshot only; pipeline must re-fetch and validate.</t>
        </is>
      </c>
    </row>
    <row r="38" ht="15.75" customHeight="1" s="29">
      <c r="A38" s="7" t="inlineStr">
        <is>
          <t>https://www.churchofjesuschrist.org/study/scriptures/dc-testament/dc/88?lang=eng&amp;id=p13#p13</t>
        </is>
      </c>
      <c r="B38" s="7" t="inlineStr">
        <is>
          <t>2026-09-08</t>
        </is>
      </c>
      <c r="C38" s="7" t="inlineStr">
        <is>
          <t>CONTROLLED SOURCE — RECHECK ON BUILD</t>
        </is>
      </c>
      <c r="D38" s="7" t="inlineStr">
        <is>
          <t>PRIOR CONTROLLED SOURCE — PIPELINE RECHECK</t>
        </is>
      </c>
      <c r="E38" s="7" t="n">
        <v>0</v>
      </c>
      <c r="F38" s="7" t="n">
        <v>1</v>
      </c>
      <c r="G38" s="7" t="n">
        <v>0</v>
      </c>
      <c r="H38" s="7" t="n">
        <v>0</v>
      </c>
      <c r="I38" s="7" t="n">
        <v>1</v>
      </c>
      <c r="J38" s="7" t="inlineStr">
        <is>
          <t>P006 HTTP; P018/P019/P021/P025 phrase checks as applicable</t>
        </is>
      </c>
      <c r="K38" s="7" t="inlineStr">
        <is>
          <t>Workbook snapshot only; pipeline must re-fetch and validate.</t>
        </is>
      </c>
    </row>
    <row r="39" ht="15.75" customHeight="1" s="29">
      <c r="A39" s="7" t="inlineStr">
        <is>
          <t>https://www.churchofjesuschrist.org/study/scriptures/dc-testament/dc/88?lang=eng&amp;id=p6-p13#p6</t>
        </is>
      </c>
      <c r="B39" s="7" t="inlineStr">
        <is>
          <t>2026-09-08</t>
        </is>
      </c>
      <c r="C39" s="7" t="inlineStr">
        <is>
          <t>CONTROLLED SOURCE — RECHECK ON BUILD</t>
        </is>
      </c>
      <c r="D39" s="7" t="inlineStr">
        <is>
          <t>PRIOR CONTROLLED SOURCE — PIPELINE RECHECK</t>
        </is>
      </c>
      <c r="E39" s="7" t="n">
        <v>0</v>
      </c>
      <c r="F39" s="7" t="n">
        <v>2</v>
      </c>
      <c r="G39" s="7" t="n">
        <v>0</v>
      </c>
      <c r="H39" s="7" t="n">
        <v>0</v>
      </c>
      <c r="I39" s="7" t="n">
        <v>2</v>
      </c>
      <c r="J39" s="7" t="inlineStr">
        <is>
          <t>P006 HTTP; P018/P019/P021/P025 phrase checks as applicable</t>
        </is>
      </c>
      <c r="K39" s="7" t="inlineStr">
        <is>
          <t>Workbook snapshot only; pipeline must re-fetch and validate.</t>
        </is>
      </c>
    </row>
    <row r="40" ht="15.75" customHeight="1" s="29">
      <c r="A40" s="7" t="inlineStr">
        <is>
          <t>https://www.churchofjesuschrist.org/study/scriptures/dc-testament/dc/88?lang=eng&amp;id=p7-p13#p7</t>
        </is>
      </c>
      <c r="B40" s="7" t="inlineStr">
        <is>
          <t>2026-09-08</t>
        </is>
      </c>
      <c r="C40" s="7" t="inlineStr">
        <is>
          <t>CONTROLLED SOURCE — RECHECK ON BUILD</t>
        </is>
      </c>
      <c r="D40" s="7" t="inlineStr">
        <is>
          <t>PRIOR CONTROLLED SOURCE — PIPELINE RECHECK</t>
        </is>
      </c>
      <c r="E40" s="7" t="n">
        <v>0</v>
      </c>
      <c r="F40" s="7" t="n">
        <v>1</v>
      </c>
      <c r="G40" s="7" t="n">
        <v>0</v>
      </c>
      <c r="H40" s="7" t="n">
        <v>0</v>
      </c>
      <c r="I40" s="7" t="n">
        <v>1</v>
      </c>
      <c r="J40" s="7" t="inlineStr">
        <is>
          <t>P006 HTTP; P018/P019/P021/P025 phrase checks as applicable</t>
        </is>
      </c>
      <c r="K40" s="7" t="inlineStr">
        <is>
          <t>Workbook snapshot only; pipeline must re-fetch and validate.</t>
        </is>
      </c>
    </row>
    <row r="41" ht="15.75" customHeight="1" s="29">
      <c r="A41" s="7" t="inlineStr">
        <is>
          <t>https://www.churchofjesuschrist.org/study/scriptures/dc-testament/dc/93?lang=eng&amp;id=p21-p23#p21</t>
        </is>
      </c>
      <c r="B41" s="7" t="inlineStr">
        <is>
          <t>2026-09-08</t>
        </is>
      </c>
      <c r="C41" s="7" t="inlineStr">
        <is>
          <t>CONTROLLED SOURCE — RECHECK ON BUILD</t>
        </is>
      </c>
      <c r="D41" s="7" t="inlineStr">
        <is>
          <t>PRIOR CONTROLLED SOURCE — PIPELINE RECHECK</t>
        </is>
      </c>
      <c r="E41" s="7" t="n">
        <v>0</v>
      </c>
      <c r="F41" s="7" t="n">
        <v>1</v>
      </c>
      <c r="G41" s="7" t="n">
        <v>0</v>
      </c>
      <c r="H41" s="7" t="n">
        <v>0</v>
      </c>
      <c r="I41" s="7" t="n">
        <v>1</v>
      </c>
      <c r="J41" s="7" t="inlineStr">
        <is>
          <t>P006 HTTP; P018/P019/P021/P025 phrase checks as applicable</t>
        </is>
      </c>
      <c r="K41" s="7" t="inlineStr">
        <is>
          <t>Workbook snapshot only; pipeline must re-fetch and validate.</t>
        </is>
      </c>
    </row>
    <row r="42" ht="15.75" customHeight="1" s="29">
      <c r="A42" s="7" t="inlineStr">
        <is>
          <t>https://www.churchofjesuschrist.org/study/scriptures/dc-testament/dc/93?lang=eng&amp;id=p29-p33#p29</t>
        </is>
      </c>
      <c r="B42" s="7" t="inlineStr">
        <is>
          <t>2026-09-08</t>
        </is>
      </c>
      <c r="C42" s="7" t="inlineStr">
        <is>
          <t>CONTROLLED SOURCE — RECHECK ON BUILD</t>
        </is>
      </c>
      <c r="D42" s="7" t="inlineStr">
        <is>
          <t>PRIOR CONTROLLED SOURCE — PIPELINE RECHECK</t>
        </is>
      </c>
      <c r="E42" s="7" t="n">
        <v>0</v>
      </c>
      <c r="F42" s="7" t="n">
        <v>2</v>
      </c>
      <c r="G42" s="7" t="n">
        <v>0</v>
      </c>
      <c r="H42" s="7" t="n">
        <v>0</v>
      </c>
      <c r="I42" s="7" t="n">
        <v>2</v>
      </c>
      <c r="J42" s="7" t="inlineStr">
        <is>
          <t>P006 HTTP; P018/P019/P021/P025 phrase checks as applicable</t>
        </is>
      </c>
      <c r="K42" s="7" t="inlineStr">
        <is>
          <t>Workbook snapshot only; pipeline must re-fetch and validate.</t>
        </is>
      </c>
    </row>
    <row r="43" ht="15.75" customHeight="1" s="29">
      <c r="A43" s="7" t="inlineStr">
        <is>
          <t>https://www.churchofjesuschrist.org/study/scriptures/nt/1-cor/1?lang=eng&amp;id=p24#p24</t>
        </is>
      </c>
      <c r="B43" s="7" t="inlineStr">
        <is>
          <t>2026-09-08</t>
        </is>
      </c>
      <c r="C43" s="7" t="inlineStr">
        <is>
          <t>CONTROLLED SOURCE — RECHECK ON BUILD</t>
        </is>
      </c>
      <c r="D43" s="7" t="inlineStr">
        <is>
          <t>PRIOR CONTROLLED SOURCE — PIPELINE RECHECK</t>
        </is>
      </c>
      <c r="E43" s="7" t="n">
        <v>0</v>
      </c>
      <c r="F43" s="7" t="n">
        <v>1</v>
      </c>
      <c r="G43" s="7" t="n">
        <v>0</v>
      </c>
      <c r="H43" s="7" t="n">
        <v>0</v>
      </c>
      <c r="I43" s="7" t="n">
        <v>1</v>
      </c>
      <c r="J43" s="7" t="inlineStr">
        <is>
          <t>P006 HTTP; P018/P019/P021/P025 phrase checks as applicable</t>
        </is>
      </c>
      <c r="K43" s="7" t="inlineStr">
        <is>
          <t>Workbook snapshot only; pipeline must re-fetch and validate.</t>
        </is>
      </c>
    </row>
    <row r="44" ht="15.75" customHeight="1" s="29">
      <c r="A44" s="7" t="inlineStr">
        <is>
          <t>https://www.churchofjesuschrist.org/study/scriptures/nt/1-jn/4?lang=eng&amp;id=p8-p16#p8</t>
        </is>
      </c>
      <c r="B44" s="7" t="inlineStr">
        <is>
          <t>2026-09-08</t>
        </is>
      </c>
      <c r="C44" s="7" t="inlineStr">
        <is>
          <t>CONTROLLED SOURCE — RECHECK ON BUILD</t>
        </is>
      </c>
      <c r="D44" s="7" t="inlineStr">
        <is>
          <t>PRIOR CONTROLLED SOURCE — PIPELINE RECHECK</t>
        </is>
      </c>
      <c r="E44" s="7" t="n">
        <v>0</v>
      </c>
      <c r="F44" s="7" t="n">
        <v>1</v>
      </c>
      <c r="G44" s="7" t="n">
        <v>0</v>
      </c>
      <c r="H44" s="7" t="n">
        <v>0</v>
      </c>
      <c r="I44" s="7" t="n">
        <v>1</v>
      </c>
      <c r="J44" s="7" t="inlineStr">
        <is>
          <t>P006 HTTP; P018/P019/P021/P025 phrase checks as applicable</t>
        </is>
      </c>
      <c r="K44" s="7" t="inlineStr">
        <is>
          <t>Workbook snapshot only; pipeline must re-fetch and validate.</t>
        </is>
      </c>
    </row>
    <row r="45" ht="15.75" customHeight="1" s="29">
      <c r="A45" s="7" t="inlineStr">
        <is>
          <t>https://www.churchofjesuschrist.org/study/scriptures/nt/heb/1?lang=eng&amp;id=p3#p3</t>
        </is>
      </c>
      <c r="B45" s="7" t="inlineStr">
        <is>
          <t>2026-09-08</t>
        </is>
      </c>
      <c r="C45" s="7" t="inlineStr">
        <is>
          <t>CONTROLLED SOURCE — RECHECK ON BUILD</t>
        </is>
      </c>
      <c r="D45" s="7" t="inlineStr">
        <is>
          <t>PRIOR CONTROLLED SOURCE — PIPELINE RECHECK</t>
        </is>
      </c>
      <c r="E45" s="7" t="n">
        <v>0</v>
      </c>
      <c r="F45" s="7" t="n">
        <v>1</v>
      </c>
      <c r="G45" s="7" t="n">
        <v>0</v>
      </c>
      <c r="H45" s="7" t="n">
        <v>0</v>
      </c>
      <c r="I45" s="7" t="n">
        <v>1</v>
      </c>
      <c r="J45" s="7" t="inlineStr">
        <is>
          <t>P006 HTTP; P018/P019/P021/P025 phrase checks as applicable</t>
        </is>
      </c>
      <c r="K45" s="7" t="inlineStr">
        <is>
          <t>Workbook snapshot only; pipeline must re-fetch and validate.</t>
        </is>
      </c>
    </row>
    <row r="46" ht="15.75" customHeight="1" s="29">
      <c r="A46" s="7" t="inlineStr">
        <is>
          <t>https://www.churchofjesuschrist.org/study/scriptures/nt/john/1?lang=eng&amp;id=p1-p14#p1</t>
        </is>
      </c>
      <c r="B46" s="7" t="inlineStr">
        <is>
          <t>2026-09-08</t>
        </is>
      </c>
      <c r="C46" s="7" t="inlineStr">
        <is>
          <t>CONTROLLED SOURCE — RECHECK ON BUILD</t>
        </is>
      </c>
      <c r="D46" s="7" t="inlineStr">
        <is>
          <t>PRIOR CONTROLLED SOURCE — PIPELINE RECHECK</t>
        </is>
      </c>
      <c r="E46" s="7" t="n">
        <v>0</v>
      </c>
      <c r="F46" s="7" t="n">
        <v>1</v>
      </c>
      <c r="G46" s="7" t="n">
        <v>0</v>
      </c>
      <c r="H46" s="7" t="n">
        <v>0</v>
      </c>
      <c r="I46" s="7" t="n">
        <v>1</v>
      </c>
      <c r="J46" s="7" t="inlineStr">
        <is>
          <t>P006 HTTP; P018/P019/P021/P025 phrase checks as applicable</t>
        </is>
      </c>
      <c r="K46" s="7" t="inlineStr">
        <is>
          <t>Workbook snapshot only; pipeline must re-fetch and validate.</t>
        </is>
      </c>
    </row>
    <row r="47" ht="15.75" customHeight="1" s="29">
      <c r="A47" s="7" t="inlineStr">
        <is>
          <t>https://www.churchofjesuschrist.org/study/scriptures/nt/john/1?lang=eng&amp;id=p1-p3#p1</t>
        </is>
      </c>
      <c r="B47" s="7" t="inlineStr">
        <is>
          <t>2026-09-08</t>
        </is>
      </c>
      <c r="C47" s="7" t="inlineStr">
        <is>
          <t>CONTROLLED SOURCE — RECHECK ON BUILD</t>
        </is>
      </c>
      <c r="D47" s="7" t="inlineStr">
        <is>
          <t>PRIOR CONTROLLED SOURCE — PIPELINE RECHECK</t>
        </is>
      </c>
      <c r="E47" s="7" t="n">
        <v>0</v>
      </c>
      <c r="F47" s="7" t="n">
        <v>1</v>
      </c>
      <c r="G47" s="7" t="n">
        <v>0</v>
      </c>
      <c r="H47" s="7" t="n">
        <v>0</v>
      </c>
      <c r="I47" s="7" t="n">
        <v>1</v>
      </c>
      <c r="J47" s="7" t="inlineStr">
        <is>
          <t>P006 HTTP; P018/P019/P021/P025 phrase checks as applicable</t>
        </is>
      </c>
      <c r="K47" s="7" t="inlineStr">
        <is>
          <t>Workbook snapshot only; pipeline must re-fetch and validate.</t>
        </is>
      </c>
    </row>
    <row r="48" ht="15.75" customHeight="1" s="29">
      <c r="A48" s="7" t="inlineStr">
        <is>
          <t>https://www.churchofjesuschrist.org/study/scriptures/nt/john/4?lang=eng&amp;id=p24#p24</t>
        </is>
      </c>
      <c r="B48" s="7" t="inlineStr">
        <is>
          <t>2026-09-08</t>
        </is>
      </c>
      <c r="C48" s="7" t="inlineStr">
        <is>
          <t>CONTROLLED SOURCE — RECHECK ON BUILD</t>
        </is>
      </c>
      <c r="D48" s="7" t="inlineStr">
        <is>
          <t>PRIOR CONTROLLED SOURCE — PIPELINE RECHECK</t>
        </is>
      </c>
      <c r="E48" s="7" t="n">
        <v>0</v>
      </c>
      <c r="F48" s="7" t="n">
        <v>1</v>
      </c>
      <c r="G48" s="7" t="n">
        <v>0</v>
      </c>
      <c r="H48" s="7" t="n">
        <v>0</v>
      </c>
      <c r="I48" s="7" t="n">
        <v>1</v>
      </c>
      <c r="J48" s="7" t="inlineStr">
        <is>
          <t>P006 HTTP; P018/P019/P021/P025 phrase checks as applicable</t>
        </is>
      </c>
      <c r="K48" s="7" t="inlineStr">
        <is>
          <t>Workbook snapshot only; pipeline must re-fetch and validate.</t>
        </is>
      </c>
    </row>
    <row r="49" ht="15.75" customHeight="1" s="29">
      <c r="A49" s="7" t="inlineStr">
        <is>
          <t>https://www.churchofjesuschrist.org/study/scriptures/nt/john/5?lang=eng&amp;id=p21#p21</t>
        </is>
      </c>
      <c r="B49" s="7" t="inlineStr">
        <is>
          <t>2026-09-08</t>
        </is>
      </c>
      <c r="C49" s="7" t="inlineStr">
        <is>
          <t>CONTROLLED SOURCE — RECHECK ON BUILD</t>
        </is>
      </c>
      <c r="D49" s="7" t="inlineStr">
        <is>
          <t>PRIOR CONTROLLED SOURCE — PIPELINE RECHECK</t>
        </is>
      </c>
      <c r="E49" s="7" t="n">
        <v>0</v>
      </c>
      <c r="F49" s="7" t="n">
        <v>1</v>
      </c>
      <c r="G49" s="7" t="n">
        <v>0</v>
      </c>
      <c r="H49" s="7" t="n">
        <v>0</v>
      </c>
      <c r="I49" s="7" t="n">
        <v>1</v>
      </c>
      <c r="J49" s="7" t="inlineStr">
        <is>
          <t>P006 HTTP; P018/P019/P021/P025 phrase checks as applicable</t>
        </is>
      </c>
      <c r="K49" s="7" t="inlineStr">
        <is>
          <t>Workbook snapshot only; pipeline must re-fetch and validate.</t>
        </is>
      </c>
    </row>
    <row r="50" ht="15.75" customHeight="1" s="29">
      <c r="A50" s="7" t="inlineStr">
        <is>
          <t>https://www.churchofjesuschrist.org/study/scriptures/nt/rom/11?lang=eng&amp;id=p33#p33</t>
        </is>
      </c>
      <c r="B50" s="7" t="inlineStr">
        <is>
          <t>2026-09-08</t>
        </is>
      </c>
      <c r="C50" s="7" t="inlineStr">
        <is>
          <t>CONTROLLED SOURCE — RECHECK ON BUILD</t>
        </is>
      </c>
      <c r="D50" s="7" t="inlineStr">
        <is>
          <t>PRIOR CONTROLLED SOURCE — PIPELINE RECHECK</t>
        </is>
      </c>
      <c r="E50" s="7" t="n">
        <v>0</v>
      </c>
      <c r="F50" s="7" t="n">
        <v>1</v>
      </c>
      <c r="G50" s="7" t="n">
        <v>0</v>
      </c>
      <c r="H50" s="7" t="n">
        <v>0</v>
      </c>
      <c r="I50" s="7" t="n">
        <v>1</v>
      </c>
      <c r="J50" s="7" t="inlineStr">
        <is>
          <t>P006 HTTP; P018/P019/P021/P025 phrase checks as applicable</t>
        </is>
      </c>
      <c r="K50" s="7" t="inlineStr">
        <is>
          <t>Workbook snapshot only; pipeline must re-fetch and validate.</t>
        </is>
      </c>
    </row>
    <row r="51" ht="15.75" customHeight="1" s="29">
      <c r="A51" s="7" t="inlineStr">
        <is>
          <t>https://www.churchofjesuschrist.org/study/scriptures/nt/rom/1?lang=eng&amp;id=p20#p20</t>
        </is>
      </c>
      <c r="B51" s="7" t="inlineStr">
        <is>
          <t>2026-09-08</t>
        </is>
      </c>
      <c r="C51" s="7" t="inlineStr">
        <is>
          <t>CONTROLLED SOURCE — RECHECK ON BUILD</t>
        </is>
      </c>
      <c r="D51" s="7" t="inlineStr">
        <is>
          <t>PRIOR CONTROLLED SOURCE — PIPELINE RECHECK</t>
        </is>
      </c>
      <c r="E51" s="7" t="n">
        <v>0</v>
      </c>
      <c r="F51" s="7" t="n">
        <v>1</v>
      </c>
      <c r="G51" s="7" t="n">
        <v>0</v>
      </c>
      <c r="H51" s="7" t="n">
        <v>0</v>
      </c>
      <c r="I51" s="7" t="n">
        <v>1</v>
      </c>
      <c r="J51" s="7" t="inlineStr">
        <is>
          <t>P006 HTTP; P018/P019/P021/P025 phrase checks as applicable</t>
        </is>
      </c>
      <c r="K51" s="7" t="inlineStr">
        <is>
          <t>Workbook snapshot only; pipeline must re-fetch and validate.</t>
        </is>
      </c>
    </row>
    <row r="52" ht="15.75" customHeight="1" s="29">
      <c r="A52" s="7" t="inlineStr">
        <is>
          <t>https://www.churchofjesuschrist.org/study/scriptures/ot/deut/32?lang=eng&amp;id=p4#p4</t>
        </is>
      </c>
      <c r="B52" s="7" t="inlineStr">
        <is>
          <t>2026-09-08</t>
        </is>
      </c>
      <c r="C52" s="7" t="inlineStr">
        <is>
          <t>CONTROLLED SOURCE — RECHECK ON BUILD</t>
        </is>
      </c>
      <c r="D52" s="7" t="inlineStr">
        <is>
          <t>PRIOR CONTROLLED SOURCE — PIPELINE RECHECK</t>
        </is>
      </c>
      <c r="E52" s="7" t="n">
        <v>0</v>
      </c>
      <c r="F52" s="7" t="n">
        <v>1</v>
      </c>
      <c r="G52" s="7" t="n">
        <v>0</v>
      </c>
      <c r="H52" s="7" t="n">
        <v>0</v>
      </c>
      <c r="I52" s="7" t="n">
        <v>1</v>
      </c>
      <c r="J52" s="7" t="inlineStr">
        <is>
          <t>P006 HTTP; P018/P019/P021/P025 phrase checks as applicable</t>
        </is>
      </c>
      <c r="K52" s="7" t="inlineStr">
        <is>
          <t>Workbook snapshot only; pipeline must re-fetch and validate.</t>
        </is>
      </c>
    </row>
    <row r="53" ht="15.75" customHeight="1" s="29">
      <c r="A53" s="7" t="inlineStr">
        <is>
          <t>https://www.churchofjesuschrist.org/study/scriptures/ot/ex/34?lang=eng&amp;id=p6#p6</t>
        </is>
      </c>
      <c r="B53" s="7" t="inlineStr">
        <is>
          <t>2026-09-08</t>
        </is>
      </c>
      <c r="C53" s="7" t="inlineStr">
        <is>
          <t>CONTROLLED SOURCE — RECHECK ON BUILD</t>
        </is>
      </c>
      <c r="D53" s="7" t="inlineStr">
        <is>
          <t>PRIOR CONTROLLED SOURCE — PIPELINE RECHECK</t>
        </is>
      </c>
      <c r="E53" s="7" t="n">
        <v>0</v>
      </c>
      <c r="F53" s="7" t="n">
        <v>3</v>
      </c>
      <c r="G53" s="7" t="n">
        <v>0</v>
      </c>
      <c r="H53" s="7" t="n">
        <v>0</v>
      </c>
      <c r="I53" s="7" t="n">
        <v>3</v>
      </c>
      <c r="J53" s="7" t="inlineStr">
        <is>
          <t>P006 HTTP; P018/P019/P021/P025 phrase checks as applicable</t>
        </is>
      </c>
      <c r="K53" s="7" t="inlineStr">
        <is>
          <t>Workbook snapshot only; pipeline must re-fetch and validate.</t>
        </is>
      </c>
    </row>
    <row r="54" ht="15.75" customHeight="1" s="29">
      <c r="A54" s="7" t="inlineStr">
        <is>
          <t>https://www.churchofjesuschrist.org/study/scriptures/ot/ps/100?lang=eng&amp;id=p5#p5</t>
        </is>
      </c>
      <c r="B54" s="7" t="inlineStr">
        <is>
          <t>2026-09-08</t>
        </is>
      </c>
      <c r="C54" s="7" t="inlineStr">
        <is>
          <t>CONTROLLED SOURCE — RECHECK ON BUILD</t>
        </is>
      </c>
      <c r="D54" s="7" t="inlineStr">
        <is>
          <t>PRIOR CONTROLLED SOURCE — PIPELINE RECHECK</t>
        </is>
      </c>
      <c r="E54" s="7" t="n">
        <v>0</v>
      </c>
      <c r="F54" s="7" t="n">
        <v>1</v>
      </c>
      <c r="G54" s="7" t="n">
        <v>0</v>
      </c>
      <c r="H54" s="7" t="n">
        <v>0</v>
      </c>
      <c r="I54" s="7" t="n">
        <v>1</v>
      </c>
      <c r="J54" s="7" t="inlineStr">
        <is>
          <t>P006 HTTP; P018/P019/P021/P025 phrase checks as applicable</t>
        </is>
      </c>
      <c r="K54" s="7" t="inlineStr">
        <is>
          <t>Workbook snapshot only; pipeline must re-fetch and validate.</t>
        </is>
      </c>
    </row>
    <row r="55" ht="15.75" customHeight="1" s="29">
      <c r="A55" s="7" t="inlineStr">
        <is>
          <t>https://www.churchofjesuschrist.org/study/scriptures/pgp/a-of-f/1?lang=eng&amp;id=p1#p1</t>
        </is>
      </c>
      <c r="B55" s="7" t="inlineStr">
        <is>
          <t>2026-09-08</t>
        </is>
      </c>
      <c r="C55" s="7" t="inlineStr">
        <is>
          <t>CONTROLLED SOURCE — RECHECK ON BUILD</t>
        </is>
      </c>
      <c r="D55" s="7" t="inlineStr">
        <is>
          <t>PRIOR CONTROLLED SOURCE — PIPELINE RECHECK</t>
        </is>
      </c>
      <c r="E55" s="7" t="n">
        <v>0</v>
      </c>
      <c r="F55" s="7" t="n">
        <v>1</v>
      </c>
      <c r="G55" s="7" t="n">
        <v>0</v>
      </c>
      <c r="H55" s="7" t="n">
        <v>0</v>
      </c>
      <c r="I55" s="7" t="n">
        <v>1</v>
      </c>
      <c r="J55" s="7" t="inlineStr">
        <is>
          <t>P006 HTTP; P018/P019/P021/P025 phrase checks as applicable</t>
        </is>
      </c>
      <c r="K55" s="7" t="inlineStr">
        <is>
          <t>Workbook snapshot only; pipeline must re-fetch and validate.</t>
        </is>
      </c>
    </row>
    <row r="56" ht="15.75" customHeight="1" s="29">
      <c r="A56" s="7" t="inlineStr">
        <is>
          <t>https://www.churchofjesuschrist.org/study/scriptures/pgp/abr/3?lang=eng&amp;id=p24#p24</t>
        </is>
      </c>
      <c r="B56" s="7" t="inlineStr">
        <is>
          <t>2026-09-08</t>
        </is>
      </c>
      <c r="C56" s="7" t="inlineStr">
        <is>
          <t>CONTROLLED SOURCE — RECHECK ON BUILD</t>
        </is>
      </c>
      <c r="D56" s="7" t="inlineStr">
        <is>
          <t>PRIOR CONTROLLED SOURCE — PIPELINE RECHECK</t>
        </is>
      </c>
      <c r="E56" s="7" t="n">
        <v>0</v>
      </c>
      <c r="F56" s="7" t="n">
        <v>1</v>
      </c>
      <c r="G56" s="7" t="n">
        <v>0</v>
      </c>
      <c r="H56" s="7" t="n">
        <v>0</v>
      </c>
      <c r="I56" s="7" t="n">
        <v>1</v>
      </c>
      <c r="J56" s="7" t="inlineStr">
        <is>
          <t>P006 HTTP; P018/P019/P021/P025 phrase checks as applicable</t>
        </is>
      </c>
      <c r="K56" s="7" t="inlineStr">
        <is>
          <t>Workbook snapshot only; pipeline must re-fetch and validate.</t>
        </is>
      </c>
    </row>
    <row r="57" ht="15.75" customHeight="1" s="29">
      <c r="A57" s="7" t="inlineStr">
        <is>
          <t>https://www.churchofjesuschrist.org/study/scriptures/pgp/moses/1?lang=eng&amp;id=p6#p6</t>
        </is>
      </c>
      <c r="B57" s="7" t="inlineStr">
        <is>
          <t>2026-09-08</t>
        </is>
      </c>
      <c r="C57" s="7" t="inlineStr">
        <is>
          <t>CONTROLLED SOURCE — RECHECK ON BUILD</t>
        </is>
      </c>
      <c r="D57" s="7" t="inlineStr">
        <is>
          <t>PRIOR CONTROLLED SOURCE — PIPELINE RECHECK</t>
        </is>
      </c>
      <c r="E57" s="7" t="n">
        <v>0</v>
      </c>
      <c r="F57" s="7" t="n">
        <v>2</v>
      </c>
      <c r="G57" s="7" t="n">
        <v>0</v>
      </c>
      <c r="H57" s="7" t="n">
        <v>0</v>
      </c>
      <c r="I57" s="7" t="n">
        <v>2</v>
      </c>
      <c r="J57" s="7" t="inlineStr">
        <is>
          <t>P006 HTTP; P018/P019/P021/P025 phrase checks as applicable</t>
        </is>
      </c>
      <c r="K57" s="7" t="inlineStr">
        <is>
          <t>Workbook snapshot only; pipeline must re-fetch and validate.</t>
        </is>
      </c>
    </row>
    <row r="58" ht="15.75" customHeight="1" s="29">
      <c r="A58" s="7" t="inlineStr">
        <is>
          <t>https://www.churchofjesuschrist.org/study/scriptures/pgp/moses/6?lang=eng&amp;id=p61#p61</t>
        </is>
      </c>
      <c r="B58" s="7" t="inlineStr">
        <is>
          <t>2026-09-08</t>
        </is>
      </c>
      <c r="C58" s="7" t="inlineStr">
        <is>
          <t>CONTROLLED SOURCE — RECHECK ON BUILD</t>
        </is>
      </c>
      <c r="D58" s="7" t="inlineStr">
        <is>
          <t>PRIOR CONTROLLED SOURCE — PIPELINE RECHECK</t>
        </is>
      </c>
      <c r="E58" s="7" t="n">
        <v>0</v>
      </c>
      <c r="F58" s="7" t="n">
        <v>1</v>
      </c>
      <c r="G58" s="7" t="n">
        <v>0</v>
      </c>
      <c r="H58" s="7" t="n">
        <v>0</v>
      </c>
      <c r="I58" s="7" t="n">
        <v>1</v>
      </c>
      <c r="J58" s="7" t="inlineStr">
        <is>
          <t>P006 HTTP; P018/P019/P021/P025 phrase checks as applicable</t>
        </is>
      </c>
      <c r="K58" s="7" t="inlineStr">
        <is>
          <t>Workbook snapshot only; pipeline must re-fetch and validate.</t>
        </is>
      </c>
    </row>
    <row r="59" ht="15.75" customHeight="1" s="29">
      <c r="A59" s="7" t="inlineStr">
        <is>
          <t>https://www.churchofjesuschrist.org/study/scriptures/pgp/moses/7?lang=eng&amp;id=p28-p29#p28</t>
        </is>
      </c>
      <c r="B59" s="7" t="inlineStr">
        <is>
          <t>2026-09-08</t>
        </is>
      </c>
      <c r="C59" s="7" t="inlineStr">
        <is>
          <t>CONTROLLED SOURCE — RECHECK ON BUILD</t>
        </is>
      </c>
      <c r="D59" s="7" t="inlineStr">
        <is>
          <t>PRIOR CONTROLLED SOURCE — PIPELINE RECHECK</t>
        </is>
      </c>
      <c r="E59" s="7" t="n">
        <v>0</v>
      </c>
      <c r="F59" s="7" t="n">
        <v>1</v>
      </c>
      <c r="G59" s="7" t="n">
        <v>0</v>
      </c>
      <c r="H59" s="7" t="n">
        <v>0</v>
      </c>
      <c r="I59" s="7" t="n">
        <v>1</v>
      </c>
      <c r="J59" s="7" t="inlineStr">
        <is>
          <t>P006 HTTP; P018/P019/P021/P025 phrase checks as applicable</t>
        </is>
      </c>
      <c r="K59" s="7" t="inlineStr">
        <is>
          <t>Workbook snapshot only; pipeline must re-fetch and validate.</t>
        </is>
      </c>
    </row>
    <row r="60" ht="15.75" customHeight="1" s="29">
      <c r="A60" s="7" t="inlineStr">
        <is>
          <t>https://www.churchofjesuschrist.org/study/scriptures/the-family-a-proclamation-to-the-world/the-family-a-proclamation-to-the-world?lang=eng</t>
        </is>
      </c>
      <c r="B60" s="7" t="inlineStr">
        <is>
          <t>2026-09-08</t>
        </is>
      </c>
      <c r="C60" s="7" t="inlineStr">
        <is>
          <t>CONTROLLED SOURCE — RECHECK ON BUILD</t>
        </is>
      </c>
      <c r="D60" s="7" t="inlineStr">
        <is>
          <t>PRIOR CONTROLLED SOURCE — PIPELINE RECHECK</t>
        </is>
      </c>
      <c r="E60" s="7" t="n">
        <v>0</v>
      </c>
      <c r="F60" s="7" t="n">
        <v>1</v>
      </c>
      <c r="G60" s="7" t="n">
        <v>0</v>
      </c>
      <c r="H60" s="7" t="n">
        <v>0</v>
      </c>
      <c r="I60" s="7" t="n">
        <v>1</v>
      </c>
      <c r="J60" s="7" t="inlineStr">
        <is>
          <t>P006 HTTP; P018/P019/P021/P025 phrase checks as applicable</t>
        </is>
      </c>
      <c r="K60" s="7" t="inlineStr">
        <is>
          <t>Workbook snapshot only; pipeline must re-fetch and validate.</t>
        </is>
      </c>
    </row>
    <row r="61" ht="15.75" customHeight="1" s="29">
      <c r="A61" s="7" t="inlineStr">
        <is>
          <t>https://www.churchofjesuschrist.org/study/scriptures/the-living-christ-the-testimony-of-the-apostles/the-living-christ-the-testimony-of-the-apostles?lang=eng</t>
        </is>
      </c>
      <c r="B61" s="7" t="inlineStr">
        <is>
          <t>2026-09-08</t>
        </is>
      </c>
      <c r="C61" s="7" t="inlineStr">
        <is>
          <t>CONTROLLED SOURCE — RECHECK ON BUILD</t>
        </is>
      </c>
      <c r="D61" s="7" t="inlineStr">
        <is>
          <t>PRIOR CONTROLLED SOURCE — PIPELINE RECHECK</t>
        </is>
      </c>
      <c r="E61" s="7" t="n">
        <v>0</v>
      </c>
      <c r="F61" s="7" t="n">
        <v>4</v>
      </c>
      <c r="G61" s="7" t="n">
        <v>0</v>
      </c>
      <c r="H61" s="7" t="n">
        <v>0</v>
      </c>
      <c r="I61" s="7" t="n">
        <v>4</v>
      </c>
      <c r="J61" s="7" t="inlineStr">
        <is>
          <t>P006 HTTP; P018/P019/P021/P025 phrase checks as applicable</t>
        </is>
      </c>
      <c r="K61" s="7" t="inlineStr">
        <is>
          <t>Workbook snapshot only; pipeline must re-fetch and validate.</t>
        </is>
      </c>
    </row>
    <row r="62" ht="15.75" customHeight="1" s="29">
      <c r="A62" s="7" t="inlineStr">
        <is>
          <t>https://www.crcna.org/welcome/beliefs/confessions/belgic-confession</t>
        </is>
      </c>
      <c r="B62" s="7" t="inlineStr">
        <is>
          <t>2026-09-08</t>
        </is>
      </c>
      <c r="C62" s="7" t="inlineStr">
        <is>
          <t>CONTROLLED SOURCE — RECHECK ON BUILD</t>
        </is>
      </c>
      <c r="D62" s="7" t="inlineStr">
        <is>
          <t>PRIOR CONTROLLED SOURCE — PIPELINE RECHECK</t>
        </is>
      </c>
      <c r="E62" s="7" t="n">
        <v>5</v>
      </c>
      <c r="F62" s="7" t="n">
        <v>0</v>
      </c>
      <c r="G62" s="7" t="n">
        <v>1</v>
      </c>
      <c r="H62" s="7" t="n">
        <v>0</v>
      </c>
      <c r="I62" s="7" t="n">
        <v>6</v>
      </c>
      <c r="J62" s="7" t="inlineStr">
        <is>
          <t>P006 HTTP; P018/P019/P021/P025 phrase checks as applicable</t>
        </is>
      </c>
      <c r="K62" s="7" t="inlineStr">
        <is>
          <t>Workbook snapshot only; pipeline must re-fetch and validate.</t>
        </is>
      </c>
    </row>
    <row r="63" ht="15.75" customHeight="1" s="29">
      <c r="A63" s="7" t="inlineStr">
        <is>
          <t>https://www.crcna.org/welcome/beliefs/confessions/heidelberg-catechism</t>
        </is>
      </c>
      <c r="B63" s="7" t="inlineStr">
        <is>
          <t>2026-09-08</t>
        </is>
      </c>
      <c r="C63" s="7" t="inlineStr">
        <is>
          <t>CONTROLLED SOURCE — RECHECK ON BUILD</t>
        </is>
      </c>
      <c r="D63" s="7" t="inlineStr">
        <is>
          <t>PRIOR CONTROLLED SOURCE — PIPELINE RECHECK</t>
        </is>
      </c>
      <c r="E63" s="7" t="n">
        <v>0</v>
      </c>
      <c r="F63" s="7" t="n">
        <v>0</v>
      </c>
      <c r="G63" s="7" t="n">
        <v>0</v>
      </c>
      <c r="H63" s="7" t="n">
        <v>0</v>
      </c>
      <c r="I63" s="7" t="n">
        <v>0</v>
      </c>
      <c r="J63" s="7" t="inlineStr">
        <is>
          <t>P006 HTTP; P018/P019/P021/P025 phrase checks as applicable</t>
        </is>
      </c>
      <c r="K63" s="7" t="inlineStr">
        <is>
          <t>Workbook snapshot only; pipeline must re-fetch and validate.</t>
        </is>
      </c>
    </row>
    <row r="64" ht="15.75" customHeight="1" s="29">
      <c r="A64" s="7" t="inlineStr">
        <is>
          <t>https://www.ewtn.com/catholicism/teachings/vatican-i-dogmatic-constitution-dei-filius-on-the-catholic-faith-241</t>
        </is>
      </c>
      <c r="B64" s="7" t="inlineStr">
        <is>
          <t>2026-09-08</t>
        </is>
      </c>
      <c r="C64" s="7" t="inlineStr">
        <is>
          <t>CONTROLLED SOURCE — RECHECK ON BUILD</t>
        </is>
      </c>
      <c r="D64" s="7" t="inlineStr">
        <is>
          <t>PRIOR CONTROLLED SOURCE — PIPELINE RECHECK</t>
        </is>
      </c>
      <c r="E64" s="7" t="n">
        <v>0</v>
      </c>
      <c r="F64" s="7" t="n">
        <v>0</v>
      </c>
      <c r="G64" s="7" t="n">
        <v>1</v>
      </c>
      <c r="H64" s="7" t="n">
        <v>0</v>
      </c>
      <c r="I64" s="7" t="n">
        <v>1</v>
      </c>
      <c r="J64" s="7" t="inlineStr">
        <is>
          <t>P006 HTTP; P018/P019/P021/P025 phrase checks as applicable</t>
        </is>
      </c>
      <c r="K64" s="7" t="inlineStr">
        <is>
          <t>Workbook snapshot only; pipeline must re-fetch and validate.</t>
        </is>
      </c>
    </row>
    <row r="65" ht="15.75" customHeight="1" s="29">
      <c r="A65" s="7" t="inlineStr">
        <is>
          <t>https://www.josephsmithpapers.org/paper-summary/history-1838-1856-volume-f-1-1-may-1844-8-august-1844/109</t>
        </is>
      </c>
      <c r="B65" s="7" t="inlineStr">
        <is>
          <t>2026-09-08</t>
        </is>
      </c>
      <c r="C65" s="7" t="inlineStr">
        <is>
          <t>CONTROLLED SOURCE — RECHECK ON BUILD</t>
        </is>
      </c>
      <c r="D65" s="7" t="inlineStr">
        <is>
          <t>PRIOR CONTROLLED SOURCE — PIPELINE RECHECK</t>
        </is>
      </c>
      <c r="E65" s="7" t="n">
        <v>0</v>
      </c>
      <c r="F65" s="7" t="n">
        <v>1</v>
      </c>
      <c r="G65" s="7" t="n">
        <v>0</v>
      </c>
      <c r="H65" s="7" t="n">
        <v>0</v>
      </c>
      <c r="I65" s="7" t="n">
        <v>1</v>
      </c>
      <c r="J65" s="7" t="inlineStr">
        <is>
          <t>P006 HTTP; P018/P019/P021/P025 phrase checks as applicable</t>
        </is>
      </c>
      <c r="K65" s="7" t="inlineStr">
        <is>
          <t>Workbook snapshot only; pipeline must re-fetch and validate.</t>
        </is>
      </c>
    </row>
    <row r="66" ht="15.75" customHeight="1" s="29">
      <c r="A66" s="7" t="inlineStr">
        <is>
          <t>https://www.lcms.org/about/beliefs/lutheran-confessions</t>
        </is>
      </c>
      <c r="B66" s="7" t="inlineStr">
        <is>
          <t>2026-09-08</t>
        </is>
      </c>
      <c r="C66" s="7" t="inlineStr">
        <is>
          <t>CONTROLLED SOURCE — RECHECK ON BUILD</t>
        </is>
      </c>
      <c r="D66" s="7" t="inlineStr">
        <is>
          <t>PRIOR CONTROLLED SOURCE — PIPELINE RECHECK</t>
        </is>
      </c>
      <c r="E66" s="7" t="n">
        <v>0</v>
      </c>
      <c r="F66" s="7" t="n">
        <v>0</v>
      </c>
      <c r="G66" s="7" t="n">
        <v>0</v>
      </c>
      <c r="H66" s="7" t="n">
        <v>0</v>
      </c>
      <c r="I66" s="7" t="n">
        <v>0</v>
      </c>
      <c r="J66" s="7" t="inlineStr">
        <is>
          <t>P006 HTTP; P018/P019/P021/P025 phrase checks as applicable</t>
        </is>
      </c>
      <c r="K66" s="7" t="inlineStr">
        <is>
          <t>Workbook snapshot only; pipeline must re-fetch and validate.</t>
        </is>
      </c>
    </row>
    <row r="67" ht="15.75" customHeight="1" s="29">
      <c r="A67" s="7" t="inlineStr">
        <is>
          <t>https://www.mennoniteusa.org/who-are-mennonites/what-we-believe/confession-of-faith/creation-and-divine-providence/</t>
        </is>
      </c>
      <c r="B67" s="7" t="inlineStr">
        <is>
          <t>2026-09-08</t>
        </is>
      </c>
      <c r="C67" s="7" t="inlineStr">
        <is>
          <t>CONTROLLED SOURCE — RECHECK ON BUILD</t>
        </is>
      </c>
      <c r="D67" s="7" t="inlineStr">
        <is>
          <t>PRIOR CONTROLLED SOURCE — PIPELINE RECHECK</t>
        </is>
      </c>
      <c r="E67" s="7" t="n">
        <v>1</v>
      </c>
      <c r="F67" s="7" t="n">
        <v>0</v>
      </c>
      <c r="G67" s="7" t="n">
        <v>1</v>
      </c>
      <c r="H67" s="7" t="n">
        <v>0</v>
      </c>
      <c r="I67" s="7" t="n">
        <v>2</v>
      </c>
      <c r="J67" s="7" t="inlineStr">
        <is>
          <t>P006 HTTP; P018/P019/P021/P025 phrase checks as applicable</t>
        </is>
      </c>
      <c r="K67" s="7" t="inlineStr">
        <is>
          <t>Workbook snapshot only; pipeline must re-fetch and validate.</t>
        </is>
      </c>
    </row>
    <row r="68" ht="15.75" customHeight="1" s="29">
      <c r="A68" s="7" t="inlineStr">
        <is>
          <t>https://www.mennoniteusa.org/who-are-mennonites/what-we-believe/confession-of-faith/god/</t>
        </is>
      </c>
      <c r="B68" s="7" t="inlineStr">
        <is>
          <t>2026-09-08</t>
        </is>
      </c>
      <c r="C68" s="7" t="inlineStr">
        <is>
          <t>CONTROLLED SOURCE — RECHECK ON BUILD</t>
        </is>
      </c>
      <c r="D68" s="7" t="inlineStr">
        <is>
          <t>PRIOR CONTROLLED SOURCE — PIPELINE RECHECK</t>
        </is>
      </c>
      <c r="E68" s="7" t="n">
        <v>1</v>
      </c>
      <c r="F68" s="7" t="n">
        <v>0</v>
      </c>
      <c r="G68" s="7" t="n">
        <v>1</v>
      </c>
      <c r="H68" s="7" t="n">
        <v>0</v>
      </c>
      <c r="I68" s="7" t="n">
        <v>2</v>
      </c>
      <c r="J68" s="7" t="inlineStr">
        <is>
          <t>P006 HTTP; P018/P019/P021/P025 phrase checks as applicable</t>
        </is>
      </c>
      <c r="K68" s="7" t="inlineStr">
        <is>
          <t>Workbook snapshot only; pipeline must re-fetch and validate.</t>
        </is>
      </c>
    </row>
    <row r="69" ht="15.75" customHeight="1" s="29">
      <c r="A69" s="7" t="inlineStr">
        <is>
          <t>https://www.newadvent.org/fathers/3813.htm</t>
        </is>
      </c>
      <c r="B69" s="7" t="inlineStr">
        <is>
          <t>2026-09-08</t>
        </is>
      </c>
      <c r="C69" s="7" t="inlineStr">
        <is>
          <t>CONTROLLED SOURCE — RECHECK ON BUILD</t>
        </is>
      </c>
      <c r="D69" s="7" t="inlineStr">
        <is>
          <t>PRIOR CONTROLLED SOURCE — PIPELINE RECHECK</t>
        </is>
      </c>
      <c r="E69" s="7" t="n">
        <v>0</v>
      </c>
      <c r="F69" s="7" t="n">
        <v>0</v>
      </c>
      <c r="G69" s="7" t="n">
        <v>1</v>
      </c>
      <c r="H69" s="7" t="n">
        <v>0</v>
      </c>
      <c r="I69" s="7" t="n">
        <v>1</v>
      </c>
      <c r="J69" s="7" t="inlineStr">
        <is>
          <t>P006 HTTP; P018/P019/P021/P025 phrase checks as applicable</t>
        </is>
      </c>
      <c r="K69" s="7" t="inlineStr">
        <is>
          <t>Workbook snapshot only; pipeline must re-fetch and validate.</t>
        </is>
      </c>
    </row>
    <row r="70" ht="15.75" customHeight="1" s="29">
      <c r="A70" s="7" t="inlineStr">
        <is>
          <t>https://www.oca.org/orthodoxy/the-orthodox-faith/church-history/fifth-century/the-fourth-ecumenical-council</t>
        </is>
      </c>
      <c r="B70" s="7" t="inlineStr">
        <is>
          <t>2026-09-08</t>
        </is>
      </c>
      <c r="C70" s="7" t="inlineStr">
        <is>
          <t>CONTROLLED SOURCE — RECHECK ON BUILD</t>
        </is>
      </c>
      <c r="D70" s="7" t="inlineStr">
        <is>
          <t>PRIOR CONTROLLED SOURCE — PIPELINE RECHECK</t>
        </is>
      </c>
      <c r="E70" s="7" t="n">
        <v>0</v>
      </c>
      <c r="F70" s="7" t="n">
        <v>0</v>
      </c>
      <c r="G70" s="7" t="n">
        <v>0</v>
      </c>
      <c r="H70" s="7" t="n">
        <v>0</v>
      </c>
      <c r="I70" s="7" t="n">
        <v>0</v>
      </c>
      <c r="J70" s="7" t="inlineStr">
        <is>
          <t>P006 HTTP; P018/P019/P021/P025 phrase checks as applicable</t>
        </is>
      </c>
      <c r="K70" s="7" t="inlineStr">
        <is>
          <t>Workbook snapshot only; pipeline must re-fetch and validate.</t>
        </is>
      </c>
    </row>
    <row r="71" ht="15.75" customHeight="1" s="29">
      <c r="A71" s="7" t="inlineStr">
        <is>
          <t>https://www.oca.org/orthodoxy/the-orthodox-faith/church-history/seventh-century/the-sixth-ecumenical-council</t>
        </is>
      </c>
      <c r="B71" s="7" t="inlineStr">
        <is>
          <t>2026-09-08</t>
        </is>
      </c>
      <c r="C71" s="7" t="inlineStr">
        <is>
          <t>CONTROLLED SOURCE — RECHECK ON BUILD</t>
        </is>
      </c>
      <c r="D71" s="7" t="inlineStr">
        <is>
          <t>PRIOR CONTROLLED SOURCE — PIPELINE RECHECK</t>
        </is>
      </c>
      <c r="E71" s="7" t="n">
        <v>0</v>
      </c>
      <c r="F71" s="7" t="n">
        <v>0</v>
      </c>
      <c r="G71" s="7" t="n">
        <v>0</v>
      </c>
      <c r="H71" s="7" t="n">
        <v>0</v>
      </c>
      <c r="I71" s="7" t="n">
        <v>0</v>
      </c>
      <c r="J71" s="7" t="inlineStr">
        <is>
          <t>P006 HTTP; P018/P019/P021/P025 phrase checks as applicable</t>
        </is>
      </c>
      <c r="K71" s="7" t="inlineStr">
        <is>
          <t>Workbook snapshot only; pipeline must re-fetch and validate.</t>
        </is>
      </c>
    </row>
    <row r="72" ht="15.75" customHeight="1" s="29">
      <c r="A72" s="7" t="inlineStr">
        <is>
          <t>https://www.oca.org/orthodoxy/the-orthodox-faith/doctrine-scripture/symbol-of-faith/nicene-creed</t>
        </is>
      </c>
      <c r="B72" s="7" t="inlineStr">
        <is>
          <t>2026-09-08</t>
        </is>
      </c>
      <c r="C72" s="7" t="inlineStr">
        <is>
          <t>CONTROLLED SOURCE — RECHECK ON BUILD</t>
        </is>
      </c>
      <c r="D72" s="7" t="inlineStr">
        <is>
          <t>PRIOR CONTROLLED SOURCE — PIPELINE RECHECK</t>
        </is>
      </c>
      <c r="E72" s="7" t="n">
        <v>0</v>
      </c>
      <c r="F72" s="7" t="n">
        <v>0</v>
      </c>
      <c r="G72" s="7" t="n">
        <v>0</v>
      </c>
      <c r="H72" s="7" t="n">
        <v>0</v>
      </c>
      <c r="I72" s="7" t="n">
        <v>0</v>
      </c>
      <c r="J72" s="7" t="inlineStr">
        <is>
          <t>P006 HTTP; P018/P019/P021/P025 phrase checks as applicable</t>
        </is>
      </c>
      <c r="K72" s="7" t="inlineStr">
        <is>
          <t>Workbook snapshot only; pipeline must re-fetch and validate.</t>
        </is>
      </c>
    </row>
    <row r="73" ht="15.75" customHeight="1" s="29">
      <c r="A73" s="7" t="inlineStr">
        <is>
          <t>https://www.oca.org/orthodoxy/the-orthodox-faith/doctrine-scripture/the-holy-trinity/one-god-one-divine-nature-and-being</t>
        </is>
      </c>
      <c r="B73" s="7" t="inlineStr">
        <is>
          <t>2026-09-08</t>
        </is>
      </c>
      <c r="C73" s="7" t="inlineStr">
        <is>
          <t>CONTROLLED SOURCE — RECHECK ON BUILD</t>
        </is>
      </c>
      <c r="D73" s="7" t="inlineStr">
        <is>
          <t>PRIOR CONTROLLED SOURCE — PIPELINE RECHECK</t>
        </is>
      </c>
      <c r="E73" s="7" t="n">
        <v>0</v>
      </c>
      <c r="F73" s="7" t="n">
        <v>0</v>
      </c>
      <c r="G73" s="7" t="n">
        <v>0</v>
      </c>
      <c r="H73" s="7" t="n">
        <v>0</v>
      </c>
      <c r="I73" s="7" t="n">
        <v>0</v>
      </c>
      <c r="J73" s="7" t="inlineStr">
        <is>
          <t>P006 HTTP; P018/P019/P021/P025 phrase checks as applicable</t>
        </is>
      </c>
      <c r="K73" s="7" t="inlineStr">
        <is>
          <t>Workbook snapshot only; pipeline must re-fetch and validate.</t>
        </is>
      </c>
    </row>
    <row r="74" ht="15.75" customHeight="1" s="29">
      <c r="A74" s="7" t="inlineStr">
        <is>
          <t>https://www.oca.org/orthodoxy/the-orthodox-faith/doctrine-scripture/the-holy-trinity/the-three-divine-persons</t>
        </is>
      </c>
      <c r="B74" s="7" t="inlineStr">
        <is>
          <t>2026-09-08</t>
        </is>
      </c>
      <c r="C74" s="7" t="inlineStr">
        <is>
          <t>CONTROLLED SOURCE — RECHECK ON BUILD</t>
        </is>
      </c>
      <c r="D74" s="7" t="inlineStr">
        <is>
          <t>PRIOR CONTROLLED SOURCE — PIPELINE RECHECK</t>
        </is>
      </c>
      <c r="E74" s="7" t="n">
        <v>0</v>
      </c>
      <c r="F74" s="7" t="n">
        <v>0</v>
      </c>
      <c r="G74" s="7" t="n">
        <v>0</v>
      </c>
      <c r="H74" s="7" t="n">
        <v>0</v>
      </c>
      <c r="I74" s="7" t="n">
        <v>0</v>
      </c>
      <c r="J74" s="7" t="inlineStr">
        <is>
          <t>P006 HTTP; P018/P019/P021/P025 phrase checks as applicable</t>
        </is>
      </c>
      <c r="K74" s="7" t="inlineStr">
        <is>
          <t>Workbook snapshot only; pipeline must re-fetch and validate.</t>
        </is>
      </c>
    </row>
    <row r="75" ht="15.75" customHeight="1" s="29">
      <c r="A75" s="7" t="inlineStr">
        <is>
          <t>https://www.oca.org/orthodoxy/the-orthodox-faith/doctrine-scripture/the-symbol-of-faith/god</t>
        </is>
      </c>
      <c r="B75" s="7" t="inlineStr">
        <is>
          <t>2026-09-08</t>
        </is>
      </c>
      <c r="C75" s="7" t="inlineStr">
        <is>
          <t>CONTROLLED SOURCE — RECHECK ON BUILD</t>
        </is>
      </c>
      <c r="D75" s="7" t="inlineStr">
        <is>
          <t>PRIOR CONTROLLED SOURCE — PIPELINE RECHECK</t>
        </is>
      </c>
      <c r="E75" s="7" t="n">
        <v>0</v>
      </c>
      <c r="F75" s="7" t="n">
        <v>0</v>
      </c>
      <c r="G75" s="7" t="n">
        <v>0</v>
      </c>
      <c r="H75" s="7" t="n">
        <v>0</v>
      </c>
      <c r="I75" s="7" t="n">
        <v>0</v>
      </c>
      <c r="J75" s="7" t="inlineStr">
        <is>
          <t>P006 HTTP; P018/P019/P021/P025 phrase checks as applicable</t>
        </is>
      </c>
      <c r="K75" s="7" t="inlineStr">
        <is>
          <t>Workbook snapshot only; pipeline must re-fetch and validate.</t>
        </is>
      </c>
    </row>
    <row r="76" ht="15.75" customHeight="1" s="29">
      <c r="A76" s="7" t="inlineStr">
        <is>
          <t>https://www.oca.org/orthodoxy/the-orthodox-faith/doctrine-scripture/the-symbol-of-faith/nicene-creed</t>
        </is>
      </c>
      <c r="B76" s="7" t="inlineStr">
        <is>
          <t>2026-09-08</t>
        </is>
      </c>
      <c r="C76" s="7" t="inlineStr">
        <is>
          <t>CONTROLLED SOURCE — RECHECK ON BUILD</t>
        </is>
      </c>
      <c r="D76" s="7" t="inlineStr">
        <is>
          <t>PRIOR CONTROLLED SOURCE — PIPELINE RECHECK</t>
        </is>
      </c>
      <c r="E76" s="7" t="n">
        <v>0</v>
      </c>
      <c r="F76" s="7" t="n">
        <v>0</v>
      </c>
      <c r="G76" s="7" t="n">
        <v>1</v>
      </c>
      <c r="H76" s="7" t="n">
        <v>0</v>
      </c>
      <c r="I76" s="7" t="n">
        <v>1</v>
      </c>
      <c r="J76" s="7" t="inlineStr">
        <is>
          <t>P006 HTTP; P018/P019/P021/P025 phrase checks as applicable</t>
        </is>
      </c>
      <c r="K76" s="7" t="inlineStr">
        <is>
          <t>Workbook snapshot only; pipeline must re-fetch and validate.</t>
        </is>
      </c>
    </row>
    <row r="77" ht="15.75" customHeight="1" s="29">
      <c r="A77" s="7" t="inlineStr">
        <is>
          <t>https://www.oca.org/saints/lives/1981/01/25/100298-saint-gregory-the-theologian-archbishop-of-constantinople</t>
        </is>
      </c>
      <c r="B77" s="7" t="inlineStr">
        <is>
          <t>2026-09-08</t>
        </is>
      </c>
      <c r="C77" s="7" t="inlineStr">
        <is>
          <t>CONTROLLED SOURCE — RECHECK ON BUILD</t>
        </is>
      </c>
      <c r="D77" s="7" t="inlineStr">
        <is>
          <t>PRIOR CONTROLLED SOURCE — PIPELINE RECHECK</t>
        </is>
      </c>
      <c r="E77" s="7" t="n">
        <v>0</v>
      </c>
      <c r="F77" s="7" t="n">
        <v>0</v>
      </c>
      <c r="G77" s="7" t="n">
        <v>0</v>
      </c>
      <c r="H77" s="7" t="n">
        <v>0</v>
      </c>
      <c r="I77" s="7" t="n">
        <v>0</v>
      </c>
      <c r="J77" s="7" t="inlineStr">
        <is>
          <t>P006 HTTP; P018/P019/P021/P025 phrase checks as applicable</t>
        </is>
      </c>
      <c r="K77" s="7" t="inlineStr">
        <is>
          <t>Workbook snapshot only; pipeline must re-fetch and validate.</t>
        </is>
      </c>
    </row>
    <row r="78" ht="15.75" customHeight="1" s="29">
      <c r="A78" s="7" t="inlineStr">
        <is>
          <t>https://www.sbc.net/resource-library/resolutions/on-integrity-in-sbc-leadership/</t>
        </is>
      </c>
      <c r="B78" s="7" t="inlineStr">
        <is>
          <t>2026-09-08</t>
        </is>
      </c>
      <c r="C78" s="7" t="inlineStr">
        <is>
          <t>REACHABLE / CONTENT WITNESS</t>
        </is>
      </c>
      <c r="D78" s="7" t="inlineStr">
        <is>
          <t>WEB CONTENT VERIFIED — ICC-001 SOURCE</t>
        </is>
      </c>
      <c r="E78" s="7" t="n">
        <v>0</v>
      </c>
      <c r="F78" s="7" t="n">
        <v>0</v>
      </c>
      <c r="G78" s="7" t="n">
        <v>0</v>
      </c>
      <c r="H78" s="7" t="n">
        <v>1</v>
      </c>
      <c r="I78" s="7" t="n">
        <v>1</v>
      </c>
      <c r="J78" s="7" t="inlineStr">
        <is>
          <t>P006 HTTP; P018/P019/P021/P025 phrase checks as applicable</t>
        </is>
      </c>
      <c r="K78" s="7" t="inlineStr">
        <is>
          <t>Workbook snapshot only; pipeline must re-fetch and validate.</t>
        </is>
      </c>
    </row>
    <row r="79" ht="15.75" customHeight="1" s="29">
      <c r="A79" s="7" t="inlineStr">
        <is>
          <t>https://www.sbc.net/resource-library/resolutions/resolution-on-southern-baptists-and-roman-catholics/</t>
        </is>
      </c>
      <c r="B79" s="7" t="inlineStr">
        <is>
          <t>2026-09-08</t>
        </is>
      </c>
      <c r="C79" s="7" t="inlineStr">
        <is>
          <t>REACHABLE / CONTENT WITNESS</t>
        </is>
      </c>
      <c r="D79" s="7" t="inlineStr">
        <is>
          <t>WEB CONTENT VERIFIED — ICC-001 SOURCE</t>
        </is>
      </c>
      <c r="E79" s="7" t="n">
        <v>0</v>
      </c>
      <c r="F79" s="7" t="n">
        <v>0</v>
      </c>
      <c r="G79" s="7" t="n">
        <v>0</v>
      </c>
      <c r="H79" s="7" t="n">
        <v>1</v>
      </c>
      <c r="I79" s="7" t="n">
        <v>1</v>
      </c>
      <c r="J79" s="7" t="inlineStr">
        <is>
          <t>P006 HTTP; P018/P019/P021/P025 phrase checks as applicable</t>
        </is>
      </c>
      <c r="K79" s="7" t="inlineStr">
        <is>
          <t>Workbook snapshot only; pipeline must re-fetch and validate.</t>
        </is>
      </c>
    </row>
    <row r="80" ht="15.75" customHeight="1" s="29">
      <c r="A80" s="7" t="inlineStr">
        <is>
          <t>https://www.the1689confession.com/1689/chapter-11</t>
        </is>
      </c>
      <c r="B80" s="7" t="inlineStr">
        <is>
          <t>2026-09-08</t>
        </is>
      </c>
      <c r="C80" s="7" t="inlineStr">
        <is>
          <t>REACHABLE / CONTENT WITNESS</t>
        </is>
      </c>
      <c r="D80" s="7" t="inlineStr">
        <is>
          <t>WEB CONTENT VERIFIED — ICC-001 SOURCE</t>
        </is>
      </c>
      <c r="E80" s="7" t="n">
        <v>0</v>
      </c>
      <c r="F80" s="7" t="n">
        <v>0</v>
      </c>
      <c r="G80" s="7" t="n">
        <v>0</v>
      </c>
      <c r="H80" s="7" t="n">
        <v>2</v>
      </c>
      <c r="I80" s="7" t="n">
        <v>2</v>
      </c>
      <c r="J80" s="7" t="inlineStr">
        <is>
          <t>P006 HTTP; P018/P019/P021/P025 phrase checks as applicable</t>
        </is>
      </c>
      <c r="K80" s="7" t="inlineStr">
        <is>
          <t>Workbook snapshot only; pipeline must re-fetch and validate.</t>
        </is>
      </c>
    </row>
    <row r="81" ht="15.75" customHeight="1" s="29">
      <c r="A81" s="7" t="inlineStr">
        <is>
          <t>https://www.the1689confession.com/1689/chapter-26</t>
        </is>
      </c>
      <c r="B81" s="7" t="inlineStr">
        <is>
          <t>2026-09-08</t>
        </is>
      </c>
      <c r="C81" s="7" t="inlineStr">
        <is>
          <t>REACHABLE / CONTENT WITNESS</t>
        </is>
      </c>
      <c r="D81" s="7" t="inlineStr">
        <is>
          <t>WEB CONTENT VERIFIED — ICC-001 SOURCE</t>
        </is>
      </c>
      <c r="E81" s="7" t="n">
        <v>0</v>
      </c>
      <c r="F81" s="7" t="n">
        <v>0</v>
      </c>
      <c r="G81" s="7" t="n">
        <v>0</v>
      </c>
      <c r="H81" s="7" t="n">
        <v>2</v>
      </c>
      <c r="I81" s="7" t="n">
        <v>2</v>
      </c>
      <c r="J81" s="7" t="inlineStr">
        <is>
          <t>P006 HTTP; P018/P019/P021/P025 phrase checks as applicable</t>
        </is>
      </c>
      <c r="K81" s="7" t="inlineStr">
        <is>
          <t>Workbook snapshot only; pipeline must re-fetch and validate.</t>
        </is>
      </c>
    </row>
    <row r="82" ht="15.75" customHeight="1" s="29">
      <c r="A82" s="7" t="inlineStr">
        <is>
          <t>https://www.umc.org/en/content/articles-of-religion</t>
        </is>
      </c>
      <c r="B82" s="7" t="inlineStr">
        <is>
          <t>2026-09-08</t>
        </is>
      </c>
      <c r="C82" s="7" t="inlineStr">
        <is>
          <t>CONTROLLED SOURCE — RECHECK ON BUILD</t>
        </is>
      </c>
      <c r="D82" s="7" t="inlineStr">
        <is>
          <t>PRIOR CONTROLLED SOURCE — PIPELINE RECHECK</t>
        </is>
      </c>
      <c r="E82" s="7" t="n">
        <v>1</v>
      </c>
      <c r="F82" s="7" t="n">
        <v>0</v>
      </c>
      <c r="G82" s="7" t="n">
        <v>3</v>
      </c>
      <c r="H82" s="7" t="n">
        <v>0</v>
      </c>
      <c r="I82" s="7" t="n">
        <v>4</v>
      </c>
      <c r="J82" s="7" t="inlineStr">
        <is>
          <t>P006 HTTP; P018/P019/P021/P025 phrase checks as applicable</t>
        </is>
      </c>
      <c r="K82" s="7" t="inlineStr">
        <is>
          <t>Workbook snapshot only; pipeline must re-fetch and validate.</t>
        </is>
      </c>
    </row>
    <row r="83" ht="15.75" customHeight="1" s="29">
      <c r="A83" s="7" t="inlineStr">
        <is>
          <t>https://www.umc.org/en/content/confession-of-faith</t>
        </is>
      </c>
      <c r="B83" s="7" t="inlineStr">
        <is>
          <t>2026-09-08</t>
        </is>
      </c>
      <c r="C83" s="7" t="inlineStr">
        <is>
          <t>CONTROLLED SOURCE — RECHECK ON BUILD</t>
        </is>
      </c>
      <c r="D83" s="7" t="inlineStr">
        <is>
          <t>PRIOR CONTROLLED SOURCE — PIPELINE RECHECK</t>
        </is>
      </c>
      <c r="E83" s="7" t="n">
        <v>4</v>
      </c>
      <c r="F83" s="7" t="n">
        <v>0</v>
      </c>
      <c r="G83" s="7" t="n">
        <v>0</v>
      </c>
      <c r="H83" s="7" t="n">
        <v>0</v>
      </c>
      <c r="I83" s="7" t="n">
        <v>4</v>
      </c>
      <c r="J83" s="7" t="inlineStr">
        <is>
          <t>P006 HTTP; P018/P019/P021/P025 phrase checks as applicable</t>
        </is>
      </c>
      <c r="K83" s="7" t="inlineStr">
        <is>
          <t>Workbook snapshot only; pipeline must re-fetch and validate.</t>
        </is>
      </c>
    </row>
    <row r="84" ht="15.75" customHeight="1" s="29">
      <c r="A84" s="7" t="inlineStr">
        <is>
          <t>https://www.umc.org/en/content/foundational-documents</t>
        </is>
      </c>
      <c r="B84" s="7" t="inlineStr">
        <is>
          <t>2026-09-08</t>
        </is>
      </c>
      <c r="C84" s="7" t="inlineStr">
        <is>
          <t>CONTROLLED SOURCE — RECHECK ON BUILD</t>
        </is>
      </c>
      <c r="D84" s="7" t="inlineStr">
        <is>
          <t>PRIOR CONTROLLED SOURCE — PIPELINE RECHECK</t>
        </is>
      </c>
      <c r="E84" s="7" t="n">
        <v>0</v>
      </c>
      <c r="F84" s="7" t="n">
        <v>0</v>
      </c>
      <c r="G84" s="7" t="n">
        <v>0</v>
      </c>
      <c r="H84" s="7" t="n">
        <v>0</v>
      </c>
      <c r="I84" s="7" t="n">
        <v>0</v>
      </c>
      <c r="J84" s="7" t="inlineStr">
        <is>
          <t>P006 HTTP; P018/P019/P021/P025 phrase checks as applicable</t>
        </is>
      </c>
      <c r="K84" s="7" t="inlineStr">
        <is>
          <t>Workbook snapshot only; pipeline must re-fetch and validate.</t>
        </is>
      </c>
    </row>
    <row r="85" ht="15.75" customHeight="1" s="29">
      <c r="A85" s="7" t="inlineStr">
        <is>
          <t>https://www.vatican.va/archive/compendium_ccc/documents/archive_2005_compendium-ccc_en.html</t>
        </is>
      </c>
      <c r="B85" s="7" t="inlineStr">
        <is>
          <t>2026-09-08</t>
        </is>
      </c>
      <c r="C85" s="7" t="inlineStr">
        <is>
          <t>CONTROLLED SOURCE — RECHECK ON BUILD</t>
        </is>
      </c>
      <c r="D85" s="7" t="inlineStr">
        <is>
          <t>PRIOR CONTROLLED SOURCE — PIPELINE RECHECK</t>
        </is>
      </c>
      <c r="E85" s="7" t="n">
        <v>1</v>
      </c>
      <c r="F85" s="7" t="n">
        <v>0</v>
      </c>
      <c r="G85" s="7" t="n">
        <v>0</v>
      </c>
      <c r="H85" s="7" t="n">
        <v>0</v>
      </c>
      <c r="I85" s="7" t="n">
        <v>1</v>
      </c>
      <c r="J85" s="7" t="inlineStr">
        <is>
          <t>P006 HTTP; P018/P019/P021/P025 phrase checks as applicable</t>
        </is>
      </c>
      <c r="K85" s="7" t="inlineStr">
        <is>
          <t>Workbook snapshot only; pipeline must re-fetch and validate.</t>
        </is>
      </c>
    </row>
    <row r="86" ht="15.75" customHeight="1" s="29">
      <c r="A86" s="7" t="inlineStr">
        <is>
          <t>https://www.vatican.va/archive/hist_councils/i-vatican-council/documents/vat-i_const_18700424_dei-filius_la.html</t>
        </is>
      </c>
      <c r="B86" s="7" t="inlineStr">
        <is>
          <t>2026-09-08</t>
        </is>
      </c>
      <c r="C86" s="7" t="inlineStr">
        <is>
          <t>CONTROLLED SOURCE — RECHECK ON BUILD</t>
        </is>
      </c>
      <c r="D86" s="7" t="inlineStr">
        <is>
          <t>PRIOR CONTROLLED SOURCE — PIPELINE RECHECK</t>
        </is>
      </c>
      <c r="E86" s="7" t="n">
        <v>0</v>
      </c>
      <c r="F86" s="7" t="n">
        <v>0</v>
      </c>
      <c r="G86" s="7" t="n">
        <v>0</v>
      </c>
      <c r="H86" s="7" t="n">
        <v>0</v>
      </c>
      <c r="I86" s="7" t="n">
        <v>0</v>
      </c>
      <c r="J86" s="7" t="inlineStr">
        <is>
          <t>P006 HTTP; P018/P019/P021/P025 phrase checks as applicable</t>
        </is>
      </c>
      <c r="K86" s="7" t="inlineStr">
        <is>
          <t>Workbook snapshot only; pipeline must re-fetch and validate.</t>
        </is>
      </c>
    </row>
    <row r="87" ht="15.75" customHeight="1" s="29">
      <c r="A87" s="7" t="inlineStr">
        <is>
          <t>https://www.vatican.va/content/catechism/en/part_one/section_one/chapter_one/iv_how_can_we_speak_about_god.html</t>
        </is>
      </c>
      <c r="B87" s="7" t="inlineStr">
        <is>
          <t>2026-09-08</t>
        </is>
      </c>
      <c r="C87" s="7" t="inlineStr">
        <is>
          <t>CONTROLLED SOURCE — RECHECK ON BUILD</t>
        </is>
      </c>
      <c r="D87" s="7" t="inlineStr">
        <is>
          <t>PRIOR CONTROLLED SOURCE — PIPELINE RECHECK</t>
        </is>
      </c>
      <c r="E87" s="7" t="n">
        <v>2</v>
      </c>
      <c r="F87" s="7" t="n">
        <v>0</v>
      </c>
      <c r="G87" s="7" t="n">
        <v>0</v>
      </c>
      <c r="H87" s="7" t="n">
        <v>0</v>
      </c>
      <c r="I87" s="7" t="n">
        <v>2</v>
      </c>
      <c r="J87" s="7" t="inlineStr">
        <is>
          <t>P006 HTTP; P018/P019/P021/P025 phrase checks as applicable</t>
        </is>
      </c>
      <c r="K87" s="7" t="inlineStr">
        <is>
          <t>Workbook snapshot only; pipeline must re-fetch and validate.</t>
        </is>
      </c>
    </row>
    <row r="88" ht="15.75" customHeight="1" s="29">
      <c r="A88" s="7" t="inlineStr">
        <is>
          <t>https://www.vatican.va/content/catechism/en/part_one/section_one/chapter_three/article_2/the_credo.html</t>
        </is>
      </c>
      <c r="B88" s="7" t="inlineStr">
        <is>
          <t>2026-09-08</t>
        </is>
      </c>
      <c r="C88" s="7" t="inlineStr">
        <is>
          <t>CONTROLLED SOURCE — RECHECK ON BUILD</t>
        </is>
      </c>
      <c r="D88" s="7" t="inlineStr">
        <is>
          <t>PRIOR CONTROLLED SOURCE — PIPELINE RECHECK</t>
        </is>
      </c>
      <c r="E88" s="7" t="n">
        <v>3</v>
      </c>
      <c r="F88" s="7" t="n">
        <v>0</v>
      </c>
      <c r="G88" s="7" t="n">
        <v>0</v>
      </c>
      <c r="H88" s="7" t="n">
        <v>0</v>
      </c>
      <c r="I88" s="7" t="n">
        <v>3</v>
      </c>
      <c r="J88" s="7" t="inlineStr">
        <is>
          <t>P006 HTTP; P018/P019/P021/P025 phrase checks as applicable</t>
        </is>
      </c>
      <c r="K88" s="7" t="inlineStr">
        <is>
          <t>Workbook snapshot only; pipeline must re-fetch and validate.</t>
        </is>
      </c>
    </row>
    <row r="89" ht="15.75" customHeight="1" s="29">
      <c r="A89" s="7" t="inlineStr">
        <is>
          <t>https://www.vatican.va/content/catechism/en/part_one/section_two/chapter_two/artcile_3.html</t>
        </is>
      </c>
      <c r="B89" s="7" t="inlineStr">
        <is>
          <t>2026-09-08</t>
        </is>
      </c>
      <c r="C89" s="7" t="inlineStr">
        <is>
          <t>CONTROLLED SOURCE — RECHECK ON BUILD</t>
        </is>
      </c>
      <c r="D89" s="7" t="inlineStr">
        <is>
          <t>PRIOR CONTROLLED SOURCE — PIPELINE RECHECK</t>
        </is>
      </c>
      <c r="E89" s="7" t="n">
        <v>4</v>
      </c>
      <c r="F89" s="7" t="n">
        <v>0</v>
      </c>
      <c r="G89" s="7" t="n">
        <v>0</v>
      </c>
      <c r="H89" s="7" t="n">
        <v>0</v>
      </c>
      <c r="I89" s="7" t="n">
        <v>4</v>
      </c>
      <c r="J89" s="7" t="inlineStr">
        <is>
          <t>P006 HTTP; P018/P019/P021/P025 phrase checks as applicable</t>
        </is>
      </c>
      <c r="K89" s="7" t="inlineStr">
        <is>
          <t>Workbook snapshot only; pipeline must re-fetch and validate.</t>
        </is>
      </c>
    </row>
    <row r="90" ht="15.75" customHeight="1" s="29">
      <c r="A90" s="7" t="inlineStr">
        <is>
          <t>https://www.vaticannews.va/en/prayers/the-apostles_-creed.html</t>
        </is>
      </c>
      <c r="B90" s="7" t="inlineStr">
        <is>
          <t>2026-09-08</t>
        </is>
      </c>
      <c r="C90" s="7" t="inlineStr">
        <is>
          <t>CONTROLLED SOURCE — RECHECK ON BUILD</t>
        </is>
      </c>
      <c r="D90" s="7" t="inlineStr">
        <is>
          <t>PRIOR CONTROLLED SOURCE — PIPELINE RECHECK</t>
        </is>
      </c>
      <c r="E90" s="7" t="n">
        <v>3</v>
      </c>
      <c r="F90" s="7" t="n">
        <v>0</v>
      </c>
      <c r="G90" s="7" t="n">
        <v>1</v>
      </c>
      <c r="H90" s="7" t="n">
        <v>0</v>
      </c>
      <c r="I90" s="7" t="n">
        <v>4</v>
      </c>
      <c r="J90" s="7" t="inlineStr">
        <is>
          <t>P006 HTTP; P018/P019/P021/P025 phrase checks as applicable</t>
        </is>
      </c>
      <c r="K90" s="7" t="inlineStr">
        <is>
          <t>Workbook snapshot only; pipeline must re-fetch and validate.</t>
        </is>
      </c>
    </row>
    <row r="91" ht="15.75" customHeight="1" s="29">
      <c r="A91" s="0" t="inlineStr">
        <is>
          <t>https://www.oca.org/orthodoxy/the-orthodox-faith/doctrine-scripture/the-holy-trinity/one-god-one-father</t>
        </is>
      </c>
      <c r="B91" s="0" t="inlineStr">
        <is>
          <t>2026-09-09</t>
        </is>
      </c>
      <c r="C91" s="0" t="inlineStr">
        <is>
          <t>REACHABLE</t>
        </is>
      </c>
      <c r="D91" s="0" t="inlineStr">
        <is>
          <t>WEB OPEN OK (Claude fetch; phrase present)</t>
        </is>
      </c>
      <c r="E91" s="0" t="inlineStr">
        <is>
          <t>200–399 required at build</t>
        </is>
      </c>
      <c r="F91" s="0" t="inlineStr">
        <is>
          <t>H37 Eastern Orthodox controlling source; phrase "There is only one God because there is only one Father" verified present.</t>
        </is>
      </c>
    </row>
    <row r="92" ht="15.75" customHeight="1" s="29">
      <c r="A92" s="0" t="inlineStr">
        <is>
          <t>https://www.oca.org/orthodoxy/the-orthodox-faith/doctrine-scripture/the-symbol-of-faith/son-of-god</t>
        </is>
      </c>
      <c r="B92" s="0" t="inlineStr">
        <is>
          <t>2026-09-09</t>
        </is>
      </c>
      <c r="C92" s="0" t="inlineStr">
        <is>
          <t>REACHABLE</t>
        </is>
      </c>
      <c r="D92" s="0" t="inlineStr">
        <is>
          <t>WEB OPEN OK (Claude fetch; phrase present)</t>
        </is>
      </c>
      <c r="E92" s="0" t="inlineStr">
        <is>
          <t>200–399 required at build</t>
        </is>
      </c>
      <c r="F92" s="0" t="inlineStr">
        <is>
          <t>H37 Eastern Orthodox supplemental source; phrase "God is an eternal Father by nature" verified present.</t>
        </is>
      </c>
    </row>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12" customWidth="1" style="29" min="2" max="2"/>
    <col width="34" customWidth="1" style="29" min="3" max="3"/>
    <col width="66" customWidth="1" style="29" min="4" max="4"/>
    <col width="28" customWidth="1" style="29" min="5" max="6"/>
    <col width="60" customWidth="1" style="29" min="7" max="7"/>
    <col width="36" customWidth="1" style="29" min="8" max="8"/>
    <col width="8.630000000000001" customWidth="1" style="29" min="9" max="26"/>
  </cols>
  <sheetData>
    <row r="1">
      <c r="A1" s="15" t="inlineStr">
        <is>
          <t>Rule ID</t>
        </is>
      </c>
      <c r="B1" s="15" t="inlineStr">
        <is>
          <t>Severity</t>
        </is>
      </c>
      <c r="C1" s="15" t="inlineStr">
        <is>
          <t>Raw source</t>
        </is>
      </c>
      <c r="D1" s="15" t="inlineStr">
        <is>
          <t>Check</t>
        </is>
      </c>
      <c r="E1" s="15" t="inlineStr">
        <is>
          <t>Expected</t>
        </is>
      </c>
      <c r="F1" s="15" t="inlineStr">
        <is>
          <t>Failure behavior</t>
        </is>
      </c>
      <c r="G1" s="15" t="inlineStr">
        <is>
          <t>Why</t>
        </is>
      </c>
      <c r="H1" s="15" t="inlineStr">
        <is>
          <t>Workbook snapshot equivalent</t>
        </is>
      </c>
    </row>
    <row r="2">
      <c r="A2" s="7" t="inlineStr">
        <is>
          <t>P001</t>
        </is>
      </c>
      <c r="B2" s="7" t="inlineStr">
        <is>
          <t>BLOCK</t>
        </is>
      </c>
      <c r="C2" s="7" t="inlineStr">
        <is>
          <t>Evidence-First Cell Queue</t>
        </is>
      </c>
      <c r="D2" s="7" t="inlineStr">
        <is>
          <t>Data row count</t>
        </is>
      </c>
      <c r="E2" s="7" t="n">
        <v>456</v>
      </c>
      <c r="F2" s="7" t="inlineStr">
        <is>
          <t>FAIL BUILD</t>
        </is>
      </c>
      <c r="G2" s="7" t="inlineStr">
        <is>
          <t>Prevents missing merged rows.</t>
        </is>
      </c>
      <c r="H2" s="7" t="inlineStr">
        <is>
          <t>V001</t>
        </is>
      </c>
    </row>
    <row r="3">
      <c r="A3" s="7" t="inlineStr">
        <is>
          <t>P002</t>
        </is>
      </c>
      <c r="B3" s="7" t="inlineStr">
        <is>
          <t>BLOCK</t>
        </is>
      </c>
      <c r="C3" s="7" t="inlineStr">
        <is>
          <t>Evidence-First Cell Queue</t>
        </is>
      </c>
      <c r="D3" s="7" t="inlineStr">
        <is>
          <t>Queue ID set exactly Q-001…Q-456</t>
        </is>
      </c>
      <c r="E3" s="7" t="inlineStr">
        <is>
          <t>Exact set</t>
        </is>
      </c>
      <c r="F3" s="7" t="inlineStr">
        <is>
          <t>FAIL BUILD</t>
        </is>
      </c>
      <c r="G3" s="7" t="inlineStr">
        <is>
          <t>Stable foreign keys and 57×8 completeness.</t>
        </is>
      </c>
      <c r="H3" s="7" t="inlineStr">
        <is>
          <t>V002–V006</t>
        </is>
      </c>
    </row>
    <row r="4">
      <c r="A4" s="7" t="inlineStr">
        <is>
          <t>P003</t>
        </is>
      </c>
      <c r="B4" s="7" t="inlineStr">
        <is>
          <t>BLOCK</t>
        </is>
      </c>
      <c r="C4" s="7" t="inlineStr">
        <is>
          <t>Evidence-First Cell Queue</t>
        </is>
      </c>
      <c r="D4" s="7" t="inlineStr">
        <is>
          <t>Rendered State nonblank and in State Vocabulary</t>
        </is>
      </c>
      <c r="E4" s="7" t="inlineStr">
        <is>
          <t>456 valid</t>
        </is>
      </c>
      <c r="F4" s="7" t="inlineStr">
        <is>
          <t>FAIL BUILD</t>
        </is>
      </c>
      <c r="G4" s="7" t="inlineStr">
        <is>
          <t>App must never infer from null.</t>
        </is>
      </c>
      <c r="H4" s="7" t="inlineStr">
        <is>
          <t>V007/V017</t>
        </is>
      </c>
    </row>
    <row r="5">
      <c r="A5" s="7" t="inlineStr">
        <is>
          <t>P004</t>
        </is>
      </c>
      <c r="B5" s="7" t="inlineStr">
        <is>
          <t>BLOCK</t>
        </is>
      </c>
      <c r="C5" s="7" t="inlineStr">
        <is>
          <t>Evidence-First Cell Queue</t>
        </is>
      </c>
      <c r="D5" s="7" t="inlineStr">
        <is>
          <t>Metric Class in A/Q/D/EXCLUDED and consistent with Rendered State</t>
        </is>
      </c>
      <c r="E5" s="7" t="inlineStr">
        <is>
          <t>456 valid</t>
        </is>
      </c>
      <c r="F5" s="7" t="inlineStr">
        <is>
          <t>FAIL BUILD</t>
        </is>
      </c>
      <c r="G5" s="7" t="inlineStr">
        <is>
          <t>Prevents state/metric drift.</t>
        </is>
      </c>
      <c r="H5" s="7" t="inlineStr">
        <is>
          <t>V018</t>
        </is>
      </c>
    </row>
    <row r="6">
      <c r="A6" s="7" t="inlineStr">
        <is>
          <t>P005</t>
        </is>
      </c>
      <c r="B6" s="7" t="inlineStr">
        <is>
          <t>BLOCK</t>
        </is>
      </c>
      <c r="C6" s="7" t="inlineStr">
        <is>
          <t>Evidence-First Cell Queue + Inherited Public Citations</t>
        </is>
      </c>
      <c r="D6" s="7" t="inlineStr">
        <is>
          <t>Reject any URL ending literal '...'</t>
        </is>
      </c>
      <c r="E6" s="7" t="inlineStr">
        <is>
          <t>0</t>
        </is>
      </c>
      <c r="F6" s="7" t="inlineStr">
        <is>
          <t>FAIL BUILD</t>
        </is>
      </c>
      <c r="G6" s="7" t="inlineStr">
        <is>
          <t>Prevents truncated display URLs.</t>
        </is>
      </c>
      <c r="H6" s="7" t="inlineStr">
        <is>
          <t>V009/V026</t>
        </is>
      </c>
    </row>
    <row r="7">
      <c r="A7" s="7" t="inlineStr">
        <is>
          <t>P006</t>
        </is>
      </c>
      <c r="B7" s="7" t="inlineStr">
        <is>
          <t>BLOCK</t>
        </is>
      </c>
      <c r="C7" s="7" t="inlineStr">
        <is>
          <t>All distinct public URLs</t>
        </is>
      </c>
      <c r="D7" s="7" t="inlineStr">
        <is>
          <t>HTTP GET/HEAD with redirects; accept 200–399; retry transient errors; explicit whitelist only for access-controlled hosts</t>
        </is>
      </c>
      <c r="E7" s="7" t="inlineStr">
        <is>
          <t>0 unresolved failures</t>
        </is>
      </c>
      <c r="F7" s="7" t="inlineStr">
        <is>
          <t>FAIL BUILD</t>
        </is>
      </c>
      <c r="G7" s="7" t="inlineStr">
        <is>
          <t>String checks cannot detect dead links.</t>
        </is>
      </c>
      <c r="H7" s="7" t="inlineStr">
        <is>
          <t>URL Validation Snapshot is reachability log only</t>
        </is>
      </c>
    </row>
    <row r="8">
      <c r="A8" s="7" t="inlineStr">
        <is>
          <t>P007</t>
        </is>
      </c>
      <c r="B8" s="7" t="inlineStr">
        <is>
          <t>BLOCK</t>
        </is>
      </c>
      <c r="C8" s="7" t="inlineStr">
        <is>
          <t>PC(USA) rows</t>
        </is>
      </c>
      <c r="D8" s="7" t="inlineStr">
        <is>
          <t>Text URL must equal live Book of Confessions PDF</t>
        </is>
      </c>
      <c r="E8" s="7" t="inlineStr">
        <is>
          <t>No old/dead URL</t>
        </is>
      </c>
      <c r="F8" s="7" t="inlineStr">
        <is>
          <t>FAIL BUILD</t>
        </is>
      </c>
      <c r="G8" s="7" t="inlineStr">
        <is>
          <t>Repairs reviewed blocker.</t>
        </is>
      </c>
      <c r="H8" s="7" t="inlineStr">
        <is>
          <t>V010</t>
        </is>
      </c>
    </row>
    <row r="9">
      <c r="A9" s="7" t="inlineStr">
        <is>
          <t>P008</t>
        </is>
      </c>
      <c r="B9" s="7" t="inlineStr">
        <is>
          <t>BLOCK</t>
        </is>
      </c>
      <c r="C9" s="7" t="inlineStr">
        <is>
          <t>Matrix Case Studies / queue</t>
        </is>
      </c>
      <c r="D9" s="7" t="inlineStr">
        <is>
          <t>CASE-A=H05 8 A; CASE-Q=H22 8 Q; H43=5 D + 1 pending + 2 current-source gaps</t>
        </is>
      </c>
      <c r="E9" s="7" t="inlineStr">
        <is>
          <t>Exact distribution</t>
        </is>
      </c>
      <c r="F9" s="7" t="inlineStr">
        <is>
          <t>FAIL BUILD</t>
        </is>
      </c>
      <c r="G9" s="7" t="inlineStr">
        <is>
          <t>Prevents stale case-study claims.</t>
        </is>
      </c>
      <c r="H9" s="7" t="inlineStr">
        <is>
          <t>V011–V015</t>
        </is>
      </c>
    </row>
    <row r="10">
      <c r="A10" s="7" t="inlineStr">
        <is>
          <t>P009</t>
        </is>
      </c>
      <c r="B10" s="7" t="inlineStr">
        <is>
          <t>BLOCK</t>
        </is>
      </c>
      <c r="C10" s="7" t="inlineStr">
        <is>
          <t>Inference Support</t>
        </is>
      </c>
      <c r="D10" s="7" t="inlineStr">
        <is>
          <t>E:F:G for INF-01…13 must be formulas or pipeline-recomputed and equal raw-sheet recomputation</t>
        </is>
      </c>
      <c r="E10" s="7" t="inlineStr">
        <is>
          <t>13 exact matches</t>
        </is>
      </c>
      <c r="F10" s="7" t="inlineStr">
        <is>
          <t>FAIL BUILD</t>
        </is>
      </c>
      <c r="G10" s="7" t="inlineStr">
        <is>
          <t>Prevents drift after cell certification.</t>
        </is>
      </c>
      <c r="H10" s="7" t="inlineStr">
        <is>
          <t>New live formulas</t>
        </is>
      </c>
    </row>
    <row r="11">
      <c r="A11" s="7" t="inlineStr">
        <is>
          <t>P010</t>
        </is>
      </c>
      <c r="B11" s="7" t="inlineStr">
        <is>
          <t>BLOCK</t>
        </is>
      </c>
      <c r="C11" s="7" t="inlineStr">
        <is>
          <t>Branch State Summary</t>
        </is>
      </c>
      <c r="D11" s="7" t="inlineStr">
        <is>
          <t>Derived from queue; each branch partitions to 57</t>
        </is>
      </c>
      <c r="E11" s="7" t="inlineStr">
        <is>
          <t>8 MATCH</t>
        </is>
      </c>
      <c r="F11" s="7" t="inlineStr">
        <is>
          <t>FAIL BUILD</t>
        </is>
      </c>
      <c r="G11" s="7" t="inlineStr">
        <is>
          <t>Completeness only, not theological correctness.</t>
        </is>
      </c>
      <c r="H11" s="7" t="inlineStr">
        <is>
          <t>V032</t>
        </is>
      </c>
    </row>
    <row r="12">
      <c r="A12" s="7" t="inlineStr">
        <is>
          <t>P011</t>
        </is>
      </c>
      <c r="B12" s="7" t="inlineStr">
        <is>
          <t>BLOCK</t>
        </is>
      </c>
      <c r="C12" s="7" t="inlineStr">
        <is>
          <t>Final 24 + Reconciliation Pass 2</t>
        </is>
      </c>
      <c r="D12" s="7" t="inlineStr">
        <is>
          <t>All reconciliation keys are Queue ID and foreign-key valid</t>
        </is>
      </c>
      <c r="E12" s="7" t="inlineStr">
        <is>
          <t>24 + 16 valid</t>
        </is>
      </c>
      <c r="F12" s="7" t="inlineStr">
        <is>
          <t>FAIL BUILD</t>
        </is>
      </c>
      <c r="G12" s="7" t="inlineStr">
        <is>
          <t>Row numbers are unstable.</t>
        </is>
      </c>
      <c r="H12" s="7" t="inlineStr">
        <is>
          <t>V020–V023</t>
        </is>
      </c>
    </row>
    <row r="13">
      <c r="A13" s="7" t="inlineStr">
        <is>
          <t>P012</t>
        </is>
      </c>
      <c r="B13" s="7" t="inlineStr">
        <is>
          <t>BLOCK</t>
        </is>
      </c>
      <c r="C13" s="7" t="inlineStr">
        <is>
          <t>Inherited Public Citations</t>
        </is>
      </c>
      <c r="D13" s="7" t="inlineStr">
        <is>
          <t>57 rows; all Latter-day Saint comparator URLs present; H50 readiness NOT READY — HISTORICAL PACKET</t>
        </is>
      </c>
      <c r="E13" s="7" t="inlineStr">
        <is>
          <t>Exact</t>
        </is>
      </c>
      <c r="F13" s="7" t="inlineStr">
        <is>
          <t>FAIL BUILD</t>
        </is>
      </c>
      <c r="G13" s="7" t="inlineStr">
        <is>
          <t>M1 citation integrity.</t>
        </is>
      </c>
      <c r="H13" s="7" t="inlineStr">
        <is>
          <t>V024–V027 + v2.10</t>
        </is>
      </c>
    </row>
    <row r="14">
      <c r="A14" s="7" t="inlineStr">
        <is>
          <t>P013</t>
        </is>
      </c>
      <c r="B14" s="7" t="inlineStr">
        <is>
          <t>BLOCK</t>
        </is>
      </c>
      <c r="C14" s="7" t="inlineStr">
        <is>
          <t>Evidence-First Cell Queue</t>
        </is>
      </c>
      <c r="D14" s="7" t="inlineStr">
        <is>
          <t>Historical Witness Retired TRUE rows render lineage only</t>
        </is>
      </c>
      <c r="E14" s="7" t="inlineStr">
        <is>
          <t>No retired row treated as current evidence</t>
        </is>
      </c>
      <c r="F14" s="7" t="inlineStr">
        <is>
          <t>FAIL BUILD</t>
        </is>
      </c>
      <c r="G14" s="7" t="inlineStr">
        <is>
          <t>Prevents Second London/Dordrecht attribution drift.</t>
        </is>
      </c>
      <c r="H14" s="7" t="inlineStr">
        <is>
          <t>Queue Z/AA</t>
        </is>
      </c>
    </row>
    <row r="15">
      <c r="A15" s="7" t="inlineStr">
        <is>
          <t>P014</t>
        </is>
      </c>
      <c r="B15" s="7" t="inlineStr">
        <is>
          <t>BLOCK</t>
        </is>
      </c>
      <c r="C15" s="7" t="inlineStr">
        <is>
          <t>Canonical hash recipe</t>
        </is>
      </c>
      <c r="D15" s="7" t="inlineStr">
        <is>
          <t>Recompute SHA-256 using Build Metadata recipe</t>
        </is>
      </c>
      <c r="E15" s="7" t="inlineStr">
        <is>
          <t>Exact hash match</t>
        </is>
      </c>
      <c r="F15" s="7" t="inlineStr">
        <is>
          <t>FAIL BUILD</t>
        </is>
      </c>
      <c r="G15" s="7" t="inlineStr">
        <is>
          <t>Makes data hash reproducible.</t>
        </is>
      </c>
      <c r="H15" s="7" t="inlineStr">
        <is>
          <t>Build Metadata</t>
        </is>
      </c>
    </row>
    <row r="16">
      <c r="A16" s="7" t="inlineStr">
        <is>
          <t>P015</t>
        </is>
      </c>
      <c r="B16" s="7" t="inlineStr">
        <is>
          <t>GATE</t>
        </is>
      </c>
      <c r="C16" s="7" t="inlineStr">
        <is>
          <t>Row Ratification</t>
        </is>
      </c>
      <c r="D16" s="7" t="inlineStr">
        <is>
          <t>83 decisions remain explicit; do not auto-approve</t>
        </is>
      </c>
      <c r="E16" s="7" t="inlineStr">
        <is>
          <t>Author-controlled</t>
        </is>
      </c>
      <c r="F16" s="7" t="inlineStr">
        <is>
          <t>BLOCK M1/M2 PUBLIC COPY</t>
        </is>
      </c>
      <c r="G16" s="7" t="inlineStr">
        <is>
          <t>Only author can ratify learner-facing copy.</t>
        </is>
      </c>
      <c r="H16" s="7" t="inlineStr">
        <is>
          <t>Row Ratification</t>
        </is>
      </c>
    </row>
    <row r="17">
      <c r="A17" s="7" t="inlineStr">
        <is>
          <t>P016</t>
        </is>
      </c>
      <c r="B17" s="7" t="inlineStr">
        <is>
          <t>GATE</t>
        </is>
      </c>
      <c r="C17" s="7" t="inlineStr">
        <is>
          <t>APP CONFIG</t>
        </is>
      </c>
      <c r="D17" s="7" t="inlineStr">
        <is>
          <t>full_branch_map_enabled must remain FALSE until completeness gate approved</t>
        </is>
      </c>
      <c r="E17" s="7" t="inlineStr">
        <is>
          <t>FALSE</t>
        </is>
      </c>
      <c r="F17" s="7" t="inlineStr">
        <is>
          <t>BLOCK FULL MAP</t>
        </is>
      </c>
      <c r="G17" s="7" t="inlineStr">
        <is>
          <t>Evidence coverage is lopsided.</t>
        </is>
      </c>
      <c r="H17" s="7" t="inlineStr">
        <is>
          <t>APP CONFIG</t>
        </is>
      </c>
    </row>
    <row r="18">
      <c r="A18" s="7" t="inlineStr">
        <is>
          <t>P017</t>
        </is>
      </c>
      <c r="B18" s="7" t="inlineStr">
        <is>
          <t>GATE</t>
        </is>
      </c>
      <c r="C18" s="7" t="inlineStr">
        <is>
          <t>APP CONFIG</t>
        </is>
      </c>
      <c r="D18" s="7" t="inlineStr">
        <is>
          <t>external_validation remains PENDING until Session 20C reliability complete</t>
        </is>
      </c>
      <c r="E18" s="7" t="inlineStr">
        <is>
          <t>PENDING</t>
        </is>
      </c>
      <c r="F18" s="7" t="inlineStr">
        <is>
          <t>BLOCK SCHOLARLY FINALITY</t>
        </is>
      </c>
      <c r="G18" s="7" t="inlineStr">
        <is>
          <t>No independent replication yet.</t>
        </is>
      </c>
      <c r="H18" s="7" t="inlineStr">
        <is>
          <t>APP CONFIG</t>
        </is>
      </c>
    </row>
    <row r="19">
      <c r="A19" s="7" t="inlineStr">
        <is>
          <t>P018</t>
        </is>
      </c>
      <c r="B19" s="7" t="inlineStr">
        <is>
          <t>BLOCK</t>
        </is>
      </c>
      <c r="C19" s="7" t="inlineStr">
        <is>
          <t>Inherited Public Citations / Citation Phrase Targets</t>
        </is>
      </c>
      <c r="D19" s="7" t="inlineStr">
        <is>
          <t>For every READY citation with a quoted phrase: fetch Historical Text URL, extract HTML/PDF text, normalize, and assert phrase containment.</t>
        </is>
      </c>
      <c r="E19" s="7" t="inlineStr">
        <is>
          <t>56/56 phrase assertions match</t>
        </is>
      </c>
      <c r="F19" s="7" t="inlineStr">
        <is>
          <t>FAIL BUILD</t>
        </is>
      </c>
      <c r="G19" s="7" t="inlineStr">
        <is>
          <t>HTTP 200 is insufficient: the learner must land on text containing the cited proposition.</t>
        </is>
      </c>
      <c r="H19" s="7" t="inlineStr">
        <is>
          <t>Citation Phrase Targets</t>
        </is>
      </c>
    </row>
    <row r="20">
      <c r="A20" s="7" t="inlineStr">
        <is>
          <t>P019</t>
        </is>
      </c>
      <c r="B20" s="7" t="inlineStr">
        <is>
          <t>BLOCK</t>
        </is>
      </c>
      <c r="C20" s="7" t="inlineStr">
        <is>
          <t>Inherited Public Citations / Restoration Phrase Targets</t>
        </is>
      </c>
      <c r="D20" s="7" t="inlineStr">
        <is>
          <t>Validate every Restoration comparator target. For churchofjesuschrist.org, use Playwright-rendered text or approved Church content API when plain GET does not expose scripture text.</t>
        </is>
      </c>
      <c r="E20" s="7" t="inlineStr">
        <is>
          <t>63/63 Restoration targets match (57 primary + 6 supplemental)</t>
        </is>
      </c>
      <c r="F20" s="7" t="inlineStr">
        <is>
          <t>FAIL BUILD</t>
        </is>
      </c>
      <c r="G20" s="7" t="inlineStr">
        <is>
          <t>Symmetric content validation prevents a wrong Restoration verse/document anchor from passing silently.</t>
        </is>
      </c>
      <c r="H20" s="7" t="inlineStr">
        <is>
          <t>Restoration Phrase Targets</t>
        </is>
      </c>
    </row>
    <row r="21" ht="15.75" customHeight="1" s="29">
      <c r="A21" s="7" t="inlineStr">
        <is>
          <t>P020</t>
        </is>
      </c>
      <c r="B21" s="7" t="inlineStr">
        <is>
          <t>BLOCK</t>
        </is>
      </c>
      <c r="C21" s="7" t="inlineStr">
        <is>
          <t>Citation Phrase Targets + Restoration Phrase Targets + Case Study Phrase Targets</t>
        </is>
      </c>
      <c r="D21" s="7" t="inlineStr">
        <is>
          <t>Perform locator-scoped extraction before phrase containment. PDF branch must strip soft hyphens, expand ﬁ/ﬂ, join hyphenated line breaks, then normalize.</t>
        </is>
      </c>
      <c r="E21" s="7" t="inlineStr">
        <is>
          <t>140 scoped assertions executable (56 historical + 63 Restoration + 21 case-study)</t>
        </is>
      </c>
      <c r="F21" s="7" t="inlineStr">
        <is>
          <t>FAIL BUILD</t>
        </is>
      </c>
      <c r="G21" s="7" t="inlineStr">
        <is>
          <t>Short phrases are only meaningful when checked inside the cited verse/article/section rather than anywhere on the page.</t>
        </is>
      </c>
      <c r="H21" s="7" t="inlineStr">
        <is>
          <t>Phrase target sheets</t>
        </is>
      </c>
    </row>
    <row r="22" ht="15.75" customHeight="1" s="29">
      <c r="A22" s="7" t="inlineStr">
        <is>
          <t>P021</t>
        </is>
      </c>
      <c r="B22" s="7" t="inlineStr">
        <is>
          <t>BLOCK</t>
        </is>
      </c>
      <c r="C22" s="7" t="inlineStr">
        <is>
          <t>Case Study Phrase Targets / Evidence-First Cell Queue</t>
        </is>
      </c>
      <c r="D22" s="7" t="inlineStr">
        <is>
          <t>Validate 24 queue-keyed case-study records: H05=8 ASSERT, H22=8 ASSERT, H43=5 ASSERT + 3 NO TARGET — UNRELEASED; released target states must match queue.</t>
        </is>
      </c>
      <c r="E22" s="7" t="inlineStr">
        <is>
          <t>24 valid; 21 assertions; 3 unreleased no-target</t>
        </is>
      </c>
      <c r="F22" s="7" t="inlineStr">
        <is>
          <t>FAIL BUILD</t>
        </is>
      </c>
      <c r="G22" s="7" t="inlineStr">
        <is>
          <t>M3a case-study evidence must be content-addressable without turning pending/gap cells into results.</t>
        </is>
      </c>
      <c r="H22" s="7" t="inlineStr">
        <is>
          <t>Case Study Phrase Targets</t>
        </is>
      </c>
    </row>
    <row r="23" ht="15.75" customHeight="1" s="29">
      <c r="A23" s="7" t="inlineStr">
        <is>
          <t>P022</t>
        </is>
      </c>
      <c r="B23" s="7" t="inlineStr">
        <is>
          <t>BLOCK</t>
        </is>
      </c>
      <c r="C23" s="7" t="inlineStr">
        <is>
          <t>Vector Family Captions / app card renderer</t>
        </is>
      </c>
      <c r="D23" s="7" t="inlineStr">
        <is>
          <t>H07, H32, H56 must each have Card Mode=VECTOR and a nonblank learner caption rendered whenever atomic-layer citations are shown.</t>
        </is>
      </c>
      <c r="E23" s="7" t="inlineStr">
        <is>
          <t>3/3 VECTOR captions</t>
        </is>
      </c>
      <c r="F23" s="7" t="inlineStr">
        <is>
          <t>FAIL BUILD</t>
        </is>
      </c>
      <c r="G23" s="7" t="inlineStr">
        <is>
          <t>Atomic evidence must never visually masquerade as a single family-level A/Q/D tile.</t>
        </is>
      </c>
      <c r="H23" s="7" t="inlineStr">
        <is>
          <t>Vector Family Captions</t>
        </is>
      </c>
    </row>
    <row r="24" ht="15.75" customHeight="1" s="29">
      <c r="A24" s="7" t="inlineStr">
        <is>
          <t>P023</t>
        </is>
      </c>
      <c r="B24" s="7" t="inlineStr">
        <is>
          <t>BLOCK</t>
        </is>
      </c>
      <c r="C24" s="7" t="inlineStr">
        <is>
          <t>Interpretive Clarifications</t>
        </is>
      </c>
      <c r="D24" s="7" t="inlineStr">
        <is>
          <t>All clarification cases must have Counted?=FALSE and Quantitative impact=NONE — NOT COUNTED.</t>
        </is>
      </c>
      <c r="E24" s="7" t="inlineStr">
        <is>
          <t>100% NOT COUNTED</t>
        </is>
      </c>
      <c r="F24" s="7" t="inlineStr">
        <is>
          <t>FAIL BUILD</t>
        </is>
      </c>
      <c r="G24" s="7" t="inlineStr">
        <is>
          <t>Interpretive depth must never contaminate quantitative denominators.</t>
        </is>
      </c>
      <c r="H24" s="7" t="inlineStr">
        <is>
          <t>Interpretive Clarifications</t>
        </is>
      </c>
    </row>
    <row r="25" ht="15.75" customHeight="1" s="29">
      <c r="A25" s="7" t="inlineStr">
        <is>
          <t>P024</t>
        </is>
      </c>
      <c r="B25" s="7" t="inlineStr">
        <is>
          <t>BLOCK</t>
        </is>
      </c>
      <c r="C25" s="7" t="inlineStr">
        <is>
          <t>Clarification Trigger Map + APP CONFIG</t>
        </is>
      </c>
      <c r="D25" s="7" t="inlineStr">
        <is>
          <t>Trigger and source Case IDs must resolve; tradition-only triggers cannot auto-cue; public auto-cue requires APPROVED case + HIGH priority; max one auto cue per view.</t>
        </is>
      </c>
      <c r="E25" s="7" t="inlineStr">
        <is>
          <t>0 FK/policy violations</t>
        </is>
      </c>
      <c r="F25" s="7" t="inlineStr">
        <is>
          <t>FAIL BUILD</t>
        </is>
      </c>
      <c r="G25" s="7" t="inlineStr">
        <is>
          <t>Automatic clarification should prevent misunderstanding without becoming intrusive.</t>
        </is>
      </c>
      <c r="H25" s="7" t="inlineStr">
        <is>
          <t>Clarification Trigger Map</t>
        </is>
      </c>
    </row>
    <row r="26" ht="15.75" customHeight="1" s="29">
      <c r="A26" s="7" t="inlineStr">
        <is>
          <t>P025</t>
        </is>
      </c>
      <c r="B26" s="7" t="inlineStr">
        <is>
          <t>BLOCK</t>
        </is>
      </c>
      <c r="C26" s="7" t="inlineStr">
        <is>
          <t>Clarification Sources</t>
        </is>
      </c>
      <c r="D26" s="7" t="inlineStr">
        <is>
          <t>Every clarification source must reference a valid Case ID, carry a ≤15-word quoted phrase, and pass URL + locator-scoped phrase containment.</t>
        </is>
      </c>
      <c r="E26" s="7" t="inlineStr">
        <is>
          <t>10/10 source assertions valid for ICC-001 prototype</t>
        </is>
      </c>
      <c r="F26" s="7" t="inlineStr">
        <is>
          <t>FAIL BUILD</t>
        </is>
      </c>
      <c r="G26" s="7" t="inlineStr">
        <is>
          <t>Clarification explanations must be source-controlled to the same standard as predicate citations.</t>
        </is>
      </c>
      <c r="H26" s="7" t="inlineStr">
        <is>
          <t>Clarification Sources</t>
        </is>
      </c>
    </row>
    <row r="27" ht="15.75" customHeight="1" s="29">
      <c r="A27" s="7" t="inlineStr">
        <is>
          <t>P026</t>
        </is>
      </c>
      <c r="B27" s="7" t="inlineStr">
        <is>
          <t>BLOCK</t>
        </is>
      </c>
      <c r="C27" s="7" t="inlineStr">
        <is>
          <t>Interpretive Clarifications + conversational runtime</t>
        </is>
      </c>
      <c r="D27" s="7" t="inlineStr">
        <is>
          <t>Only Review State=APPROVED may use Answer Authority=APPROVED_CASE or public auto-cue. AUTHOR_REVIEW/DRAFT/HOLD remain non-authoritative.</t>
        </is>
      </c>
      <c r="E27" s="7" t="inlineStr">
        <is>
          <t>0 authority-state violations</t>
        </is>
      </c>
      <c r="F27" s="7" t="inlineStr">
        <is>
          <t>FAIL BUILD</t>
        </is>
      </c>
      <c r="G27" s="7" t="inlineStr">
        <is>
          <t>Draft clarification prose must never silently become the assistant's official answer.</t>
        </is>
      </c>
      <c r="H27" s="7" t="inlineStr">
        <is>
          <t>Interpretive Clarifications</t>
        </is>
      </c>
    </row>
    <row r="28" ht="15.75" customHeight="1" s="29">
      <c r="A28" s="7" t="inlineStr">
        <is>
          <t>P027</t>
        </is>
      </c>
      <c r="B28" s="7" t="inlineStr">
        <is>
          <t>BLOCK</t>
        </is>
      </c>
      <c r="C28" s="7" t="inlineStr">
        <is>
          <t>Author Decision Queue</t>
        </is>
      </c>
      <c r="D28" s="7" t="inlineStr">
        <is>
          <t>Decision IDs must be unique; inventory must contain 104 tracked author decisions: 101 currently actionable + 3 registered future dependencies.</t>
        </is>
      </c>
      <c r="E28" s="7" t="inlineStr">
        <is>
          <t>104 unique / 101 READY / 3 BLOCKED</t>
        </is>
      </c>
      <c r="F28" s="7" t="inlineStr">
        <is>
          <t>FAIL BUILD</t>
        </is>
      </c>
      <c r="G28" s="7" t="inlineStr">
        <is>
          <t>No author-required decision may exist only in an obscure source sheet or informal note.</t>
        </is>
      </c>
      <c r="H28" s="7" t="inlineStr">
        <is>
          <t>Author Decision Queue</t>
        </is>
      </c>
    </row>
    <row r="29" ht="15.75" customHeight="1" s="29">
      <c r="A29" s="7" t="inlineStr">
        <is>
          <t>P028</t>
        </is>
      </c>
      <c r="B29" s="7" t="inlineStr">
        <is>
          <t>BLOCK</t>
        </is>
      </c>
      <c r="C29" s="7" t="inlineStr">
        <is>
          <t>Author Decision Queue + Author Gate Dashboard</t>
        </is>
      </c>
      <c r="D29" s="7" t="inlineStr">
        <is>
          <t>Exactly one Current Item may exist while Needs Author Attention &gt;0; dependent author gate cannot report AUTHOR CLEAR while attention/hold/defer remains.</t>
        </is>
      </c>
      <c r="E29" s="7" t="inlineStr">
        <is>
          <t>0 gate-clearance contradictions</t>
        </is>
      </c>
      <c r="F29" s="7" t="inlineStr">
        <is>
          <t>FAIL BUILD</t>
        </is>
      </c>
      <c r="G29" s="7" t="inlineStr">
        <is>
          <t>Prevents partial review from being mistaken for author clearance.</t>
        </is>
      </c>
      <c r="H29" s="7" t="inlineStr">
        <is>
          <t>Author Gate Dashboard</t>
        </is>
      </c>
    </row>
    <row r="30" ht="15.75" customHeight="1" s="29">
      <c r="A30" s="7" t="inlineStr">
        <is>
          <t>P029</t>
        </is>
      </c>
      <c r="B30" s="7" t="inlineStr">
        <is>
          <t>BLOCK</t>
        </is>
      </c>
      <c r="C30" s="7" t="inlineStr">
        <is>
          <t>Author Decision Queue</t>
        </is>
      </c>
      <c r="D30" s="7" t="inlineStr">
        <is>
          <t>A resolved/held/deferred author response must include required custom text where specified plus author initials and decision date.</t>
        </is>
      </c>
      <c r="E30" s="7" t="inlineStr">
        <is>
          <t>0 incomplete author dispositions counted as complete</t>
        </is>
      </c>
      <c r="F30" s="7" t="inlineStr">
        <is>
          <t>FAIL BUILD</t>
        </is>
      </c>
      <c r="G30" s="7" t="inlineStr">
        <is>
          <t>Human decisions must be auditable, attributable, and complete.</t>
        </is>
      </c>
      <c r="H30" s="7" t="inlineStr">
        <is>
          <t>Author Decision Queue</t>
        </is>
      </c>
    </row>
    <row r="31" ht="15.75" customHeight="1" s="29">
      <c r="A31" s="7" t="inlineStr">
        <is>
          <t>P030</t>
        </is>
      </c>
      <c r="B31" s="7" t="inlineStr">
        <is>
          <t>BLOCK</t>
        </is>
      </c>
      <c r="C31" s="7" t="inlineStr">
        <is>
          <t>Row Ratification + Godhead Context + controlled merge workflow</t>
        </is>
      </c>
      <c r="D31" s="7" t="inlineStr">
        <is>
          <t>Central author queue may mirror wording approvals, but comparator/source-role/semantic decisions may not directly alter A/Q/D, tiers, or evidence states without controlled propagation and validation.</t>
        </is>
      </c>
      <c r="E31" s="7" t="inlineStr">
        <is>
          <t>0 silent research-code mutations</t>
        </is>
      </c>
      <c r="F31" s="7" t="inlineStr">
        <is>
          <t>FAIL BUILD</t>
        </is>
      </c>
      <c r="G31" s="7" t="inlineStr">
        <is>
          <t>Separates author judgment from mechanical propagation and preserves research lineage.</t>
        </is>
      </c>
      <c r="H31" s="7" t="inlineStr">
        <is>
          <t>Row Ratification / Godhead Context / Author Decision Queue</t>
        </is>
      </c>
    </row>
    <row r="32" ht="15.75" customHeight="1" s="29">
      <c r="A32" s="7" t="inlineStr">
        <is>
          <t>P031</t>
        </is>
      </c>
      <c r="B32" s="7" t="inlineStr">
        <is>
          <t>BLOCK</t>
        </is>
      </c>
      <c r="C32" s="7" t="inlineStr">
        <is>
          <t>Author Decision Queue</t>
        </is>
      </c>
      <c r="D32" s="7" t="inlineStr">
        <is>
          <t>Future author gates for branch-map threshold, external validation adjudication, and final publication must remain present as BLOCKED until prerequisites are explicitly satisfied.</t>
        </is>
      </c>
      <c r="E32" s="7" t="inlineStr">
        <is>
          <t>3 future decisions registered</t>
        </is>
      </c>
      <c r="F32" s="7" t="inlineStr">
        <is>
          <t>FAIL BUILD</t>
        </is>
      </c>
      <c r="G32" s="7" t="inlineStr">
        <is>
          <t>Prevents late-stage publication decisions from being forgotten.</t>
        </is>
      </c>
      <c r="H32" s="7" t="inlineStr">
        <is>
          <t>Author Decision Queue</t>
        </is>
      </c>
    </row>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86" customWidth="1" style="29" min="2" max="2"/>
    <col width="48" customWidth="1" style="29" min="3" max="3"/>
    <col width="16" customWidth="1" style="29" min="4" max="4"/>
    <col width="28" customWidth="1" style="29" min="5" max="5"/>
    <col width="72" customWidth="1" style="29" min="6" max="6"/>
    <col width="36" customWidth="1" style="29" min="7" max="7"/>
    <col width="68" customWidth="1" style="29" min="8" max="8"/>
    <col width="20" customWidth="1" style="29" min="9" max="9"/>
    <col width="58" customWidth="1" style="29" min="10" max="10"/>
    <col width="48" customWidth="1" style="29" min="11" max="11"/>
    <col width="22" customWidth="1" style="29" min="12" max="12"/>
    <col width="76" customWidth="1" style="29" min="13" max="13"/>
    <col width="8.630000000000001" customWidth="1" style="29" min="14" max="26"/>
  </cols>
  <sheetData>
    <row r="1">
      <c r="A1" s="15" t="inlineStr">
        <is>
          <t>Predicate ID</t>
        </is>
      </c>
      <c r="B1" s="15" t="inlineStr">
        <is>
          <t>Historical text URL</t>
        </is>
      </c>
      <c r="C1" s="15" t="inlineStr">
        <is>
          <t>Quoted phrase</t>
        </is>
      </c>
      <c r="D1" s="15" t="inlineStr">
        <is>
          <t>Phrase word count</t>
        </is>
      </c>
      <c r="E1" s="15" t="inlineStr">
        <is>
          <t>Citation readiness</t>
        </is>
      </c>
      <c r="F1" s="15" t="inlineStr">
        <is>
          <t>Normalization</t>
        </is>
      </c>
      <c r="G1" s="15" t="inlineStr">
        <is>
          <t>Current review state</t>
        </is>
      </c>
      <c r="H1" s="15" t="inlineStr">
        <is>
          <t>Build assertion</t>
        </is>
      </c>
      <c r="I1" s="15" t="inlineStr">
        <is>
          <t>Failure behavior</t>
        </is>
      </c>
      <c r="J1" s="15" t="inlineStr">
        <is>
          <t>Notes</t>
        </is>
      </c>
      <c r="K1" s="5" t="inlineStr">
        <is>
          <t>Historical locator</t>
        </is>
      </c>
      <c r="L1" s="5" t="inlineStr">
        <is>
          <t>Source extraction type</t>
        </is>
      </c>
      <c r="M1" s="5" t="inlineStr">
        <is>
          <t>Locator-scoped validation rule</t>
        </is>
      </c>
    </row>
    <row r="2">
      <c r="A2" s="7" t="inlineStr">
        <is>
          <t>RNR-H01</t>
        </is>
      </c>
      <c r="B2" s="7" t="inlineStr">
        <is>
          <t>https://www.churchofengland.org/prayer-and-worship/worship-texts-and-resources/book-common-prayer/articles-religion</t>
        </is>
      </c>
      <c r="C2" s="7" t="inlineStr">
        <is>
          <t>one living and true God</t>
        </is>
      </c>
      <c r="D2" s="7">
        <f>IF(C2="",0,LEN(TRIM(C2))-LEN(SUBSTITUTE(TRIM(C2)," ",""))+1)</f>
        <v/>
      </c>
      <c r="E2" s="7" t="inlineStr">
        <is>
          <t>READY</t>
        </is>
      </c>
      <c r="F2" s="7" t="inlineStr">
        <is>
          <t>HTML→visible text; Unicode NFKC; casefold; normalize whitespace; normalize curly quotes/apostrophes/dashes.</t>
        </is>
      </c>
      <c r="G2" s="7" t="inlineStr">
        <is>
          <t>SOURCE REVIEWED — PIPELINE RECHECK REQUIRED</t>
        </is>
      </c>
      <c r="H2" s="7" t="inlineStr">
        <is>
          <t>Normalized fetched text MUST contain normalized quoted phrase</t>
        </is>
      </c>
      <c r="I2" s="7" t="inlineStr">
        <is>
          <t>FAIL BUILD</t>
        </is>
      </c>
      <c r="J2" s="7" t="inlineStr">
        <is>
          <t>Quoted phrase is a content assertion, not merely display copy.</t>
        </is>
      </c>
      <c r="K2" s="7" t="inlineStr">
        <is>
          <t>Article I — Of Faith in the Holy Trinity</t>
        </is>
      </c>
      <c r="L2" s="7" t="inlineStr">
        <is>
          <t>HTML</t>
        </is>
      </c>
      <c r="M2" s="7" t="inlineStr">
        <is>
          <t>Locate the cited article/section/creed clause first; assert phrase inside that scoped block. If the source structure supports locator extraction and it fails, FAIL BUILD.</t>
        </is>
      </c>
    </row>
    <row r="3">
      <c r="A3" s="7" t="inlineStr">
        <is>
          <t>RNR-H02</t>
        </is>
      </c>
      <c r="B3" s="7" t="inlineStr">
        <is>
          <t>https://www.churchofengland.org/prayer-and-worship/worship-texts-and-resources/book-common-prayer/articles-religion</t>
        </is>
      </c>
      <c r="C3" s="7" t="inlineStr">
        <is>
          <t>one living and true God</t>
        </is>
      </c>
      <c r="D3" s="7">
        <f>IF(C3="",0,LEN(TRIM(C3))-LEN(SUBSTITUTE(TRIM(C3)," ",""))+1)</f>
        <v/>
      </c>
      <c r="E3" s="7" t="inlineStr">
        <is>
          <t>READY</t>
        </is>
      </c>
      <c r="F3" s="7" t="inlineStr">
        <is>
          <t>HTML→visible text; Unicode NFKC; casefold; normalize whitespace; normalize curly quotes/apostrophes/dashes.</t>
        </is>
      </c>
      <c r="G3" s="7" t="inlineStr">
        <is>
          <t>SOURCE REVIEWED — PIPELINE RECHECK REQUIRED</t>
        </is>
      </c>
      <c r="H3" s="7" t="inlineStr">
        <is>
          <t>Normalized fetched text MUST contain normalized quoted phrase</t>
        </is>
      </c>
      <c r="I3" s="7" t="inlineStr">
        <is>
          <t>FAIL BUILD</t>
        </is>
      </c>
      <c r="J3" s="7" t="inlineStr">
        <is>
          <t>Quoted phrase is a content assertion, not merely display copy.</t>
        </is>
      </c>
      <c r="K3" s="7" t="inlineStr">
        <is>
          <t>Article I — Of Faith in the Holy Trinity</t>
        </is>
      </c>
      <c r="L3" s="7" t="inlineStr">
        <is>
          <t>HTML</t>
        </is>
      </c>
      <c r="M3" s="7" t="inlineStr">
        <is>
          <t>Locate the cited article/section/creed clause first; assert phrase inside that scoped block. If the source structure supports locator extraction and it fails, FAIL BUILD.</t>
        </is>
      </c>
    </row>
    <row r="4">
      <c r="A4" s="7" t="inlineStr">
        <is>
          <t>RNR-H03</t>
        </is>
      </c>
      <c r="B4" s="7" t="inlineStr">
        <is>
          <t>https://opc.org/wcf.html</t>
        </is>
      </c>
      <c r="C4" s="7" t="inlineStr">
        <is>
          <t>a most pure spirit</t>
        </is>
      </c>
      <c r="D4" s="7">
        <f>IF(C4="",0,LEN(TRIM(C4))-LEN(SUBSTITUTE(TRIM(C4)," ",""))+1)</f>
        <v/>
      </c>
      <c r="E4" s="7" t="inlineStr">
        <is>
          <t>READY</t>
        </is>
      </c>
      <c r="F4" s="7" t="inlineStr">
        <is>
          <t>HTML→visible text; Unicode NFKC; casefold; normalize whitespace; normalize curly quotes/apostrophes/dashes.</t>
        </is>
      </c>
      <c r="G4" s="7" t="inlineStr">
        <is>
          <t>SOURCE REVIEWED — PIPELINE RECHECK REQUIRED</t>
        </is>
      </c>
      <c r="H4" s="7" t="inlineStr">
        <is>
          <t>Normalized fetched text MUST contain normalized quoted phrase</t>
        </is>
      </c>
      <c r="I4" s="7" t="inlineStr">
        <is>
          <t>FAIL BUILD</t>
        </is>
      </c>
      <c r="J4" s="7" t="inlineStr">
        <is>
          <t>Quoted phrase is a content assertion, not merely display copy.</t>
        </is>
      </c>
      <c r="K4" s="7" t="inlineStr">
        <is>
          <t>Chapter II.1 — Of God, and of the Holy Trinity</t>
        </is>
      </c>
      <c r="L4" s="7" t="inlineStr">
        <is>
          <t>HTML</t>
        </is>
      </c>
      <c r="M4" s="7" t="inlineStr">
        <is>
          <t>Locate the cited article/section/creed clause first; assert phrase inside that scoped block. If the source structure supports locator extraction and it fails, FAIL BUILD.</t>
        </is>
      </c>
    </row>
    <row r="5">
      <c r="A5" s="7" t="inlineStr">
        <is>
          <t>RNR-H04</t>
        </is>
      </c>
      <c r="B5" s="7" t="inlineStr">
        <is>
          <t>https://pcusa.org/sites/default/files/boc2016.pdf</t>
        </is>
      </c>
      <c r="C5" s="7" t="inlineStr">
        <is>
          <t>God the Father Almighty</t>
        </is>
      </c>
      <c r="D5" s="7">
        <f>IF(C5="",0,LEN(TRIM(C5))-LEN(SUBSTITUTE(TRIM(C5)," ",""))+1)</f>
        <v/>
      </c>
      <c r="E5" s="7" t="inlineStr">
        <is>
          <t>READY</t>
        </is>
      </c>
      <c r="F5" s="7" t="inlineStr">
        <is>
          <t>PDF→text; Unicode NFKC; casefold; strip U+00AD soft hyphens; expand ﬁ→fi and ﬂ→fl; join hyphenated line breaks; normalize paragraph/line whitespace; normalize curly quotes/apostrophes/dashes.</t>
        </is>
      </c>
      <c r="G5" s="7" t="inlineStr">
        <is>
          <t>SOURCE REVIEWED — PIPELINE RECHECK REQUIRED</t>
        </is>
      </c>
      <c r="H5" s="7" t="inlineStr">
        <is>
          <t>Normalized fetched text MUST contain normalized quoted phrase</t>
        </is>
      </c>
      <c r="I5" s="7" t="inlineStr">
        <is>
          <t>FAIL BUILD</t>
        </is>
      </c>
      <c r="J5" s="7" t="inlineStr">
        <is>
          <t>Quoted phrase is a content assertion, not merely display copy.</t>
        </is>
      </c>
      <c r="K5" s="7" t="inlineStr">
        <is>
          <t>2.1</t>
        </is>
      </c>
      <c r="L5" s="7" t="inlineStr">
        <is>
          <t>PDF</t>
        </is>
      </c>
      <c r="M5" s="7" t="inlineStr">
        <is>
          <t>Locate the cited confession/article/section in extracted PDF text first; assert phrase inside that scoped block. If the locator block cannot be isolated, FAIL BUILD rather than silently searching the whole PDF.</t>
        </is>
      </c>
    </row>
    <row r="6">
      <c r="A6" s="7" t="inlineStr">
        <is>
          <t>RNR-H05</t>
        </is>
      </c>
      <c r="B6" s="7" t="inlineStr">
        <is>
          <t>https://bfm.sbc.net/bfm2000/</t>
        </is>
      </c>
      <c r="C6" s="7" t="inlineStr">
        <is>
          <t>Christ is the eternal Son of God</t>
        </is>
      </c>
      <c r="D6" s="7">
        <f>IF(C6="",0,LEN(TRIM(C6))-LEN(SUBSTITUTE(TRIM(C6)," ",""))+1)</f>
        <v/>
      </c>
      <c r="E6" s="7" t="inlineStr">
        <is>
          <t>READY</t>
        </is>
      </c>
      <c r="F6" s="7" t="inlineStr">
        <is>
          <t>HTML→visible text; Unicode NFKC; casefold; normalize whitespace; normalize curly quotes/apostrophes/dashes.</t>
        </is>
      </c>
      <c r="G6" s="7" t="inlineStr">
        <is>
          <t>SOURCE REVIEWED — PIPELINE RECHECK REQUIRED</t>
        </is>
      </c>
      <c r="H6" s="7" t="inlineStr">
        <is>
          <t>Normalized fetched text MUST contain normalized quoted phrase</t>
        </is>
      </c>
      <c r="I6" s="7" t="inlineStr">
        <is>
          <t>FAIL BUILD</t>
        </is>
      </c>
      <c r="J6" s="7" t="inlineStr">
        <is>
          <t>Quoted phrase is a content assertion, not merely display copy.</t>
        </is>
      </c>
      <c r="K6" s="7" t="inlineStr">
        <is>
          <t>II.B. God the Son</t>
        </is>
      </c>
      <c r="L6" s="7" t="inlineStr">
        <is>
          <t>HTML</t>
        </is>
      </c>
      <c r="M6" s="7" t="inlineStr">
        <is>
          <t>Locate the cited article/section/creed clause first; assert phrase inside that scoped block. If the source structure supports locator extraction and it fails, FAIL BUILD.</t>
        </is>
      </c>
    </row>
    <row r="7">
      <c r="A7" s="7" t="inlineStr">
        <is>
          <t>RNR-H06</t>
        </is>
      </c>
      <c r="B7" s="7" t="inlineStr">
        <is>
          <t>https://pcusa.org/sites/default/files/boc2016.pdf</t>
        </is>
      </c>
      <c r="C7" s="7" t="inlineStr">
        <is>
          <t>one Lord, Jesus Christ</t>
        </is>
      </c>
      <c r="D7" s="7">
        <f>IF(C7="",0,LEN(TRIM(C7))-LEN(SUBSTITUTE(TRIM(C7)," ",""))+1)</f>
        <v/>
      </c>
      <c r="E7" s="7" t="inlineStr">
        <is>
          <t>READY</t>
        </is>
      </c>
      <c r="F7" s="7" t="inlineStr">
        <is>
          <t>PDF→text; Unicode NFKC; casefold; strip U+00AD soft hyphens; expand ﬁ→fi and ﬂ→fl; join hyphenated line breaks; normalize paragraph/line whitespace; normalize curly quotes/apostrophes/dashes.</t>
        </is>
      </c>
      <c r="G7" s="7" t="inlineStr">
        <is>
          <t>SOURCE REVIEWED — PIPELINE RECHECK REQUIRED</t>
        </is>
      </c>
      <c r="H7" s="7" t="inlineStr">
        <is>
          <t>Normalized fetched text MUST contain normalized quoted phrase</t>
        </is>
      </c>
      <c r="I7" s="7" t="inlineStr">
        <is>
          <t>FAIL BUILD</t>
        </is>
      </c>
      <c r="J7" s="7" t="inlineStr">
        <is>
          <t>Quoted phrase is a content assertion, not merely display copy.</t>
        </is>
      </c>
      <c r="K7" s="7" t="inlineStr">
        <is>
          <t>1.2</t>
        </is>
      </c>
      <c r="L7" s="7" t="inlineStr">
        <is>
          <t>PDF</t>
        </is>
      </c>
      <c r="M7" s="7" t="inlineStr">
        <is>
          <t>Locate the cited confession/article/section in extracted PDF text first; assert phrase inside that scoped block. If the locator block cannot be isolated, FAIL BUILD rather than silently searching the whole PDF.</t>
        </is>
      </c>
    </row>
    <row r="8">
      <c r="A8" s="7" t="inlineStr">
        <is>
          <t>RNR-H07</t>
        </is>
      </c>
      <c r="B8" s="7" t="inlineStr">
        <is>
          <t>https://ccel.org/ccel/creeds/athanasian.creed.html</t>
        </is>
      </c>
      <c r="C8" s="7" t="inlineStr">
        <is>
          <t>The Father is almighty</t>
        </is>
      </c>
      <c r="D8" s="7">
        <f>IF(C8="",0,LEN(TRIM(C8))-LEN(SUBSTITUTE(TRIM(C8)," ",""))+1)</f>
        <v/>
      </c>
      <c r="E8" s="7" t="inlineStr">
        <is>
          <t>READY</t>
        </is>
      </c>
      <c r="F8" s="7" t="inlineStr">
        <is>
          <t>HTML→visible text; Unicode NFKC; casefold; normalize whitespace; normalize curly quotes/apostrophes/dashes.</t>
        </is>
      </c>
      <c r="G8" s="7" t="inlineStr">
        <is>
          <t>SOURCE REVIEWED — PIPELINE RECHECK REQUIRED</t>
        </is>
      </c>
      <c r="H8" s="7" t="inlineStr">
        <is>
          <t>Normalized fetched text MUST contain normalized quoted phrase</t>
        </is>
      </c>
      <c r="I8" s="7" t="inlineStr">
        <is>
          <t>FAIL BUILD</t>
        </is>
      </c>
      <c r="J8" s="7" t="inlineStr">
        <is>
          <t>Quoted phrase is a content assertion, not merely display copy.</t>
        </is>
      </c>
      <c r="K8" s="7" t="inlineStr">
        <is>
          <t>Athanasian Creed — Almighty clause</t>
        </is>
      </c>
      <c r="L8" s="7" t="inlineStr">
        <is>
          <t>HTML</t>
        </is>
      </c>
      <c r="M8" s="7" t="inlineStr">
        <is>
          <t>Locate the cited article/section/creed clause first; assert phrase inside that scoped block. If the source structure supports locator extraction and it fails, FAIL BUILD.</t>
        </is>
      </c>
    </row>
    <row r="9">
      <c r="A9" s="7" t="inlineStr">
        <is>
          <t>RNR-H08</t>
        </is>
      </c>
      <c r="B9" s="7" t="inlineStr">
        <is>
          <t>https://bfm.sbc.net/bfm2000/</t>
        </is>
      </c>
      <c r="C9" s="7" t="inlineStr">
        <is>
          <t>all wise</t>
        </is>
      </c>
      <c r="D9" s="7">
        <f>IF(C9="",0,LEN(TRIM(C9))-LEN(SUBSTITUTE(TRIM(C9)," ",""))+1)</f>
        <v/>
      </c>
      <c r="E9" s="7" t="inlineStr">
        <is>
          <t>READY</t>
        </is>
      </c>
      <c r="F9" s="7" t="inlineStr">
        <is>
          <t>HTML→visible text; Unicode NFKC; casefold; normalize whitespace; normalize curly quotes/apostrophes/dashes.</t>
        </is>
      </c>
      <c r="G9" s="7" t="inlineStr">
        <is>
          <t>SOURCE REVIEWED — PIPELINE RECHECK REQUIRED</t>
        </is>
      </c>
      <c r="H9" s="7" t="inlineStr">
        <is>
          <t>Normalized fetched text MUST contain normalized quoted phrase</t>
        </is>
      </c>
      <c r="I9" s="7" t="inlineStr">
        <is>
          <t>FAIL BUILD</t>
        </is>
      </c>
      <c r="J9" s="7" t="inlineStr">
        <is>
          <t>Quoted phrase is a content assertion, not merely display copy.</t>
        </is>
      </c>
      <c r="K9" s="7" t="inlineStr">
        <is>
          <t>II.A. God the Father</t>
        </is>
      </c>
      <c r="L9" s="7" t="inlineStr">
        <is>
          <t>HTML</t>
        </is>
      </c>
      <c r="M9" s="7" t="inlineStr">
        <is>
          <t>Locate the cited article/section/creed clause first; assert phrase inside that scoped block. If the source structure supports locator extraction and it fails, FAIL BUILD.</t>
        </is>
      </c>
    </row>
    <row r="10">
      <c r="A10" s="7" t="inlineStr">
        <is>
          <t>RNR-H09</t>
        </is>
      </c>
      <c r="B10" s="7" t="inlineStr">
        <is>
          <t>https://www.mennoniteusa.org/who-are-mennonites/what-we-believe/confession-of-faith/creation-and-divine-providence/</t>
        </is>
      </c>
      <c r="C10" s="7" t="inlineStr">
        <is>
          <t>God is good</t>
        </is>
      </c>
      <c r="D10" s="7">
        <f>IF(C10="",0,LEN(TRIM(C10))-LEN(SUBSTITUTE(TRIM(C10)," ",""))+1)</f>
        <v/>
      </c>
      <c r="E10" s="7" t="inlineStr">
        <is>
          <t>READY</t>
        </is>
      </c>
      <c r="F10" s="7" t="inlineStr">
        <is>
          <t>HTML→visible text; Unicode NFKC; casefold; normalize whitespace; normalize curly quotes/apostrophes/dashes.</t>
        </is>
      </c>
      <c r="G10" s="7" t="inlineStr">
        <is>
          <t>SOURCE REVIEWED — PIPELINE RECHECK REQUIRED</t>
        </is>
      </c>
      <c r="H10" s="7" t="inlineStr">
        <is>
          <t>Normalized fetched text MUST contain normalized quoted phrase</t>
        </is>
      </c>
      <c r="I10" s="7" t="inlineStr">
        <is>
          <t>FAIL BUILD</t>
        </is>
      </c>
      <c r="J10" s="7" t="inlineStr">
        <is>
          <t>Quoted phrase is a content assertion, not merely display copy.</t>
        </is>
      </c>
      <c r="K10" s="7" t="inlineStr">
        <is>
          <t>Article 5 — Creation and Divine Providence</t>
        </is>
      </c>
      <c r="L10" s="7" t="inlineStr">
        <is>
          <t>HTML</t>
        </is>
      </c>
      <c r="M10" s="7" t="inlineStr">
        <is>
          <t>Locate the cited article/section/creed clause first; assert phrase inside that scoped block. If the source structure supports locator extraction and it fails, FAIL BUILD.</t>
        </is>
      </c>
    </row>
    <row r="11">
      <c r="A11" s="7" t="inlineStr">
        <is>
          <t>RNR-H10</t>
        </is>
      </c>
      <c r="B11" s="7" t="inlineStr">
        <is>
          <t>https://www.crcna.org/welcome/beliefs/confessions/belgic-confession</t>
        </is>
      </c>
      <c r="C11" s="7" t="inlineStr">
        <is>
          <t>the overflowing source of all good</t>
        </is>
      </c>
      <c r="D11" s="7">
        <f>IF(C11="",0,LEN(TRIM(C11))-LEN(SUBSTITUTE(TRIM(C11)," ",""))+1)</f>
        <v/>
      </c>
      <c r="E11" s="7" t="inlineStr">
        <is>
          <t>READY</t>
        </is>
      </c>
      <c r="F11" s="7" t="inlineStr">
        <is>
          <t>HTML→visible text; Unicode NFKC; casefold; normalize whitespace; normalize curly quotes/apostrophes/dashes.</t>
        </is>
      </c>
      <c r="G11" s="7" t="inlineStr">
        <is>
          <t>SOURCE REVIEWED — PIPELINE RECHECK REQUIRED</t>
        </is>
      </c>
      <c r="H11" s="7" t="inlineStr">
        <is>
          <t>Normalized fetched text MUST contain normalized quoted phrase</t>
        </is>
      </c>
      <c r="I11" s="7" t="inlineStr">
        <is>
          <t>FAIL BUILD</t>
        </is>
      </c>
      <c r="J11" s="7" t="inlineStr">
        <is>
          <t>Quoted phrase is a content assertion, not merely display copy.</t>
        </is>
      </c>
      <c r="K11" s="7" t="inlineStr">
        <is>
          <t>Article 1: The Only God</t>
        </is>
      </c>
      <c r="L11" s="7" t="inlineStr">
        <is>
          <t>HTML</t>
        </is>
      </c>
      <c r="M11" s="7" t="inlineStr">
        <is>
          <t>Locate the cited article/section/creed clause first; assert phrase inside that scoped block. If the source structure supports locator extraction and it fails, FAIL BUILD.</t>
        </is>
      </c>
    </row>
    <row r="12">
      <c r="A12" s="7" t="inlineStr">
        <is>
          <t>RNR-H11</t>
        </is>
      </c>
      <c r="B12" s="7" t="inlineStr">
        <is>
          <t>https://www.umc.org/en/content/confession-of-faith</t>
        </is>
      </c>
      <c r="C12" s="7" t="inlineStr">
        <is>
          <t>infinite in power, wisdom, justice, goodness and love</t>
        </is>
      </c>
      <c r="D12" s="7">
        <f>IF(C12="",0,LEN(TRIM(C12))-LEN(SUBSTITUTE(TRIM(C12)," ",""))+1)</f>
        <v/>
      </c>
      <c r="E12" s="7" t="inlineStr">
        <is>
          <t>READY</t>
        </is>
      </c>
      <c r="F12" s="7" t="inlineStr">
        <is>
          <t>HTML→visible text; Unicode NFKC; casefold; normalize whitespace; normalize curly quotes/apostrophes/dashes.</t>
        </is>
      </c>
      <c r="G12" s="7" t="inlineStr">
        <is>
          <t>SOURCE REVIEWED — PIPELINE RECHECK REQUIRED</t>
        </is>
      </c>
      <c r="H12" s="7" t="inlineStr">
        <is>
          <t>Normalized fetched text MUST contain normalized quoted phrase</t>
        </is>
      </c>
      <c r="I12" s="7" t="inlineStr">
        <is>
          <t>FAIL BUILD</t>
        </is>
      </c>
      <c r="J12" s="7" t="inlineStr">
        <is>
          <t>Quoted phrase is a content assertion, not merely display copy.</t>
        </is>
      </c>
      <c r="K12" s="7" t="inlineStr">
        <is>
          <t>Article I — God</t>
        </is>
      </c>
      <c r="L12" s="7" t="inlineStr">
        <is>
          <t>HTML</t>
        </is>
      </c>
      <c r="M12" s="7" t="inlineStr">
        <is>
          <t>Locate the cited article/section/creed clause first; assert phrase inside that scoped block. If the source structure supports locator extraction and it fails, FAIL BUILD.</t>
        </is>
      </c>
    </row>
    <row r="13">
      <c r="A13" s="7" t="inlineStr">
        <is>
          <t>RNR-H12</t>
        </is>
      </c>
      <c r="B13" s="7" t="inlineStr">
        <is>
          <t>https://bfm.sbc.net/bfm2000/</t>
        </is>
      </c>
      <c r="C13" s="7" t="inlineStr">
        <is>
          <t>infinite in holiness</t>
        </is>
      </c>
      <c r="D13" s="7">
        <f>IF(C13="",0,LEN(TRIM(C13))-LEN(SUBSTITUTE(TRIM(C13)," ",""))+1)</f>
        <v/>
      </c>
      <c r="E13" s="7" t="inlineStr">
        <is>
          <t>READY</t>
        </is>
      </c>
      <c r="F13" s="7" t="inlineStr">
        <is>
          <t>HTML→visible text; Unicode NFKC; casefold; normalize whitespace; normalize curly quotes/apostrophes/dashes.</t>
        </is>
      </c>
      <c r="G13" s="7" t="inlineStr">
        <is>
          <t>SOURCE REVIEWED — PIPELINE RECHECK REQUIRED</t>
        </is>
      </c>
      <c r="H13" s="7" t="inlineStr">
        <is>
          <t>Normalized fetched text MUST contain normalized quoted phrase</t>
        </is>
      </c>
      <c r="I13" s="7" t="inlineStr">
        <is>
          <t>FAIL BUILD</t>
        </is>
      </c>
      <c r="J13" s="7" t="inlineStr">
        <is>
          <t>Quoted phrase is a content assertion, not merely display copy.</t>
        </is>
      </c>
      <c r="K13" s="7" t="inlineStr">
        <is>
          <t>II. God</t>
        </is>
      </c>
      <c r="L13" s="7" t="inlineStr">
        <is>
          <t>HTML</t>
        </is>
      </c>
      <c r="M13" s="7" t="inlineStr">
        <is>
          <t>Locate the cited article/section/creed clause first; assert phrase inside that scoped block. If the source structure supports locator extraction and it fails, FAIL BUILD.</t>
        </is>
      </c>
    </row>
    <row r="14">
      <c r="A14" s="7" t="inlineStr">
        <is>
          <t>RNR-H13</t>
        </is>
      </c>
      <c r="B14" s="7" t="inlineStr">
        <is>
          <t>https://opc.org/wcf.html</t>
        </is>
      </c>
      <c r="C14" s="7" t="inlineStr">
        <is>
          <t>abundant in goodness and truth</t>
        </is>
      </c>
      <c r="D14" s="7">
        <f>IF(C14="",0,LEN(TRIM(C14))-LEN(SUBSTITUTE(TRIM(C14)," ",""))+1)</f>
        <v/>
      </c>
      <c r="E14" s="7" t="inlineStr">
        <is>
          <t>READY</t>
        </is>
      </c>
      <c r="F14" s="7" t="inlineStr">
        <is>
          <t>HTML→visible text; Unicode NFKC; casefold; normalize whitespace; normalize curly quotes/apostrophes/dashes.</t>
        </is>
      </c>
      <c r="G14" s="7" t="inlineStr">
        <is>
          <t>SOURCE REVIEWED — PIPELINE RECHECK REQUIRED</t>
        </is>
      </c>
      <c r="H14" s="7" t="inlineStr">
        <is>
          <t>Normalized fetched text MUST contain normalized quoted phrase</t>
        </is>
      </c>
      <c r="I14" s="7" t="inlineStr">
        <is>
          <t>FAIL BUILD</t>
        </is>
      </c>
      <c r="J14" s="7" t="inlineStr">
        <is>
          <t>Quoted phrase is a content assertion, not merely display copy.</t>
        </is>
      </c>
      <c r="K14" s="7" t="inlineStr">
        <is>
          <t>Chapter II.1</t>
        </is>
      </c>
      <c r="L14" s="7" t="inlineStr">
        <is>
          <t>HTML</t>
        </is>
      </c>
      <c r="M14" s="7" t="inlineStr">
        <is>
          <t>Locate the cited article/section/creed clause first; assert phrase inside that scoped block. If the source structure supports locator extraction and it fails, FAIL BUILD.</t>
        </is>
      </c>
    </row>
    <row r="15">
      <c r="A15" s="7" t="inlineStr">
        <is>
          <t>RNR-H14</t>
        </is>
      </c>
      <c r="B15" s="7" t="inlineStr">
        <is>
          <t>https://bfm.sbc.net/bfm2000/</t>
        </is>
      </c>
      <c r="C15" s="7" t="inlineStr">
        <is>
          <t>all loving</t>
        </is>
      </c>
      <c r="D15" s="7">
        <f>IF(C15="",0,LEN(TRIM(C15))-LEN(SUBSTITUTE(TRIM(C15)," ",""))+1)</f>
        <v/>
      </c>
      <c r="E15" s="7" t="inlineStr">
        <is>
          <t>READY</t>
        </is>
      </c>
      <c r="F15" s="7" t="inlineStr">
        <is>
          <t>HTML→visible text; Unicode NFKC; casefold; normalize whitespace; normalize curly quotes/apostrophes/dashes.</t>
        </is>
      </c>
      <c r="G15" s="7" t="inlineStr">
        <is>
          <t>SOURCE REVIEWED — PIPELINE RECHECK REQUIRED</t>
        </is>
      </c>
      <c r="H15" s="7" t="inlineStr">
        <is>
          <t>Normalized fetched text MUST contain normalized quoted phrase</t>
        </is>
      </c>
      <c r="I15" s="7" t="inlineStr">
        <is>
          <t>FAIL BUILD</t>
        </is>
      </c>
      <c r="J15" s="7" t="inlineStr">
        <is>
          <t>Quoted phrase is a content assertion, not merely display copy.</t>
        </is>
      </c>
      <c r="K15" s="7" t="inlineStr">
        <is>
          <t>II.A. God the Father</t>
        </is>
      </c>
      <c r="L15" s="7" t="inlineStr">
        <is>
          <t>HTML</t>
        </is>
      </c>
      <c r="M15" s="7" t="inlineStr">
        <is>
          <t>Locate the cited article/section/creed clause first; assert phrase inside that scoped block. If the source structure supports locator extraction and it fails, FAIL BUILD.</t>
        </is>
      </c>
    </row>
    <row r="16">
      <c r="A16" s="7" t="inlineStr">
        <is>
          <t>RNR-H15</t>
        </is>
      </c>
      <c r="B16" s="7" t="inlineStr">
        <is>
          <t>https://opc.org/wcf.html</t>
        </is>
      </c>
      <c r="C16" s="7" t="inlineStr">
        <is>
          <t>gracious, merciful</t>
        </is>
      </c>
      <c r="D16" s="7">
        <f>IF(C16="",0,LEN(TRIM(C16))-LEN(SUBSTITUTE(TRIM(C16)," ",""))+1)</f>
        <v/>
      </c>
      <c r="E16" s="7" t="inlineStr">
        <is>
          <t>READY</t>
        </is>
      </c>
      <c r="F16" s="7" t="inlineStr">
        <is>
          <t>HTML→visible text; Unicode NFKC; casefold; normalize whitespace; normalize curly quotes/apostrophes/dashes.</t>
        </is>
      </c>
      <c r="G16" s="7" t="inlineStr">
        <is>
          <t>SOURCE REVIEWED — PIPELINE RECHECK REQUIRED</t>
        </is>
      </c>
      <c r="H16" s="7" t="inlineStr">
        <is>
          <t>Normalized fetched text MUST contain normalized quoted phrase</t>
        </is>
      </c>
      <c r="I16" s="7" t="inlineStr">
        <is>
          <t>FAIL BUILD</t>
        </is>
      </c>
      <c r="J16" s="7" t="inlineStr">
        <is>
          <t>Quoted phrase is a content assertion, not merely display copy.</t>
        </is>
      </c>
      <c r="K16" s="7" t="inlineStr">
        <is>
          <t>Chapter II.1</t>
        </is>
      </c>
      <c r="L16" s="7" t="inlineStr">
        <is>
          <t>HTML</t>
        </is>
      </c>
      <c r="M16" s="7" t="inlineStr">
        <is>
          <t>Locate the cited article/section/creed clause first; assert phrase inside that scoped block. If the source structure supports locator extraction and it fails, FAIL BUILD.</t>
        </is>
      </c>
    </row>
    <row r="17">
      <c r="A17" s="7" t="inlineStr">
        <is>
          <t>RNR-H16</t>
        </is>
      </c>
      <c r="B17" s="7" t="inlineStr">
        <is>
          <t>https://www.umc.org/en/content/confession-of-faith</t>
        </is>
      </c>
      <c r="C17" s="7" t="inlineStr">
        <is>
          <t>rules with gracious regard</t>
        </is>
      </c>
      <c r="D17" s="7">
        <f>IF(C17="",0,LEN(TRIM(C17))-LEN(SUBSTITUTE(TRIM(C17)," ",""))+1)</f>
        <v/>
      </c>
      <c r="E17" s="7" t="inlineStr">
        <is>
          <t>READY</t>
        </is>
      </c>
      <c r="F17" s="7" t="inlineStr">
        <is>
          <t>HTML→visible text; Unicode NFKC; casefold; normalize whitespace; normalize curly quotes/apostrophes/dashes.</t>
        </is>
      </c>
      <c r="G17" s="7" t="inlineStr">
        <is>
          <t>SOURCE REVIEWED — PIPELINE RECHECK REQUIRED</t>
        </is>
      </c>
      <c r="H17" s="7" t="inlineStr">
        <is>
          <t>Normalized fetched text MUST contain normalized quoted phrase</t>
        </is>
      </c>
      <c r="I17" s="7" t="inlineStr">
        <is>
          <t>FAIL BUILD</t>
        </is>
      </c>
      <c r="J17" s="7" t="inlineStr">
        <is>
          <t>Quoted phrase is a content assertion, not merely display copy.</t>
        </is>
      </c>
      <c r="K17" s="7" t="inlineStr">
        <is>
          <t>Article I — God</t>
        </is>
      </c>
      <c r="L17" s="7" t="inlineStr">
        <is>
          <t>HTML</t>
        </is>
      </c>
      <c r="M17" s="7" t="inlineStr">
        <is>
          <t>Locate the cited article/section/creed clause first; assert phrase inside that scoped block. If the source structure supports locator extraction and it fails, FAIL BUILD.</t>
        </is>
      </c>
    </row>
    <row r="18">
      <c r="A18" s="7" t="inlineStr">
        <is>
          <t>RNR-H17</t>
        </is>
      </c>
      <c r="B18" s="7" t="inlineStr">
        <is>
          <t>https://opc.org/wcf.html</t>
        </is>
      </c>
      <c r="C18" s="7" t="inlineStr">
        <is>
          <t>long-suffering</t>
        </is>
      </c>
      <c r="D18" s="7">
        <f>IF(C18="",0,LEN(TRIM(C18))-LEN(SUBSTITUTE(TRIM(C18)," ",""))+1)</f>
        <v/>
      </c>
      <c r="E18" s="7" t="inlineStr">
        <is>
          <t>READY</t>
        </is>
      </c>
      <c r="F18" s="7" t="inlineStr">
        <is>
          <t>HTML→visible text; Unicode NFKC; casefold; normalize whitespace; normalize curly quotes/apostrophes/dashes.</t>
        </is>
      </c>
      <c r="G18" s="7" t="inlineStr">
        <is>
          <t>SOURCE REVIEWED — PIPELINE RECHECK REQUIRED</t>
        </is>
      </c>
      <c r="H18" s="7" t="inlineStr">
        <is>
          <t>Normalized fetched text MUST contain normalized quoted phrase</t>
        </is>
      </c>
      <c r="I18" s="7" t="inlineStr">
        <is>
          <t>FAIL BUILD</t>
        </is>
      </c>
      <c r="J18" s="7" t="inlineStr">
        <is>
          <t>Quoted phrase is a content assertion, not merely display copy.</t>
        </is>
      </c>
      <c r="K18" s="7" t="inlineStr">
        <is>
          <t>Chapter II.1</t>
        </is>
      </c>
      <c r="L18" s="7" t="inlineStr">
        <is>
          <t>HTML</t>
        </is>
      </c>
      <c r="M18" s="7" t="inlineStr">
        <is>
          <t>Locate the cited article/section/creed clause first; assert phrase inside that scoped block. If the source structure supports locator extraction and it fails, FAIL BUILD.</t>
        </is>
      </c>
    </row>
    <row r="19">
      <c r="A19" s="7" t="inlineStr">
        <is>
          <t>RNR-H18</t>
        </is>
      </c>
      <c r="B19" s="7" t="inlineStr">
        <is>
          <t>https://opc.org/wcf.html</t>
        </is>
      </c>
      <c r="C19" s="7" t="inlineStr">
        <is>
          <t>forgiving iniquity, transgression, and sin</t>
        </is>
      </c>
      <c r="D19" s="7">
        <f>IF(C19="",0,LEN(TRIM(C19))-LEN(SUBSTITUTE(TRIM(C19)," ",""))+1)</f>
        <v/>
      </c>
      <c r="E19" s="7" t="inlineStr">
        <is>
          <t>READY</t>
        </is>
      </c>
      <c r="F19" s="7" t="inlineStr">
        <is>
          <t>HTML→visible text; Unicode NFKC; casefold; normalize whitespace; normalize curly quotes/apostrophes/dashes.</t>
        </is>
      </c>
      <c r="G19" s="7" t="inlineStr">
        <is>
          <t>SOURCE REVIEWED — PIPELINE RECHECK REQUIRED</t>
        </is>
      </c>
      <c r="H19" s="7" t="inlineStr">
        <is>
          <t>Normalized fetched text MUST contain normalized quoted phrase</t>
        </is>
      </c>
      <c r="I19" s="7" t="inlineStr">
        <is>
          <t>FAIL BUILD</t>
        </is>
      </c>
      <c r="J19" s="7" t="inlineStr">
        <is>
          <t>Quoted phrase is a content assertion, not merely display copy.</t>
        </is>
      </c>
      <c r="K19" s="7" t="inlineStr">
        <is>
          <t>Chapter II.1</t>
        </is>
      </c>
      <c r="L19" s="7" t="inlineStr">
        <is>
          <t>HTML</t>
        </is>
      </c>
      <c r="M19" s="7" t="inlineStr">
        <is>
          <t>Locate the cited article/section/creed clause first; assert phrase inside that scoped block. If the source structure supports locator extraction and it fails, FAIL BUILD.</t>
        </is>
      </c>
    </row>
    <row r="20">
      <c r="A20" s="7" t="inlineStr">
        <is>
          <t>RNR-H19</t>
        </is>
      </c>
      <c r="B20" s="7" t="inlineStr">
        <is>
          <t>https://opc.org/wcf.html</t>
        </is>
      </c>
      <c r="C20" s="7" t="inlineStr">
        <is>
          <t>all life, glory, goodness, blessedness</t>
        </is>
      </c>
      <c r="D20" s="7">
        <f>IF(C20="",0,LEN(TRIM(C20))-LEN(SUBSTITUTE(TRIM(C20)," ",""))+1)</f>
        <v/>
      </c>
      <c r="E20" s="7" t="inlineStr">
        <is>
          <t>READY</t>
        </is>
      </c>
      <c r="F20" s="7" t="inlineStr">
        <is>
          <t>HTML→visible text; Unicode NFKC; casefold; normalize whitespace; normalize curly quotes/apostrophes/dashes.</t>
        </is>
      </c>
      <c r="G20" s="7" t="inlineStr">
        <is>
          <t>SOURCE REVIEWED — PIPELINE RECHECK REQUIRED</t>
        </is>
      </c>
      <c r="H20" s="7" t="inlineStr">
        <is>
          <t>Normalized fetched text MUST contain normalized quoted phrase</t>
        </is>
      </c>
      <c r="I20" s="7" t="inlineStr">
        <is>
          <t>FAIL BUILD</t>
        </is>
      </c>
      <c r="J20" s="7" t="inlineStr">
        <is>
          <t>Quoted phrase is a content assertion, not merely display copy.</t>
        </is>
      </c>
      <c r="K20" s="7" t="inlineStr">
        <is>
          <t>Chapter II.2</t>
        </is>
      </c>
      <c r="L20" s="7" t="inlineStr">
        <is>
          <t>HTML</t>
        </is>
      </c>
      <c r="M20" s="7" t="inlineStr">
        <is>
          <t>Locate the cited article/section/creed clause first; assert phrase inside that scoped block. If the source structure supports locator extraction and it fails, FAIL BUILD.</t>
        </is>
      </c>
    </row>
    <row r="21" ht="15.75" customHeight="1" s="29">
      <c r="A21" s="7" t="inlineStr">
        <is>
          <t>RNR-H20</t>
        </is>
      </c>
      <c r="B21" s="7" t="inlineStr">
        <is>
          <t>https://opc.org/wcf.html</t>
        </is>
      </c>
      <c r="C21" s="7" t="inlineStr">
        <is>
          <t>God hath all life, glory, goodness, blessedness</t>
        </is>
      </c>
      <c r="D21" s="7">
        <f>IF(C21="",0,LEN(TRIM(C21))-LEN(SUBSTITUTE(TRIM(C21)," ",""))+1)</f>
        <v/>
      </c>
      <c r="E21" s="7" t="inlineStr">
        <is>
          <t>READY</t>
        </is>
      </c>
      <c r="F21" s="7" t="inlineStr">
        <is>
          <t>HTML→visible text; Unicode NFKC; casefold; normalize whitespace; normalize curly quotes/apostrophes/dashes.</t>
        </is>
      </c>
      <c r="G21" s="7" t="inlineStr">
        <is>
          <t>SOURCE REVIEWED — PIPELINE RECHECK REQUIRED</t>
        </is>
      </c>
      <c r="H21" s="7" t="inlineStr">
        <is>
          <t>Normalized fetched text MUST contain normalized quoted phrase</t>
        </is>
      </c>
      <c r="I21" s="7" t="inlineStr">
        <is>
          <t>FAIL BUILD</t>
        </is>
      </c>
      <c r="J21" s="7" t="inlineStr">
        <is>
          <t>Quoted phrase is a content assertion, not merely display copy.</t>
        </is>
      </c>
      <c r="K21" s="7" t="inlineStr">
        <is>
          <t>Chapter II.2</t>
        </is>
      </c>
      <c r="L21" s="7" t="inlineStr">
        <is>
          <t>HTML</t>
        </is>
      </c>
      <c r="M21" s="7" t="inlineStr">
        <is>
          <t>Locate the cited article/section/creed clause first; assert phrase inside that scoped block. If the source structure supports locator extraction and it fails, FAIL BUILD.</t>
        </is>
      </c>
    </row>
    <row r="22" ht="15.75" customHeight="1" s="29">
      <c r="A22" s="7" t="inlineStr">
        <is>
          <t>RNR-H21</t>
        </is>
      </c>
      <c r="B22" s="7" t="inlineStr">
        <is>
          <t>https://www.vatican.va/content/catechism/en/part_one/section_one/chapter_three/article_2/the_credo.html</t>
        </is>
      </c>
      <c r="C22" s="7" t="inlineStr">
        <is>
          <t>the Lord, the giver of life</t>
        </is>
      </c>
      <c r="D22" s="7">
        <f>IF(C22="",0,LEN(TRIM(C22))-LEN(SUBSTITUTE(TRIM(C22)," ",""))+1)</f>
        <v/>
      </c>
      <c r="E22" s="7" t="inlineStr">
        <is>
          <t>READY</t>
        </is>
      </c>
      <c r="F22" s="7" t="inlineStr">
        <is>
          <t>HTML→visible text; Unicode NFKC; casefold; normalize whitespace; normalize curly quotes/apostrophes/dashes.</t>
        </is>
      </c>
      <c r="G22" s="7" t="inlineStr">
        <is>
          <t>SOURCE REVIEWED — PIPELINE RECHECK REQUIRED</t>
        </is>
      </c>
      <c r="H22" s="7" t="inlineStr">
        <is>
          <t>Normalized fetched text MUST contain normalized quoted phrase</t>
        </is>
      </c>
      <c r="I22" s="7" t="inlineStr">
        <is>
          <t>FAIL BUILD</t>
        </is>
      </c>
      <c r="J22" s="7" t="inlineStr">
        <is>
          <t>Quoted phrase is a content assertion, not merely display copy.</t>
        </is>
      </c>
      <c r="K22" s="7" t="inlineStr">
        <is>
          <t>Holy Spirit clause</t>
        </is>
      </c>
      <c r="L22" s="7" t="inlineStr">
        <is>
          <t>HTML</t>
        </is>
      </c>
      <c r="M22" s="7" t="inlineStr">
        <is>
          <t>Locate the cited article/section/creed clause first; assert phrase inside that scoped block. If the source structure supports locator extraction and it fails, FAIL BUILD.</t>
        </is>
      </c>
    </row>
    <row r="23" ht="15.75" customHeight="1" s="29">
      <c r="A23" s="7" t="inlineStr">
        <is>
          <t>RNR-H22</t>
        </is>
      </c>
      <c r="B23" s="7" t="inlineStr">
        <is>
          <t>https://www.vaticannews.va/en/prayers/the-apostles_-creed.html</t>
        </is>
      </c>
      <c r="C23" s="7" t="inlineStr">
        <is>
          <t>maker of heaven and earth</t>
        </is>
      </c>
      <c r="D23" s="7">
        <f>IF(C23="",0,LEN(TRIM(C23))-LEN(SUBSTITUTE(TRIM(C23)," ",""))+1)</f>
        <v/>
      </c>
      <c r="E23" s="7" t="inlineStr">
        <is>
          <t>READY</t>
        </is>
      </c>
      <c r="F23" s="7" t="inlineStr">
        <is>
          <t>HTML→visible text; Unicode NFKC; casefold; normalize whitespace; normalize curly quotes/apostrophes/dashes.</t>
        </is>
      </c>
      <c r="G23" s="7" t="inlineStr">
        <is>
          <t>SOURCE REVIEWED — PIPELINE RECHECK REQUIRED</t>
        </is>
      </c>
      <c r="H23" s="7" t="inlineStr">
        <is>
          <t>Normalized fetched text MUST contain normalized quoted phrase</t>
        </is>
      </c>
      <c r="I23" s="7" t="inlineStr">
        <is>
          <t>FAIL BUILD</t>
        </is>
      </c>
      <c r="J23" s="7" t="inlineStr">
        <is>
          <t>Quoted phrase is a content assertion, not merely display copy.</t>
        </is>
      </c>
      <c r="K23" s="7" t="inlineStr">
        <is>
          <t>Creator clause</t>
        </is>
      </c>
      <c r="L23" s="7" t="inlineStr">
        <is>
          <t>HTML</t>
        </is>
      </c>
      <c r="M23" s="7" t="inlineStr">
        <is>
          <t>Locate the cited article/section/creed clause first; assert phrase inside that scoped block. If the source structure supports locator extraction and it fails, FAIL BUILD.</t>
        </is>
      </c>
    </row>
    <row r="24" ht="15.75" customHeight="1" s="29">
      <c r="A24" s="7" t="inlineStr">
        <is>
          <t>RNR-H23</t>
        </is>
      </c>
      <c r="B24" s="7" t="inlineStr">
        <is>
          <t>https://www.churchofengland.org/prayer-and-worship/worship-texts-and-resources/book-common-prayer/articles-religion</t>
        </is>
      </c>
      <c r="C24" s="7" t="inlineStr">
        <is>
          <t>Preserver of all things</t>
        </is>
      </c>
      <c r="D24" s="7">
        <f>IF(C24="",0,LEN(TRIM(C24))-LEN(SUBSTITUTE(TRIM(C24)," ",""))+1)</f>
        <v/>
      </c>
      <c r="E24" s="7" t="inlineStr">
        <is>
          <t>READY</t>
        </is>
      </c>
      <c r="F24" s="7" t="inlineStr">
        <is>
          <t>HTML→visible text; Unicode NFKC; casefold; normalize whitespace; normalize curly quotes/apostrophes/dashes.</t>
        </is>
      </c>
      <c r="G24" s="7" t="inlineStr">
        <is>
          <t>SOURCE REVIEWED — PIPELINE RECHECK REQUIRED</t>
        </is>
      </c>
      <c r="H24" s="7" t="inlineStr">
        <is>
          <t>Normalized fetched text MUST contain normalized quoted phrase</t>
        </is>
      </c>
      <c r="I24" s="7" t="inlineStr">
        <is>
          <t>FAIL BUILD</t>
        </is>
      </c>
      <c r="J24" s="7" t="inlineStr">
        <is>
          <t>Quoted phrase is a content assertion, not merely display copy.</t>
        </is>
      </c>
      <c r="K24" s="7" t="inlineStr">
        <is>
          <t>Article I — Of Faith in the Holy Trinity</t>
        </is>
      </c>
      <c r="L24" s="7" t="inlineStr">
        <is>
          <t>HTML</t>
        </is>
      </c>
      <c r="M24" s="7" t="inlineStr">
        <is>
          <t>Locate the cited article/section/creed clause first; assert phrase inside that scoped block. If the source structure supports locator extraction and it fails, FAIL BUILD.</t>
        </is>
      </c>
    </row>
    <row r="25" ht="15.75" customHeight="1" s="29">
      <c r="A25" s="7" t="inlineStr">
        <is>
          <t>RNR-H24</t>
        </is>
      </c>
      <c r="B25" s="7" t="inlineStr">
        <is>
          <t>https://bfm.sbc.net/bfm2000/</t>
        </is>
      </c>
      <c r="C25" s="7" t="inlineStr">
        <is>
          <t>Ruler of the universe</t>
        </is>
      </c>
      <c r="D25" s="7">
        <f>IF(C25="",0,LEN(TRIM(C25))-LEN(SUBSTITUTE(TRIM(C25)," ",""))+1)</f>
        <v/>
      </c>
      <c r="E25" s="7" t="inlineStr">
        <is>
          <t>READY</t>
        </is>
      </c>
      <c r="F25" s="7" t="inlineStr">
        <is>
          <t>HTML→visible text; Unicode NFKC; casefold; normalize whitespace; normalize curly quotes/apostrophes/dashes.</t>
        </is>
      </c>
      <c r="G25" s="7" t="inlineStr">
        <is>
          <t>SOURCE REVIEWED — PIPELINE RECHECK REQUIRED</t>
        </is>
      </c>
      <c r="H25" s="7" t="inlineStr">
        <is>
          <t>Normalized fetched text MUST contain normalized quoted phrase</t>
        </is>
      </c>
      <c r="I25" s="7" t="inlineStr">
        <is>
          <t>FAIL BUILD</t>
        </is>
      </c>
      <c r="J25" s="7" t="inlineStr">
        <is>
          <t>Quoted phrase is a content assertion, not merely display copy.</t>
        </is>
      </c>
      <c r="K25" s="7" t="inlineStr">
        <is>
          <t>Article II — God</t>
        </is>
      </c>
      <c r="L25" s="7" t="inlineStr">
        <is>
          <t>HTML</t>
        </is>
      </c>
      <c r="M25" s="7" t="inlineStr">
        <is>
          <t>Locate the cited article/section/creed clause first; assert phrase inside that scoped block. If the source structure supports locator extraction and it fails, FAIL BUILD.</t>
        </is>
      </c>
    </row>
    <row r="26" ht="15.75" customHeight="1" s="29">
      <c r="A26" s="7" t="inlineStr">
        <is>
          <t>RNR-H25</t>
        </is>
      </c>
      <c r="B26" s="7" t="inlineStr">
        <is>
          <t>https://www.umc.org/en/content/confession-of-faith</t>
        </is>
      </c>
      <c r="C26" s="7" t="inlineStr">
        <is>
          <t>Creator, Sovereign and Preserver</t>
        </is>
      </c>
      <c r="D26" s="7">
        <f>IF(C26="",0,LEN(TRIM(C26))-LEN(SUBSTITUTE(TRIM(C26)," ",""))+1)</f>
        <v/>
      </c>
      <c r="E26" s="7" t="inlineStr">
        <is>
          <t>READY</t>
        </is>
      </c>
      <c r="F26" s="7" t="inlineStr">
        <is>
          <t>HTML→visible text; Unicode NFKC; casefold; normalize whitespace; normalize curly quotes/apostrophes/dashes.</t>
        </is>
      </c>
      <c r="G26" s="7" t="inlineStr">
        <is>
          <t>SOURCE REVIEWED — PIPELINE RECHECK REQUIRED</t>
        </is>
      </c>
      <c r="H26" s="7" t="inlineStr">
        <is>
          <t>Normalized fetched text MUST contain normalized quoted phrase</t>
        </is>
      </c>
      <c r="I26" s="7" t="inlineStr">
        <is>
          <t>FAIL BUILD</t>
        </is>
      </c>
      <c r="J26" s="7" t="inlineStr">
        <is>
          <t>Quoted phrase is a content assertion, not merely display copy.</t>
        </is>
      </c>
      <c r="K26" s="7" t="inlineStr">
        <is>
          <t>Article I — God</t>
        </is>
      </c>
      <c r="L26" s="7" t="inlineStr">
        <is>
          <t>HTML</t>
        </is>
      </c>
      <c r="M26" s="7" t="inlineStr">
        <is>
          <t>Locate the cited article/section/creed clause first; assert phrase inside that scoped block. If the source structure supports locator extraction and it fails, FAIL BUILD.</t>
        </is>
      </c>
    </row>
    <row r="27" ht="15.75" customHeight="1" s="29">
      <c r="A27" s="7" t="inlineStr">
        <is>
          <t>RNR-H26</t>
        </is>
      </c>
      <c r="B27" s="7" t="inlineStr">
        <is>
          <t>https://www.vaticannews.va/en/prayers/the-apostles_-creed.html</t>
        </is>
      </c>
      <c r="C27" s="7" t="inlineStr">
        <is>
          <t>judge the living and the dead</t>
        </is>
      </c>
      <c r="D27" s="7">
        <f>IF(C27="",0,LEN(TRIM(C27))-LEN(SUBSTITUTE(TRIM(C27)," ",""))+1)</f>
        <v/>
      </c>
      <c r="E27" s="7" t="inlineStr">
        <is>
          <t>READY</t>
        </is>
      </c>
      <c r="F27" s="7" t="inlineStr">
        <is>
          <t>HTML→visible text; Unicode NFKC; casefold; normalize whitespace; normalize curly quotes/apostrophes/dashes.</t>
        </is>
      </c>
      <c r="G27" s="7" t="inlineStr">
        <is>
          <t>SOURCE REVIEWED — PIPELINE RECHECK REQUIRED</t>
        </is>
      </c>
      <c r="H27" s="7" t="inlineStr">
        <is>
          <t>Normalized fetched text MUST contain normalized quoted phrase</t>
        </is>
      </c>
      <c r="I27" s="7" t="inlineStr">
        <is>
          <t>FAIL BUILD</t>
        </is>
      </c>
      <c r="J27" s="7" t="inlineStr">
        <is>
          <t>Quoted phrase is a content assertion, not merely display copy.</t>
        </is>
      </c>
      <c r="K27" s="7" t="inlineStr">
        <is>
          <t>Judgment clause</t>
        </is>
      </c>
      <c r="L27" s="7" t="inlineStr">
        <is>
          <t>HTML</t>
        </is>
      </c>
      <c r="M27" s="7" t="inlineStr">
        <is>
          <t>Locate the cited article/section/creed clause first; assert phrase inside that scoped block. If the source structure supports locator extraction and it fails, FAIL BUILD.</t>
        </is>
      </c>
    </row>
    <row r="28" ht="15.75" customHeight="1" s="29">
      <c r="A28" s="7" t="inlineStr">
        <is>
          <t>RNR-H27</t>
        </is>
      </c>
      <c r="B28" s="7" t="inlineStr">
        <is>
          <t>https://www.umc.org/en/content/confession-of-faith</t>
        </is>
      </c>
      <c r="C28" s="7" t="inlineStr">
        <is>
          <t>eternal Savior and Mediator</t>
        </is>
      </c>
      <c r="D28" s="7">
        <f>IF(C28="",0,LEN(TRIM(C28))-LEN(SUBSTITUTE(TRIM(C28)," ",""))+1)</f>
        <v/>
      </c>
      <c r="E28" s="7" t="inlineStr">
        <is>
          <t>READY</t>
        </is>
      </c>
      <c r="F28" s="7" t="inlineStr">
        <is>
          <t>HTML→visible text; Unicode NFKC; casefold; normalize whitespace; normalize curly quotes/apostrophes/dashes.</t>
        </is>
      </c>
      <c r="G28" s="7" t="inlineStr">
        <is>
          <t>SOURCE REVIEWED — PIPELINE RECHECK REQUIRED</t>
        </is>
      </c>
      <c r="H28" s="7" t="inlineStr">
        <is>
          <t>Normalized fetched text MUST contain normalized quoted phrase</t>
        </is>
      </c>
      <c r="I28" s="7" t="inlineStr">
        <is>
          <t>FAIL BUILD</t>
        </is>
      </c>
      <c r="J28" s="7" t="inlineStr">
        <is>
          <t>Quoted phrase is a content assertion, not merely display copy.</t>
        </is>
      </c>
      <c r="K28" s="7" t="inlineStr">
        <is>
          <t>Article II — Jesus Christ</t>
        </is>
      </c>
      <c r="L28" s="7" t="inlineStr">
        <is>
          <t>HTML</t>
        </is>
      </c>
      <c r="M28" s="7" t="inlineStr">
        <is>
          <t>Locate the cited article/section/creed clause first; assert phrase inside that scoped block. If the source structure supports locator extraction and it fails, FAIL BUILD.</t>
        </is>
      </c>
    </row>
    <row r="29" ht="15.75" customHeight="1" s="29">
      <c r="A29" s="7" t="inlineStr">
        <is>
          <t>RNR-H28</t>
        </is>
      </c>
      <c r="B29" s="7" t="inlineStr">
        <is>
          <t>https://bfm.sbc.net/bfm2000/</t>
        </is>
      </c>
      <c r="C29" s="7" t="inlineStr">
        <is>
          <t>reveals Himself to us as Father, Son, and Holy Spirit</t>
        </is>
      </c>
      <c r="D29" s="7">
        <f>IF(C29="",0,LEN(TRIM(C29))-LEN(SUBSTITUTE(TRIM(C29)," ",""))+1)</f>
        <v/>
      </c>
      <c r="E29" s="7" t="inlineStr">
        <is>
          <t>READY</t>
        </is>
      </c>
      <c r="F29" s="7" t="inlineStr">
        <is>
          <t>HTML→visible text; Unicode NFKC; casefold; normalize whitespace; normalize curly quotes/apostrophes/dashes.</t>
        </is>
      </c>
      <c r="G29" s="7" t="inlineStr">
        <is>
          <t>SOURCE REVIEWED — PIPELINE RECHECK REQUIRED</t>
        </is>
      </c>
      <c r="H29" s="7" t="inlineStr">
        <is>
          <t>Normalized fetched text MUST contain normalized quoted phrase</t>
        </is>
      </c>
      <c r="I29" s="7" t="inlineStr">
        <is>
          <t>FAIL BUILD</t>
        </is>
      </c>
      <c r="J29" s="7" t="inlineStr">
        <is>
          <t>Quoted phrase is a content assertion, not merely display copy.</t>
        </is>
      </c>
      <c r="K29" s="7" t="inlineStr">
        <is>
          <t>II. God</t>
        </is>
      </c>
      <c r="L29" s="7" t="inlineStr">
        <is>
          <t>HTML</t>
        </is>
      </c>
      <c r="M29" s="7" t="inlineStr">
        <is>
          <t>Locate the cited article/section/creed clause first; assert phrase inside that scoped block. If the source structure supports locator extraction and it fails, FAIL BUILD.</t>
        </is>
      </c>
    </row>
    <row r="30" ht="15.75" customHeight="1" s="29">
      <c r="A30" s="7" t="inlineStr">
        <is>
          <t>RNR-H29</t>
        </is>
      </c>
      <c r="B30" s="7" t="inlineStr">
        <is>
          <t>https://opc.org/wcf.html</t>
        </is>
      </c>
      <c r="C30" s="7" t="inlineStr">
        <is>
          <t>the alone fountain of all being</t>
        </is>
      </c>
      <c r="D30" s="7">
        <f>IF(C30="",0,LEN(TRIM(C30))-LEN(SUBSTITUTE(TRIM(C30)," ",""))+1)</f>
        <v/>
      </c>
      <c r="E30" s="7" t="inlineStr">
        <is>
          <t>READY</t>
        </is>
      </c>
      <c r="F30" s="7" t="inlineStr">
        <is>
          <t>HTML→visible text; Unicode NFKC; casefold; normalize whitespace; normalize curly quotes/apostrophes/dashes.</t>
        </is>
      </c>
      <c r="G30" s="7" t="inlineStr">
        <is>
          <t>SOURCE REVIEWED — PIPELINE RECHECK REQUIRED</t>
        </is>
      </c>
      <c r="H30" s="7" t="inlineStr">
        <is>
          <t>Normalized fetched text MUST contain normalized quoted phrase</t>
        </is>
      </c>
      <c r="I30" s="7" t="inlineStr">
        <is>
          <t>FAIL BUILD</t>
        </is>
      </c>
      <c r="J30" s="7" t="inlineStr">
        <is>
          <t>Quoted phrase is a content assertion, not merely display copy.</t>
        </is>
      </c>
      <c r="K30" s="7" t="inlineStr">
        <is>
          <t>Chapter II.2</t>
        </is>
      </c>
      <c r="L30" s="7" t="inlineStr">
        <is>
          <t>HTML</t>
        </is>
      </c>
      <c r="M30" s="7" t="inlineStr">
        <is>
          <t>Locate the cited article/section/creed clause first; assert phrase inside that scoped block. If the source structure supports locator extraction and it fails, FAIL BUILD.</t>
        </is>
      </c>
    </row>
    <row r="31" ht="15.75" customHeight="1" s="29">
      <c r="A31" s="7" t="inlineStr">
        <is>
          <t>RNR-H30</t>
        </is>
      </c>
      <c r="B31" s="7" t="inlineStr">
        <is>
          <t>https://www.mennoniteusa.org/who-are-mennonites/what-we-believe/confession-of-faith/god/</t>
        </is>
      </c>
      <c r="C31" s="7" t="inlineStr">
        <is>
          <t>the Word who became flesh</t>
        </is>
      </c>
      <c r="D31" s="7">
        <f>IF(C31="",0,LEN(TRIM(C31))-LEN(SUBSTITUTE(TRIM(C31)," ",""))+1)</f>
        <v/>
      </c>
      <c r="E31" s="7" t="inlineStr">
        <is>
          <t>READY</t>
        </is>
      </c>
      <c r="F31" s="7" t="inlineStr">
        <is>
          <t>HTML→visible text; Unicode NFKC; casefold; normalize whitespace; normalize curly quotes/apostrophes/dashes.</t>
        </is>
      </c>
      <c r="G31" s="7" t="inlineStr">
        <is>
          <t>SOURCE REVIEWED — PIPELINE RECHECK REQUIRED</t>
        </is>
      </c>
      <c r="H31" s="7" t="inlineStr">
        <is>
          <t>Normalized fetched text MUST contain normalized quoted phrase</t>
        </is>
      </c>
      <c r="I31" s="7" t="inlineStr">
        <is>
          <t>FAIL BUILD</t>
        </is>
      </c>
      <c r="J31" s="7" t="inlineStr">
        <is>
          <t>Quoted phrase is a content assertion, not merely display copy.</t>
        </is>
      </c>
      <c r="K31" s="7" t="inlineStr">
        <is>
          <t>Article 1 — God</t>
        </is>
      </c>
      <c r="L31" s="7" t="inlineStr">
        <is>
          <t>HTML</t>
        </is>
      </c>
      <c r="M31" s="7" t="inlineStr">
        <is>
          <t>Locate the cited article/section/creed clause first; assert phrase inside that scoped block. If the source structure supports locator extraction and it fails, FAIL BUILD.</t>
        </is>
      </c>
    </row>
    <row r="32" ht="15.75" customHeight="1" s="29">
      <c r="A32" s="7" t="inlineStr">
        <is>
          <t>RNR-H31</t>
        </is>
      </c>
      <c r="B32" s="7" t="inlineStr">
        <is>
          <t>https://www.crcna.org/welcome/beliefs/confessions/belgic-confession</t>
        </is>
      </c>
      <c r="C32" s="7" t="inlineStr">
        <is>
          <t>The Son is the Word, the Wisdom</t>
        </is>
      </c>
      <c r="D32" s="7">
        <f>IF(C32="",0,LEN(TRIM(C32))-LEN(SUBSTITUTE(TRIM(C32)," ",""))+1)</f>
        <v/>
      </c>
      <c r="E32" s="7" t="inlineStr">
        <is>
          <t>READY</t>
        </is>
      </c>
      <c r="F32" s="7" t="inlineStr">
        <is>
          <t>HTML→visible text; Unicode NFKC; casefold; normalize whitespace; normalize curly quotes/apostrophes/dashes.</t>
        </is>
      </c>
      <c r="G32" s="7" t="inlineStr">
        <is>
          <t>SOURCE REVIEWED — PIPELINE RECHECK REQUIRED</t>
        </is>
      </c>
      <c r="H32" s="7" t="inlineStr">
        <is>
          <t>Normalized fetched text MUST contain normalized quoted phrase</t>
        </is>
      </c>
      <c r="I32" s="7" t="inlineStr">
        <is>
          <t>FAIL BUILD</t>
        </is>
      </c>
      <c r="J32" s="7" t="inlineStr">
        <is>
          <t>Quoted phrase is a content assertion, not merely display copy.</t>
        </is>
      </c>
      <c r="K32" s="7" t="inlineStr">
        <is>
          <t>Article 8: The Trinity</t>
        </is>
      </c>
      <c r="L32" s="7" t="inlineStr">
        <is>
          <t>HTML</t>
        </is>
      </c>
      <c r="M32" s="7" t="inlineStr">
        <is>
          <t>Locate the cited article/section/creed clause first; assert phrase inside that scoped block. If the source structure supports locator extraction and it fails, FAIL BUILD.</t>
        </is>
      </c>
    </row>
    <row r="33" ht="15.75" customHeight="1" s="29">
      <c r="A33" s="7" t="inlineStr">
        <is>
          <t>RNR-H32</t>
        </is>
      </c>
      <c r="B33" s="7" t="inlineStr">
        <is>
          <t>https://www.vatican.va/content/catechism/en/part_one/section_one/chapter_three/article_2/the_credo.html</t>
        </is>
      </c>
      <c r="C33" s="7" t="inlineStr">
        <is>
          <t>Light from Light</t>
        </is>
      </c>
      <c r="D33" s="7">
        <f>IF(C33="",0,LEN(TRIM(C33))-LEN(SUBSTITUTE(TRIM(C33)," ",""))+1)</f>
        <v/>
      </c>
      <c r="E33" s="7" t="inlineStr">
        <is>
          <t>READY</t>
        </is>
      </c>
      <c r="F33" s="7" t="inlineStr">
        <is>
          <t>HTML→visible text; Unicode NFKC; casefold; normalize whitespace; normalize curly quotes/apostrophes/dashes.</t>
        </is>
      </c>
      <c r="G33" s="7" t="inlineStr">
        <is>
          <t>SOURCE REVIEWED — PIPELINE RECHECK REQUIRED</t>
        </is>
      </c>
      <c r="H33" s="7" t="inlineStr">
        <is>
          <t>Normalized fetched text MUST contain normalized quoted phrase</t>
        </is>
      </c>
      <c r="I33" s="7" t="inlineStr">
        <is>
          <t>FAIL BUILD</t>
        </is>
      </c>
      <c r="J33" s="7" t="inlineStr">
        <is>
          <t>Quoted phrase is a content assertion, not merely display copy.</t>
        </is>
      </c>
      <c r="K33" s="7" t="inlineStr">
        <is>
          <t>Son clause — Light from Light</t>
        </is>
      </c>
      <c r="L33" s="7" t="inlineStr">
        <is>
          <t>HTML</t>
        </is>
      </c>
      <c r="M33" s="7" t="inlineStr">
        <is>
          <t>Locate the cited article/section/creed clause first; assert phrase inside that scoped block. If the source structure supports locator extraction and it fails, FAIL BUILD.</t>
        </is>
      </c>
    </row>
    <row r="34" ht="15.75" customHeight="1" s="29">
      <c r="A34" s="7" t="inlineStr">
        <is>
          <t>RNR-H33</t>
        </is>
      </c>
      <c r="B34" s="7" t="inlineStr">
        <is>
          <t>https://www.crcna.org/welcome/beliefs/confessions/belgic-confession</t>
        </is>
      </c>
      <c r="C34" s="7" t="inlineStr">
        <is>
          <t>the exact image of the person of the Father</t>
        </is>
      </c>
      <c r="D34" s="7">
        <f>IF(C34="",0,LEN(TRIM(C34))-LEN(SUBSTITUTE(TRIM(C34)," ",""))+1)</f>
        <v/>
      </c>
      <c r="E34" s="7" t="inlineStr">
        <is>
          <t>READY</t>
        </is>
      </c>
      <c r="F34" s="7" t="inlineStr">
        <is>
          <t>HTML→visible text; Unicode NFKC; casefold; normalize whitespace; normalize curly quotes/apostrophes/dashes.</t>
        </is>
      </c>
      <c r="G34" s="7" t="inlineStr">
        <is>
          <t>SOURCE REVIEWED — PIPELINE RECHECK REQUIRED</t>
        </is>
      </c>
      <c r="H34" s="7" t="inlineStr">
        <is>
          <t>Normalized fetched text MUST contain normalized quoted phrase</t>
        </is>
      </c>
      <c r="I34" s="7" t="inlineStr">
        <is>
          <t>FAIL BUILD</t>
        </is>
      </c>
      <c r="J34" s="7" t="inlineStr">
        <is>
          <t>Quoted phrase is a content assertion, not merely display copy.</t>
        </is>
      </c>
      <c r="K34" s="7" t="inlineStr">
        <is>
          <t>Article 10: The Deity of Christ</t>
        </is>
      </c>
      <c r="L34" s="7" t="inlineStr">
        <is>
          <t>HTML</t>
        </is>
      </c>
      <c r="M34" s="7" t="inlineStr">
        <is>
          <t>Locate the cited article/section/creed clause first; assert phrase inside that scoped block. If the source structure supports locator extraction and it fails, FAIL BUILD.</t>
        </is>
      </c>
    </row>
    <row r="35" ht="15.75" customHeight="1" s="29">
      <c r="A35" s="7" t="inlineStr">
        <is>
          <t>RNR-H34</t>
        </is>
      </c>
      <c r="B35" s="7" t="inlineStr">
        <is>
          <t>https://www.vatican.va/content/catechism/en/part_one/section_one/chapter_three/article_2/the_credo.html</t>
        </is>
      </c>
      <c r="C35" s="7" t="inlineStr">
        <is>
          <t>the Lord, the giver of life</t>
        </is>
      </c>
      <c r="D35" s="7">
        <f>IF(C35="",0,LEN(TRIM(C35))-LEN(SUBSTITUTE(TRIM(C35)," ",""))+1)</f>
        <v/>
      </c>
      <c r="E35" s="7" t="inlineStr">
        <is>
          <t>READY</t>
        </is>
      </c>
      <c r="F35" s="7" t="inlineStr">
        <is>
          <t>HTML→visible text; Unicode NFKC; casefold; normalize whitespace; normalize curly quotes/apostrophes/dashes.</t>
        </is>
      </c>
      <c r="G35" s="7" t="inlineStr">
        <is>
          <t>SOURCE REVIEWED — PIPELINE RECHECK REQUIRED</t>
        </is>
      </c>
      <c r="H35" s="7" t="inlineStr">
        <is>
          <t>Normalized fetched text MUST contain normalized quoted phrase</t>
        </is>
      </c>
      <c r="I35" s="7" t="inlineStr">
        <is>
          <t>FAIL BUILD</t>
        </is>
      </c>
      <c r="J35" s="7" t="inlineStr">
        <is>
          <t>Quoted phrase is a content assertion, not merely display copy.</t>
        </is>
      </c>
      <c r="K35" s="7" t="inlineStr">
        <is>
          <t>Holy Spirit clause</t>
        </is>
      </c>
      <c r="L35" s="7" t="inlineStr">
        <is>
          <t>HTML</t>
        </is>
      </c>
      <c r="M35" s="7" t="inlineStr">
        <is>
          <t>Locate the cited article/section/creed clause first; assert phrase inside that scoped block. If the source structure supports locator extraction and it fails, FAIL BUILD.</t>
        </is>
      </c>
    </row>
    <row r="36" ht="15.75" customHeight="1" s="29">
      <c r="A36" s="7" t="inlineStr">
        <is>
          <t>RNR-H35</t>
        </is>
      </c>
      <c r="B36" s="7" t="inlineStr">
        <is>
          <t>https://www.crcna.org/welcome/beliefs/confessions/belgic-confession</t>
        </is>
      </c>
      <c r="C36" s="7" t="inlineStr">
        <is>
          <t>the eternal power and might</t>
        </is>
      </c>
      <c r="D36" s="7">
        <f>IF(C36="",0,LEN(TRIM(C36))-LEN(SUBSTITUTE(TRIM(C36)," ",""))+1)</f>
        <v/>
      </c>
      <c r="E36" s="7" t="inlineStr">
        <is>
          <t>READY</t>
        </is>
      </c>
      <c r="F36" s="7" t="inlineStr">
        <is>
          <t>HTML→visible text; Unicode NFKC; casefold; normalize whitespace; normalize curly quotes/apostrophes/dashes.</t>
        </is>
      </c>
      <c r="G36" s="7" t="inlineStr">
        <is>
          <t>SOURCE REVIEWED — PIPELINE RECHECK REQUIRED</t>
        </is>
      </c>
      <c r="H36" s="7" t="inlineStr">
        <is>
          <t>Normalized fetched text MUST contain normalized quoted phrase</t>
        </is>
      </c>
      <c r="I36" s="7" t="inlineStr">
        <is>
          <t>FAIL BUILD</t>
        </is>
      </c>
      <c r="J36" s="7" t="inlineStr">
        <is>
          <t>Quoted phrase is a content assertion, not merely display copy.</t>
        </is>
      </c>
      <c r="K36" s="7" t="inlineStr">
        <is>
          <t>Article 8: The Trinity</t>
        </is>
      </c>
      <c r="L36" s="7" t="inlineStr">
        <is>
          <t>HTML</t>
        </is>
      </c>
      <c r="M36" s="7" t="inlineStr">
        <is>
          <t>Locate the cited article/section/creed clause first; assert phrase inside that scoped block. If the source structure supports locator extraction and it fails, FAIL BUILD.</t>
        </is>
      </c>
    </row>
    <row r="37" ht="15.75" customHeight="1" s="29">
      <c r="A37" s="7" t="inlineStr">
        <is>
          <t>RNR-H36</t>
        </is>
      </c>
      <c r="B37" s="7" t="inlineStr">
        <is>
          <t>https://ccel.org/ccel/creeds/athanasian.creed.html</t>
        </is>
      </c>
      <c r="C37" s="7" t="inlineStr">
        <is>
          <t>The Father uncreated</t>
        </is>
      </c>
      <c r="D37" s="7">
        <f>IF(C37="",0,LEN(TRIM(C37))-LEN(SUBSTITUTE(TRIM(C37)," ",""))+1)</f>
        <v/>
      </c>
      <c r="E37" s="7" t="inlineStr">
        <is>
          <t>READY</t>
        </is>
      </c>
      <c r="F37" s="7" t="inlineStr">
        <is>
          <t>HTML→visible text; Unicode NFKC; casefold; normalize whitespace; normalize curly quotes/apostrophes/dashes.</t>
        </is>
      </c>
      <c r="G37" s="7" t="inlineStr">
        <is>
          <t>SOURCE REVIEWED — PIPELINE RECHECK REQUIRED</t>
        </is>
      </c>
      <c r="H37" s="7" t="inlineStr">
        <is>
          <t>Normalized fetched text MUST contain normalized quoted phrase</t>
        </is>
      </c>
      <c r="I37" s="7" t="inlineStr">
        <is>
          <t>FAIL BUILD</t>
        </is>
      </c>
      <c r="J37" s="7" t="inlineStr">
        <is>
          <t>Quoted phrase is a content assertion, not merely display copy.</t>
        </is>
      </c>
      <c r="K37" s="7" t="inlineStr">
        <is>
          <t>Athanasian Creed — uncreated clause</t>
        </is>
      </c>
      <c r="L37" s="7" t="inlineStr">
        <is>
          <t>HTML</t>
        </is>
      </c>
      <c r="M37" s="7" t="inlineStr">
        <is>
          <t>Locate the cited article/section/creed clause first; assert phrase inside that scoped block. If the source structure supports locator extraction and it fails, FAIL BUILD.</t>
        </is>
      </c>
    </row>
    <row r="38" ht="15.75" customHeight="1" s="29">
      <c r="A38" s="7" t="inlineStr">
        <is>
          <t>RNR-H37</t>
        </is>
      </c>
      <c r="B38" s="7" t="inlineStr">
        <is>
          <t>https://www.vatican.va/archive/compendium_ccc/documents/archive_2005_compendium-ccc_en.html</t>
        </is>
      </c>
      <c r="C38" s="7" t="inlineStr">
        <is>
          <t>principle without a principle</t>
        </is>
      </c>
      <c r="D38" s="7">
        <f>IF(C38="",0,LEN(TRIM(C38))-LEN(SUBSTITUTE(TRIM(C38)," ",""))+1)</f>
        <v/>
      </c>
      <c r="E38" s="7" t="inlineStr">
        <is>
          <t>READY</t>
        </is>
      </c>
      <c r="F38" s="7" t="inlineStr">
        <is>
          <t>HTML→visible text; Unicode NFKC; casefold; normalize whitespace; normalize curly quotes/apostrophes/dashes.</t>
        </is>
      </c>
      <c r="G38" s="7" t="inlineStr">
        <is>
          <t>SOURCE REVIEWED — PIPELINE RECHECK REQUIRED</t>
        </is>
      </c>
      <c r="H38" s="7" t="inlineStr">
        <is>
          <t>Normalized fetched text MUST contain normalized quoted phrase</t>
        </is>
      </c>
      <c r="I38" s="7" t="inlineStr">
        <is>
          <t>FAIL BUILD</t>
        </is>
      </c>
      <c r="J38" s="7" t="inlineStr">
        <is>
          <t>Quoted phrase is a content assertion, not merely display copy.</t>
        </is>
      </c>
      <c r="K38" s="7" t="inlineStr">
        <is>
          <t>Q.47</t>
        </is>
      </c>
      <c r="L38" s="7" t="inlineStr">
        <is>
          <t>HTML</t>
        </is>
      </c>
      <c r="M38" s="7" t="inlineStr">
        <is>
          <t>Locate the cited article/section/creed clause first; assert phrase inside that scoped block. If the source structure supports locator extraction and it fails, FAIL BUILD.</t>
        </is>
      </c>
    </row>
    <row r="39" ht="15.75" customHeight="1" s="29">
      <c r="A39" s="7" t="inlineStr">
        <is>
          <t>RNR-H38</t>
        </is>
      </c>
      <c r="B39" s="7" t="inlineStr">
        <is>
          <t>https://www.vaticannews.va/en/prayers/the-apostles_-creed.html</t>
        </is>
      </c>
      <c r="C39" s="7" t="inlineStr">
        <is>
          <t>begotten, not made</t>
        </is>
      </c>
      <c r="D39" s="7">
        <f>IF(C39="",0,LEN(TRIM(C39))-LEN(SUBSTITUTE(TRIM(C39)," ",""))+1)</f>
        <v/>
      </c>
      <c r="E39" s="7" t="inlineStr">
        <is>
          <t>READY</t>
        </is>
      </c>
      <c r="F39" s="7" t="inlineStr">
        <is>
          <t>HTML→visible text; Unicode NFKC; casefold; normalize whitespace; normalize curly quotes/apostrophes/dashes.</t>
        </is>
      </c>
      <c r="G39" s="7" t="inlineStr">
        <is>
          <t>SOURCE REVIEWED — PIPELINE RECHECK REQUIRED</t>
        </is>
      </c>
      <c r="H39" s="7" t="inlineStr">
        <is>
          <t>Normalized fetched text MUST contain normalized quoted phrase</t>
        </is>
      </c>
      <c r="I39" s="7" t="inlineStr">
        <is>
          <t>FAIL BUILD</t>
        </is>
      </c>
      <c r="J39" s="7" t="inlineStr">
        <is>
          <t>Quoted phrase is a content assertion, not merely display copy.</t>
        </is>
      </c>
      <c r="K39" s="7" t="inlineStr">
        <is>
          <t>Son clause</t>
        </is>
      </c>
      <c r="L39" s="7" t="inlineStr">
        <is>
          <t>HTML</t>
        </is>
      </c>
      <c r="M39" s="7" t="inlineStr">
        <is>
          <t>Locate the cited article/section/creed clause first; assert phrase inside that scoped block. If the source structure supports locator extraction and it fails, FAIL BUILD.</t>
        </is>
      </c>
    </row>
    <row r="40" ht="15.75" customHeight="1" s="29">
      <c r="A40" s="7" t="inlineStr">
        <is>
          <t>RNR-H39</t>
        </is>
      </c>
      <c r="B40" s="7" t="inlineStr">
        <is>
          <t>https://opc.org/sc.html</t>
        </is>
      </c>
      <c r="C40" s="7" t="inlineStr">
        <is>
          <t>infinite, eternal, and unchangeable</t>
        </is>
      </c>
      <c r="D40" s="7">
        <f>IF(C40="",0,LEN(TRIM(C40))-LEN(SUBSTITUTE(TRIM(C40)," ",""))+1)</f>
        <v/>
      </c>
      <c r="E40" s="7" t="inlineStr">
        <is>
          <t>READY</t>
        </is>
      </c>
      <c r="F40" s="7" t="inlineStr">
        <is>
          <t>HTML→visible text; Unicode NFKC; casefold; normalize whitespace; normalize curly quotes/apostrophes/dashes.</t>
        </is>
      </c>
      <c r="G40" s="7" t="inlineStr">
        <is>
          <t>SOURCE REVIEWED — PIPELINE RECHECK REQUIRED</t>
        </is>
      </c>
      <c r="H40" s="7" t="inlineStr">
        <is>
          <t>Normalized fetched text MUST contain normalized quoted phrase</t>
        </is>
      </c>
      <c r="I40" s="7" t="inlineStr">
        <is>
          <t>FAIL BUILD</t>
        </is>
      </c>
      <c r="J40" s="7" t="inlineStr">
        <is>
          <t>Quoted phrase is a content assertion, not merely display copy.</t>
        </is>
      </c>
      <c r="K40" s="7" t="inlineStr">
        <is>
          <t>Q.4 — What is God?</t>
        </is>
      </c>
      <c r="L40" s="7" t="inlineStr">
        <is>
          <t>HTML</t>
        </is>
      </c>
      <c r="M40" s="7" t="inlineStr">
        <is>
          <t>Locate the cited article/section/creed clause first; assert phrase inside that scoped block. If the source structure supports locator extraction and it fails, FAIL BUILD.</t>
        </is>
      </c>
    </row>
    <row r="41" ht="15.75" customHeight="1" s="29">
      <c r="A41" s="7" t="inlineStr">
        <is>
          <t>RNR-H40</t>
        </is>
      </c>
      <c r="B41" s="7" t="inlineStr">
        <is>
          <t>https://sourcebooks.web.fordham.edu/basis/lateran4.asp</t>
        </is>
      </c>
      <c r="C41" s="7" t="inlineStr">
        <is>
          <t>eternal and immense</t>
        </is>
      </c>
      <c r="D41" s="7">
        <f>IF(C41="",0,LEN(TRIM(C41))-LEN(SUBSTITUTE(TRIM(C41)," ",""))+1)</f>
        <v/>
      </c>
      <c r="E41" s="7" t="inlineStr">
        <is>
          <t>READY</t>
        </is>
      </c>
      <c r="F41" s="7" t="inlineStr">
        <is>
          <t>HTML→visible text; Unicode NFKC; casefold; normalize whitespace; normalize curly quotes/apostrophes/dashes.</t>
        </is>
      </c>
      <c r="G41" s="7" t="inlineStr">
        <is>
          <t>SOURCE REVIEWED — PIPELINE RECHECK REQUIRED</t>
        </is>
      </c>
      <c r="H41" s="7" t="inlineStr">
        <is>
          <t>Normalized fetched text MUST contain normalized quoted phrase</t>
        </is>
      </c>
      <c r="I41" s="7" t="inlineStr">
        <is>
          <t>FAIL BUILD</t>
        </is>
      </c>
      <c r="J41" s="7" t="inlineStr">
        <is>
          <t>Quoted phrase is a content assertion, not merely display copy.</t>
        </is>
      </c>
      <c r="K41" s="7" t="inlineStr">
        <is>
          <t>Canon 1</t>
        </is>
      </c>
      <c r="L41" s="7" t="inlineStr">
        <is>
          <t>HTML</t>
        </is>
      </c>
      <c r="M41" s="7" t="inlineStr">
        <is>
          <t>Locate the cited article/section/creed clause first; assert phrase inside that scoped block. If the source structure supports locator extraction and it fails, FAIL BUILD.</t>
        </is>
      </c>
    </row>
    <row r="42" ht="15.75" customHeight="1" s="29">
      <c r="A42" s="7" t="inlineStr">
        <is>
          <t>RNR-H41</t>
        </is>
      </c>
      <c r="B42" s="7" t="inlineStr">
        <is>
          <t>https://www.crcna.org/welcome/beliefs/confessions/belgic-confession</t>
        </is>
      </c>
      <c r="C42" s="7" t="inlineStr">
        <is>
          <t>invisible</t>
        </is>
      </c>
      <c r="D42" s="7">
        <f>IF(C42="",0,LEN(TRIM(C42))-LEN(SUBSTITUTE(TRIM(C42)," ",""))+1)</f>
        <v/>
      </c>
      <c r="E42" s="7" t="inlineStr">
        <is>
          <t>READY</t>
        </is>
      </c>
      <c r="F42" s="7" t="inlineStr">
        <is>
          <t>HTML→visible text; Unicode NFKC; casefold; normalize whitespace; normalize curly quotes/apostrophes/dashes.</t>
        </is>
      </c>
      <c r="G42" s="7" t="inlineStr">
        <is>
          <t>SOURCE REVIEWED — PIPELINE RECHECK REQUIRED</t>
        </is>
      </c>
      <c r="H42" s="7" t="inlineStr">
        <is>
          <t>Normalized fetched text MUST contain normalized quoted phrase</t>
        </is>
      </c>
      <c r="I42" s="7" t="inlineStr">
        <is>
          <t>FAIL BUILD</t>
        </is>
      </c>
      <c r="J42" s="7" t="inlineStr">
        <is>
          <t>Quoted phrase is a content assertion, not merely display copy.</t>
        </is>
      </c>
      <c r="K42" s="7" t="inlineStr">
        <is>
          <t>Article 1: The Only God</t>
        </is>
      </c>
      <c r="L42" s="7" t="inlineStr">
        <is>
          <t>HTML</t>
        </is>
      </c>
      <c r="M42" s="7" t="inlineStr">
        <is>
          <t>Locate the cited article/section/creed clause first; assert phrase inside that scoped block. If the source structure supports locator extraction and it fails, FAIL BUILD.</t>
        </is>
      </c>
    </row>
    <row r="43" ht="15.75" customHeight="1" s="29">
      <c r="A43" s="7" t="inlineStr">
        <is>
          <t>RNR-H42</t>
        </is>
      </c>
      <c r="B43" s="7" t="inlineStr">
        <is>
          <t>https://www.umc.org/en/content/articles-of-religion</t>
        </is>
      </c>
      <c r="C43" s="7" t="inlineStr">
        <is>
          <t>without body or parts</t>
        </is>
      </c>
      <c r="D43" s="7">
        <f>IF(C43="",0,LEN(TRIM(C43))-LEN(SUBSTITUTE(TRIM(C43)," ",""))+1)</f>
        <v/>
      </c>
      <c r="E43" s="7" t="inlineStr">
        <is>
          <t>READY</t>
        </is>
      </c>
      <c r="F43" s="7" t="inlineStr">
        <is>
          <t>HTML→visible text; Unicode NFKC; casefold; normalize whitespace; normalize curly quotes/apostrophes/dashes.</t>
        </is>
      </c>
      <c r="G43" s="7" t="inlineStr">
        <is>
          <t>SOURCE REVIEWED — PIPELINE RECHECK REQUIRED</t>
        </is>
      </c>
      <c r="H43" s="7" t="inlineStr">
        <is>
          <t>Normalized fetched text MUST contain normalized quoted phrase</t>
        </is>
      </c>
      <c r="I43" s="7" t="inlineStr">
        <is>
          <t>FAIL BUILD</t>
        </is>
      </c>
      <c r="J43" s="7" t="inlineStr">
        <is>
          <t>Quoted phrase is a content assertion, not merely display copy.</t>
        </is>
      </c>
      <c r="K43" s="7" t="inlineStr">
        <is>
          <t>Article I — Of Faith in the Holy Trinity</t>
        </is>
      </c>
      <c r="L43" s="7" t="inlineStr">
        <is>
          <t>HTML</t>
        </is>
      </c>
      <c r="M43" s="7" t="inlineStr">
        <is>
          <t>Locate the cited article/section/creed clause first; assert phrase inside that scoped block. If the source structure supports locator extraction and it fails, FAIL BUILD.</t>
        </is>
      </c>
    </row>
    <row r="44" ht="15.75" customHeight="1" s="29">
      <c r="A44" s="7" t="inlineStr">
        <is>
          <t>RNR-H43</t>
        </is>
      </c>
      <c r="B44" s="7" t="inlineStr">
        <is>
          <t>https://www.churchofengland.org/prayer-and-worship/worship-texts-and-resources/book-common-prayer/articles-religion</t>
        </is>
      </c>
      <c r="C44" s="7" t="inlineStr">
        <is>
          <t>without body, parts, or passions</t>
        </is>
      </c>
      <c r="D44" s="7">
        <f>IF(C44="",0,LEN(TRIM(C44))-LEN(SUBSTITUTE(TRIM(C44)," ",""))+1)</f>
        <v/>
      </c>
      <c r="E44" s="7" t="inlineStr">
        <is>
          <t>READY</t>
        </is>
      </c>
      <c r="F44" s="7" t="inlineStr">
        <is>
          <t>HTML→visible text; Unicode NFKC; casefold; normalize whitespace; normalize curly quotes/apostrophes/dashes.</t>
        </is>
      </c>
      <c r="G44" s="7" t="inlineStr">
        <is>
          <t>SOURCE REVIEWED — PIPELINE RECHECK REQUIRED</t>
        </is>
      </c>
      <c r="H44" s="7" t="inlineStr">
        <is>
          <t>Normalized fetched text MUST contain normalized quoted phrase</t>
        </is>
      </c>
      <c r="I44" s="7" t="inlineStr">
        <is>
          <t>FAIL BUILD</t>
        </is>
      </c>
      <c r="J44" s="7" t="inlineStr">
        <is>
          <t>Quoted phrase is a content assertion, not merely display copy.</t>
        </is>
      </c>
      <c r="K44" s="7" t="inlineStr">
        <is>
          <t>Article I — Of Faith in the Holy Trinity</t>
        </is>
      </c>
      <c r="L44" s="7" t="inlineStr">
        <is>
          <t>HTML</t>
        </is>
      </c>
      <c r="M44" s="7" t="inlineStr">
        <is>
          <t>Locate the cited article/section/creed clause first; assert phrase inside that scoped block. If the source structure supports locator extraction and it fails, FAIL BUILD.</t>
        </is>
      </c>
    </row>
    <row r="45" ht="15.75" customHeight="1" s="29">
      <c r="A45" s="7" t="inlineStr">
        <is>
          <t>RNR-H44</t>
        </is>
      </c>
      <c r="B45" s="7" t="inlineStr">
        <is>
          <t>https://www.churchofengland.org/prayer-and-worship/worship-texts-and-resources/book-common-prayer/articles-religion</t>
        </is>
      </c>
      <c r="C45" s="7" t="inlineStr">
        <is>
          <t>without body, parts, or passions</t>
        </is>
      </c>
      <c r="D45" s="7">
        <f>IF(C45="",0,LEN(TRIM(C45))-LEN(SUBSTITUTE(TRIM(C45)," ",""))+1)</f>
        <v/>
      </c>
      <c r="E45" s="7" t="inlineStr">
        <is>
          <t>READY</t>
        </is>
      </c>
      <c r="F45" s="7" t="inlineStr">
        <is>
          <t>HTML→visible text; Unicode NFKC; casefold; normalize whitespace; normalize curly quotes/apostrophes/dashes.</t>
        </is>
      </c>
      <c r="G45" s="7" t="inlineStr">
        <is>
          <t>SOURCE REVIEWED — PIPELINE RECHECK REQUIRED</t>
        </is>
      </c>
      <c r="H45" s="7" t="inlineStr">
        <is>
          <t>Normalized fetched text MUST contain normalized quoted phrase</t>
        </is>
      </c>
      <c r="I45" s="7" t="inlineStr">
        <is>
          <t>FAIL BUILD</t>
        </is>
      </c>
      <c r="J45" s="7" t="inlineStr">
        <is>
          <t>Quoted phrase is a content assertion, not merely display copy.</t>
        </is>
      </c>
      <c r="K45" s="7" t="inlineStr">
        <is>
          <t>Article I — Of Faith in the Holy Trinity</t>
        </is>
      </c>
      <c r="L45" s="7" t="inlineStr">
        <is>
          <t>HTML</t>
        </is>
      </c>
      <c r="M45" s="7" t="inlineStr">
        <is>
          <t>Locate the cited article/section/creed clause first; assert phrase inside that scoped block. If the source structure supports locator extraction and it fails, FAIL BUILD.</t>
        </is>
      </c>
    </row>
    <row r="46" ht="15.75" customHeight="1" s="29">
      <c r="A46" s="7" t="inlineStr">
        <is>
          <t>RNR-H45</t>
        </is>
      </c>
      <c r="B46" s="7" t="inlineStr">
        <is>
          <t>https://sourcebooks.web.fordham.edu/basis/lateran4.asp</t>
        </is>
      </c>
      <c r="C46" s="7" t="inlineStr">
        <is>
          <t>unchangeable</t>
        </is>
      </c>
      <c r="D46" s="7">
        <f>IF(C46="",0,LEN(TRIM(C46))-LEN(SUBSTITUTE(TRIM(C46)," ",""))+1)</f>
        <v/>
      </c>
      <c r="E46" s="7" t="inlineStr">
        <is>
          <t>READY</t>
        </is>
      </c>
      <c r="F46" s="7" t="inlineStr">
        <is>
          <t>HTML→visible text; Unicode NFKC; casefold; normalize whitespace; normalize curly quotes/apostrophes/dashes.</t>
        </is>
      </c>
      <c r="G46" s="7" t="inlineStr">
        <is>
          <t>SOURCE REVIEWED — PIPELINE RECHECK REQUIRED</t>
        </is>
      </c>
      <c r="H46" s="7" t="inlineStr">
        <is>
          <t>Normalized fetched text MUST contain normalized quoted phrase</t>
        </is>
      </c>
      <c r="I46" s="7" t="inlineStr">
        <is>
          <t>FAIL BUILD</t>
        </is>
      </c>
      <c r="J46" s="7" t="inlineStr">
        <is>
          <t>Quoted phrase is a content assertion, not merely display copy.</t>
        </is>
      </c>
      <c r="K46" s="7" t="inlineStr">
        <is>
          <t>Canon 1</t>
        </is>
      </c>
      <c r="L46" s="7" t="inlineStr">
        <is>
          <t>HTML</t>
        </is>
      </c>
      <c r="M46" s="7" t="inlineStr">
        <is>
          <t>Locate the cited article/section/creed clause first; assert phrase inside that scoped block. If the source structure supports locator extraction and it fails, FAIL BUILD.</t>
        </is>
      </c>
    </row>
    <row r="47" ht="15.75" customHeight="1" s="29">
      <c r="A47" s="7" t="inlineStr">
        <is>
          <t>RNR-H46</t>
        </is>
      </c>
      <c r="B47" s="7" t="inlineStr">
        <is>
          <t>https://ccel.org/ccel/creeds/athanasian.creed.html</t>
        </is>
      </c>
      <c r="C47" s="7" t="inlineStr">
        <is>
          <t>The Father eternal</t>
        </is>
      </c>
      <c r="D47" s="7">
        <f>IF(C47="",0,LEN(TRIM(C47))-LEN(SUBSTITUTE(TRIM(C47)," ",""))+1)</f>
        <v/>
      </c>
      <c r="E47" s="7" t="inlineStr">
        <is>
          <t>READY</t>
        </is>
      </c>
      <c r="F47" s="7" t="inlineStr">
        <is>
          <t>HTML→visible text; Unicode NFKC; casefold; normalize whitespace; normalize curly quotes/apostrophes/dashes.</t>
        </is>
      </c>
      <c r="G47" s="7" t="inlineStr">
        <is>
          <t>SOURCE REVIEWED — PIPELINE RECHECK REQUIRED</t>
        </is>
      </c>
      <c r="H47" s="7" t="inlineStr">
        <is>
          <t>Normalized fetched text MUST contain normalized quoted phrase</t>
        </is>
      </c>
      <c r="I47" s="7" t="inlineStr">
        <is>
          <t>FAIL BUILD</t>
        </is>
      </c>
      <c r="J47" s="7" t="inlineStr">
        <is>
          <t>Quoted phrase is a content assertion, not merely display copy.</t>
        </is>
      </c>
      <c r="K47" s="7" t="inlineStr">
        <is>
          <t>Athanasian Creed — eternal clause</t>
        </is>
      </c>
      <c r="L47" s="7" t="inlineStr">
        <is>
          <t>HTML</t>
        </is>
      </c>
      <c r="M47" s="7" t="inlineStr">
        <is>
          <t>Locate the cited article/section/creed clause first; assert phrase inside that scoped block. If the source structure supports locator extraction and it fails, FAIL BUILD.</t>
        </is>
      </c>
    </row>
    <row r="48" ht="15.75" customHeight="1" s="29">
      <c r="A48" s="7" t="inlineStr">
        <is>
          <t>RNR-H47</t>
        </is>
      </c>
      <c r="B48" s="7" t="inlineStr">
        <is>
          <t>https://opc.org/wcf.html</t>
        </is>
      </c>
      <c r="C48" s="7" t="inlineStr">
        <is>
          <t>incomprehensible</t>
        </is>
      </c>
      <c r="D48" s="7">
        <f>IF(C48="",0,LEN(TRIM(C48))-LEN(SUBSTITUTE(TRIM(C48)," ",""))+1)</f>
        <v/>
      </c>
      <c r="E48" s="7" t="inlineStr">
        <is>
          <t>READY</t>
        </is>
      </c>
      <c r="F48" s="7" t="inlineStr">
        <is>
          <t>HTML→visible text; Unicode NFKC; casefold; normalize whitespace; normalize curly quotes/apostrophes/dashes.</t>
        </is>
      </c>
      <c r="G48" s="7" t="inlineStr">
        <is>
          <t>SOURCE REVIEWED — PIPELINE RECHECK REQUIRED</t>
        </is>
      </c>
      <c r="H48" s="7" t="inlineStr">
        <is>
          <t>Normalized fetched text MUST contain normalized quoted phrase</t>
        </is>
      </c>
      <c r="I48" s="7" t="inlineStr">
        <is>
          <t>FAIL BUILD</t>
        </is>
      </c>
      <c r="J48" s="7" t="inlineStr">
        <is>
          <t>Quoted phrase is a content assertion, not merely display copy.</t>
        </is>
      </c>
      <c r="K48" s="7" t="inlineStr">
        <is>
          <t>Chapter II.1</t>
        </is>
      </c>
      <c r="L48" s="7" t="inlineStr">
        <is>
          <t>HTML</t>
        </is>
      </c>
      <c r="M48" s="7" t="inlineStr">
        <is>
          <t>Locate the cited article/section/creed clause first; assert phrase inside that scoped block. If the source structure supports locator extraction and it fails, FAIL BUILD.</t>
        </is>
      </c>
    </row>
    <row r="49" ht="15.75" customHeight="1" s="29">
      <c r="A49" s="7" t="inlineStr">
        <is>
          <t>RNR-H48</t>
        </is>
      </c>
      <c r="B49" s="7" t="inlineStr">
        <is>
          <t>https://sourcebooks.web.fordham.edu/basis/lateran4.asp</t>
        </is>
      </c>
      <c r="C49" s="7" t="inlineStr">
        <is>
          <t>incomprehensible, and ineffable</t>
        </is>
      </c>
      <c r="D49" s="7">
        <f>IF(C49="",0,LEN(TRIM(C49))-LEN(SUBSTITUTE(TRIM(C49)," ",""))+1)</f>
        <v/>
      </c>
      <c r="E49" s="7" t="inlineStr">
        <is>
          <t>READY</t>
        </is>
      </c>
      <c r="F49" s="7" t="inlineStr">
        <is>
          <t>HTML→visible text; Unicode NFKC; casefold; normalize whitespace; normalize curly quotes/apostrophes/dashes.</t>
        </is>
      </c>
      <c r="G49" s="7" t="inlineStr">
        <is>
          <t>SOURCE REVIEWED — PIPELINE RECHECK REQUIRED</t>
        </is>
      </c>
      <c r="H49" s="7" t="inlineStr">
        <is>
          <t>Normalized fetched text MUST contain normalized quoted phrase</t>
        </is>
      </c>
      <c r="I49" s="7" t="inlineStr">
        <is>
          <t>FAIL BUILD</t>
        </is>
      </c>
      <c r="J49" s="7" t="inlineStr">
        <is>
          <t>Quoted phrase is a content assertion, not merely display copy.</t>
        </is>
      </c>
      <c r="K49" s="7" t="inlineStr">
        <is>
          <t>Canon 1</t>
        </is>
      </c>
      <c r="L49" s="7" t="inlineStr">
        <is>
          <t>HTML</t>
        </is>
      </c>
      <c r="M49" s="7" t="inlineStr">
        <is>
          <t>Locate the cited article/section/creed clause first; assert phrase inside that scoped block. If the source structure supports locator extraction and it fails, FAIL BUILD.</t>
        </is>
      </c>
    </row>
    <row r="50" ht="15.75" customHeight="1" s="29">
      <c r="A50" s="7" t="inlineStr">
        <is>
          <t>RNR-H49</t>
        </is>
      </c>
      <c r="B50" s="7" t="inlineStr">
        <is>
          <t>https://pcusa.org/sites/default/files/boc2016.pdf</t>
        </is>
      </c>
      <c r="C50" s="7" t="inlineStr">
        <is>
          <t>ruled and guided by his inscrutable providence</t>
        </is>
      </c>
      <c r="D50" s="7">
        <f>IF(C50="",0,LEN(TRIM(C50))-LEN(SUBSTITUTE(TRIM(C50)," ",""))+1)</f>
        <v/>
      </c>
      <c r="E50" s="7" t="inlineStr">
        <is>
          <t>READY</t>
        </is>
      </c>
      <c r="F50" s="7" t="inlineStr">
        <is>
          <t>PDF→text; Unicode NFKC; casefold; strip U+00AD soft hyphens; expand ﬁ→fi and ﬂ→fl; join hyphenated line breaks; normalize paragraph/line whitespace; normalize curly quotes/apostrophes/dashes.</t>
        </is>
      </c>
      <c r="G50" s="7" t="inlineStr">
        <is>
          <t>SOURCE REVIEWED — PIPELINE RECHECK REQUIRED</t>
        </is>
      </c>
      <c r="H50" s="7" t="inlineStr">
        <is>
          <t>Normalized fetched text MUST contain normalized quoted phrase</t>
        </is>
      </c>
      <c r="I50" s="7" t="inlineStr">
        <is>
          <t>FAIL BUILD</t>
        </is>
      </c>
      <c r="J50" s="7" t="inlineStr">
        <is>
          <t>Quoted phrase is a content assertion, not merely display copy.</t>
        </is>
      </c>
      <c r="K50" s="7" t="inlineStr">
        <is>
          <t>3.01, Chapter I — God</t>
        </is>
      </c>
      <c r="L50" s="7" t="inlineStr">
        <is>
          <t>PDF</t>
        </is>
      </c>
      <c r="M50" s="7" t="inlineStr">
        <is>
          <t>Locate the cited confession/article/section in extracted PDF text first; assert phrase inside that scoped block. If the locator block cannot be isolated, FAIL BUILD rather than silently searching the whole PDF.</t>
        </is>
      </c>
    </row>
    <row r="51" ht="15.75" customHeight="1" s="29">
      <c r="A51" s="7" t="inlineStr">
        <is>
          <t>RNR-H50</t>
        </is>
      </c>
      <c r="B51" s="7" t="n"/>
      <c r="C51" s="7" t="n"/>
      <c r="D51" s="7">
        <f>IF(C51="",0,LEN(TRIM(C51))-LEN(SUBSTITUTE(TRIM(C51)," ",""))+1)</f>
        <v/>
      </c>
      <c r="E51" s="7" t="inlineStr">
        <is>
          <t>NOT READY — HISTORICAL PACKET</t>
        </is>
      </c>
      <c r="F51" s="7" t="inlineStr">
        <is>
          <t>N/A</t>
        </is>
      </c>
      <c r="G51" s="7" t="inlineStr">
        <is>
          <t>NO PUBLIC TARGET</t>
        </is>
      </c>
      <c r="H51" s="7" t="inlineStr">
        <is>
          <t>Excluded from phrase check</t>
        </is>
      </c>
      <c r="I51" s="7" t="inlineStr">
        <is>
          <t>Render historical packet gap</t>
        </is>
      </c>
      <c r="J51" s="7" t="inlineStr">
        <is>
          <t>H50 intentionally lacks public historical text URL.</t>
        </is>
      </c>
      <c r="K51" s="7" t="inlineStr">
        <is>
          <t>Historical witness only</t>
        </is>
      </c>
      <c r="L51" s="7" t="inlineStr">
        <is>
          <t>NO PUBLIC TARGET</t>
        </is>
      </c>
      <c r="M51" s="7" t="inlineStr">
        <is>
          <t>Excluded: historical source packet is not publicly content-addressable.</t>
        </is>
      </c>
    </row>
    <row r="52" ht="15.75" customHeight="1" s="29">
      <c r="A52" s="7" t="inlineStr">
        <is>
          <t>RNR-H51</t>
        </is>
      </c>
      <c r="B52" s="7" t="inlineStr">
        <is>
          <t>https://www.vatican.va/content/catechism/en/part_one/section_one/chapter_one/iv_how_can_we_speak_about_god.html</t>
        </is>
      </c>
      <c r="C52" s="7" t="inlineStr">
        <is>
          <t>Our human words always fall short</t>
        </is>
      </c>
      <c r="D52" s="7">
        <f>IF(C52="",0,LEN(TRIM(C52))-LEN(SUBSTITUTE(TRIM(C52)," ",""))+1)</f>
        <v/>
      </c>
      <c r="E52" s="7" t="inlineStr">
        <is>
          <t>READY</t>
        </is>
      </c>
      <c r="F52" s="7" t="inlineStr">
        <is>
          <t>HTML→visible text; Unicode NFKC; casefold; normalize whitespace; normalize curly quotes/apostrophes/dashes.</t>
        </is>
      </c>
      <c r="G52" s="7" t="inlineStr">
        <is>
          <t>SOURCE REVIEWED — PIPELINE RECHECK REQUIRED</t>
        </is>
      </c>
      <c r="H52" s="7" t="inlineStr">
        <is>
          <t>Normalized fetched text MUST contain normalized quoted phrase</t>
        </is>
      </c>
      <c r="I52" s="7" t="inlineStr">
        <is>
          <t>FAIL BUILD</t>
        </is>
      </c>
      <c r="J52" s="7" t="inlineStr">
        <is>
          <t>Quoted phrase is a content assertion, not merely display copy.</t>
        </is>
      </c>
      <c r="K52" s="7" t="inlineStr">
        <is>
          <t>CCC 42</t>
        </is>
      </c>
      <c r="L52" s="7" t="inlineStr">
        <is>
          <t>HTML</t>
        </is>
      </c>
      <c r="M52" s="7" t="inlineStr">
        <is>
          <t>Locate the cited article/section/creed clause first; assert phrase inside that scoped block. If the source structure supports locator extraction and it fails, FAIL BUILD.</t>
        </is>
      </c>
    </row>
    <row r="53" ht="15.75" customHeight="1" s="29">
      <c r="A53" s="7" t="inlineStr">
        <is>
          <t>RNR-H52</t>
        </is>
      </c>
      <c r="B53" s="7" t="inlineStr">
        <is>
          <t>https://www.vatican.va/content/catechism/en/part_one/section_two/chapter_two/artcile_3.html</t>
        </is>
      </c>
      <c r="C53" s="7" t="inlineStr">
        <is>
          <t>without confusion</t>
        </is>
      </c>
      <c r="D53" s="7">
        <f>IF(C53="",0,LEN(TRIM(C53))-LEN(SUBSTITUTE(TRIM(C53)," ",""))+1)</f>
        <v/>
      </c>
      <c r="E53" s="7" t="inlineStr">
        <is>
          <t>READY</t>
        </is>
      </c>
      <c r="F53" s="7" t="inlineStr">
        <is>
          <t>HTML→visible text; Unicode NFKC; casefold; normalize whitespace; normalize curly quotes/apostrophes/dashes.</t>
        </is>
      </c>
      <c r="G53" s="7" t="inlineStr">
        <is>
          <t>SOURCE REVIEWED — PIPELINE RECHECK REQUIRED</t>
        </is>
      </c>
      <c r="H53" s="7" t="inlineStr">
        <is>
          <t>Normalized fetched text MUST contain normalized quoted phrase</t>
        </is>
      </c>
      <c r="I53" s="7" t="inlineStr">
        <is>
          <t>FAIL BUILD</t>
        </is>
      </c>
      <c r="J53" s="7" t="inlineStr">
        <is>
          <t>Quoted phrase is a content assertion, not merely display copy.</t>
        </is>
      </c>
      <c r="K53" s="7" t="inlineStr">
        <is>
          <t>CCC 467</t>
        </is>
      </c>
      <c r="L53" s="7" t="inlineStr">
        <is>
          <t>HTML</t>
        </is>
      </c>
      <c r="M53" s="7" t="inlineStr">
        <is>
          <t>Locate the cited article/section/creed clause first; assert phrase inside that scoped block. If the source structure supports locator extraction and it fails, FAIL BUILD.</t>
        </is>
      </c>
    </row>
    <row r="54" ht="15.75" customHeight="1" s="29">
      <c r="A54" s="7" t="inlineStr">
        <is>
          <t>RNR-H53</t>
        </is>
      </c>
      <c r="B54" s="7" t="inlineStr">
        <is>
          <t>https://www.vatican.va/content/catechism/en/part_one/section_two/chapter_two/artcile_3.html</t>
        </is>
      </c>
      <c r="C54" s="7" t="inlineStr">
        <is>
          <t>without confusion, change</t>
        </is>
      </c>
      <c r="D54" s="7">
        <f>IF(C54="",0,LEN(TRIM(C54))-LEN(SUBSTITUTE(TRIM(C54)," ",""))+1)</f>
        <v/>
      </c>
      <c r="E54" s="7" t="inlineStr">
        <is>
          <t>READY</t>
        </is>
      </c>
      <c r="F54" s="7" t="inlineStr">
        <is>
          <t>HTML→visible text; Unicode NFKC; casefold; normalize whitespace; normalize curly quotes/apostrophes/dashes.</t>
        </is>
      </c>
      <c r="G54" s="7" t="inlineStr">
        <is>
          <t>SOURCE REVIEWED — PIPELINE RECHECK REQUIRED</t>
        </is>
      </c>
      <c r="H54" s="7" t="inlineStr">
        <is>
          <t>Normalized fetched text MUST contain normalized quoted phrase</t>
        </is>
      </c>
      <c r="I54" s="7" t="inlineStr">
        <is>
          <t>FAIL BUILD</t>
        </is>
      </c>
      <c r="J54" s="7" t="inlineStr">
        <is>
          <t>Quoted phrase is a content assertion, not merely display copy.</t>
        </is>
      </c>
      <c r="K54" s="7" t="inlineStr">
        <is>
          <t>CCC 467</t>
        </is>
      </c>
      <c r="L54" s="7" t="inlineStr">
        <is>
          <t>HTML</t>
        </is>
      </c>
      <c r="M54" s="7" t="inlineStr">
        <is>
          <t>Locate the cited article/section/creed clause first; assert phrase inside that scoped block. If the source structure supports locator extraction and it fails, FAIL BUILD.</t>
        </is>
      </c>
    </row>
    <row r="55" ht="15.75" customHeight="1" s="29">
      <c r="A55" s="7" t="inlineStr">
        <is>
          <t>RNR-H54</t>
        </is>
      </c>
      <c r="B55" s="7" t="inlineStr">
        <is>
          <t>https://www.vatican.va/content/catechism/en/part_one/section_two/chapter_two/artcile_3.html</t>
        </is>
      </c>
      <c r="C55" s="7" t="inlineStr">
        <is>
          <t>without confusion, change, division</t>
        </is>
      </c>
      <c r="D55" s="7">
        <f>IF(C55="",0,LEN(TRIM(C55))-LEN(SUBSTITUTE(TRIM(C55)," ",""))+1)</f>
        <v/>
      </c>
      <c r="E55" s="7" t="inlineStr">
        <is>
          <t>READY</t>
        </is>
      </c>
      <c r="F55" s="7" t="inlineStr">
        <is>
          <t>HTML→visible text; Unicode NFKC; casefold; normalize whitespace; normalize curly quotes/apostrophes/dashes.</t>
        </is>
      </c>
      <c r="G55" s="7" t="inlineStr">
        <is>
          <t>SOURCE REVIEWED — PIPELINE RECHECK REQUIRED</t>
        </is>
      </c>
      <c r="H55" s="7" t="inlineStr">
        <is>
          <t>Normalized fetched text MUST contain normalized quoted phrase</t>
        </is>
      </c>
      <c r="I55" s="7" t="inlineStr">
        <is>
          <t>FAIL BUILD</t>
        </is>
      </c>
      <c r="J55" s="7" t="inlineStr">
        <is>
          <t>Quoted phrase is a content assertion, not merely display copy.</t>
        </is>
      </c>
      <c r="K55" s="7" t="inlineStr">
        <is>
          <t>CCC 467</t>
        </is>
      </c>
      <c r="L55" s="7" t="inlineStr">
        <is>
          <t>HTML</t>
        </is>
      </c>
      <c r="M55" s="7" t="inlineStr">
        <is>
          <t>Locate the cited article/section/creed clause first; assert phrase inside that scoped block. If the source structure supports locator extraction and it fails, FAIL BUILD.</t>
        </is>
      </c>
    </row>
    <row r="56" ht="15.75" customHeight="1" s="29">
      <c r="A56" s="7" t="inlineStr">
        <is>
          <t>RNR-H55</t>
        </is>
      </c>
      <c r="B56" s="7" t="inlineStr">
        <is>
          <t>https://www.vatican.va/content/catechism/en/part_one/section_two/chapter_two/artcile_3.html</t>
        </is>
      </c>
      <c r="C56" s="7" t="inlineStr">
        <is>
          <t>without confusion, change, division or separation</t>
        </is>
      </c>
      <c r="D56" s="7">
        <f>IF(C56="",0,LEN(TRIM(C56))-LEN(SUBSTITUTE(TRIM(C56)," ",""))+1)</f>
        <v/>
      </c>
      <c r="E56" s="7" t="inlineStr">
        <is>
          <t>READY</t>
        </is>
      </c>
      <c r="F56" s="7" t="inlineStr">
        <is>
          <t>HTML→visible text; Unicode NFKC; casefold; normalize whitespace; normalize curly quotes/apostrophes/dashes.</t>
        </is>
      </c>
      <c r="G56" s="7" t="inlineStr">
        <is>
          <t>SOURCE REVIEWED — PIPELINE RECHECK REQUIRED</t>
        </is>
      </c>
      <c r="H56" s="7" t="inlineStr">
        <is>
          <t>Normalized fetched text MUST contain normalized quoted phrase</t>
        </is>
      </c>
      <c r="I56" s="7" t="inlineStr">
        <is>
          <t>FAIL BUILD</t>
        </is>
      </c>
      <c r="J56" s="7" t="inlineStr">
        <is>
          <t>Quoted phrase is a content assertion, not merely display copy.</t>
        </is>
      </c>
      <c r="K56" s="7" t="inlineStr">
        <is>
          <t>CCC 467</t>
        </is>
      </c>
      <c r="L56" s="7" t="inlineStr">
        <is>
          <t>HTML</t>
        </is>
      </c>
      <c r="M56" s="7" t="inlineStr">
        <is>
          <t>Locate the cited article/section/creed clause first; assert phrase inside that scoped block. If the source structure supports locator extraction and it fails, FAIL BUILD.</t>
        </is>
      </c>
    </row>
    <row r="57" ht="15.75" customHeight="1" s="29">
      <c r="A57" s="7" t="inlineStr">
        <is>
          <t>RNR-H56</t>
        </is>
      </c>
      <c r="B57" s="7" t="inlineStr">
        <is>
          <t>https://ccel.org/ccel/creeds/athanasian.creed.html</t>
        </is>
      </c>
      <c r="C57" s="7" t="inlineStr">
        <is>
          <t>Neither confounding the persons nor dividing the substance</t>
        </is>
      </c>
      <c r="D57" s="7">
        <f>IF(C57="",0,LEN(TRIM(C57))-LEN(SUBSTITUTE(TRIM(C57)," ",""))+1)</f>
        <v/>
      </c>
      <c r="E57" s="7" t="inlineStr">
        <is>
          <t>READY</t>
        </is>
      </c>
      <c r="F57" s="7" t="inlineStr">
        <is>
          <t>HTML→visible text; Unicode NFKC; casefold; normalize whitespace; normalize curly quotes/apostrophes/dashes.</t>
        </is>
      </c>
      <c r="G57" s="7" t="inlineStr">
        <is>
          <t>SOURCE REVIEWED — PIPELINE RECHECK REQUIRED</t>
        </is>
      </c>
      <c r="H57" s="7" t="inlineStr">
        <is>
          <t>Normalized fetched text MUST contain normalized quoted phrase</t>
        </is>
      </c>
      <c r="I57" s="7" t="inlineStr">
        <is>
          <t>FAIL BUILD</t>
        </is>
      </c>
      <c r="J57" s="7" t="inlineStr">
        <is>
          <t>Quoted phrase is a content assertion, not merely display copy.</t>
        </is>
      </c>
      <c r="K57" s="7" t="inlineStr">
        <is>
          <t>Athanasian Creed — Trinity unity/distinction clause</t>
        </is>
      </c>
      <c r="L57" s="7" t="inlineStr">
        <is>
          <t>HTML</t>
        </is>
      </c>
      <c r="M57" s="7" t="inlineStr">
        <is>
          <t>Locate the cited article/section/creed clause first; assert phrase inside that scoped block. If the source structure supports locator extraction and it fails, FAIL BUILD.</t>
        </is>
      </c>
    </row>
    <row r="58" ht="15.75" customHeight="1" s="29">
      <c r="A58" s="7" t="inlineStr">
        <is>
          <t>RNR-H57</t>
        </is>
      </c>
      <c r="B58" s="7" t="inlineStr">
        <is>
          <t>https://www.vatican.va/content/catechism/en/part_one/section_one/chapter_one/iv_how_can_we_speak_about_god.html</t>
        </is>
      </c>
      <c r="C58" s="7" t="inlineStr">
        <is>
          <t>an even greater dissimilitude</t>
        </is>
      </c>
      <c r="D58" s="7">
        <f>IF(C58="",0,LEN(TRIM(C58))-LEN(SUBSTITUTE(TRIM(C58)," ",""))+1)</f>
        <v/>
      </c>
      <c r="E58" s="7" t="inlineStr">
        <is>
          <t>READY</t>
        </is>
      </c>
      <c r="F58" s="7" t="inlineStr">
        <is>
          <t>HTML→visible text; Unicode NFKC; casefold; normalize whitespace; normalize curly quotes/apostrophes/dashes.</t>
        </is>
      </c>
      <c r="G58" s="7" t="inlineStr">
        <is>
          <t>SOURCE REVIEWED — PIPELINE RECHECK REQUIRED</t>
        </is>
      </c>
      <c r="H58" s="7" t="inlineStr">
        <is>
          <t>Normalized fetched text MUST contain normalized quoted phrase</t>
        </is>
      </c>
      <c r="I58" s="7" t="inlineStr">
        <is>
          <t>FAIL BUILD</t>
        </is>
      </c>
      <c r="J58" s="7" t="inlineStr">
        <is>
          <t>Quoted phrase is a content assertion, not merely display copy.</t>
        </is>
      </c>
      <c r="K58" s="7" t="inlineStr">
        <is>
          <t>CCC 43 / DS 806</t>
        </is>
      </c>
      <c r="L58" s="7" t="inlineStr">
        <is>
          <t>HTML</t>
        </is>
      </c>
      <c r="M58" s="7" t="inlineStr">
        <is>
          <t>Locate the cited article/section/creed clause first; assert phrase inside that scoped block. If the source structure supports locator extraction and it fails, FAIL BUILD.</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15" customWidth="1" style="29" min="2" max="2"/>
    <col width="40" customWidth="1" style="29" min="3" max="3"/>
    <col width="88" customWidth="1" style="29" min="4" max="4"/>
    <col width="42" customWidth="1" style="29" min="5" max="5"/>
    <col width="62" customWidth="1" style="29" min="6" max="6"/>
    <col width="17" customWidth="1" style="29" min="7" max="7"/>
    <col width="42" customWidth="1" style="29" min="8" max="8"/>
    <col width="78" customWidth="1" style="29" min="9" max="9"/>
    <col width="72" customWidth="1" style="29" min="10" max="10"/>
    <col width="68" customWidth="1" style="29" min="11" max="11"/>
    <col width="18" customWidth="1" style="29" min="12" max="12"/>
    <col width="60" customWidth="1" style="29" min="13" max="14"/>
    <col width="8.630000000000001" customWidth="1" style="29" min="15" max="26"/>
  </cols>
  <sheetData>
    <row r="1">
      <c r="A1" s="5" t="inlineStr">
        <is>
          <t>Predicate ID</t>
        </is>
      </c>
      <c r="B1" s="5" t="inlineStr">
        <is>
          <t>Target Role</t>
        </is>
      </c>
      <c r="C1" s="5" t="inlineStr">
        <is>
          <t>Source label</t>
        </is>
      </c>
      <c r="D1" s="5" t="inlineStr">
        <is>
          <t>Source URL</t>
        </is>
      </c>
      <c r="E1" s="5" t="inlineStr">
        <is>
          <t>Locator</t>
        </is>
      </c>
      <c r="F1" s="5" t="inlineStr">
        <is>
          <t>Quoted phrase</t>
        </is>
      </c>
      <c r="G1" s="5" t="inlineStr">
        <is>
          <t>Phrase word count</t>
        </is>
      </c>
      <c r="H1" s="5" t="inlineStr">
        <is>
          <t>Fetch mode</t>
        </is>
      </c>
      <c r="I1" s="5" t="inlineStr">
        <is>
          <t>Normalization</t>
        </is>
      </c>
      <c r="J1" s="5" t="inlineStr">
        <is>
          <t>Locator-scope mode</t>
        </is>
      </c>
      <c r="K1" s="5" t="inlineStr">
        <is>
          <t>Build assertion</t>
        </is>
      </c>
      <c r="L1" s="5" t="inlineStr">
        <is>
          <t>QA status</t>
        </is>
      </c>
      <c r="M1" s="5" t="inlineStr">
        <is>
          <t>Author-review flag</t>
        </is>
      </c>
      <c r="N1" s="5" t="inlineStr">
        <is>
          <t>Notes</t>
        </is>
      </c>
    </row>
    <row r="2">
      <c r="A2" s="7" t="inlineStr">
        <is>
          <t>RNR-H01</t>
        </is>
      </c>
      <c r="B2" s="7" t="inlineStr">
        <is>
          <t>PRIMARY</t>
        </is>
      </c>
      <c r="C2" s="7" t="inlineStr">
        <is>
          <t>D&amp;C 20:19</t>
        </is>
      </c>
      <c r="D2" s="7" t="inlineStr">
        <is>
          <t>https://www.churchofjesuschrist.org/study/scriptures/dc-testament/dc/20?lang=eng&amp;id=p19#p19</t>
        </is>
      </c>
      <c r="E2" s="7" t="inlineStr">
        <is>
          <t>D&amp;C 20:19</t>
        </is>
      </c>
      <c r="F2" s="7" t="inlineStr">
        <is>
          <t>the only living and true God</t>
        </is>
      </c>
      <c r="G2" s="7" t="n">
        <v>6</v>
      </c>
      <c r="H2" s="7" t="inlineStr">
        <is>
          <t>PLAYWRIGHT RENDERED OR CHURCH CONTENT API</t>
        </is>
      </c>
      <c r="I2" s="7" t="inlineStr">
        <is>
          <t>Rendered HTML→text; Unicode NFKC; casefold; normalize whitespace; normalize curly quotes/apostrophes/dashes.</t>
        </is>
      </c>
      <c r="J2" s="7" t="inlineStr">
        <is>
          <t>Use URL verse anchor/range or named document section. Assert inside scoped block; no silent whole-page fallback.</t>
        </is>
      </c>
      <c r="K2" s="7" t="inlineStr">
        <is>
          <t>Normalized scoped text MUST contain normalized quoted phrase</t>
        </is>
      </c>
      <c r="L2" s="7" t="inlineStr">
        <is>
          <t>READY</t>
        </is>
      </c>
      <c r="M2" s="7" t="n"/>
      <c r="N2" s="7" t="inlineStr">
        <is>
          <t>Primary Restoration-side content assertion.</t>
        </is>
      </c>
    </row>
    <row r="3">
      <c r="A3" s="7" t="inlineStr">
        <is>
          <t>RNR-H02</t>
        </is>
      </c>
      <c r="B3" s="7" t="inlineStr">
        <is>
          <t>PRIMARY</t>
        </is>
      </c>
      <c r="C3" s="7" t="inlineStr">
        <is>
          <t>D&amp;C 20:19</t>
        </is>
      </c>
      <c r="D3" s="7" t="inlineStr">
        <is>
          <t>https://www.churchofjesuschrist.org/study/scriptures/dc-testament/dc/20?lang=eng&amp;id=p19#p19</t>
        </is>
      </c>
      <c r="E3" s="7" t="inlineStr">
        <is>
          <t>D&amp;C 20:19</t>
        </is>
      </c>
      <c r="F3" s="7" t="inlineStr">
        <is>
          <t>the only living and true God</t>
        </is>
      </c>
      <c r="G3" s="7" t="n">
        <v>6</v>
      </c>
      <c r="H3" s="7" t="inlineStr">
        <is>
          <t>PLAYWRIGHT RENDERED OR CHURCH CONTENT API</t>
        </is>
      </c>
      <c r="I3" s="7" t="inlineStr">
        <is>
          <t>Rendered HTML→text; Unicode NFKC; casefold; normalize whitespace; normalize curly quotes/apostrophes/dashes.</t>
        </is>
      </c>
      <c r="J3" s="7" t="inlineStr">
        <is>
          <t>Use URL verse anchor/range or named document section. Assert inside scoped block; no silent whole-page fallback.</t>
        </is>
      </c>
      <c r="K3" s="7" t="inlineStr">
        <is>
          <t>Normalized scoped text MUST contain normalized quoted phrase</t>
        </is>
      </c>
      <c r="L3" s="7" t="inlineStr">
        <is>
          <t>READY</t>
        </is>
      </c>
      <c r="M3" s="7" t="n"/>
      <c r="N3" s="7" t="inlineStr">
        <is>
          <t>Primary Restoration-side content assertion.</t>
        </is>
      </c>
    </row>
    <row r="4">
      <c r="A4" s="7" t="inlineStr">
        <is>
          <t>RNR-H03</t>
        </is>
      </c>
      <c r="B4" s="7" t="inlineStr">
        <is>
          <t>PRIMARY</t>
        </is>
      </c>
      <c r="C4" s="7" t="inlineStr">
        <is>
          <t>John 4:24; D&amp;C 131:7–8</t>
        </is>
      </c>
      <c r="D4" s="7" t="inlineStr">
        <is>
          <t>https://www.churchofjesuschrist.org/study/scriptures/nt/john/4?lang=eng&amp;id=p24#p24</t>
        </is>
      </c>
      <c r="E4" s="7" t="inlineStr">
        <is>
          <t>John 4:24</t>
        </is>
      </c>
      <c r="F4" s="7" t="inlineStr">
        <is>
          <t>God is a Spirit</t>
        </is>
      </c>
      <c r="G4" s="7" t="n">
        <v>4</v>
      </c>
      <c r="H4" s="7" t="inlineStr">
        <is>
          <t>PLAYWRIGHT RENDERED OR CHURCH CONTENT API</t>
        </is>
      </c>
      <c r="I4" s="7" t="inlineStr">
        <is>
          <t>Rendered HTML→text; Unicode NFKC; casefold; normalize whitespace; normalize curly quotes/apostrophes/dashes.</t>
        </is>
      </c>
      <c r="J4" s="7" t="inlineStr">
        <is>
          <t>Use URL verse anchor/range or named document section. Assert inside scoped block; no silent whole-page fallback.</t>
        </is>
      </c>
      <c r="K4" s="7" t="inlineStr">
        <is>
          <t>Normalized scoped text MUST contain normalized quoted phrase</t>
        </is>
      </c>
      <c r="L4" s="7" t="inlineStr">
        <is>
          <t>READY</t>
        </is>
      </c>
      <c r="M4" s="7" t="n"/>
      <c r="N4" s="7" t="inlineStr">
        <is>
          <t>Primary Restoration-side content assertion.</t>
        </is>
      </c>
    </row>
    <row r="5">
      <c r="A5" s="7" t="inlineStr">
        <is>
          <t>RNR-H03</t>
        </is>
      </c>
      <c r="B5" s="7" t="inlineStr">
        <is>
          <t>SUPPLEMENTAL</t>
        </is>
      </c>
      <c r="C5" s="7" t="inlineStr">
        <is>
          <t>John 4:24; D&amp;C 131:7–8</t>
        </is>
      </c>
      <c r="D5" s="7" t="inlineStr">
        <is>
          <t>https://www.churchofjesuschrist.org/study/scriptures/dc-testament/dc/131?lang=eng&amp;id=p7-p8#p7</t>
        </is>
      </c>
      <c r="E5" s="7" t="inlineStr">
        <is>
          <t>D&amp;C 131:7–8</t>
        </is>
      </c>
      <c r="F5" s="7" t="inlineStr">
        <is>
          <t>All spirit is matter</t>
        </is>
      </c>
      <c r="G5" s="7" t="n">
        <v>4</v>
      </c>
      <c r="H5" s="7" t="inlineStr">
        <is>
          <t>PLAYWRIGHT RENDERED OR CHURCH CONTENT API</t>
        </is>
      </c>
      <c r="I5" s="7" t="inlineStr">
        <is>
          <t>Rendered HTML→text; Unicode NFKC; casefold; normalize whitespace; normalize curly quotes/apostrophes/dashes.</t>
        </is>
      </c>
      <c r="J5" s="7" t="inlineStr">
        <is>
          <t>Use supplemental source locator/anchor; assert within corresponding verse/page block where supported.</t>
        </is>
      </c>
      <c r="K5" s="7" t="inlineStr">
        <is>
          <t>Normalized scoped text MUST contain normalized supplemental quoted phrase</t>
        </is>
      </c>
      <c r="L5" s="7" t="inlineStr">
        <is>
          <t>READY</t>
        </is>
      </c>
      <c r="M5" s="7" t="n"/>
      <c r="N5" s="7" t="inlineStr">
        <is>
          <t>Supplemental comparator assertion; required because the citation carries a supplemental URL.</t>
        </is>
      </c>
    </row>
    <row r="6">
      <c r="A6" s="7" t="inlineStr">
        <is>
          <t>RNR-H04</t>
        </is>
      </c>
      <c r="B6" s="7" t="inlineStr">
        <is>
          <t>PRIMARY</t>
        </is>
      </c>
      <c r="C6" s="7" t="inlineStr">
        <is>
          <t>Articles of Faith 1:1</t>
        </is>
      </c>
      <c r="D6" s="7" t="inlineStr">
        <is>
          <t>https://www.churchofjesuschrist.org/study/scriptures/pgp/a-of-f/1?lang=eng&amp;id=p1#p1</t>
        </is>
      </c>
      <c r="E6" s="7" t="inlineStr">
        <is>
          <t>AoF 1:1</t>
        </is>
      </c>
      <c r="F6" s="7" t="inlineStr">
        <is>
          <t>We believe in God, the Eternal Father</t>
        </is>
      </c>
      <c r="G6" s="7" t="n">
        <v>7</v>
      </c>
      <c r="H6" s="7" t="inlineStr">
        <is>
          <t>PLAYWRIGHT RENDERED OR CHURCH CONTENT API</t>
        </is>
      </c>
      <c r="I6" s="7" t="inlineStr">
        <is>
          <t>Rendered HTML→text; Unicode NFKC; casefold; normalize whitespace; normalize curly quotes/apostrophes/dashes.</t>
        </is>
      </c>
      <c r="J6" s="7" t="inlineStr">
        <is>
          <t>Use URL verse anchor/range or named document section. Assert inside scoped block; no silent whole-page fallback.</t>
        </is>
      </c>
      <c r="K6" s="7" t="inlineStr">
        <is>
          <t>Normalized scoped text MUST contain normalized quoted phrase</t>
        </is>
      </c>
      <c r="L6" s="7" t="inlineStr">
        <is>
          <t>READY</t>
        </is>
      </c>
      <c r="M6" s="7" t="n"/>
      <c r="N6" s="7" t="inlineStr">
        <is>
          <t>Primary Restoration-side content assertion.</t>
        </is>
      </c>
    </row>
    <row r="7">
      <c r="A7" s="7" t="inlineStr">
        <is>
          <t>RNR-H05</t>
        </is>
      </c>
      <c r="B7" s="7" t="inlineStr">
        <is>
          <t>PRIMARY</t>
        </is>
      </c>
      <c r="C7" s="7" t="inlineStr">
        <is>
          <t>D&amp;C 20:21; Articles of Faith 1:1</t>
        </is>
      </c>
      <c r="D7" s="7" t="inlineStr">
        <is>
          <t>https://www.churchofjesuschrist.org/study/scriptures/dc-testament/dc/20?lang=eng&amp;id=p21#p21</t>
        </is>
      </c>
      <c r="E7" s="7" t="inlineStr">
        <is>
          <t>D&amp;C 20:21; AoF 1:1</t>
        </is>
      </c>
      <c r="F7" s="7" t="inlineStr">
        <is>
          <t>the Almighty God gave his Only Begotten Son</t>
        </is>
      </c>
      <c r="G7" s="7" t="n">
        <v>8</v>
      </c>
      <c r="H7" s="7" t="inlineStr">
        <is>
          <t>PLAYWRIGHT RENDERED OR CHURCH CONTENT API</t>
        </is>
      </c>
      <c r="I7" s="7" t="inlineStr">
        <is>
          <t>Rendered HTML→text; Unicode NFKC; casefold; normalize whitespace; normalize curly quotes/apostrophes/dashes.</t>
        </is>
      </c>
      <c r="J7" s="7" t="inlineStr">
        <is>
          <t>Use URL verse anchor/range or named document section. Assert inside scoped block; no silent whole-page fallback.</t>
        </is>
      </c>
      <c r="K7" s="7" t="inlineStr">
        <is>
          <t>Normalized scoped text MUST contain normalized quoted phrase</t>
        </is>
      </c>
      <c r="L7" s="7" t="inlineStr">
        <is>
          <t>READY</t>
        </is>
      </c>
      <c r="M7" s="7" t="n"/>
      <c r="N7" s="7" t="inlineStr">
        <is>
          <t>Primary Restoration-side content assertion.</t>
        </is>
      </c>
    </row>
    <row r="8">
      <c r="A8" s="7" t="inlineStr">
        <is>
          <t>RNR-H06</t>
        </is>
      </c>
      <c r="B8" s="7" t="inlineStr">
        <is>
          <t>PRIMARY</t>
        </is>
      </c>
      <c r="C8" s="7" t="inlineStr">
        <is>
          <t>D&amp;C 20:24</t>
        </is>
      </c>
      <c r="D8" s="7" t="inlineStr">
        <is>
          <t>https://www.churchofjesuschrist.org/study/scriptures/dc-testament/dc/20?lang=eng&amp;id=p24#p24</t>
        </is>
      </c>
      <c r="E8" s="7" t="inlineStr">
        <is>
          <t>D&amp;C 20:24</t>
        </is>
      </c>
      <c r="F8" s="7" t="inlineStr">
        <is>
          <t>to reign with almighty power according to the will of the Father</t>
        </is>
      </c>
      <c r="G8" s="7" t="n">
        <v>12</v>
      </c>
      <c r="H8" s="7" t="inlineStr">
        <is>
          <t>PLAYWRIGHT RENDERED OR CHURCH CONTENT API</t>
        </is>
      </c>
      <c r="I8" s="7" t="inlineStr">
        <is>
          <t>Rendered HTML→text; Unicode NFKC; casefold; normalize whitespace; normalize curly quotes/apostrophes/dashes.</t>
        </is>
      </c>
      <c r="J8" s="7" t="inlineStr">
        <is>
          <t>Use URL verse anchor/range or named document section. Assert inside scoped block; no silent whole-page fallback.</t>
        </is>
      </c>
      <c r="K8" s="7" t="inlineStr">
        <is>
          <t>Normalized scoped text MUST contain normalized quoted phrase</t>
        </is>
      </c>
      <c r="L8" s="7" t="inlineStr">
        <is>
          <t>READY — RECHECK</t>
        </is>
      </c>
      <c r="M8" s="7" t="n"/>
      <c r="N8" s="7" t="inlineStr">
        <is>
          <t>Primary Restoration-side content assertion.</t>
        </is>
      </c>
    </row>
    <row r="9">
      <c r="A9" s="7" t="inlineStr">
        <is>
          <t>RNR-H07</t>
        </is>
      </c>
      <c r="B9" s="7" t="inlineStr">
        <is>
          <t>PRIMARY</t>
        </is>
      </c>
      <c r="C9" s="7" t="inlineStr">
        <is>
          <t>Alma 26:35</t>
        </is>
      </c>
      <c r="D9" s="7" t="inlineStr">
        <is>
          <t>https://www.churchofjesuschrist.org/study/scriptures/bofm/alma/26?lang=eng&amp;id=p35#p35</t>
        </is>
      </c>
      <c r="E9" s="7" t="inlineStr">
        <is>
          <t>Alma 26:35</t>
        </is>
      </c>
      <c r="F9" s="7" t="inlineStr">
        <is>
          <t>he has all power, all wisdom, and all understanding</t>
        </is>
      </c>
      <c r="G9" s="7" t="n">
        <v>9</v>
      </c>
      <c r="H9" s="7" t="inlineStr">
        <is>
          <t>PLAYWRIGHT RENDERED OR CHURCH CONTENT API</t>
        </is>
      </c>
      <c r="I9" s="7" t="inlineStr">
        <is>
          <t>Rendered HTML→text; Unicode NFKC; casefold; normalize whitespace; normalize curly quotes/apostrophes/dashes.</t>
        </is>
      </c>
      <c r="J9" s="7" t="inlineStr">
        <is>
          <t>Use URL verse anchor/range or named document section. Assert inside scoped block; no silent whole-page fallback.</t>
        </is>
      </c>
      <c r="K9" s="7" t="inlineStr">
        <is>
          <t>Normalized scoped text MUST contain normalized quoted phrase</t>
        </is>
      </c>
      <c r="L9" s="7" t="inlineStr">
        <is>
          <t>READY</t>
        </is>
      </c>
      <c r="M9" s="7" t="n"/>
      <c r="N9" s="7" t="inlineStr">
        <is>
          <t>Primary Restoration-side content assertion.</t>
        </is>
      </c>
    </row>
    <row r="10">
      <c r="A10" s="7" t="inlineStr">
        <is>
          <t>RNR-H08</t>
        </is>
      </c>
      <c r="B10" s="7" t="inlineStr">
        <is>
          <t>PRIMARY</t>
        </is>
      </c>
      <c r="C10" s="7" t="inlineStr">
        <is>
          <t>Mosiah 4:9</t>
        </is>
      </c>
      <c r="D10" s="7" t="inlineStr">
        <is>
          <t>https://www.churchofjesuschrist.org/study/scriptures/bofm/mosiah/4?lang=eng&amp;id=p9#p9</t>
        </is>
      </c>
      <c r="E10" s="7" t="inlineStr">
        <is>
          <t>Mosiah 4:9</t>
        </is>
      </c>
      <c r="F10" s="7" t="inlineStr">
        <is>
          <t>he has all wisdom, and all power</t>
        </is>
      </c>
      <c r="G10" s="7" t="n">
        <v>7</v>
      </c>
      <c r="H10" s="7" t="inlineStr">
        <is>
          <t>PLAYWRIGHT RENDERED OR CHURCH CONTENT API</t>
        </is>
      </c>
      <c r="I10" s="7" t="inlineStr">
        <is>
          <t>Rendered HTML→text; Unicode NFKC; casefold; normalize whitespace; normalize curly quotes/apostrophes/dashes.</t>
        </is>
      </c>
      <c r="J10" s="7" t="inlineStr">
        <is>
          <t>Use URL verse anchor/range or named document section. Assert inside scoped block; no silent whole-page fallback.</t>
        </is>
      </c>
      <c r="K10" s="7" t="inlineStr">
        <is>
          <t>Normalized scoped text MUST contain normalized quoted phrase</t>
        </is>
      </c>
      <c r="L10" s="7" t="inlineStr">
        <is>
          <t>READY</t>
        </is>
      </c>
      <c r="M10" s="7" t="n"/>
      <c r="N10" s="7" t="inlineStr">
        <is>
          <t>Primary Restoration-side content assertion.</t>
        </is>
      </c>
    </row>
    <row r="11">
      <c r="A11" s="7" t="inlineStr">
        <is>
          <t>RNR-H09</t>
        </is>
      </c>
      <c r="B11" s="7" t="inlineStr">
        <is>
          <t>PRIMARY</t>
        </is>
      </c>
      <c r="C11" s="7" t="inlineStr">
        <is>
          <t>Moroni 7:12</t>
        </is>
      </c>
      <c r="D11" s="7" t="inlineStr">
        <is>
          <t>https://www.churchofjesuschrist.org/study/scriptures/bofm/moro/7?lang=eng&amp;id=p12#p12</t>
        </is>
      </c>
      <c r="E11" s="7" t="inlineStr">
        <is>
          <t>Moroni 7:12</t>
        </is>
      </c>
      <c r="F11" s="7" t="inlineStr">
        <is>
          <t>all things which are good cometh of God</t>
        </is>
      </c>
      <c r="G11" s="7" t="n">
        <v>8</v>
      </c>
      <c r="H11" s="7" t="inlineStr">
        <is>
          <t>PLAYWRIGHT RENDERED OR CHURCH CONTENT API</t>
        </is>
      </c>
      <c r="I11" s="7" t="inlineStr">
        <is>
          <t>Rendered HTML→text; Unicode NFKC; casefold; normalize whitespace; normalize curly quotes/apostrophes/dashes.</t>
        </is>
      </c>
      <c r="J11" s="7" t="inlineStr">
        <is>
          <t>Use URL verse anchor/range or named document section. Assert inside scoped block; no silent whole-page fallback.</t>
        </is>
      </c>
      <c r="K11" s="7" t="inlineStr">
        <is>
          <t>Normalized scoped text MUST contain normalized quoted phrase</t>
        </is>
      </c>
      <c r="L11" s="7" t="inlineStr">
        <is>
          <t>READY — RECHECK</t>
        </is>
      </c>
      <c r="M11" s="7" t="n"/>
      <c r="N11" s="7" t="inlineStr">
        <is>
          <t>Primary Restoration-side content assertion.</t>
        </is>
      </c>
    </row>
    <row r="12">
      <c r="A12" s="7" t="inlineStr">
        <is>
          <t>RNR-H10</t>
        </is>
      </c>
      <c r="B12" s="7" t="inlineStr">
        <is>
          <t>PRIMARY</t>
        </is>
      </c>
      <c r="C12" s="7" t="inlineStr">
        <is>
          <t>Moroni 7:12–13</t>
        </is>
      </c>
      <c r="D12" s="7" t="inlineStr">
        <is>
          <t>https://www.churchofjesuschrist.org/study/scriptures/bofm/moro/7?lang=eng&amp;id=p12-p13#p12</t>
        </is>
      </c>
      <c r="E12" s="7" t="inlineStr">
        <is>
          <t>Moroni 7:12–13</t>
        </is>
      </c>
      <c r="F12" s="7" t="inlineStr">
        <is>
          <t>all things which are good cometh of God</t>
        </is>
      </c>
      <c r="G12" s="7" t="n">
        <v>8</v>
      </c>
      <c r="H12" s="7" t="inlineStr">
        <is>
          <t>PLAYWRIGHT RENDERED OR CHURCH CONTENT API</t>
        </is>
      </c>
      <c r="I12" s="7" t="inlineStr">
        <is>
          <t>Rendered HTML→text; Unicode NFKC; casefold; normalize whitespace; normalize curly quotes/apostrophes/dashes.</t>
        </is>
      </c>
      <c r="J12" s="7" t="inlineStr">
        <is>
          <t>Use URL verse anchor/range or named document section. Assert inside scoped block; no silent whole-page fallback.</t>
        </is>
      </c>
      <c r="K12" s="7" t="inlineStr">
        <is>
          <t>Normalized scoped text MUST contain normalized quoted phrase</t>
        </is>
      </c>
      <c r="L12" s="7" t="inlineStr">
        <is>
          <t>READY</t>
        </is>
      </c>
      <c r="M12" s="7" t="n"/>
      <c r="N12" s="7" t="inlineStr">
        <is>
          <t>Primary Restoration-side content assertion.</t>
        </is>
      </c>
    </row>
    <row r="13">
      <c r="A13" s="7" t="inlineStr">
        <is>
          <t>RNR-H11</t>
        </is>
      </c>
      <c r="B13" s="7" t="inlineStr">
        <is>
          <t>PRIMARY</t>
        </is>
      </c>
      <c r="C13" s="7" t="inlineStr">
        <is>
          <t>Deuteronomy 32:4</t>
        </is>
      </c>
      <c r="D13" s="7" t="inlineStr">
        <is>
          <t>https://www.churchofjesuschrist.org/study/scriptures/ot/deut/32?lang=eng&amp;id=p4#p4</t>
        </is>
      </c>
      <c r="E13" s="7" t="inlineStr">
        <is>
          <t>Deut. 32:4</t>
        </is>
      </c>
      <c r="F13" s="7" t="inlineStr">
        <is>
          <t>a God of truth and without iniquity, just and right is he</t>
        </is>
      </c>
      <c r="G13" s="7" t="n">
        <v>12</v>
      </c>
      <c r="H13" s="7" t="inlineStr">
        <is>
          <t>PLAYWRIGHT RENDERED OR CHURCH CONTENT API</t>
        </is>
      </c>
      <c r="I13" s="7" t="inlineStr">
        <is>
          <t>Rendered HTML→text; Unicode NFKC; casefold; normalize whitespace; normalize curly quotes/apostrophes/dashes.</t>
        </is>
      </c>
      <c r="J13" s="7" t="inlineStr">
        <is>
          <t>Use URL verse anchor/range or named document section. Assert inside scoped block; no silent whole-page fallback.</t>
        </is>
      </c>
      <c r="K13" s="7" t="inlineStr">
        <is>
          <t>Normalized scoped text MUST contain normalized quoted phrase</t>
        </is>
      </c>
      <c r="L13" s="7" t="inlineStr">
        <is>
          <t>READY</t>
        </is>
      </c>
      <c r="M13" s="7" t="n"/>
      <c r="N13" s="7" t="inlineStr">
        <is>
          <t>Primary Restoration-side content assertion.</t>
        </is>
      </c>
    </row>
    <row r="14">
      <c r="A14" s="7" t="inlineStr">
        <is>
          <t>RNR-H12</t>
        </is>
      </c>
      <c r="B14" s="7" t="inlineStr">
        <is>
          <t>PRIMARY</t>
        </is>
      </c>
      <c r="C14" s="7" t="inlineStr">
        <is>
          <t>2 Nephi 9:20</t>
        </is>
      </c>
      <c r="D14" s="7" t="inlineStr">
        <is>
          <t>https://www.churchofjesuschrist.org/study/scriptures/bofm/2-ne/9?lang=eng&amp;id=p20#p20</t>
        </is>
      </c>
      <c r="E14" s="7" t="inlineStr">
        <is>
          <t>2 Nephi 9:20</t>
        </is>
      </c>
      <c r="F14" s="7" t="inlineStr">
        <is>
          <t>O how great the holiness of our God</t>
        </is>
      </c>
      <c r="G14" s="7" t="n">
        <v>8</v>
      </c>
      <c r="H14" s="7" t="inlineStr">
        <is>
          <t>PLAYWRIGHT RENDERED OR CHURCH CONTENT API</t>
        </is>
      </c>
      <c r="I14" s="7" t="inlineStr">
        <is>
          <t>Rendered HTML→text; Unicode NFKC; casefold; normalize whitespace; normalize curly quotes/apostrophes/dashes.</t>
        </is>
      </c>
      <c r="J14" s="7" t="inlineStr">
        <is>
          <t>Use URL verse anchor/range or named document section. Assert inside scoped block; no silent whole-page fallback.</t>
        </is>
      </c>
      <c r="K14" s="7" t="inlineStr">
        <is>
          <t>Normalized scoped text MUST contain normalized quoted phrase</t>
        </is>
      </c>
      <c r="L14" s="7" t="inlineStr">
        <is>
          <t>READY</t>
        </is>
      </c>
      <c r="M14" s="7" t="n"/>
      <c r="N14" s="7" t="inlineStr">
        <is>
          <t>Primary Restoration-side content assertion.</t>
        </is>
      </c>
    </row>
    <row r="15">
      <c r="A15" s="7" t="inlineStr">
        <is>
          <t>RNR-H13</t>
        </is>
      </c>
      <c r="B15" s="7" t="inlineStr">
        <is>
          <t>PRIMARY</t>
        </is>
      </c>
      <c r="C15" s="7" t="inlineStr">
        <is>
          <t>Ether 3:12</t>
        </is>
      </c>
      <c r="D15" s="7" t="inlineStr">
        <is>
          <t>https://www.churchofjesuschrist.org/study/scriptures/bofm/ether/3?lang=eng&amp;id=p12#p12</t>
        </is>
      </c>
      <c r="E15" s="7" t="inlineStr">
        <is>
          <t>Ether 3:12</t>
        </is>
      </c>
      <c r="F15" s="7" t="inlineStr">
        <is>
          <t>thou art a God of truth, and canst not lie</t>
        </is>
      </c>
      <c r="G15" s="7" t="n">
        <v>10</v>
      </c>
      <c r="H15" s="7" t="inlineStr">
        <is>
          <t>PLAYWRIGHT RENDERED OR CHURCH CONTENT API</t>
        </is>
      </c>
      <c r="I15" s="7" t="inlineStr">
        <is>
          <t>Rendered HTML→text; Unicode NFKC; casefold; normalize whitespace; normalize curly quotes/apostrophes/dashes.</t>
        </is>
      </c>
      <c r="J15" s="7" t="inlineStr">
        <is>
          <t>Use URL verse anchor/range or named document section. Assert inside scoped block; no silent whole-page fallback.</t>
        </is>
      </c>
      <c r="K15" s="7" t="inlineStr">
        <is>
          <t>Normalized scoped text MUST contain normalized quoted phrase</t>
        </is>
      </c>
      <c r="L15" s="7" t="inlineStr">
        <is>
          <t>READY</t>
        </is>
      </c>
      <c r="M15" s="7" t="n"/>
      <c r="N15" s="7" t="inlineStr">
        <is>
          <t>Primary Restoration-side content assertion.</t>
        </is>
      </c>
    </row>
    <row r="16">
      <c r="A16" s="7" t="inlineStr">
        <is>
          <t>RNR-H14</t>
        </is>
      </c>
      <c r="B16" s="7" t="inlineStr">
        <is>
          <t>PRIMARY</t>
        </is>
      </c>
      <c r="C16" s="7" t="inlineStr">
        <is>
          <t>1 John 4:8,16</t>
        </is>
      </c>
      <c r="D16" s="7" t="inlineStr">
        <is>
          <t>https://www.churchofjesuschrist.org/study/scriptures/nt/1-jn/4?lang=eng&amp;id=p8-p16#p8</t>
        </is>
      </c>
      <c r="E16" s="7" t="inlineStr">
        <is>
          <t>1 John 4:8,16</t>
        </is>
      </c>
      <c r="F16" s="7" t="inlineStr">
        <is>
          <t>God is love</t>
        </is>
      </c>
      <c r="G16" s="7" t="n">
        <v>3</v>
      </c>
      <c r="H16" s="7" t="inlineStr">
        <is>
          <t>PLAYWRIGHT RENDERED OR CHURCH CONTENT API</t>
        </is>
      </c>
      <c r="I16" s="7" t="inlineStr">
        <is>
          <t>Rendered HTML→text; Unicode NFKC; casefold; normalize whitespace; normalize curly quotes/apostrophes/dashes.</t>
        </is>
      </c>
      <c r="J16" s="7" t="inlineStr">
        <is>
          <t>Use URL verse anchor/range or named document section. Assert inside scoped block; no silent whole-page fallback.</t>
        </is>
      </c>
      <c r="K16" s="7" t="inlineStr">
        <is>
          <t>Normalized scoped text MUST contain normalized quoted phrase</t>
        </is>
      </c>
      <c r="L16" s="7" t="inlineStr">
        <is>
          <t>READY</t>
        </is>
      </c>
      <c r="M16" s="7" t="n"/>
      <c r="N16" s="7" t="inlineStr">
        <is>
          <t>Primary Restoration-side content assertion.</t>
        </is>
      </c>
    </row>
    <row r="17">
      <c r="A17" s="7" t="inlineStr">
        <is>
          <t>RNR-H15</t>
        </is>
      </c>
      <c r="B17" s="7" t="inlineStr">
        <is>
          <t>PRIMARY</t>
        </is>
      </c>
      <c r="C17" s="7" t="inlineStr">
        <is>
          <t>Exodus 34:6</t>
        </is>
      </c>
      <c r="D17" s="7" t="inlineStr">
        <is>
          <t>https://www.churchofjesuschrist.org/study/scriptures/ot/ex/34?lang=eng&amp;id=p6#p6</t>
        </is>
      </c>
      <c r="E17" s="7" t="inlineStr">
        <is>
          <t>Exodus 34:6</t>
        </is>
      </c>
      <c r="F17" s="7" t="inlineStr">
        <is>
          <t>The Lord God, merciful and gracious</t>
        </is>
      </c>
      <c r="G17" s="7" t="n">
        <v>6</v>
      </c>
      <c r="H17" s="7" t="inlineStr">
        <is>
          <t>PLAYWRIGHT RENDERED OR CHURCH CONTENT API</t>
        </is>
      </c>
      <c r="I17" s="7" t="inlineStr">
        <is>
          <t>Rendered HTML→text; Unicode NFKC; casefold; normalize whitespace; normalize curly quotes/apostrophes/dashes.</t>
        </is>
      </c>
      <c r="J17" s="7" t="inlineStr">
        <is>
          <t>Use URL verse anchor/range or named document section. Assert inside scoped block; no silent whole-page fallback.</t>
        </is>
      </c>
      <c r="K17" s="7" t="inlineStr">
        <is>
          <t>Normalized scoped text MUST contain normalized quoted phrase</t>
        </is>
      </c>
      <c r="L17" s="7" t="inlineStr">
        <is>
          <t>READY</t>
        </is>
      </c>
      <c r="M17" s="7" t="n"/>
      <c r="N17" s="7" t="inlineStr">
        <is>
          <t>Primary Restoration-side content assertion.</t>
        </is>
      </c>
    </row>
    <row r="18">
      <c r="A18" s="7" t="inlineStr">
        <is>
          <t>RNR-H16</t>
        </is>
      </c>
      <c r="B18" s="7" t="inlineStr">
        <is>
          <t>PRIMARY</t>
        </is>
      </c>
      <c r="C18" s="7" t="inlineStr">
        <is>
          <t>Exodus 34:6</t>
        </is>
      </c>
      <c r="D18" s="7" t="inlineStr">
        <is>
          <t>https://www.churchofjesuschrist.org/study/scriptures/ot/ex/34?lang=eng&amp;id=p6#p6</t>
        </is>
      </c>
      <c r="E18" s="7" t="inlineStr">
        <is>
          <t>Exodus 34:6</t>
        </is>
      </c>
      <c r="F18" s="7" t="inlineStr">
        <is>
          <t>merciful and gracious, longsuffering</t>
        </is>
      </c>
      <c r="G18" s="7" t="n">
        <v>4</v>
      </c>
      <c r="H18" s="7" t="inlineStr">
        <is>
          <t>PLAYWRIGHT RENDERED OR CHURCH CONTENT API</t>
        </is>
      </c>
      <c r="I18" s="7" t="inlineStr">
        <is>
          <t>Rendered HTML→text; Unicode NFKC; casefold; normalize whitespace; normalize curly quotes/apostrophes/dashes.</t>
        </is>
      </c>
      <c r="J18" s="7" t="inlineStr">
        <is>
          <t>Use URL verse anchor/range or named document section. Assert inside scoped block; no silent whole-page fallback.</t>
        </is>
      </c>
      <c r="K18" s="7" t="inlineStr">
        <is>
          <t>Normalized scoped text MUST contain normalized quoted phrase</t>
        </is>
      </c>
      <c r="L18" s="7" t="inlineStr">
        <is>
          <t>READY</t>
        </is>
      </c>
      <c r="M18" s="7" t="n"/>
      <c r="N18" s="7" t="inlineStr">
        <is>
          <t>Primary Restoration-side content assertion.</t>
        </is>
      </c>
    </row>
    <row r="19">
      <c r="A19" s="7" t="inlineStr">
        <is>
          <t>RNR-H17</t>
        </is>
      </c>
      <c r="B19" s="7" t="inlineStr">
        <is>
          <t>PRIMARY</t>
        </is>
      </c>
      <c r="C19" s="7" t="inlineStr">
        <is>
          <t>Exodus 34:6</t>
        </is>
      </c>
      <c r="D19" s="7" t="inlineStr">
        <is>
          <t>https://www.churchofjesuschrist.org/study/scriptures/ot/ex/34?lang=eng&amp;id=p6#p6</t>
        </is>
      </c>
      <c r="E19" s="7" t="inlineStr">
        <is>
          <t>Exodus 34:6</t>
        </is>
      </c>
      <c r="F19" s="7" t="inlineStr">
        <is>
          <t>gracious, longsuffering, and abundant in goodness</t>
        </is>
      </c>
      <c r="G19" s="7" t="n">
        <v>6</v>
      </c>
      <c r="H19" s="7" t="inlineStr">
        <is>
          <t>PLAYWRIGHT RENDERED OR CHURCH CONTENT API</t>
        </is>
      </c>
      <c r="I19" s="7" t="inlineStr">
        <is>
          <t>Rendered HTML→text; Unicode NFKC; casefold; normalize whitespace; normalize curly quotes/apostrophes/dashes.</t>
        </is>
      </c>
      <c r="J19" s="7" t="inlineStr">
        <is>
          <t>Use URL verse anchor/range or named document section. Assert inside scoped block; no silent whole-page fallback.</t>
        </is>
      </c>
      <c r="K19" s="7" t="inlineStr">
        <is>
          <t>Normalized scoped text MUST contain normalized quoted phrase</t>
        </is>
      </c>
      <c r="L19" s="7" t="inlineStr">
        <is>
          <t>READY</t>
        </is>
      </c>
      <c r="M19" s="7" t="n"/>
      <c r="N19" s="7" t="inlineStr">
        <is>
          <t>Primary Restoration-side content assertion.</t>
        </is>
      </c>
    </row>
    <row r="20">
      <c r="A20" s="7" t="inlineStr">
        <is>
          <t>RNR-H18</t>
        </is>
      </c>
      <c r="B20" s="7" t="inlineStr">
        <is>
          <t>PRIMARY</t>
        </is>
      </c>
      <c r="C20" s="7" t="inlineStr">
        <is>
          <t>D&amp;C 64:10</t>
        </is>
      </c>
      <c r="D20" s="7" t="inlineStr">
        <is>
          <t>https://www.churchofjesuschrist.org/study/scriptures/dc-testament/dc/64?lang=eng&amp;id=p10#p10</t>
        </is>
      </c>
      <c r="E20" s="7" t="inlineStr">
        <is>
          <t>D&amp;C 64:10</t>
        </is>
      </c>
      <c r="F20" s="7" t="inlineStr">
        <is>
          <t>I, the Lord, will forgive whom I will forgive</t>
        </is>
      </c>
      <c r="G20" s="7" t="n">
        <v>9</v>
      </c>
      <c r="H20" s="7" t="inlineStr">
        <is>
          <t>PLAYWRIGHT RENDERED OR CHURCH CONTENT API</t>
        </is>
      </c>
      <c r="I20" s="7" t="inlineStr">
        <is>
          <t>Rendered HTML→text; Unicode NFKC; casefold; normalize whitespace; normalize curly quotes/apostrophes/dashes.</t>
        </is>
      </c>
      <c r="J20" s="7" t="inlineStr">
        <is>
          <t>Use URL verse anchor/range or named document section. Assert inside scoped block; no silent whole-page fallback.</t>
        </is>
      </c>
      <c r="K20" s="7" t="inlineStr">
        <is>
          <t>Normalized scoped text MUST contain normalized quoted phrase</t>
        </is>
      </c>
      <c r="L20" s="7" t="inlineStr">
        <is>
          <t>READY — RECHECK</t>
        </is>
      </c>
      <c r="M20" s="7" t="n"/>
      <c r="N20" s="7" t="inlineStr">
        <is>
          <t>Primary Restoration-side content assertion.</t>
        </is>
      </c>
    </row>
    <row r="21" ht="15.75" customHeight="1" s="29">
      <c r="A21" s="7" t="inlineStr">
        <is>
          <t>RNR-H19</t>
        </is>
      </c>
      <c r="B21" s="7" t="inlineStr">
        <is>
          <t>PRIMARY</t>
        </is>
      </c>
      <c r="C21" s="7" t="inlineStr">
        <is>
          <t>Alma 26:8</t>
        </is>
      </c>
      <c r="D21" s="7" t="inlineStr">
        <is>
          <t>https://www.churchofjesuschrist.org/study/scriptures/bofm/alma/26?lang=eng&amp;id=p8#p8</t>
        </is>
      </c>
      <c r="E21" s="7" t="inlineStr">
        <is>
          <t>Alma 26:8</t>
        </is>
      </c>
      <c r="F21" s="7" t="inlineStr">
        <is>
          <t>Blessed be the name of our God</t>
        </is>
      </c>
      <c r="G21" s="7" t="n">
        <v>7</v>
      </c>
      <c r="H21" s="7" t="inlineStr">
        <is>
          <t>PLAYWRIGHT RENDERED OR CHURCH CONTENT API</t>
        </is>
      </c>
      <c r="I21" s="7" t="inlineStr">
        <is>
          <t>Rendered HTML→text; Unicode NFKC; casefold; normalize whitespace; normalize curly quotes/apostrophes/dashes.</t>
        </is>
      </c>
      <c r="J21" s="7" t="inlineStr">
        <is>
          <t>Use URL verse anchor/range or named document section. Assert inside scoped block; no silent whole-page fallback.</t>
        </is>
      </c>
      <c r="K21" s="7" t="inlineStr">
        <is>
          <t>Normalized scoped text MUST contain normalized quoted phrase</t>
        </is>
      </c>
      <c r="L21" s="7" t="inlineStr">
        <is>
          <t>READY — RECHECK</t>
        </is>
      </c>
      <c r="M21" s="7" t="n"/>
      <c r="N21" s="7" t="inlineStr">
        <is>
          <t>Primary Restoration-side content assertion.</t>
        </is>
      </c>
    </row>
    <row r="22" ht="15.75" customHeight="1" s="29">
      <c r="A22" s="7" t="inlineStr">
        <is>
          <t>RNR-H20</t>
        </is>
      </c>
      <c r="B22" s="7" t="inlineStr">
        <is>
          <t>PRIMARY</t>
        </is>
      </c>
      <c r="C22" s="7" t="inlineStr">
        <is>
          <t>D&amp;C 76:19–20</t>
        </is>
      </c>
      <c r="D22" s="7" t="inlineStr">
        <is>
          <t>https://www.churchofjesuschrist.org/study/scriptures/dc-testament/dc/76?lang=eng&amp;id=p19-p20#p19</t>
        </is>
      </c>
      <c r="E22" s="7" t="inlineStr">
        <is>
          <t>D&amp;C 76:19–20</t>
        </is>
      </c>
      <c r="F22" s="7" t="inlineStr">
        <is>
          <t>we beheld the glory of the Son</t>
        </is>
      </c>
      <c r="G22" s="7" t="n">
        <v>7</v>
      </c>
      <c r="H22" s="7" t="inlineStr">
        <is>
          <t>PLAYWRIGHT RENDERED OR CHURCH CONTENT API</t>
        </is>
      </c>
      <c r="I22" s="7" t="inlineStr">
        <is>
          <t>Rendered HTML→text; Unicode NFKC; casefold; normalize whitespace; normalize curly quotes/apostrophes/dashes.</t>
        </is>
      </c>
      <c r="J22" s="7" t="inlineStr">
        <is>
          <t>Use URL verse anchor/range or named document section. Assert inside scoped block; no silent whole-page fallback.</t>
        </is>
      </c>
      <c r="K22" s="7" t="inlineStr">
        <is>
          <t>Normalized scoped text MUST contain normalized quoted phrase</t>
        </is>
      </c>
      <c r="L22" s="7" t="inlineStr">
        <is>
          <t>READY — RECHECK</t>
        </is>
      </c>
      <c r="M22" s="7" t="n"/>
      <c r="N22" s="7" t="inlineStr">
        <is>
          <t>Primary Restoration-side content assertion.</t>
        </is>
      </c>
    </row>
    <row r="23" ht="15.75" customHeight="1" s="29">
      <c r="A23" s="7" t="inlineStr">
        <is>
          <t>RNR-H21</t>
        </is>
      </c>
      <c r="B23" s="7" t="inlineStr">
        <is>
          <t>PRIMARY</t>
        </is>
      </c>
      <c r="C23" s="7" t="inlineStr">
        <is>
          <t>John 5:21</t>
        </is>
      </c>
      <c r="D23" s="7" t="inlineStr">
        <is>
          <t>https://www.churchofjesuschrist.org/study/scriptures/nt/john/5?lang=eng&amp;id=p21#p21</t>
        </is>
      </c>
      <c r="E23" s="7" t="inlineStr">
        <is>
          <t>John 5:21</t>
        </is>
      </c>
      <c r="F23" s="7" t="inlineStr">
        <is>
          <t>the Son quickeneth whom he will</t>
        </is>
      </c>
      <c r="G23" s="7" t="n">
        <v>6</v>
      </c>
      <c r="H23" s="7" t="inlineStr">
        <is>
          <t>PLAYWRIGHT RENDERED OR CHURCH CONTENT API</t>
        </is>
      </c>
      <c r="I23" s="7" t="inlineStr">
        <is>
          <t>Rendered HTML→text; Unicode NFKC; casefold; normalize whitespace; normalize curly quotes/apostrophes/dashes.</t>
        </is>
      </c>
      <c r="J23" s="7" t="inlineStr">
        <is>
          <t>Use URL verse anchor/range or named document section. Assert inside scoped block; no silent whole-page fallback.</t>
        </is>
      </c>
      <c r="K23" s="7" t="inlineStr">
        <is>
          <t>Normalized scoped text MUST contain normalized quoted phrase</t>
        </is>
      </c>
      <c r="L23" s="7" t="inlineStr">
        <is>
          <t>READY</t>
        </is>
      </c>
      <c r="M23" s="7" t="n"/>
      <c r="N23" s="7" t="inlineStr">
        <is>
          <t>Primary Restoration-side content assertion.</t>
        </is>
      </c>
    </row>
    <row r="24" ht="15.75" customHeight="1" s="29">
      <c r="A24" s="7" t="inlineStr">
        <is>
          <t>RNR-H22</t>
        </is>
      </c>
      <c r="B24" s="7" t="inlineStr">
        <is>
          <t>PRIMARY</t>
        </is>
      </c>
      <c r="C24" s="7" t="inlineStr">
        <is>
          <t>Abraham 3:24</t>
        </is>
      </c>
      <c r="D24" s="7" t="inlineStr">
        <is>
          <t>https://www.churchofjesuschrist.org/study/scriptures/pgp/abr/3?lang=eng&amp;id=p24#p24</t>
        </is>
      </c>
      <c r="E24" s="7" t="inlineStr">
        <is>
          <t>Abraham 3:24</t>
        </is>
      </c>
      <c r="F24" s="7" t="inlineStr">
        <is>
          <t>we will take of these materials, and we will make an earth</t>
        </is>
      </c>
      <c r="G24" s="7" t="n">
        <v>12</v>
      </c>
      <c r="H24" s="7" t="inlineStr">
        <is>
          <t>PLAYWRIGHT RENDERED OR CHURCH CONTENT API</t>
        </is>
      </c>
      <c r="I24" s="7" t="inlineStr">
        <is>
          <t>Rendered HTML→text; Unicode NFKC; casefold; normalize whitespace; normalize curly quotes/apostrophes/dashes.</t>
        </is>
      </c>
      <c r="J24" s="7" t="inlineStr">
        <is>
          <t>Use URL verse anchor/range or named document section. Assert inside scoped block; no silent whole-page fallback.</t>
        </is>
      </c>
      <c r="K24" s="7" t="inlineStr">
        <is>
          <t>Normalized scoped text MUST contain normalized quoted phrase</t>
        </is>
      </c>
      <c r="L24" s="7" t="inlineStr">
        <is>
          <t>READY</t>
        </is>
      </c>
      <c r="M24" s="7" t="n"/>
      <c r="N24" s="7" t="inlineStr">
        <is>
          <t>Primary Restoration-side content assertion.</t>
        </is>
      </c>
    </row>
    <row r="25" ht="15.75" customHeight="1" s="29">
      <c r="A25" s="7" t="inlineStr">
        <is>
          <t>RNR-H23</t>
        </is>
      </c>
      <c r="B25" s="7" t="inlineStr">
        <is>
          <t>PRIMARY</t>
        </is>
      </c>
      <c r="C25" s="7" t="inlineStr">
        <is>
          <t>Mosiah 2:21</t>
        </is>
      </c>
      <c r="D25" s="7" t="inlineStr">
        <is>
          <t>https://www.churchofjesuschrist.org/study/scriptures/bofm/mosiah/2?lang=eng&amp;id=p21#p21</t>
        </is>
      </c>
      <c r="E25" s="7" t="inlineStr">
        <is>
          <t>Mosiah 2:21</t>
        </is>
      </c>
      <c r="F25" s="7" t="inlineStr">
        <is>
          <t>preserving you from day to day</t>
        </is>
      </c>
      <c r="G25" s="7" t="n">
        <v>6</v>
      </c>
      <c r="H25" s="7" t="inlineStr">
        <is>
          <t>PLAYWRIGHT RENDERED OR CHURCH CONTENT API</t>
        </is>
      </c>
      <c r="I25" s="7" t="inlineStr">
        <is>
          <t>Rendered HTML→text; Unicode NFKC; casefold; normalize whitespace; normalize curly quotes/apostrophes/dashes.</t>
        </is>
      </c>
      <c r="J25" s="7" t="inlineStr">
        <is>
          <t>Use URL verse anchor/range or named document section. Assert inside scoped block; no silent whole-page fallback.</t>
        </is>
      </c>
      <c r="K25" s="7" t="inlineStr">
        <is>
          <t>Normalized scoped text MUST contain normalized quoted phrase</t>
        </is>
      </c>
      <c r="L25" s="7" t="inlineStr">
        <is>
          <t>READY</t>
        </is>
      </c>
      <c r="M25" s="7" t="n"/>
      <c r="N25" s="7" t="inlineStr">
        <is>
          <t>Primary Restoration-side content assertion.</t>
        </is>
      </c>
    </row>
    <row r="26" ht="15.75" customHeight="1" s="29">
      <c r="A26" s="7" t="inlineStr">
        <is>
          <t>RNR-H24</t>
        </is>
      </c>
      <c r="B26" s="7" t="inlineStr">
        <is>
          <t>PRIMARY</t>
        </is>
      </c>
      <c r="C26" s="7" t="inlineStr">
        <is>
          <t>D&amp;C 88:13</t>
        </is>
      </c>
      <c r="D26" s="7" t="inlineStr">
        <is>
          <t>https://www.churchofjesuschrist.org/study/scriptures/dc-testament/dc/88?lang=eng&amp;id=p13#p13</t>
        </is>
      </c>
      <c r="E26" s="7" t="inlineStr">
        <is>
          <t>D&amp;C 88:13</t>
        </is>
      </c>
      <c r="F26" s="7" t="inlineStr">
        <is>
          <t>the law by which all things are governed</t>
        </is>
      </c>
      <c r="G26" s="7" t="n">
        <v>8</v>
      </c>
      <c r="H26" s="7" t="inlineStr">
        <is>
          <t>PLAYWRIGHT RENDERED OR CHURCH CONTENT API</t>
        </is>
      </c>
      <c r="I26" s="7" t="inlineStr">
        <is>
          <t>Rendered HTML→text; Unicode NFKC; casefold; normalize whitespace; normalize curly quotes/apostrophes/dashes.</t>
        </is>
      </c>
      <c r="J26" s="7" t="inlineStr">
        <is>
          <t>Use URL verse anchor/range or named document section. Assert inside scoped block; no silent whole-page fallback.</t>
        </is>
      </c>
      <c r="K26" s="7" t="inlineStr">
        <is>
          <t>Normalized scoped text MUST contain normalized quoted phrase</t>
        </is>
      </c>
      <c r="L26" s="7" t="inlineStr">
        <is>
          <t>READY</t>
        </is>
      </c>
      <c r="M26" s="7" t="n"/>
      <c r="N26" s="7" t="inlineStr">
        <is>
          <t>Primary Restoration-side content assertion.</t>
        </is>
      </c>
    </row>
    <row r="27" ht="15.75" customHeight="1" s="29">
      <c r="A27" s="7" t="inlineStr">
        <is>
          <t>RNR-H25</t>
        </is>
      </c>
      <c r="B27" s="7" t="inlineStr">
        <is>
          <t>PRIMARY</t>
        </is>
      </c>
      <c r="C27" s="7" t="inlineStr">
        <is>
          <t>D&amp;C 104:14–17</t>
        </is>
      </c>
      <c r="D27" s="7" t="inlineStr">
        <is>
          <t>https://www.churchofjesuschrist.org/study/scriptures/dc-testament/dc/104?lang=eng&amp;id=p14-p17#p14</t>
        </is>
      </c>
      <c r="E27" s="7" t="inlineStr">
        <is>
          <t>D&amp;C 104:14–17</t>
        </is>
      </c>
      <c r="F27" s="7" t="inlineStr">
        <is>
          <t>all things therein are mine</t>
        </is>
      </c>
      <c r="G27" s="7" t="n">
        <v>5</v>
      </c>
      <c r="H27" s="7" t="inlineStr">
        <is>
          <t>PLAYWRIGHT RENDERED OR CHURCH CONTENT API</t>
        </is>
      </c>
      <c r="I27" s="7" t="inlineStr">
        <is>
          <t>Rendered HTML→text; Unicode NFKC; casefold; normalize whitespace; normalize curly quotes/apostrophes/dashes.</t>
        </is>
      </c>
      <c r="J27" s="7" t="inlineStr">
        <is>
          <t>Use URL verse anchor/range or named document section. Assert inside scoped block; no silent whole-page fallback.</t>
        </is>
      </c>
      <c r="K27" s="7" t="inlineStr">
        <is>
          <t>Normalized scoped text MUST contain normalized quoted phrase</t>
        </is>
      </c>
      <c r="L27" s="7" t="inlineStr">
        <is>
          <t>READY</t>
        </is>
      </c>
      <c r="M27" s="7" t="n"/>
      <c r="N27" s="7" t="inlineStr">
        <is>
          <t>Primary Restoration-side content assertion.</t>
        </is>
      </c>
    </row>
    <row r="28" ht="15.75" customHeight="1" s="29">
      <c r="A28" s="7" t="inlineStr">
        <is>
          <t>RNR-H26</t>
        </is>
      </c>
      <c r="B28" s="7" t="inlineStr">
        <is>
          <t>PRIMARY</t>
        </is>
      </c>
      <c r="C28" s="7" t="inlineStr">
        <is>
          <t>2 Nephi 9:15</t>
        </is>
      </c>
      <c r="D28" s="7" t="inlineStr">
        <is>
          <t>https://www.churchofjesuschrist.org/study/scriptures/bofm/2-ne/9?lang=eng&amp;id=p15#p15</t>
        </is>
      </c>
      <c r="E28" s="7" t="inlineStr">
        <is>
          <t>2 Nephi 9:15</t>
        </is>
      </c>
      <c r="F28" s="7" t="inlineStr">
        <is>
          <t>they must appear before the judgment-seat of the Holy One of Israel</t>
        </is>
      </c>
      <c r="G28" s="7" t="n">
        <v>12</v>
      </c>
      <c r="H28" s="7" t="inlineStr">
        <is>
          <t>PLAYWRIGHT RENDERED OR CHURCH CONTENT API</t>
        </is>
      </c>
      <c r="I28" s="7" t="inlineStr">
        <is>
          <t>Rendered HTML→text; Unicode NFKC; casefold; normalize whitespace; normalize curly quotes/apostrophes/dashes.</t>
        </is>
      </c>
      <c r="J28" s="7" t="inlineStr">
        <is>
          <t>Use URL verse anchor/range or named document section. Assert inside scoped block; no silent whole-page fallback.</t>
        </is>
      </c>
      <c r="K28" s="7" t="inlineStr">
        <is>
          <t>Normalized scoped text MUST contain normalized quoted phrase</t>
        </is>
      </c>
      <c r="L28" s="7" t="inlineStr">
        <is>
          <t>READY</t>
        </is>
      </c>
      <c r="M28" s="7" t="n"/>
      <c r="N28" s="7" t="inlineStr">
        <is>
          <t>Primary Restoration-side content assertion.</t>
        </is>
      </c>
    </row>
    <row r="29" ht="15.75" customHeight="1" s="29">
      <c r="A29" s="7" t="inlineStr">
        <is>
          <t>RNR-H27</t>
        </is>
      </c>
      <c r="B29" s="7" t="inlineStr">
        <is>
          <t>PRIMARY</t>
        </is>
      </c>
      <c r="C29" s="7" t="inlineStr">
        <is>
          <t>Moses 1:6</t>
        </is>
      </c>
      <c r="D29" s="7" t="inlineStr">
        <is>
          <t>https://www.churchofjesuschrist.org/study/scriptures/pgp/moses/1?lang=eng&amp;id=p6#p6</t>
        </is>
      </c>
      <c r="E29" s="7" t="inlineStr">
        <is>
          <t>Moses 1:6</t>
        </is>
      </c>
      <c r="F29" s="7" t="inlineStr">
        <is>
          <t>mine Only Begotten is and shall be the Savior</t>
        </is>
      </c>
      <c r="G29" s="7" t="n">
        <v>9</v>
      </c>
      <c r="H29" s="7" t="inlineStr">
        <is>
          <t>PLAYWRIGHT RENDERED OR CHURCH CONTENT API</t>
        </is>
      </c>
      <c r="I29" s="7" t="inlineStr">
        <is>
          <t>Rendered HTML→text; Unicode NFKC; casefold; normalize whitespace; normalize curly quotes/apostrophes/dashes.</t>
        </is>
      </c>
      <c r="J29" s="7" t="inlineStr">
        <is>
          <t>Use URL verse anchor/range or named document section. Assert inside scoped block; no silent whole-page fallback.</t>
        </is>
      </c>
      <c r="K29" s="7" t="inlineStr">
        <is>
          <t>Normalized scoped text MUST contain normalized quoted phrase</t>
        </is>
      </c>
      <c r="L29" s="7" t="inlineStr">
        <is>
          <t>READY</t>
        </is>
      </c>
      <c r="M29" s="7" t="n"/>
      <c r="N29" s="7" t="inlineStr">
        <is>
          <t>Primary Restoration-side content assertion.</t>
        </is>
      </c>
    </row>
    <row r="30" ht="15.75" customHeight="1" s="29">
      <c r="A30" s="7" t="inlineStr">
        <is>
          <t>RNR-H28</t>
        </is>
      </c>
      <c r="B30" s="7" t="inlineStr">
        <is>
          <t>PRIMARY</t>
        </is>
      </c>
      <c r="C30" s="7" t="inlineStr">
        <is>
          <t>D&amp;C 1:38</t>
        </is>
      </c>
      <c r="D30" s="7" t="inlineStr">
        <is>
          <t>https://www.churchofjesuschrist.org/study/scriptures/dc-testament/dc/1?lang=eng&amp;id=p38#p38</t>
        </is>
      </c>
      <c r="E30" s="7" t="inlineStr">
        <is>
          <t>D&amp;C 1:38</t>
        </is>
      </c>
      <c r="F30" s="7" t="inlineStr">
        <is>
          <t>whether by mine own voice or by the voice of my servants</t>
        </is>
      </c>
      <c r="G30" s="7" t="n">
        <v>12</v>
      </c>
      <c r="H30" s="7" t="inlineStr">
        <is>
          <t>PLAYWRIGHT RENDERED OR CHURCH CONTENT API</t>
        </is>
      </c>
      <c r="I30" s="7" t="inlineStr">
        <is>
          <t>Rendered HTML→text; Unicode NFKC; casefold; normalize whitespace; normalize curly quotes/apostrophes/dashes.</t>
        </is>
      </c>
      <c r="J30" s="7" t="inlineStr">
        <is>
          <t>Use URL verse anchor/range or named document section. Assert inside scoped block; no silent whole-page fallback.</t>
        </is>
      </c>
      <c r="K30" s="7" t="inlineStr">
        <is>
          <t>Normalized scoped text MUST contain normalized quoted phrase</t>
        </is>
      </c>
      <c r="L30" s="7" t="inlineStr">
        <is>
          <t>READY</t>
        </is>
      </c>
      <c r="M30" s="7" t="n"/>
      <c r="N30" s="7" t="inlineStr">
        <is>
          <t>Primary Restoration-side content assertion.</t>
        </is>
      </c>
    </row>
    <row r="31" ht="15.75" customHeight="1" s="29">
      <c r="A31" s="7" t="inlineStr">
        <is>
          <t>RNR-H29</t>
        </is>
      </c>
      <c r="B31" s="7" t="inlineStr">
        <is>
          <t>PRIMARY</t>
        </is>
      </c>
      <c r="C31" s="7" t="inlineStr">
        <is>
          <t>D&amp;C 93:29,33</t>
        </is>
      </c>
      <c r="D31" s="7" t="inlineStr">
        <is>
          <t>https://www.churchofjesuschrist.org/study/scriptures/dc-testament/dc/93?lang=eng&amp;id=p29-p33#p29</t>
        </is>
      </c>
      <c r="E31" s="7" t="inlineStr">
        <is>
          <t>D&amp;C 93:29,33</t>
        </is>
      </c>
      <c r="F31" s="7" t="inlineStr">
        <is>
          <t>Man was also in the beginning with God</t>
        </is>
      </c>
      <c r="G31" s="7" t="n">
        <v>8</v>
      </c>
      <c r="H31" s="7" t="inlineStr">
        <is>
          <t>PLAYWRIGHT RENDERED OR CHURCH CONTENT API</t>
        </is>
      </c>
      <c r="I31" s="7" t="inlineStr">
        <is>
          <t>Rendered HTML→text; Unicode NFKC; casefold; normalize whitespace; normalize curly quotes/apostrophes/dashes.</t>
        </is>
      </c>
      <c r="J31" s="7" t="inlineStr">
        <is>
          <t>Use URL verse anchor/range or named document section. Assert inside scoped block; no silent whole-page fallback.</t>
        </is>
      </c>
      <c r="K31" s="7" t="inlineStr">
        <is>
          <t>Normalized scoped text MUST contain normalized quoted phrase</t>
        </is>
      </c>
      <c r="L31" s="7" t="inlineStr">
        <is>
          <t>READY</t>
        </is>
      </c>
      <c r="M31" s="7" t="n"/>
      <c r="N31" s="7" t="inlineStr">
        <is>
          <t>Primary Restoration-side content assertion.</t>
        </is>
      </c>
    </row>
    <row r="32" ht="15.75" customHeight="1" s="29">
      <c r="A32" s="7" t="inlineStr">
        <is>
          <t>RNR-H30</t>
        </is>
      </c>
      <c r="B32" s="7" t="inlineStr">
        <is>
          <t>PRIMARY</t>
        </is>
      </c>
      <c r="C32" s="7" t="inlineStr">
        <is>
          <t>John 1:1,14</t>
        </is>
      </c>
      <c r="D32" s="7" t="inlineStr">
        <is>
          <t>https://www.churchofjesuschrist.org/study/scriptures/nt/john/1?lang=eng&amp;id=p1-p14#p1</t>
        </is>
      </c>
      <c r="E32" s="7" t="inlineStr">
        <is>
          <t>John 1:1,14</t>
        </is>
      </c>
      <c r="F32" s="7" t="inlineStr">
        <is>
          <t>the Word was God</t>
        </is>
      </c>
      <c r="G32" s="7" t="n">
        <v>4</v>
      </c>
      <c r="H32" s="7" t="inlineStr">
        <is>
          <t>PLAYWRIGHT RENDERED OR CHURCH CONTENT API</t>
        </is>
      </c>
      <c r="I32" s="7" t="inlineStr">
        <is>
          <t>Rendered HTML→text; Unicode NFKC; casefold; normalize whitespace; normalize curly quotes/apostrophes/dashes.</t>
        </is>
      </c>
      <c r="J32" s="7" t="inlineStr">
        <is>
          <t>Use URL verse anchor/range or named document section. Assert inside scoped block; no silent whole-page fallback.</t>
        </is>
      </c>
      <c r="K32" s="7" t="inlineStr">
        <is>
          <t>Normalized scoped text MUST contain normalized quoted phrase</t>
        </is>
      </c>
      <c r="L32" s="7" t="inlineStr">
        <is>
          <t>READY</t>
        </is>
      </c>
      <c r="M32" s="7" t="n"/>
      <c r="N32" s="7" t="inlineStr">
        <is>
          <t>Primary Restoration-side content assertion.</t>
        </is>
      </c>
    </row>
    <row r="33" ht="15.75" customHeight="1" s="29">
      <c r="A33" s="7" t="inlineStr">
        <is>
          <t>RNR-H31</t>
        </is>
      </c>
      <c r="B33" s="7" t="inlineStr">
        <is>
          <t>PRIMARY</t>
        </is>
      </c>
      <c r="C33" s="7" t="inlineStr">
        <is>
          <t>1 Corinthians 1:24</t>
        </is>
      </c>
      <c r="D33" s="7" t="inlineStr">
        <is>
          <t>https://www.churchofjesuschrist.org/study/scriptures/nt/1-cor/1?lang=eng&amp;id=p24#p24</t>
        </is>
      </c>
      <c r="E33" s="7" t="inlineStr">
        <is>
          <t>1 Cor. 1:24</t>
        </is>
      </c>
      <c r="F33" s="7" t="inlineStr">
        <is>
          <t>Christ the power of God, and the wisdom of God</t>
        </is>
      </c>
      <c r="G33" s="7" t="n">
        <v>10</v>
      </c>
      <c r="H33" s="7" t="inlineStr">
        <is>
          <t>PLAYWRIGHT RENDERED OR CHURCH CONTENT API</t>
        </is>
      </c>
      <c r="I33" s="7" t="inlineStr">
        <is>
          <t>Rendered HTML→text; Unicode NFKC; casefold; normalize whitespace; normalize curly quotes/apostrophes/dashes.</t>
        </is>
      </c>
      <c r="J33" s="7" t="inlineStr">
        <is>
          <t>Use URL verse anchor/range or named document section. Assert inside scoped block; no silent whole-page fallback.</t>
        </is>
      </c>
      <c r="K33" s="7" t="inlineStr">
        <is>
          <t>Normalized scoped text MUST contain normalized quoted phrase</t>
        </is>
      </c>
      <c r="L33" s="7" t="inlineStr">
        <is>
          <t>READY</t>
        </is>
      </c>
      <c r="M33" s="7" t="n"/>
      <c r="N33" s="7" t="inlineStr">
        <is>
          <t>Primary Restoration-side content assertion.</t>
        </is>
      </c>
    </row>
    <row r="34" ht="15.75" customHeight="1" s="29">
      <c r="A34" s="7" t="inlineStr">
        <is>
          <t>RNR-H32</t>
        </is>
      </c>
      <c r="B34" s="7" t="inlineStr">
        <is>
          <t>PRIMARY</t>
        </is>
      </c>
      <c r="C34" s="7" t="inlineStr">
        <is>
          <t>D&amp;C 88:7–13; D&amp;C 93:21–23</t>
        </is>
      </c>
      <c r="D34" s="7" t="inlineStr">
        <is>
          <t>https://www.churchofjesuschrist.org/study/scriptures/dc-testament/dc/88?lang=eng&amp;id=p7-p13#p7</t>
        </is>
      </c>
      <c r="E34" s="7" t="inlineStr">
        <is>
          <t>D&amp;C 88:7–13</t>
        </is>
      </c>
      <c r="F34" s="7" t="inlineStr">
        <is>
          <t>This is the light of Christ</t>
        </is>
      </c>
      <c r="G34" s="7" t="n">
        <v>6</v>
      </c>
      <c r="H34" s="7" t="inlineStr">
        <is>
          <t>PLAYWRIGHT RENDERED OR CHURCH CONTENT API</t>
        </is>
      </c>
      <c r="I34" s="7" t="inlineStr">
        <is>
          <t>Rendered HTML→text; Unicode NFKC; casefold; normalize whitespace; normalize curly quotes/apostrophes/dashes.</t>
        </is>
      </c>
      <c r="J34" s="7" t="inlineStr">
        <is>
          <t>Use URL verse anchor/range or named document section. Assert inside scoped block; no silent whole-page fallback.</t>
        </is>
      </c>
      <c r="K34" s="7" t="inlineStr">
        <is>
          <t>Normalized scoped text MUST contain normalized quoted phrase</t>
        </is>
      </c>
      <c r="L34" s="7" t="inlineStr">
        <is>
          <t>READY</t>
        </is>
      </c>
      <c r="M34" s="7" t="n"/>
      <c r="N34" s="7" t="inlineStr">
        <is>
          <t>Primary Restoration-side content assertion.</t>
        </is>
      </c>
    </row>
    <row r="35" ht="15.75" customHeight="1" s="29">
      <c r="A35" s="7" t="inlineStr">
        <is>
          <t>RNR-H32</t>
        </is>
      </c>
      <c r="B35" s="7" t="inlineStr">
        <is>
          <t>SUPPLEMENTAL</t>
        </is>
      </c>
      <c r="C35" s="7" t="inlineStr">
        <is>
          <t>D&amp;C 88:7–13; D&amp;C 93:21–23</t>
        </is>
      </c>
      <c r="D35" s="7" t="inlineStr">
        <is>
          <t>https://www.churchofjesuschrist.org/study/scriptures/dc-testament/dc/93?lang=eng&amp;id=p21-p23#p21</t>
        </is>
      </c>
      <c r="E35" s="7" t="inlineStr">
        <is>
          <t>D&amp;C 93:21–23</t>
        </is>
      </c>
      <c r="F35" s="7" t="inlineStr">
        <is>
          <t>I was in the beginning with the Father</t>
        </is>
      </c>
      <c r="G35" s="7" t="n">
        <v>8</v>
      </c>
      <c r="H35" s="7" t="inlineStr">
        <is>
          <t>PLAYWRIGHT RENDERED OR CHURCH CONTENT API</t>
        </is>
      </c>
      <c r="I35" s="7" t="inlineStr">
        <is>
          <t>Rendered HTML→text; Unicode NFKC; casefold; normalize whitespace; normalize curly quotes/apostrophes/dashes.</t>
        </is>
      </c>
      <c r="J35" s="7" t="inlineStr">
        <is>
          <t>Use supplemental source locator/anchor; assert within corresponding verse/page block where supported.</t>
        </is>
      </c>
      <c r="K35" s="7" t="inlineStr">
        <is>
          <t>Normalized scoped text MUST contain normalized supplemental quoted phrase</t>
        </is>
      </c>
      <c r="L35" s="7" t="inlineStr">
        <is>
          <t>READY</t>
        </is>
      </c>
      <c r="M35" s="7" t="n"/>
      <c r="N35" s="7" t="inlineStr">
        <is>
          <t>Supplemental comparator assertion; required because the citation carries a supplemental URL.</t>
        </is>
      </c>
    </row>
    <row r="36" ht="15.75" customHeight="1" s="29">
      <c r="A36" s="7" t="inlineStr">
        <is>
          <t>RNR-H33</t>
        </is>
      </c>
      <c r="B36" s="7" t="inlineStr">
        <is>
          <t>PRIMARY</t>
        </is>
      </c>
      <c r="C36" s="7" t="inlineStr">
        <is>
          <t>Hebrews 1:3</t>
        </is>
      </c>
      <c r="D36" s="7" t="inlineStr">
        <is>
          <t>https://www.churchofjesuschrist.org/study/scriptures/nt/heb/1?lang=eng&amp;id=p3#p3</t>
        </is>
      </c>
      <c r="E36" s="7" t="inlineStr">
        <is>
          <t>Hebrews 1:3</t>
        </is>
      </c>
      <c r="F36" s="7" t="inlineStr">
        <is>
          <t>the express image of his person</t>
        </is>
      </c>
      <c r="G36" s="7" t="n">
        <v>6</v>
      </c>
      <c r="H36" s="7" t="inlineStr">
        <is>
          <t>PLAYWRIGHT RENDERED OR CHURCH CONTENT API</t>
        </is>
      </c>
      <c r="I36" s="7" t="inlineStr">
        <is>
          <t>Rendered HTML→text; Unicode NFKC; casefold; normalize whitespace; normalize curly quotes/apostrophes/dashes.</t>
        </is>
      </c>
      <c r="J36" s="7" t="inlineStr">
        <is>
          <t>Use URL verse anchor/range or named document section. Assert inside scoped block; no silent whole-page fallback.</t>
        </is>
      </c>
      <c r="K36" s="7" t="inlineStr">
        <is>
          <t>Normalized scoped text MUST contain normalized quoted phrase</t>
        </is>
      </c>
      <c r="L36" s="7" t="inlineStr">
        <is>
          <t>READY</t>
        </is>
      </c>
      <c r="M36" s="7" t="n"/>
      <c r="N36" s="7" t="inlineStr">
        <is>
          <t>Primary Restoration-side content assertion.</t>
        </is>
      </c>
    </row>
    <row r="37" ht="15.75" customHeight="1" s="29">
      <c r="A37" s="7" t="inlineStr">
        <is>
          <t>RNR-H34</t>
        </is>
      </c>
      <c r="B37" s="7" t="inlineStr">
        <is>
          <t>PRIMARY</t>
        </is>
      </c>
      <c r="C37" s="7" t="inlineStr">
        <is>
          <t>Moses 6:61</t>
        </is>
      </c>
      <c r="D37" s="7" t="inlineStr">
        <is>
          <t>https://www.churchofjesuschrist.org/study/scriptures/pgp/moses/6?lang=eng&amp;id=p61#p61</t>
        </is>
      </c>
      <c r="E37" s="7" t="inlineStr">
        <is>
          <t>Moses 6:61</t>
        </is>
      </c>
      <c r="F37" s="7" t="inlineStr">
        <is>
          <t>that which quickeneth all things, which maketh alive all things</t>
        </is>
      </c>
      <c r="G37" s="7" t="n">
        <v>10</v>
      </c>
      <c r="H37" s="7" t="inlineStr">
        <is>
          <t>PLAYWRIGHT RENDERED OR CHURCH CONTENT API</t>
        </is>
      </c>
      <c r="I37" s="7" t="inlineStr">
        <is>
          <t>Rendered HTML→text; Unicode NFKC; casefold; normalize whitespace; normalize curly quotes/apostrophes/dashes.</t>
        </is>
      </c>
      <c r="J37" s="7" t="inlineStr">
        <is>
          <t>Use URL verse anchor/range or named document section. Assert inside scoped block; no silent whole-page fallback.</t>
        </is>
      </c>
      <c r="K37" s="7" t="inlineStr">
        <is>
          <t>Normalized scoped text MUST contain normalized quoted phrase</t>
        </is>
      </c>
      <c r="L37" s="7" t="inlineStr">
        <is>
          <t>READY</t>
        </is>
      </c>
      <c r="M37" s="7" t="n"/>
      <c r="N37" s="7" t="inlineStr">
        <is>
          <t>Primary Restoration-side content assertion.</t>
        </is>
      </c>
    </row>
    <row r="38" ht="15.75" customHeight="1" s="29">
      <c r="A38" s="7" t="inlineStr">
        <is>
          <t>RNR-H35</t>
        </is>
      </c>
      <c r="B38" s="7" t="inlineStr">
        <is>
          <t>PRIMARY</t>
        </is>
      </c>
      <c r="C38" s="7" t="inlineStr">
        <is>
          <t>Romans 1:20</t>
        </is>
      </c>
      <c r="D38" s="7" t="inlineStr">
        <is>
          <t>https://www.churchofjesuschrist.org/study/scriptures/nt/rom/1?lang=eng&amp;id=p20#p20</t>
        </is>
      </c>
      <c r="E38" s="7" t="inlineStr">
        <is>
          <t>Romans 1:20</t>
        </is>
      </c>
      <c r="F38" s="7" t="inlineStr">
        <is>
          <t>his eternal power and Godhead</t>
        </is>
      </c>
      <c r="G38" s="7" t="n">
        <v>5</v>
      </c>
      <c r="H38" s="7" t="inlineStr">
        <is>
          <t>PLAYWRIGHT RENDERED OR CHURCH CONTENT API</t>
        </is>
      </c>
      <c r="I38" s="7" t="inlineStr">
        <is>
          <t>Rendered HTML→text; Unicode NFKC; casefold; normalize whitespace; normalize curly quotes/apostrophes/dashes.</t>
        </is>
      </c>
      <c r="J38" s="7" t="inlineStr">
        <is>
          <t>Use URL verse anchor/range or named document section. Assert inside scoped block; no silent whole-page fallback.</t>
        </is>
      </c>
      <c r="K38" s="7" t="inlineStr">
        <is>
          <t>Normalized scoped text MUST contain normalized quoted phrase</t>
        </is>
      </c>
      <c r="L38" s="7" t="inlineStr">
        <is>
          <t>READY</t>
        </is>
      </c>
      <c r="M38" s="7" t="n"/>
      <c r="N38" s="7" t="inlineStr">
        <is>
          <t>Primary Restoration-side content assertion.</t>
        </is>
      </c>
    </row>
    <row r="39" ht="15.75" customHeight="1" s="29">
      <c r="A39" s="7" t="inlineStr">
        <is>
          <t>RNR-H36</t>
        </is>
      </c>
      <c r="B39" s="7" t="inlineStr">
        <is>
          <t>PRIMARY</t>
        </is>
      </c>
      <c r="C39" s="7" t="inlineStr">
        <is>
          <t>D&amp;C 93:29,33</t>
        </is>
      </c>
      <c r="D39" s="7" t="inlineStr">
        <is>
          <t>https://www.churchofjesuschrist.org/study/scriptures/dc-testament/dc/93?lang=eng&amp;id=p29-p33#p29</t>
        </is>
      </c>
      <c r="E39" s="7" t="inlineStr">
        <is>
          <t>D&amp;C 93:29,33</t>
        </is>
      </c>
      <c r="F39" s="7" t="inlineStr">
        <is>
          <t>was not created or made, neither indeed can be</t>
        </is>
      </c>
      <c r="G39" s="7" t="n">
        <v>9</v>
      </c>
      <c r="H39" s="7" t="inlineStr">
        <is>
          <t>PLAYWRIGHT RENDERED OR CHURCH CONTENT API</t>
        </is>
      </c>
      <c r="I39" s="7" t="inlineStr">
        <is>
          <t>Rendered HTML→text; Unicode NFKC; casefold; normalize whitespace; normalize curly quotes/apostrophes/dashes.</t>
        </is>
      </c>
      <c r="J39" s="7" t="inlineStr">
        <is>
          <t>Use URL verse anchor/range or named document section. Assert inside scoped block; no silent whole-page fallback.</t>
        </is>
      </c>
      <c r="K39" s="7" t="inlineStr">
        <is>
          <t>Normalized scoped text MUST contain normalized quoted phrase</t>
        </is>
      </c>
      <c r="L39" s="7" t="inlineStr">
        <is>
          <t>READY</t>
        </is>
      </c>
      <c r="M39" s="7" t="n"/>
      <c r="N39" s="7" t="inlineStr">
        <is>
          <t>Primary Restoration-side content assertion.</t>
        </is>
      </c>
    </row>
    <row r="40" ht="15.75" customHeight="1" s="29">
      <c r="A40" s="7" t="inlineStr">
        <is>
          <t>RNR-H37</t>
        </is>
      </c>
      <c r="B40" s="7" t="inlineStr">
        <is>
          <t>PRIMARY</t>
        </is>
      </c>
      <c r="C40" s="7" t="inlineStr">
        <is>
          <t>D&amp;C 20:17; Joseph Smith, Sermon in the Grove</t>
        </is>
      </c>
      <c r="D40" s="7" t="inlineStr">
        <is>
          <t>https://www.churchofjesuschrist.org/study/scriptures/dc-testament/dc/20?lang=eng&amp;id=p17#p17</t>
        </is>
      </c>
      <c r="E40" s="7" t="inlineStr">
        <is>
          <t>D&amp;C 20:17</t>
        </is>
      </c>
      <c r="F40" s="7" t="inlineStr">
        <is>
          <t>from everlasting to everlasting the same unchangeable God</t>
        </is>
      </c>
      <c r="G40" s="7" t="n">
        <v>8</v>
      </c>
      <c r="H40" s="7" t="inlineStr">
        <is>
          <t>PLAYWRIGHT RENDERED OR CHURCH CONTENT API</t>
        </is>
      </c>
      <c r="I40" s="7" t="inlineStr">
        <is>
          <t>Rendered HTML→text; Unicode NFKC; casefold; normalize whitespace; normalize curly quotes/apostrophes/dashes.</t>
        </is>
      </c>
      <c r="J40" s="7" t="inlineStr">
        <is>
          <t>Use URL verse anchor/range or named document section. Assert inside scoped block; no silent whole-page fallback.</t>
        </is>
      </c>
      <c r="K40" s="7" t="inlineStr">
        <is>
          <t>Normalized scoped text MUST contain normalized quoted phrase</t>
        </is>
      </c>
      <c r="L40" s="7" t="inlineStr">
        <is>
          <t>READY</t>
        </is>
      </c>
      <c r="M40" s="7" t="n"/>
      <c r="N40" s="7" t="inlineStr">
        <is>
          <t>Primary Restoration-side content assertion.</t>
        </is>
      </c>
    </row>
    <row r="41" ht="15.75" customHeight="1" s="29">
      <c r="A41" s="7" t="inlineStr">
        <is>
          <t>RNR-H37</t>
        </is>
      </c>
      <c r="B41" s="7" t="inlineStr">
        <is>
          <t>SUPPLEMENTAL</t>
        </is>
      </c>
      <c r="C41" s="7" t="inlineStr">
        <is>
          <t>D&amp;C 20:17; Joseph Smith, Sermon in the Grove</t>
        </is>
      </c>
      <c r="D41" s="7" t="inlineStr">
        <is>
          <t>https://www.josephsmithpapers.org/paper-summary/history-1838-1856-volume-f-1-1-may-1844-8-august-1844/109</t>
        </is>
      </c>
      <c r="E41" s="7" t="inlineStr">
        <is>
          <t>Sermon in the Grove, 16 June 1844; JSP transcript page 103</t>
        </is>
      </c>
      <c r="F41" s="7" t="inlineStr">
        <is>
          <t>God the Father of Jesus Christ had a Father</t>
        </is>
      </c>
      <c r="G41" s="7" t="n">
        <v>9</v>
      </c>
      <c r="H41" s="7" t="inlineStr">
        <is>
          <t>HTML GET/RENDERED</t>
        </is>
      </c>
      <c r="I41" s="7" t="inlineStr">
        <is>
          <t>Rendered HTML→text; Unicode NFKC; casefold; normalize whitespace; normalize curly quotes/apostrophes/dashes.</t>
        </is>
      </c>
      <c r="J41" s="7" t="inlineStr">
        <is>
          <t>Use supplemental source locator/anchor; assert within corresponding verse/page block where supported.</t>
        </is>
      </c>
      <c r="K41" s="7" t="inlineStr">
        <is>
          <t>Normalized scoped text MUST contain normalized supplemental quoted phrase</t>
        </is>
      </c>
      <c r="L41" s="7" t="inlineStr">
        <is>
          <t>READY</t>
        </is>
      </c>
      <c r="M41" s="7" t="n"/>
      <c r="N41" s="7" t="inlineStr">
        <is>
          <t>Supplemental comparator assertion; required because the citation carries a supplemental URL.</t>
        </is>
      </c>
    </row>
    <row r="42" ht="15.75" customHeight="1" s="29">
      <c r="A42" s="7" t="inlineStr">
        <is>
          <t>RNR-H38</t>
        </is>
      </c>
      <c r="B42" s="7" t="inlineStr">
        <is>
          <t>PRIMARY</t>
        </is>
      </c>
      <c r="C42" s="7" t="inlineStr">
        <is>
          <t>John 1:1–3; D&amp;C 93:21,29</t>
        </is>
      </c>
      <c r="D42" s="7" t="inlineStr">
        <is>
          <t>https://www.churchofjesuschrist.org/study/scriptures/nt/john/1?lang=eng&amp;id=p1-p3#p1</t>
        </is>
      </c>
      <c r="E42" s="7" t="inlineStr">
        <is>
          <t>John 1:1–3; D&amp;C 93:21,29</t>
        </is>
      </c>
      <c r="F42" s="7" t="inlineStr">
        <is>
          <t>All things were made by him</t>
        </is>
      </c>
      <c r="G42" s="7" t="n">
        <v>6</v>
      </c>
      <c r="H42" s="7" t="inlineStr">
        <is>
          <t>PLAYWRIGHT RENDERED OR CHURCH CONTENT API</t>
        </is>
      </c>
      <c r="I42" s="7" t="inlineStr">
        <is>
          <t>Rendered HTML→text; Unicode NFKC; casefold; normalize whitespace; normalize curly quotes/apostrophes/dashes.</t>
        </is>
      </c>
      <c r="J42" s="7" t="inlineStr">
        <is>
          <t>Use URL verse anchor/range or named document section. Assert inside scoped block; no silent whole-page fallback.</t>
        </is>
      </c>
      <c r="K42" s="7" t="inlineStr">
        <is>
          <t>Normalized scoped text MUST contain normalized quoted phrase</t>
        </is>
      </c>
      <c r="L42" s="7" t="inlineStr">
        <is>
          <t>READY</t>
        </is>
      </c>
      <c r="M42" s="7" t="n"/>
      <c r="N42" s="7" t="inlineStr">
        <is>
          <t>Primary Restoration-side content assertion.</t>
        </is>
      </c>
    </row>
    <row r="43" ht="15.75" customHeight="1" s="29">
      <c r="A43" s="7" t="inlineStr">
        <is>
          <t>RNR-H39</t>
        </is>
      </c>
      <c r="B43" s="7" t="inlineStr">
        <is>
          <t>PRIMARY</t>
        </is>
      </c>
      <c r="C43" s="7" t="inlineStr">
        <is>
          <t>D&amp;C 20:17,28; D&amp;C 130:22</t>
        </is>
      </c>
      <c r="D43" s="7" t="inlineStr">
        <is>
          <t>https://www.churchofjesuschrist.org/study/scriptures/dc-testament/dc/20?lang=eng&amp;id=p17-p28#p17</t>
        </is>
      </c>
      <c r="E43" s="7" t="inlineStr">
        <is>
          <t>D&amp;C 20:17, 28</t>
        </is>
      </c>
      <c r="F43" s="7" t="inlineStr">
        <is>
          <t>one God, infinite and eternal, without end</t>
        </is>
      </c>
      <c r="G43" s="7" t="n">
        <v>7</v>
      </c>
      <c r="H43" s="7" t="inlineStr">
        <is>
          <t>PLAYWRIGHT RENDERED OR CHURCH CONTENT API</t>
        </is>
      </c>
      <c r="I43" s="7" t="inlineStr">
        <is>
          <t>Rendered HTML→text; Unicode NFKC; casefold; normalize whitespace; normalize curly quotes/apostrophes/dashes.</t>
        </is>
      </c>
      <c r="J43" s="7" t="inlineStr">
        <is>
          <t>Use URL verse anchor/range or named document section. Assert inside scoped block; no silent whole-page fallback.</t>
        </is>
      </c>
      <c r="K43" s="7" t="inlineStr">
        <is>
          <t>Normalized scoped text MUST contain normalized quoted phrase</t>
        </is>
      </c>
      <c r="L43" s="7" t="inlineStr">
        <is>
          <t>READY</t>
        </is>
      </c>
      <c r="M43" s="7" t="n"/>
      <c r="N43" s="7" t="inlineStr">
        <is>
          <t>Primary Restoration-side content assertion.</t>
        </is>
      </c>
    </row>
    <row r="44" ht="15.75" customHeight="1" s="29">
      <c r="A44" s="7" t="inlineStr">
        <is>
          <t>RNR-H39</t>
        </is>
      </c>
      <c r="B44" s="7" t="inlineStr">
        <is>
          <t>SUPPLEMENTAL</t>
        </is>
      </c>
      <c r="C44" s="7" t="inlineStr">
        <is>
          <t>D&amp;C 20:17,28; D&amp;C 130:22</t>
        </is>
      </c>
      <c r="D44" s="7" t="inlineStr">
        <is>
          <t>https://www.churchofjesuschrist.org/study/scriptures/dc-testament/dc/130?lang=eng&amp;id=p22#p22</t>
        </is>
      </c>
      <c r="E44" s="7" t="inlineStr">
        <is>
          <t>D&amp;C 130:22</t>
        </is>
      </c>
      <c r="F44" s="7" t="inlineStr">
        <is>
          <t>The Father has a body of flesh and bones as tangible as man’s</t>
        </is>
      </c>
      <c r="G44" s="7" t="n">
        <v>13</v>
      </c>
      <c r="H44" s="7" t="inlineStr">
        <is>
          <t>PLAYWRIGHT RENDERED OR CHURCH CONTENT API</t>
        </is>
      </c>
      <c r="I44" s="7" t="inlineStr">
        <is>
          <t>Rendered HTML→text; Unicode NFKC; casefold; normalize whitespace; normalize curly quotes/apostrophes/dashes.</t>
        </is>
      </c>
      <c r="J44" s="7" t="inlineStr">
        <is>
          <t>Use supplemental source locator/anchor; assert within corresponding verse/page block where supported.</t>
        </is>
      </c>
      <c r="K44" s="7" t="inlineStr">
        <is>
          <t>Normalized scoped text MUST contain normalized supplemental quoted phrase</t>
        </is>
      </c>
      <c r="L44" s="7" t="inlineStr">
        <is>
          <t>READY</t>
        </is>
      </c>
      <c r="M44" s="7" t="n"/>
      <c r="N44" s="7" t="inlineStr">
        <is>
          <t>Supplemental comparator assertion; required because the citation carries a supplemental URL.</t>
        </is>
      </c>
    </row>
    <row r="45" ht="15.75" customHeight="1" s="29">
      <c r="A45" s="7" t="inlineStr">
        <is>
          <t>RNR-H40</t>
        </is>
      </c>
      <c r="B45" s="7" t="inlineStr">
        <is>
          <t>PRIMARY</t>
        </is>
      </c>
      <c r="C45" s="7" t="inlineStr">
        <is>
          <t>D&amp;C 88:6–13; 130:22</t>
        </is>
      </c>
      <c r="D45" s="7" t="inlineStr">
        <is>
          <t>https://www.churchofjesuschrist.org/study/scriptures/dc-testament/dc/88?lang=eng&amp;id=p6-p13#p6</t>
        </is>
      </c>
      <c r="E45" s="7" t="inlineStr">
        <is>
          <t>D&amp;C 88:6–13</t>
        </is>
      </c>
      <c r="F45" s="7" t="inlineStr">
        <is>
          <t>proceedeth forth from the presence of God to fill the immensity of space</t>
        </is>
      </c>
      <c r="G45" s="7" t="n">
        <v>13</v>
      </c>
      <c r="H45" s="7" t="inlineStr">
        <is>
          <t>PLAYWRIGHT RENDERED OR CHURCH CONTENT API</t>
        </is>
      </c>
      <c r="I45" s="7" t="inlineStr">
        <is>
          <t>Rendered HTML→text; Unicode NFKC; casefold; normalize whitespace; normalize curly quotes/apostrophes/dashes.</t>
        </is>
      </c>
      <c r="J45" s="7" t="inlineStr">
        <is>
          <t>Use URL verse anchor/range or named document section. Assert inside scoped block; no silent whole-page fallback.</t>
        </is>
      </c>
      <c r="K45" s="7" t="inlineStr">
        <is>
          <t>Normalized scoped text MUST contain normalized quoted phrase</t>
        </is>
      </c>
      <c r="L45" s="7" t="inlineStr">
        <is>
          <t>READY</t>
        </is>
      </c>
      <c r="M45" s="7" t="n"/>
      <c r="N45" s="7" t="inlineStr">
        <is>
          <t>Primary Restoration-side content assertion.</t>
        </is>
      </c>
    </row>
    <row r="46" ht="15.75" customHeight="1" s="29">
      <c r="A46" s="7" t="inlineStr">
        <is>
          <t>RNR-H40</t>
        </is>
      </c>
      <c r="B46" s="7" t="inlineStr">
        <is>
          <t>SUPPLEMENTAL</t>
        </is>
      </c>
      <c r="C46" s="7" t="inlineStr">
        <is>
          <t>D&amp;C 88:6–13; 130:22</t>
        </is>
      </c>
      <c r="D46" s="7" t="inlineStr">
        <is>
          <t>https://www.churchofjesuschrist.org/study/scriptures/dc-testament/dc/130?lang=eng&amp;id=p22#p22</t>
        </is>
      </c>
      <c r="E46" s="7" t="inlineStr">
        <is>
          <t>D&amp;C 130:22</t>
        </is>
      </c>
      <c r="F46" s="7" t="inlineStr">
        <is>
          <t>The Father has a body of flesh and bones as tangible as man’s</t>
        </is>
      </c>
      <c r="G46" s="7" t="n">
        <v>13</v>
      </c>
      <c r="H46" s="7" t="inlineStr">
        <is>
          <t>PLAYWRIGHT RENDERED OR CHURCH CONTENT API</t>
        </is>
      </c>
      <c r="I46" s="7" t="inlineStr">
        <is>
          <t>Rendered HTML→text; Unicode NFKC; casefold; normalize whitespace; normalize curly quotes/apostrophes/dashes.</t>
        </is>
      </c>
      <c r="J46" s="7" t="inlineStr">
        <is>
          <t>Use supplemental source locator/anchor; assert within corresponding verse/page block where supported.</t>
        </is>
      </c>
      <c r="K46" s="7" t="inlineStr">
        <is>
          <t>Normalized scoped text MUST contain normalized supplemental quoted phrase</t>
        </is>
      </c>
      <c r="L46" s="7" t="inlineStr">
        <is>
          <t>READY</t>
        </is>
      </c>
      <c r="M46" s="7" t="n"/>
      <c r="N46" s="7" t="inlineStr">
        <is>
          <t>Supplemental comparator assertion; required because the citation carries a supplemental URL.</t>
        </is>
      </c>
    </row>
    <row r="47" ht="15.75" customHeight="1" s="29">
      <c r="A47" s="7" t="inlineStr">
        <is>
          <t>RNR-H41</t>
        </is>
      </c>
      <c r="B47" s="7" t="inlineStr">
        <is>
          <t>PRIMARY</t>
        </is>
      </c>
      <c r="C47" s="7" t="inlineStr">
        <is>
          <t>D&amp;C 130:22</t>
        </is>
      </c>
      <c r="D47" s="7" t="inlineStr">
        <is>
          <t>https://www.churchofjesuschrist.org/study/scriptures/dc-testament/dc/130?lang=eng&amp;id=p22#p22</t>
        </is>
      </c>
      <c r="E47" s="7" t="inlineStr">
        <is>
          <t>D&amp;C 130:22</t>
        </is>
      </c>
      <c r="F47" s="7" t="inlineStr">
        <is>
          <t>The Father has a body of flesh and bones as tangible as man’s</t>
        </is>
      </c>
      <c r="G47" s="7" t="n">
        <v>13</v>
      </c>
      <c r="H47" s="7" t="inlineStr">
        <is>
          <t>PLAYWRIGHT RENDERED OR CHURCH CONTENT API</t>
        </is>
      </c>
      <c r="I47" s="7" t="inlineStr">
        <is>
          <t>Rendered HTML→text; Unicode NFKC; casefold; normalize whitespace; normalize curly quotes/apostrophes/dashes.</t>
        </is>
      </c>
      <c r="J47" s="7" t="inlineStr">
        <is>
          <t>Use URL verse anchor/range or named document section. Assert inside scoped block; no silent whole-page fallback.</t>
        </is>
      </c>
      <c r="K47" s="7" t="inlineStr">
        <is>
          <t>Normalized scoped text MUST contain normalized quoted phrase</t>
        </is>
      </c>
      <c r="L47" s="7" t="inlineStr">
        <is>
          <t>READY</t>
        </is>
      </c>
      <c r="M47" s="7" t="n"/>
      <c r="N47" s="7" t="inlineStr">
        <is>
          <t>Primary Restoration-side content assertion.</t>
        </is>
      </c>
    </row>
    <row r="48" ht="15.75" customHeight="1" s="29">
      <c r="A48" s="7" t="inlineStr">
        <is>
          <t>RNR-H42</t>
        </is>
      </c>
      <c r="B48" s="7" t="inlineStr">
        <is>
          <t>PRIMARY</t>
        </is>
      </c>
      <c r="C48" s="7" t="inlineStr">
        <is>
          <t>D&amp;C 130:22</t>
        </is>
      </c>
      <c r="D48" s="7" t="inlineStr">
        <is>
          <t>https://www.churchofjesuschrist.org/study/scriptures/dc-testament/dc/130?lang=eng&amp;id=p22#p22</t>
        </is>
      </c>
      <c r="E48" s="7" t="inlineStr">
        <is>
          <t>D&amp;C 130:22</t>
        </is>
      </c>
      <c r="F48" s="7" t="inlineStr">
        <is>
          <t>The Father has a body of flesh and bones as tangible as man’s</t>
        </is>
      </c>
      <c r="G48" s="7" t="n">
        <v>13</v>
      </c>
      <c r="H48" s="7" t="inlineStr">
        <is>
          <t>PLAYWRIGHT RENDERED OR CHURCH CONTENT API</t>
        </is>
      </c>
      <c r="I48" s="7" t="inlineStr">
        <is>
          <t>Rendered HTML→text; Unicode NFKC; casefold; normalize whitespace; normalize curly quotes/apostrophes/dashes.</t>
        </is>
      </c>
      <c r="J48" s="7" t="inlineStr">
        <is>
          <t>Use URL verse anchor/range or named document section. Assert inside scoped block; no silent whole-page fallback.</t>
        </is>
      </c>
      <c r="K48" s="7" t="inlineStr">
        <is>
          <t>Normalized scoped text MUST contain normalized quoted phrase</t>
        </is>
      </c>
      <c r="L48" s="7" t="inlineStr">
        <is>
          <t>READY</t>
        </is>
      </c>
      <c r="M48" s="7" t="n"/>
      <c r="N48" s="7" t="inlineStr">
        <is>
          <t>Primary Restoration-side content assertion.</t>
        </is>
      </c>
    </row>
    <row r="49" ht="15.75" customHeight="1" s="29">
      <c r="A49" s="7" t="inlineStr">
        <is>
          <t>RNR-H43</t>
        </is>
      </c>
      <c r="B49" s="7" t="inlineStr">
        <is>
          <t>PRIMARY</t>
        </is>
      </c>
      <c r="C49" s="7" t="inlineStr">
        <is>
          <t>D&amp;C 130:22</t>
        </is>
      </c>
      <c r="D49" s="7" t="inlineStr">
        <is>
          <t>https://www.churchofjesuschrist.org/study/scriptures/dc-testament/dc/130?lang=eng&amp;id=p22#p22</t>
        </is>
      </c>
      <c r="E49" s="7" t="inlineStr">
        <is>
          <t>D&amp;C 130:22</t>
        </is>
      </c>
      <c r="F49" s="7" t="inlineStr">
        <is>
          <t>The Father has a body of flesh and bones as tangible as man’s</t>
        </is>
      </c>
      <c r="G49" s="7" t="n">
        <v>13</v>
      </c>
      <c r="H49" s="7" t="inlineStr">
        <is>
          <t>PLAYWRIGHT RENDERED OR CHURCH CONTENT API</t>
        </is>
      </c>
      <c r="I49" s="7" t="inlineStr">
        <is>
          <t>Rendered HTML→text; Unicode NFKC; casefold; normalize whitespace; normalize curly quotes/apostrophes/dashes.</t>
        </is>
      </c>
      <c r="J49" s="7" t="inlineStr">
        <is>
          <t>Use URL verse anchor/range or named document section. Assert inside scoped block; no silent whole-page fallback.</t>
        </is>
      </c>
      <c r="K49" s="7" t="inlineStr">
        <is>
          <t>Normalized scoped text MUST contain normalized quoted phrase</t>
        </is>
      </c>
      <c r="L49" s="7" t="inlineStr">
        <is>
          <t>READY</t>
        </is>
      </c>
      <c r="M49" s="7" t="n"/>
      <c r="N49" s="7" t="inlineStr">
        <is>
          <t>Primary Restoration-side content assertion.</t>
        </is>
      </c>
    </row>
    <row r="50" ht="15.75" customHeight="1" s="29">
      <c r="A50" s="7" t="inlineStr">
        <is>
          <t>RNR-H44</t>
        </is>
      </c>
      <c r="B50" s="7" t="inlineStr">
        <is>
          <t>PRIMARY</t>
        </is>
      </c>
      <c r="C50" s="7" t="inlineStr">
        <is>
          <t>Moses 7:28–29; 3 Nephi 17:6–7</t>
        </is>
      </c>
      <c r="D50" s="7" t="inlineStr">
        <is>
          <t>https://www.churchofjesuschrist.org/study/scriptures/pgp/moses/7?lang=eng&amp;id=p28-p29#p28</t>
        </is>
      </c>
      <c r="E50" s="7" t="inlineStr">
        <is>
          <t>Moses 7:28–29; 3 Nephi 17:6–7</t>
        </is>
      </c>
      <c r="F50" s="7" t="inlineStr">
        <is>
          <t>the God of heaven looked upon the residue of the people, and he wept</t>
        </is>
      </c>
      <c r="G50" s="7" t="n">
        <v>14</v>
      </c>
      <c r="H50" s="7" t="inlineStr">
        <is>
          <t>PLAYWRIGHT RENDERED OR CHURCH CONTENT API</t>
        </is>
      </c>
      <c r="I50" s="7" t="inlineStr">
        <is>
          <t>Rendered HTML→text; Unicode NFKC; casefold; normalize whitespace; normalize curly quotes/apostrophes/dashes.</t>
        </is>
      </c>
      <c r="J50" s="7" t="inlineStr">
        <is>
          <t>Use URL verse anchor/range or named document section. Assert inside scoped block; no silent whole-page fallback.</t>
        </is>
      </c>
      <c r="K50" s="7" t="inlineStr">
        <is>
          <t>Normalized scoped text MUST contain normalized quoted phrase</t>
        </is>
      </c>
      <c r="L50" s="7" t="inlineStr">
        <is>
          <t>READY</t>
        </is>
      </c>
      <c r="M50" s="7" t="n"/>
      <c r="N50" s="7" t="inlineStr">
        <is>
          <t>Primary Restoration-side content assertion.</t>
        </is>
      </c>
    </row>
    <row r="51" ht="15.75" customHeight="1" s="29">
      <c r="A51" s="7" t="inlineStr">
        <is>
          <t>RNR-H45</t>
        </is>
      </c>
      <c r="B51" s="7" t="inlineStr">
        <is>
          <t>PRIMARY</t>
        </is>
      </c>
      <c r="C51" s="7" t="inlineStr">
        <is>
          <t>Mormon 9:19; D&amp;C 20:17</t>
        </is>
      </c>
      <c r="D51" s="7" t="inlineStr">
        <is>
          <t>https://www.churchofjesuschrist.org/study/scriptures/bofm/morm/9?lang=eng&amp;id=p19#p19</t>
        </is>
      </c>
      <c r="E51" s="7" t="inlineStr">
        <is>
          <t>Mormon 9:19; D&amp;C 20:17</t>
        </is>
      </c>
      <c r="F51" s="7" t="inlineStr">
        <is>
          <t>he changeth not</t>
        </is>
      </c>
      <c r="G51" s="7" t="n">
        <v>3</v>
      </c>
      <c r="H51" s="7" t="inlineStr">
        <is>
          <t>PLAYWRIGHT RENDERED OR CHURCH CONTENT API</t>
        </is>
      </c>
      <c r="I51" s="7" t="inlineStr">
        <is>
          <t>Rendered HTML→text; Unicode NFKC; casefold; normalize whitespace; normalize curly quotes/apostrophes/dashes.</t>
        </is>
      </c>
      <c r="J51" s="7" t="inlineStr">
        <is>
          <t>Use URL verse anchor/range or named document section. Assert inside scoped block; no silent whole-page fallback.</t>
        </is>
      </c>
      <c r="K51" s="7" t="inlineStr">
        <is>
          <t>Normalized scoped text MUST contain normalized quoted phrase</t>
        </is>
      </c>
      <c r="L51" s="7" t="inlineStr">
        <is>
          <t>READY</t>
        </is>
      </c>
      <c r="M51" s="7" t="n"/>
      <c r="N51" s="7" t="inlineStr">
        <is>
          <t>Primary Restoration-side content assertion.</t>
        </is>
      </c>
    </row>
    <row r="52" ht="15.75" customHeight="1" s="29">
      <c r="A52" s="7" t="inlineStr">
        <is>
          <t>RNR-H46</t>
        </is>
      </c>
      <c r="B52" s="7" t="inlineStr">
        <is>
          <t>PRIMARY</t>
        </is>
      </c>
      <c r="C52" s="7" t="inlineStr">
        <is>
          <t>D&amp;C 20:17</t>
        </is>
      </c>
      <c r="D52" s="7" t="inlineStr">
        <is>
          <t>https://www.churchofjesuschrist.org/study/scriptures/dc-testament/dc/20?lang=eng&amp;id=p17#p17</t>
        </is>
      </c>
      <c r="E52" s="7" t="inlineStr">
        <is>
          <t>D&amp;C 20:17</t>
        </is>
      </c>
      <c r="F52" s="7" t="inlineStr">
        <is>
          <t>infinite and eternal, from everlasting to everlasting</t>
        </is>
      </c>
      <c r="G52" s="7" t="n">
        <v>7</v>
      </c>
      <c r="H52" s="7" t="inlineStr">
        <is>
          <t>PLAYWRIGHT RENDERED OR CHURCH CONTENT API</t>
        </is>
      </c>
      <c r="I52" s="7" t="inlineStr">
        <is>
          <t>Rendered HTML→text; Unicode NFKC; casefold; normalize whitespace; normalize curly quotes/apostrophes/dashes.</t>
        </is>
      </c>
      <c r="J52" s="7" t="inlineStr">
        <is>
          <t>Use URL verse anchor/range or named document section. Assert inside scoped block; no silent whole-page fallback.</t>
        </is>
      </c>
      <c r="K52" s="7" t="inlineStr">
        <is>
          <t>Normalized scoped text MUST contain normalized quoted phrase</t>
        </is>
      </c>
      <c r="L52" s="7" t="inlineStr">
        <is>
          <t>READY</t>
        </is>
      </c>
      <c r="M52" s="7" t="n"/>
      <c r="N52" s="7" t="inlineStr">
        <is>
          <t>Primary Restoration-side content assertion.</t>
        </is>
      </c>
    </row>
    <row r="53" ht="15.75" customHeight="1" s="29">
      <c r="A53" s="7" t="inlineStr">
        <is>
          <t>RNR-H47</t>
        </is>
      </c>
      <c r="B53" s="7" t="inlineStr">
        <is>
          <t>PRIMARY</t>
        </is>
      </c>
      <c r="C53" s="7" t="inlineStr">
        <is>
          <t>Mosiah 4:9</t>
        </is>
      </c>
      <c r="D53" s="7" t="inlineStr">
        <is>
          <t>https://www.churchofjesuschrist.org/study/scriptures/bofm/mosiah/4?lang=eng&amp;id=p9#p9</t>
        </is>
      </c>
      <c r="E53" s="7" t="inlineStr">
        <is>
          <t>Mosiah 4:9</t>
        </is>
      </c>
      <c r="F53" s="7" t="inlineStr">
        <is>
          <t>man doth not comprehend all the things which the Lord can comprehend</t>
        </is>
      </c>
      <c r="G53" s="7" t="n">
        <v>12</v>
      </c>
      <c r="H53" s="7" t="inlineStr">
        <is>
          <t>PLAYWRIGHT RENDERED OR CHURCH CONTENT API</t>
        </is>
      </c>
      <c r="I53" s="7" t="inlineStr">
        <is>
          <t>Rendered HTML→text; Unicode NFKC; casefold; normalize whitespace; normalize curly quotes/apostrophes/dashes.</t>
        </is>
      </c>
      <c r="J53" s="7" t="inlineStr">
        <is>
          <t>Use URL verse anchor/range or named document section. Assert inside scoped block; no silent whole-page fallback.</t>
        </is>
      </c>
      <c r="K53" s="7" t="inlineStr">
        <is>
          <t>Normalized scoped text MUST contain normalized quoted phrase</t>
        </is>
      </c>
      <c r="L53" s="7" t="inlineStr">
        <is>
          <t>READY</t>
        </is>
      </c>
      <c r="M53" s="7" t="n"/>
      <c r="N53" s="7" t="inlineStr">
        <is>
          <t>Primary Restoration-side content assertion.</t>
        </is>
      </c>
    </row>
    <row r="54" ht="15.75" customHeight="1" s="29">
      <c r="A54" s="7" t="inlineStr">
        <is>
          <t>RNR-H48</t>
        </is>
      </c>
      <c r="B54" s="7" t="inlineStr">
        <is>
          <t>PRIMARY</t>
        </is>
      </c>
      <c r="C54" s="7" t="inlineStr">
        <is>
          <t>D&amp;C 76:114–116</t>
        </is>
      </c>
      <c r="D54" s="7" t="inlineStr">
        <is>
          <t>https://www.churchofjesuschrist.org/study/scriptures/dc-testament/dc/76?lang=eng&amp;id=p114-p116#p114</t>
        </is>
      </c>
      <c r="E54" s="7" t="inlineStr">
        <is>
          <t>D&amp;C 76:114–116</t>
        </is>
      </c>
      <c r="F54" s="7" t="inlineStr">
        <is>
          <t>Neither is man capable to make them known</t>
        </is>
      </c>
      <c r="G54" s="7" t="n">
        <v>8</v>
      </c>
      <c r="H54" s="7" t="inlineStr">
        <is>
          <t>PLAYWRIGHT RENDERED OR CHURCH CONTENT API</t>
        </is>
      </c>
      <c r="I54" s="7" t="inlineStr">
        <is>
          <t>Rendered HTML→text; Unicode NFKC; casefold; normalize whitespace; normalize curly quotes/apostrophes/dashes.</t>
        </is>
      </c>
      <c r="J54" s="7" t="inlineStr">
        <is>
          <t>Use URL verse anchor/range or named document section. Assert inside scoped block; no silent whole-page fallback.</t>
        </is>
      </c>
      <c r="K54" s="7" t="inlineStr">
        <is>
          <t>Normalized scoped text MUST contain normalized quoted phrase</t>
        </is>
      </c>
      <c r="L54" s="7" t="inlineStr">
        <is>
          <t>READY</t>
        </is>
      </c>
      <c r="M54" s="7" t="n"/>
      <c r="N54" s="7" t="inlineStr">
        <is>
          <t>Primary Restoration-side content assertion.</t>
        </is>
      </c>
    </row>
    <row r="55" ht="15.75" customHeight="1" s="29">
      <c r="A55" s="7" t="inlineStr">
        <is>
          <t>RNR-H49</t>
        </is>
      </c>
      <c r="B55" s="7" t="inlineStr">
        <is>
          <t>PRIMARY</t>
        </is>
      </c>
      <c r="C55" s="7" t="inlineStr">
        <is>
          <t>Romans 11:33; Mosiah 4:9</t>
        </is>
      </c>
      <c r="D55" s="7" t="inlineStr">
        <is>
          <t>https://www.churchofjesuschrist.org/study/scriptures/nt/rom/11?lang=eng&amp;id=p33#p33</t>
        </is>
      </c>
      <c r="E55" s="7" t="inlineStr">
        <is>
          <t>Romans 11:33; Mosiah 4:9</t>
        </is>
      </c>
      <c r="F55" s="7" t="inlineStr">
        <is>
          <t>how unsearchable are his judgments, and his ways past finding out</t>
        </is>
      </c>
      <c r="G55" s="7" t="n">
        <v>11</v>
      </c>
      <c r="H55" s="7" t="inlineStr">
        <is>
          <t>PLAYWRIGHT RENDERED OR CHURCH CONTENT API</t>
        </is>
      </c>
      <c r="I55" s="7" t="inlineStr">
        <is>
          <t>Rendered HTML→text; Unicode NFKC; casefold; normalize whitespace; normalize curly quotes/apostrophes/dashes.</t>
        </is>
      </c>
      <c r="J55" s="7" t="inlineStr">
        <is>
          <t>Use URL verse anchor/range or named document section. Assert inside scoped block; no silent whole-page fallback.</t>
        </is>
      </c>
      <c r="K55" s="7" t="inlineStr">
        <is>
          <t>Normalized scoped text MUST contain normalized quoted phrase</t>
        </is>
      </c>
      <c r="L55" s="7" t="inlineStr">
        <is>
          <t>READY</t>
        </is>
      </c>
      <c r="M55" s="7" t="n"/>
      <c r="N55" s="7" t="inlineStr">
        <is>
          <t>Primary Restoration-side content assertion.</t>
        </is>
      </c>
    </row>
    <row r="56" ht="15.75" customHeight="1" s="29">
      <c r="A56" s="7" t="inlineStr">
        <is>
          <t>RNR-H50</t>
        </is>
      </c>
      <c r="B56" s="7" t="inlineStr">
        <is>
          <t>PRIMARY</t>
        </is>
      </c>
      <c r="C56" s="7" t="inlineStr">
        <is>
          <t>D&amp;C 88:6–13; 130:22</t>
        </is>
      </c>
      <c r="D56" s="7" t="inlineStr">
        <is>
          <t>https://www.churchofjesuschrist.org/study/scriptures/dc-testament/dc/88?lang=eng&amp;id=p6-p13#p6</t>
        </is>
      </c>
      <c r="E56" s="7" t="inlineStr">
        <is>
          <t>D&amp;C 88:6–13</t>
        </is>
      </c>
      <c r="F56" s="7" t="inlineStr">
        <is>
          <t>proceedeth forth from the presence of God to fill the immensity of space</t>
        </is>
      </c>
      <c r="G56" s="7" t="n">
        <v>13</v>
      </c>
      <c r="H56" s="7" t="inlineStr">
        <is>
          <t>PLAYWRIGHT RENDERED OR CHURCH CONTENT API</t>
        </is>
      </c>
      <c r="I56" s="7" t="inlineStr">
        <is>
          <t>Rendered HTML→text; Unicode NFKC; casefold; normalize whitespace; normalize curly quotes/apostrophes/dashes.</t>
        </is>
      </c>
      <c r="J56" s="7" t="inlineStr">
        <is>
          <t>Use URL verse anchor/range or named document section. Assert inside scoped block; no silent whole-page fallback.</t>
        </is>
      </c>
      <c r="K56" s="7" t="inlineStr">
        <is>
          <t>Normalized scoped text MUST contain normalized quoted phrase</t>
        </is>
      </c>
      <c r="L56" s="7" t="inlineStr">
        <is>
          <t>READY</t>
        </is>
      </c>
      <c r="M56" s="7" t="n"/>
      <c r="N56" s="7" t="inlineStr">
        <is>
          <t>Primary Restoration-side content assertion.</t>
        </is>
      </c>
    </row>
    <row r="57" ht="15.75" customHeight="1" s="29">
      <c r="A57" s="7" t="inlineStr">
        <is>
          <t>RNR-H50</t>
        </is>
      </c>
      <c r="B57" s="7" t="inlineStr">
        <is>
          <t>SUPPLEMENTAL</t>
        </is>
      </c>
      <c r="C57" s="7" t="inlineStr">
        <is>
          <t>D&amp;C 88:6–13; 130:22</t>
        </is>
      </c>
      <c r="D57" s="7" t="inlineStr">
        <is>
          <t>https://www.churchofjesuschrist.org/study/scriptures/dc-testament/dc/130?lang=eng&amp;id=p22#p22</t>
        </is>
      </c>
      <c r="E57" s="7" t="inlineStr">
        <is>
          <t>D&amp;C 130:22</t>
        </is>
      </c>
      <c r="F57" s="7" t="inlineStr">
        <is>
          <t>The Father has a body of flesh and bones as tangible as man’s</t>
        </is>
      </c>
      <c r="G57" s="7" t="n">
        <v>13</v>
      </c>
      <c r="H57" s="7" t="inlineStr">
        <is>
          <t>PLAYWRIGHT RENDERED OR CHURCH CONTENT API</t>
        </is>
      </c>
      <c r="I57" s="7" t="inlineStr">
        <is>
          <t>Rendered HTML→text; Unicode NFKC; casefold; normalize whitespace; normalize curly quotes/apostrophes/dashes.</t>
        </is>
      </c>
      <c r="J57" s="7" t="inlineStr">
        <is>
          <t>Use supplemental source locator/anchor; assert within corresponding verse/page block where supported.</t>
        </is>
      </c>
      <c r="K57" s="7" t="inlineStr">
        <is>
          <t>Normalized scoped text MUST contain normalized supplemental quoted phrase</t>
        </is>
      </c>
      <c r="L57" s="7" t="inlineStr">
        <is>
          <t>READY</t>
        </is>
      </c>
      <c r="M57" s="7" t="n"/>
      <c r="N57" s="7" t="inlineStr">
        <is>
          <t>Supplemental comparator assertion; required because the citation carries a supplemental URL.</t>
        </is>
      </c>
    </row>
    <row r="58" ht="15.75" customHeight="1" s="29">
      <c r="A58" s="7" t="inlineStr">
        <is>
          <t>RNR-H51</t>
        </is>
      </c>
      <c r="B58" s="7" t="inlineStr">
        <is>
          <t>PRIMARY</t>
        </is>
      </c>
      <c r="C58" s="7" t="inlineStr">
        <is>
          <t>Mosiah 4:9; D&amp;C 76:114–116</t>
        </is>
      </c>
      <c r="D58" s="7" t="inlineStr">
        <is>
          <t>https://www.churchofjesuschrist.org/study/scriptures/bofm/mosiah/4?lang=eng&amp;id=p9#p9</t>
        </is>
      </c>
      <c r="E58" s="7" t="inlineStr">
        <is>
          <t>Mosiah 4:9; D&amp;C 76:114–116</t>
        </is>
      </c>
      <c r="F58" s="7" t="inlineStr">
        <is>
          <t>man doth not comprehend all the things which the Lord can comprehend</t>
        </is>
      </c>
      <c r="G58" s="7" t="n">
        <v>12</v>
      </c>
      <c r="H58" s="7" t="inlineStr">
        <is>
          <t>PLAYWRIGHT RENDERED OR CHURCH CONTENT API</t>
        </is>
      </c>
      <c r="I58" s="7" t="inlineStr">
        <is>
          <t>Rendered HTML→text; Unicode NFKC; casefold; normalize whitespace; normalize curly quotes/apostrophes/dashes.</t>
        </is>
      </c>
      <c r="J58" s="7" t="inlineStr">
        <is>
          <t>Use URL verse anchor/range or named document section. Assert inside scoped block; no silent whole-page fallback.</t>
        </is>
      </c>
      <c r="K58" s="7" t="inlineStr">
        <is>
          <t>Normalized scoped text MUST contain normalized quoted phrase</t>
        </is>
      </c>
      <c r="L58" s="7" t="inlineStr">
        <is>
          <t>READY</t>
        </is>
      </c>
      <c r="M58" s="7" t="n"/>
      <c r="N58" s="7" t="inlineStr">
        <is>
          <t>Primary Restoration-side content assertion.</t>
        </is>
      </c>
    </row>
    <row r="59" ht="15.75" customHeight="1" s="29">
      <c r="A59" s="7" t="inlineStr">
        <is>
          <t>RNR-H52</t>
        </is>
      </c>
      <c r="B59" s="7" t="inlineStr">
        <is>
          <t>PRIMARY</t>
        </is>
      </c>
      <c r="C59" s="7" t="inlineStr">
        <is>
          <t>The Living Christ</t>
        </is>
      </c>
      <c r="D59" s="7" t="inlineStr">
        <is>
          <t>https://www.churchofjesuschrist.org/study/scriptures/the-living-christ-the-testimony-of-the-apostles/the-living-christ-the-testimony-of-the-apostles?lang=eng</t>
        </is>
      </c>
      <c r="E59" s="7" t="inlineStr">
        <is>
          <t>The Living Christ (2000)</t>
        </is>
      </c>
      <c r="F59" s="7" t="inlineStr">
        <is>
          <t>the Only Begotten Son in the flesh</t>
        </is>
      </c>
      <c r="G59" s="7" t="n">
        <v>7</v>
      </c>
      <c r="H59" s="7" t="inlineStr">
        <is>
          <t>PLAYWRIGHT RENDERED OR CHURCH CONTENT API</t>
        </is>
      </c>
      <c r="I59" s="7" t="inlineStr">
        <is>
          <t>Rendered HTML→text; Unicode NFKC; casefold; normalize whitespace; normalize curly quotes/apostrophes/dashes.</t>
        </is>
      </c>
      <c r="J59" s="7" t="inlineStr">
        <is>
          <t>Use URL verse anchor/range or named document section. Assert inside scoped block; no silent whole-page fallback.</t>
        </is>
      </c>
      <c r="K59" s="7" t="inlineStr">
        <is>
          <t>Normalized scoped text MUST contain normalized quoted phrase</t>
        </is>
      </c>
      <c r="L59" s="7" t="inlineStr">
        <is>
          <t>READY — RECHECK</t>
        </is>
      </c>
      <c r="M59" s="7" t="n"/>
      <c r="N59" s="7" t="inlineStr">
        <is>
          <t>Primary Restoration-side content assertion.</t>
        </is>
      </c>
    </row>
    <row r="60" ht="15.75" customHeight="1" s="29">
      <c r="A60" s="7" t="inlineStr">
        <is>
          <t>RNR-H53</t>
        </is>
      </c>
      <c r="B60" s="7" t="inlineStr">
        <is>
          <t>PRIMARY</t>
        </is>
      </c>
      <c r="C60" s="7" t="inlineStr">
        <is>
          <t>The Living Christ</t>
        </is>
      </c>
      <c r="D60" s="7" t="inlineStr">
        <is>
          <t>https://www.churchofjesuschrist.org/study/scriptures/the-living-christ-the-testimony-of-the-apostles/the-living-christ-the-testimony-of-the-apostles?lang=eng</t>
        </is>
      </c>
      <c r="E60" s="7" t="inlineStr">
        <is>
          <t>The Living Christ (2000)</t>
        </is>
      </c>
      <c r="F60" s="7" t="inlineStr">
        <is>
          <t>the Only Begotten Son in the flesh</t>
        </is>
      </c>
      <c r="G60" s="7" t="n">
        <v>7</v>
      </c>
      <c r="H60" s="7" t="inlineStr">
        <is>
          <t>PLAYWRIGHT RENDERED OR CHURCH CONTENT API</t>
        </is>
      </c>
      <c r="I60" s="7" t="inlineStr">
        <is>
          <t>Rendered HTML→text; Unicode NFKC; casefold; normalize whitespace; normalize curly quotes/apostrophes/dashes.</t>
        </is>
      </c>
      <c r="J60" s="7" t="inlineStr">
        <is>
          <t>Use URL verse anchor/range or named document section. Assert inside scoped block; no silent whole-page fallback.</t>
        </is>
      </c>
      <c r="K60" s="7" t="inlineStr">
        <is>
          <t>Normalized scoped text MUST contain normalized quoted phrase</t>
        </is>
      </c>
      <c r="L60" s="7" t="inlineStr">
        <is>
          <t>READY — RECHECK</t>
        </is>
      </c>
      <c r="M60" s="7" t="n"/>
      <c r="N60" s="7" t="inlineStr">
        <is>
          <t>Primary Restoration-side content assertion.</t>
        </is>
      </c>
    </row>
    <row r="61" ht="15.75" customHeight="1" s="29">
      <c r="A61" s="7" t="inlineStr">
        <is>
          <t>RNR-H54</t>
        </is>
      </c>
      <c r="B61" s="7" t="inlineStr">
        <is>
          <t>PRIMARY</t>
        </is>
      </c>
      <c r="C61" s="7" t="inlineStr">
        <is>
          <t>The Living Christ</t>
        </is>
      </c>
      <c r="D61" s="7" t="inlineStr">
        <is>
          <t>https://www.churchofjesuschrist.org/study/scriptures/the-living-christ-the-testimony-of-the-apostles/the-living-christ-the-testimony-of-the-apostles?lang=eng</t>
        </is>
      </c>
      <c r="E61" s="7" t="inlineStr">
        <is>
          <t>The Living Christ (2000)</t>
        </is>
      </c>
      <c r="F61" s="7" t="inlineStr">
        <is>
          <t>the Only Begotten Son in the flesh</t>
        </is>
      </c>
      <c r="G61" s="7" t="n">
        <v>7</v>
      </c>
      <c r="H61" s="7" t="inlineStr">
        <is>
          <t>PLAYWRIGHT RENDERED OR CHURCH CONTENT API</t>
        </is>
      </c>
      <c r="I61" s="7" t="inlineStr">
        <is>
          <t>Rendered HTML→text; Unicode NFKC; casefold; normalize whitespace; normalize curly quotes/apostrophes/dashes.</t>
        </is>
      </c>
      <c r="J61" s="7" t="inlineStr">
        <is>
          <t>Use URL verse anchor/range or named document section. Assert inside scoped block; no silent whole-page fallback.</t>
        </is>
      </c>
      <c r="K61" s="7" t="inlineStr">
        <is>
          <t>Normalized scoped text MUST contain normalized quoted phrase</t>
        </is>
      </c>
      <c r="L61" s="7" t="inlineStr">
        <is>
          <t>READY — RECHECK</t>
        </is>
      </c>
      <c r="M61" s="7" t="n"/>
      <c r="N61" s="7" t="inlineStr">
        <is>
          <t>Primary Restoration-side content assertion.</t>
        </is>
      </c>
    </row>
    <row r="62" ht="15.75" customHeight="1" s="29">
      <c r="A62" s="7" t="inlineStr">
        <is>
          <t>RNR-H55</t>
        </is>
      </c>
      <c r="B62" s="7" t="inlineStr">
        <is>
          <t>PRIMARY</t>
        </is>
      </c>
      <c r="C62" s="7" t="inlineStr">
        <is>
          <t>The Living Christ</t>
        </is>
      </c>
      <c r="D62" s="7" t="inlineStr">
        <is>
          <t>https://www.churchofjesuschrist.org/study/scriptures/the-living-christ-the-testimony-of-the-apostles/the-living-christ-the-testimony-of-the-apostles?lang=eng</t>
        </is>
      </c>
      <c r="E62" s="7" t="inlineStr">
        <is>
          <t>The Living Christ (2000)</t>
        </is>
      </c>
      <c r="F62" s="7" t="inlineStr">
        <is>
          <t>the Only Begotten Son in the flesh</t>
        </is>
      </c>
      <c r="G62" s="7" t="n">
        <v>7</v>
      </c>
      <c r="H62" s="7" t="inlineStr">
        <is>
          <t>PLAYWRIGHT RENDERED OR CHURCH CONTENT API</t>
        </is>
      </c>
      <c r="I62" s="7" t="inlineStr">
        <is>
          <t>Rendered HTML→text; Unicode NFKC; casefold; normalize whitespace; normalize curly quotes/apostrophes/dashes.</t>
        </is>
      </c>
      <c r="J62" s="7" t="inlineStr">
        <is>
          <t>Use URL verse anchor/range or named document section. Assert inside scoped block; no silent whole-page fallback.</t>
        </is>
      </c>
      <c r="K62" s="7" t="inlineStr">
        <is>
          <t>Normalized scoped text MUST contain normalized quoted phrase</t>
        </is>
      </c>
      <c r="L62" s="7" t="inlineStr">
        <is>
          <t>READY — RECHECK</t>
        </is>
      </c>
      <c r="M62" s="7" t="n"/>
      <c r="N62" s="7" t="inlineStr">
        <is>
          <t>Primary Restoration-side content assertion.</t>
        </is>
      </c>
    </row>
    <row r="63" ht="15.75" customHeight="1" s="29">
      <c r="A63" s="7" t="inlineStr">
        <is>
          <t>RNR-H56</t>
        </is>
      </c>
      <c r="B63" s="7" t="inlineStr">
        <is>
          <t>PRIMARY</t>
        </is>
      </c>
      <c r="C63" s="7" t="inlineStr">
        <is>
          <t>Gospel Topics: Godhead</t>
        </is>
      </c>
      <c r="D63" s="7" t="inlineStr">
        <is>
          <t>https://www.churchofjesuschrist.org/study/manual/gospel-topics/godhead?lang=eng</t>
        </is>
      </c>
      <c r="E63" s="7" t="inlineStr">
        <is>
          <t>Godhead</t>
        </is>
      </c>
      <c r="F63" s="7" t="inlineStr">
        <is>
          <t>the members of the Godhead are three separate beings</t>
        </is>
      </c>
      <c r="G63" s="7" t="n">
        <v>9</v>
      </c>
      <c r="H63" s="7" t="inlineStr">
        <is>
          <t>PLAYWRIGHT RENDERED OR CHURCH CONTENT API</t>
        </is>
      </c>
      <c r="I63" s="7" t="inlineStr">
        <is>
          <t>Rendered HTML→text; Unicode NFKC; casefold; normalize whitespace; normalize curly quotes/apostrophes/dashes.</t>
        </is>
      </c>
      <c r="J63" s="7" t="inlineStr">
        <is>
          <t>Use URL verse anchor/range or named document section. Assert inside scoped block; no silent whole-page fallback.</t>
        </is>
      </c>
      <c r="K63" s="7" t="inlineStr">
        <is>
          <t>Normalized scoped text MUST contain normalized quoted phrase</t>
        </is>
      </c>
      <c r="L63" s="7" t="inlineStr">
        <is>
          <t>READY</t>
        </is>
      </c>
      <c r="M63" s="7" t="n"/>
      <c r="N63" s="7" t="inlineStr">
        <is>
          <t>Primary Restoration-side content assertion.</t>
        </is>
      </c>
    </row>
    <row r="64" ht="15.75" customHeight="1" s="29">
      <c r="A64" s="7" t="inlineStr">
        <is>
          <t>RNR-H57</t>
        </is>
      </c>
      <c r="B64" s="7" t="inlineStr">
        <is>
          <t>PRIMARY</t>
        </is>
      </c>
      <c r="C64" s="7" t="inlineStr">
        <is>
          <t>The Family: A Proclamation to the World</t>
        </is>
      </c>
      <c r="D64" s="7" t="inlineStr">
        <is>
          <t>https://www.churchofjesuschrist.org/study/scriptures/the-family-a-proclamation-to-the-world/the-family-a-proclamation-to-the-world?lang=eng</t>
        </is>
      </c>
      <c r="E64" s="7" t="inlineStr">
        <is>
          <t>Paragraph 2</t>
        </is>
      </c>
      <c r="F64" s="7" t="inlineStr">
        <is>
          <t>a beloved spirit son or daughter of heavenly parents</t>
        </is>
      </c>
      <c r="G64" s="7" t="n">
        <v>9</v>
      </c>
      <c r="H64" s="7" t="inlineStr">
        <is>
          <t>PLAYWRIGHT RENDERED OR CHURCH CONTENT API</t>
        </is>
      </c>
      <c r="I64" s="7" t="inlineStr">
        <is>
          <t>Rendered HTML→text; Unicode NFKC; casefold; normalize whitespace; normalize curly quotes/apostrophes/dashes.</t>
        </is>
      </c>
      <c r="J64" s="7" t="inlineStr">
        <is>
          <t>Use URL verse anchor/range or named document section. Assert inside scoped block; no silent whole-page fallback.</t>
        </is>
      </c>
      <c r="K64" s="7" t="inlineStr">
        <is>
          <t>Normalized scoped text MUST contain normalized quoted phrase</t>
        </is>
      </c>
      <c r="L64" s="7" t="inlineStr">
        <is>
          <t>READY — RECHECK</t>
        </is>
      </c>
      <c r="M64" s="7" t="n"/>
      <c r="N64" s="7" t="inlineStr">
        <is>
          <t>Primary Restoration-side content assertion.</t>
        </is>
      </c>
    </row>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34" customWidth="1" style="29" min="4" max="4"/>
    <col width="25" customWidth="1" style="29" min="5" max="5"/>
    <col width="46" customWidth="1" style="29" min="6" max="6"/>
    <col width="40" customWidth="1" style="29" min="7" max="7"/>
    <col width="88" customWidth="1" style="29" min="8" max="8"/>
    <col width="58" customWidth="1" style="29" min="9" max="9"/>
    <col width="17" customWidth="1" style="29" min="10" max="10"/>
    <col width="34" customWidth="1" style="29" min="11" max="11"/>
    <col width="18" customWidth="1" style="29" min="12" max="12"/>
    <col width="76" customWidth="1" style="29" min="13" max="13"/>
    <col width="72" customWidth="1" style="29" min="14" max="14"/>
    <col width="64" customWidth="1" style="29" min="15" max="15"/>
    <col width="54" customWidth="1" style="29" min="16" max="16"/>
    <col width="8.630000000000001" customWidth="1" style="29" min="17" max="26"/>
  </cols>
  <sheetData>
    <row r="1">
      <c r="A1" s="5" t="inlineStr">
        <is>
          <t>Queue ID</t>
        </is>
      </c>
      <c r="B1" s="5" t="inlineStr">
        <is>
          <t>Family ID</t>
        </is>
      </c>
      <c r="C1" s="5" t="inlineStr">
        <is>
          <t>Teaching branch</t>
        </is>
      </c>
      <c r="D1" s="5" t="inlineStr">
        <is>
          <t>Rendered State</t>
        </is>
      </c>
      <c r="E1" s="5" t="inlineStr">
        <is>
          <t>Target Status</t>
        </is>
      </c>
      <c r="F1" s="5" t="inlineStr">
        <is>
          <t>Document</t>
        </is>
      </c>
      <c r="G1" s="5" t="inlineStr">
        <is>
          <t>Locator</t>
        </is>
      </c>
      <c r="H1" s="5" t="inlineStr">
        <is>
          <t>Assertion Text URL</t>
        </is>
      </c>
      <c r="I1" s="5" t="inlineStr">
        <is>
          <t>Quoted phrase</t>
        </is>
      </c>
      <c r="J1" s="5" t="inlineStr">
        <is>
          <t>Phrase word count</t>
        </is>
      </c>
      <c r="K1" s="5" t="inlineStr">
        <is>
          <t>Assertion source role</t>
        </is>
      </c>
      <c r="L1" s="5" t="inlineStr">
        <is>
          <t>Extraction type</t>
        </is>
      </c>
      <c r="M1" s="5" t="inlineStr">
        <is>
          <t>Normalization</t>
        </is>
      </c>
      <c r="N1" s="5" t="inlineStr">
        <is>
          <t>Locator-scope rule</t>
        </is>
      </c>
      <c r="O1" s="5" t="inlineStr">
        <is>
          <t>Build assertion</t>
        </is>
      </c>
      <c r="P1" s="5" t="inlineStr">
        <is>
          <t>Notes</t>
        </is>
      </c>
    </row>
    <row r="2">
      <c r="A2" s="7" t="inlineStr">
        <is>
          <t>Q-033</t>
        </is>
      </c>
      <c r="B2" s="7" t="inlineStr">
        <is>
          <t>RNR-H05</t>
        </is>
      </c>
      <c r="C2" s="7" t="inlineStr">
        <is>
          <t>Roman Catholic</t>
        </is>
      </c>
      <c r="D2" s="7" t="inlineStr">
        <is>
          <t>A</t>
        </is>
      </c>
      <c r="E2" s="7" t="inlineStr">
        <is>
          <t>ASSERT</t>
        </is>
      </c>
      <c r="F2" s="7" t="inlineStr">
        <is>
          <t>Fourth Lateran Council</t>
        </is>
      </c>
      <c r="G2" s="7" t="inlineStr">
        <is>
          <t>Constitution 1, Firmiter credimus</t>
        </is>
      </c>
      <c r="H2" s="7" t="inlineStr">
        <is>
          <t>https://sourcebooks.web.fordham.edu/basis/lateran4.asp</t>
        </is>
      </c>
      <c r="I2" s="7" t="inlineStr">
        <is>
          <t>the only begotten Son of God made flesh</t>
        </is>
      </c>
      <c r="J2" s="7" t="n">
        <v>8</v>
      </c>
      <c r="K2" s="7" t="inlineStr">
        <is>
          <t>QUEUE TEXT</t>
        </is>
      </c>
      <c r="L2" s="7" t="inlineStr">
        <is>
          <t>HTML</t>
        </is>
      </c>
      <c r="M2" s="7" t="inlineStr">
        <is>
          <t>HTML→visible text; NFKC; casefold; normalize whitespace; normalize curly quotes/apostrophes/dashes.</t>
        </is>
      </c>
      <c r="N2" s="7" t="inlineStr">
        <is>
          <t>Extract cited article/section/creed clause before matching; fail scoped extraction when target is ASSERT.</t>
        </is>
      </c>
      <c r="O2" s="7" t="inlineStr">
        <is>
          <t>Normalized locator-scoped text MUST contain quoted phrase</t>
        </is>
      </c>
      <c r="P2" s="7" t="inlineStr">
        <is>
          <t>Phrase corrected to source reading 2026-09-09 (pipeline override ratified); Released case-study cell; phrase assertion is blocking.</t>
        </is>
      </c>
    </row>
    <row r="3">
      <c r="A3" s="7" t="inlineStr">
        <is>
          <t>Q-034</t>
        </is>
      </c>
      <c r="B3" s="7" t="inlineStr">
        <is>
          <t>RNR-H05</t>
        </is>
      </c>
      <c r="C3" s="7" t="inlineStr">
        <is>
          <t>Eastern Orthodox</t>
        </is>
      </c>
      <c r="D3" s="7" t="inlineStr">
        <is>
          <t>A</t>
        </is>
      </c>
      <c r="E3" s="7" t="inlineStr">
        <is>
          <t>ASSERT</t>
        </is>
      </c>
      <c r="F3" s="7" t="inlineStr">
        <is>
          <t>Third Council of Constantinople</t>
        </is>
      </c>
      <c r="G3" s="7" t="inlineStr">
        <is>
          <t>Definition of Faith</t>
        </is>
      </c>
      <c r="H3" s="7" t="inlineStr">
        <is>
          <t>https://www.newadvent.org/fathers/3813.htm</t>
        </is>
      </c>
      <c r="I3" s="7" t="inlineStr">
        <is>
          <t>one and the same only-begotten Son of God</t>
        </is>
      </c>
      <c r="J3" s="7" t="n">
        <v>8</v>
      </c>
      <c r="K3" s="7" t="inlineStr">
        <is>
          <t>SERVER-RENDERED TEXT WITNESS</t>
        </is>
      </c>
      <c r="L3" s="7" t="inlineStr">
        <is>
          <t>HTML</t>
        </is>
      </c>
      <c r="M3" s="7" t="inlineStr">
        <is>
          <t>HTML→visible text; NFKC; casefold; normalize whitespace; normalize curly quotes/apostrophes/dashes.</t>
        </is>
      </c>
      <c r="N3" s="7" t="inlineStr">
        <is>
          <t>Extract cited article/section/creed clause before matching; fail scoped extraction when target is ASSERT.</t>
        </is>
      </c>
      <c r="O3" s="7" t="inlineStr">
        <is>
          <t>Normalized locator-scoped text MUST contain quoted phrase</t>
        </is>
      </c>
      <c r="P3" s="7" t="inlineStr">
        <is>
          <t>Released case-study cell; phrase assertion is blocking.</t>
        </is>
      </c>
    </row>
    <row r="4">
      <c r="A4" s="7" t="inlineStr">
        <is>
          <t>Q-035</t>
        </is>
      </c>
      <c r="B4" s="7" t="inlineStr">
        <is>
          <t>RNR-H05</t>
        </is>
      </c>
      <c r="C4" s="7" t="inlineStr">
        <is>
          <t>Lutheran</t>
        </is>
      </c>
      <c r="D4" s="7" t="inlineStr">
        <is>
          <t>A</t>
        </is>
      </c>
      <c r="E4" s="7" t="inlineStr">
        <is>
          <t>ASSERT</t>
        </is>
      </c>
      <c r="F4" s="7" t="inlineStr">
        <is>
          <t>Nicene Creed</t>
        </is>
      </c>
      <c r="G4" s="7" t="inlineStr">
        <is>
          <t>Son clause</t>
        </is>
      </c>
      <c r="H4" s="7" t="inlineStr">
        <is>
          <t>https://bookofconcord.org/ecumenical-creeds/nicene-creed/</t>
        </is>
      </c>
      <c r="I4" s="7" t="inlineStr">
        <is>
          <t>the only-begotten Son of God</t>
        </is>
      </c>
      <c r="J4" s="7" t="n">
        <v>5</v>
      </c>
      <c r="K4" s="7" t="inlineStr">
        <is>
          <t>QUEUE TEXT</t>
        </is>
      </c>
      <c r="L4" s="7" t="inlineStr">
        <is>
          <t>HTML</t>
        </is>
      </c>
      <c r="M4" s="7" t="inlineStr">
        <is>
          <t>HTML→visible text; NFKC; casefold; normalize whitespace; normalize curly quotes/apostrophes/dashes.</t>
        </is>
      </c>
      <c r="N4" s="7" t="inlineStr">
        <is>
          <t>Extract cited article/section/creed clause before matching; fail scoped extraction when target is ASSERT.</t>
        </is>
      </c>
      <c r="O4" s="7" t="inlineStr">
        <is>
          <t>Normalized locator-scoped text MUST contain quoted phrase</t>
        </is>
      </c>
      <c r="P4" s="7" t="inlineStr">
        <is>
          <t>Released case-study cell; phrase assertion is blocking.</t>
        </is>
      </c>
    </row>
    <row r="5">
      <c r="A5" s="7" t="inlineStr">
        <is>
          <t>Q-036</t>
        </is>
      </c>
      <c r="B5" s="7" t="inlineStr">
        <is>
          <t>RNR-H05</t>
        </is>
      </c>
      <c r="C5" s="7" t="inlineStr">
        <is>
          <t>Reformed / Presbyterian</t>
        </is>
      </c>
      <c r="D5" s="7" t="inlineStr">
        <is>
          <t>A</t>
        </is>
      </c>
      <c r="E5" s="7" t="inlineStr">
        <is>
          <t>ASSERT</t>
        </is>
      </c>
      <c r="F5" s="7" t="inlineStr">
        <is>
          <t>Belgic Confession</t>
        </is>
      </c>
      <c r="G5" s="7" t="inlineStr">
        <is>
          <t>Article 10: The Deity of Christ</t>
        </is>
      </c>
      <c r="H5" s="7" t="inlineStr">
        <is>
          <t>https://www.crcna.org/welcome/beliefs/confessions/belgic-confession</t>
        </is>
      </c>
      <c r="I5" s="7" t="inlineStr">
        <is>
          <t>the only Son of God</t>
        </is>
      </c>
      <c r="J5" s="7" t="n">
        <v>5</v>
      </c>
      <c r="K5" s="7" t="inlineStr">
        <is>
          <t>QUEUE TEXT</t>
        </is>
      </c>
      <c r="L5" s="7" t="inlineStr">
        <is>
          <t>HTML</t>
        </is>
      </c>
      <c r="M5" s="7" t="inlineStr">
        <is>
          <t>HTML→visible text; NFKC; casefold; normalize whitespace; normalize curly quotes/apostrophes/dashes.</t>
        </is>
      </c>
      <c r="N5" s="7" t="inlineStr">
        <is>
          <t>Extract cited article/section/creed clause before matching; fail scoped extraction when target is ASSERT.</t>
        </is>
      </c>
      <c r="O5" s="7" t="inlineStr">
        <is>
          <t>Normalized locator-scoped text MUST contain quoted phrase</t>
        </is>
      </c>
      <c r="P5" s="7" t="inlineStr">
        <is>
          <t>Released case-study cell; phrase assertion is blocking.</t>
        </is>
      </c>
    </row>
    <row r="6">
      <c r="A6" s="7" t="inlineStr">
        <is>
          <t>Q-037</t>
        </is>
      </c>
      <c r="B6" s="7" t="inlineStr">
        <is>
          <t>RNR-H05</t>
        </is>
      </c>
      <c r="C6" s="7" t="inlineStr">
        <is>
          <t>Anglican</t>
        </is>
      </c>
      <c r="D6" s="7" t="inlineStr">
        <is>
          <t>A</t>
        </is>
      </c>
      <c r="E6" s="7" t="inlineStr">
        <is>
          <t>ASSERT</t>
        </is>
      </c>
      <c r="F6" s="7" t="inlineStr">
        <is>
          <t>Thirty-Nine Articles</t>
        </is>
      </c>
      <c r="G6" s="7" t="inlineStr">
        <is>
          <t>Article II</t>
        </is>
      </c>
      <c r="H6" s="7" t="inlineStr">
        <is>
          <t>https://www.churchofengland.org/prayer-and-worship/worship-texts-and-resources/book-common-prayer/articles-religion</t>
        </is>
      </c>
      <c r="I6" s="7" t="inlineStr">
        <is>
          <t>The Son, which is the Word of the Father</t>
        </is>
      </c>
      <c r="J6" s="7" t="n">
        <v>9</v>
      </c>
      <c r="K6" s="7" t="inlineStr">
        <is>
          <t>QUEUE TEXT</t>
        </is>
      </c>
      <c r="L6" s="7" t="inlineStr">
        <is>
          <t>HTML</t>
        </is>
      </c>
      <c r="M6" s="7" t="inlineStr">
        <is>
          <t>HTML→visible text; NFKC; casefold; normalize whitespace; normalize curly quotes/apostrophes/dashes.</t>
        </is>
      </c>
      <c r="N6" s="7" t="inlineStr">
        <is>
          <t>Extract cited article/section/creed clause before matching; fail scoped extraction when target is ASSERT.</t>
        </is>
      </c>
      <c r="O6" s="7" t="inlineStr">
        <is>
          <t>Normalized locator-scoped text MUST contain quoted phrase</t>
        </is>
      </c>
      <c r="P6" s="7" t="inlineStr">
        <is>
          <t>Released case-study cell; phrase assertion is blocking.</t>
        </is>
      </c>
    </row>
    <row r="7">
      <c r="A7" s="7" t="inlineStr">
        <is>
          <t>Q-038</t>
        </is>
      </c>
      <c r="B7" s="7" t="inlineStr">
        <is>
          <t>RNR-H05</t>
        </is>
      </c>
      <c r="C7" s="7" t="inlineStr">
        <is>
          <t>Baptist</t>
        </is>
      </c>
      <c r="D7" s="7" t="inlineStr">
        <is>
          <t>A</t>
        </is>
      </c>
      <c r="E7" s="7" t="inlineStr">
        <is>
          <t>ASSERT</t>
        </is>
      </c>
      <c r="F7" s="7" t="inlineStr">
        <is>
          <t>Baptist Faith and Message 2000</t>
        </is>
      </c>
      <c r="G7" s="7" t="inlineStr">
        <is>
          <t>II.B. God the Son</t>
        </is>
      </c>
      <c r="H7" s="7" t="inlineStr">
        <is>
          <t>https://bfm.sbc.net/bfm2000/</t>
        </is>
      </c>
      <c r="I7" s="7" t="inlineStr">
        <is>
          <t>Christ is the eternal Son of God</t>
        </is>
      </c>
      <c r="J7" s="7" t="n">
        <v>7</v>
      </c>
      <c r="K7" s="7" t="inlineStr">
        <is>
          <t>QUEUE TEXT</t>
        </is>
      </c>
      <c r="L7" s="7" t="inlineStr">
        <is>
          <t>HTML</t>
        </is>
      </c>
      <c r="M7" s="7" t="inlineStr">
        <is>
          <t>HTML→visible text; NFKC; casefold; normalize whitespace; normalize curly quotes/apostrophes/dashes.</t>
        </is>
      </c>
      <c r="N7" s="7" t="inlineStr">
        <is>
          <t>Extract cited article/section/creed clause before matching; fail scoped extraction when target is ASSERT.</t>
        </is>
      </c>
      <c r="O7" s="7" t="inlineStr">
        <is>
          <t>Normalized locator-scoped text MUST contain quoted phrase</t>
        </is>
      </c>
      <c r="P7" s="7" t="inlineStr">
        <is>
          <t>Released case-study cell; phrase assertion is blocking.</t>
        </is>
      </c>
    </row>
    <row r="8">
      <c r="A8" s="7" t="inlineStr">
        <is>
          <t>Q-039</t>
        </is>
      </c>
      <c r="B8" s="7" t="inlineStr">
        <is>
          <t>RNR-H05</t>
        </is>
      </c>
      <c r="C8" s="7" t="inlineStr">
        <is>
          <t>Methodist / Wesleyan</t>
        </is>
      </c>
      <c r="D8" s="7" t="inlineStr">
        <is>
          <t>A</t>
        </is>
      </c>
      <c r="E8" s="7" t="inlineStr">
        <is>
          <t>ASSERT</t>
        </is>
      </c>
      <c r="F8" s="7" t="inlineStr">
        <is>
          <t>Articles of Religion</t>
        </is>
      </c>
      <c r="G8" s="7" t="inlineStr">
        <is>
          <t>Article I</t>
        </is>
      </c>
      <c r="H8" s="7" t="inlineStr">
        <is>
          <t>https://www.umc.org/en/content/articles-of-religion</t>
        </is>
      </c>
      <c r="I8" s="7" t="inlineStr">
        <is>
          <t>the Father, the Son, and the Holy Ghost</t>
        </is>
      </c>
      <c r="J8" s="7" t="n">
        <v>8</v>
      </c>
      <c r="K8" s="7" t="inlineStr">
        <is>
          <t>QUEUE TEXT</t>
        </is>
      </c>
      <c r="L8" s="7" t="inlineStr">
        <is>
          <t>HTML</t>
        </is>
      </c>
      <c r="M8" s="7" t="inlineStr">
        <is>
          <t>HTML→visible text; NFKC; casefold; normalize whitespace; normalize curly quotes/apostrophes/dashes.</t>
        </is>
      </c>
      <c r="N8" s="7" t="inlineStr">
        <is>
          <t>Extract cited article/section/creed clause before matching; fail scoped extraction when target is ASSERT.</t>
        </is>
      </c>
      <c r="O8" s="7" t="inlineStr">
        <is>
          <t>Normalized locator-scoped text MUST contain quoted phrase</t>
        </is>
      </c>
      <c r="P8" s="7" t="inlineStr">
        <is>
          <t>Released case-study cell; phrase assertion is blocking.</t>
        </is>
      </c>
    </row>
    <row r="9">
      <c r="A9" s="7" t="inlineStr">
        <is>
          <t>Q-040</t>
        </is>
      </c>
      <c r="B9" s="7" t="inlineStr">
        <is>
          <t>RNR-H05</t>
        </is>
      </c>
      <c r="C9" s="7" t="inlineStr">
        <is>
          <t>Mennonite / Anabaptist</t>
        </is>
      </c>
      <c r="D9" s="7" t="inlineStr">
        <is>
          <t>A</t>
        </is>
      </c>
      <c r="E9" s="7" t="inlineStr">
        <is>
          <t>ASSERT</t>
        </is>
      </c>
      <c r="F9" s="7" t="inlineStr">
        <is>
          <t>Confession of Faith in a Mennonite Perspective</t>
        </is>
      </c>
      <c r="G9" s="7" t="inlineStr">
        <is>
          <t>Article 1: God</t>
        </is>
      </c>
      <c r="H9" s="7" t="inlineStr">
        <is>
          <t>https://www.mennoniteusa.org/who-are-mennonites/what-we-believe/confession-of-faith/god/</t>
        </is>
      </c>
      <c r="I9" s="7" t="inlineStr">
        <is>
          <t>the only Son, the Word who became flesh</t>
        </is>
      </c>
      <c r="J9" s="7" t="n">
        <v>8</v>
      </c>
      <c r="K9" s="7" t="inlineStr">
        <is>
          <t>QUEUE TEXT</t>
        </is>
      </c>
      <c r="L9" s="7" t="inlineStr">
        <is>
          <t>HTML</t>
        </is>
      </c>
      <c r="M9" s="7" t="inlineStr">
        <is>
          <t>HTML→visible text; NFKC; casefold; normalize whitespace; normalize curly quotes/apostrophes/dashes.</t>
        </is>
      </c>
      <c r="N9" s="7" t="inlineStr">
        <is>
          <t>Extract cited article/section/creed clause before matching; fail scoped extraction when target is ASSERT.</t>
        </is>
      </c>
      <c r="O9" s="7" t="inlineStr">
        <is>
          <t>Normalized locator-scoped text MUST contain quoted phrase</t>
        </is>
      </c>
      <c r="P9" s="7" t="inlineStr">
        <is>
          <t>Released case-study cell; phrase assertion is blocking.</t>
        </is>
      </c>
    </row>
    <row r="10">
      <c r="A10" s="7" t="inlineStr">
        <is>
          <t>Q-169</t>
        </is>
      </c>
      <c r="B10" s="7" t="inlineStr">
        <is>
          <t>RNR-H22</t>
        </is>
      </c>
      <c r="C10" s="7" t="inlineStr">
        <is>
          <t>Roman Catholic</t>
        </is>
      </c>
      <c r="D10" s="7" t="inlineStr">
        <is>
          <t>Q</t>
        </is>
      </c>
      <c r="E10" s="7" t="inlineStr">
        <is>
          <t>ASSERT</t>
        </is>
      </c>
      <c r="F10" s="7" t="inlineStr">
        <is>
          <t>Nicene Creed</t>
        </is>
      </c>
      <c r="G10" s="7" t="inlineStr">
        <is>
          <t>Creator clause</t>
        </is>
      </c>
      <c r="H10" s="7" t="inlineStr">
        <is>
          <t>https://www.vaticannews.va/en/prayers/the-apostles_-creed.html</t>
        </is>
      </c>
      <c r="I10" s="7" t="inlineStr">
        <is>
          <t>maker of heaven and earth</t>
        </is>
      </c>
      <c r="J10" s="7" t="n">
        <v>5</v>
      </c>
      <c r="K10" s="7" t="inlineStr">
        <is>
          <t>SERVER-RENDERED TEXT WITNESS</t>
        </is>
      </c>
      <c r="L10" s="7" t="inlineStr">
        <is>
          <t>HTML</t>
        </is>
      </c>
      <c r="M10" s="7" t="inlineStr">
        <is>
          <t>HTML→visible text; NFKC; casefold; normalize whitespace; normalize curly quotes/apostrophes/dashes.</t>
        </is>
      </c>
      <c r="N10" s="7" t="inlineStr">
        <is>
          <t>Extract cited article/section/creed clause before matching; fail scoped extraction when target is ASSERT.</t>
        </is>
      </c>
      <c r="O10" s="7" t="inlineStr">
        <is>
          <t>Normalized locator-scoped text MUST contain quoted phrase</t>
        </is>
      </c>
      <c r="P10" s="7" t="inlineStr">
        <is>
          <t>Released case-study cell; phrase assertion is blocking.</t>
        </is>
      </c>
    </row>
    <row r="11">
      <c r="A11" s="7" t="inlineStr">
        <is>
          <t>Q-170</t>
        </is>
      </c>
      <c r="B11" s="7" t="inlineStr">
        <is>
          <t>RNR-H22</t>
        </is>
      </c>
      <c r="C11" s="7" t="inlineStr">
        <is>
          <t>Eastern Orthodox</t>
        </is>
      </c>
      <c r="D11" s="7" t="inlineStr">
        <is>
          <t>Q</t>
        </is>
      </c>
      <c r="E11" s="7" t="inlineStr">
        <is>
          <t>ASSERT</t>
        </is>
      </c>
      <c r="F11" s="7" t="inlineStr">
        <is>
          <t>Nicene Creed / Symbol of Faith</t>
        </is>
      </c>
      <c r="G11" s="7" t="inlineStr">
        <is>
          <t>Creator clause</t>
        </is>
      </c>
      <c r="H11" s="7" t="inlineStr">
        <is>
          <t>https://www.oca.org/orthodoxy/the-orthodox-faith/doctrine-scripture/the-symbol-of-faith/nicene-creed</t>
        </is>
      </c>
      <c r="I11" s="7" t="inlineStr">
        <is>
          <t>Maker of heaven and earth</t>
        </is>
      </c>
      <c r="J11" s="7" t="n">
        <v>5</v>
      </c>
      <c r="K11" s="7" t="inlineStr">
        <is>
          <t>QUEUE TEXT</t>
        </is>
      </c>
      <c r="L11" s="7" t="inlineStr">
        <is>
          <t>HTML</t>
        </is>
      </c>
      <c r="M11" s="7" t="inlineStr">
        <is>
          <t>HTML→visible text; NFKC; casefold; normalize whitespace; normalize curly quotes/apostrophes/dashes.</t>
        </is>
      </c>
      <c r="N11" s="7" t="inlineStr">
        <is>
          <t>Extract cited article/section/creed clause before matching; fail scoped extraction when target is ASSERT.</t>
        </is>
      </c>
      <c r="O11" s="7" t="inlineStr">
        <is>
          <t>Normalized locator-scoped text MUST contain quoted phrase</t>
        </is>
      </c>
      <c r="P11" s="7" t="inlineStr">
        <is>
          <t>Released case-study cell; phrase assertion is blocking.</t>
        </is>
      </c>
    </row>
    <row r="12">
      <c r="A12" s="7" t="inlineStr">
        <is>
          <t>Q-171</t>
        </is>
      </c>
      <c r="B12" s="7" t="inlineStr">
        <is>
          <t>RNR-H22</t>
        </is>
      </c>
      <c r="C12" s="7" t="inlineStr">
        <is>
          <t>Lutheran</t>
        </is>
      </c>
      <c r="D12" s="7" t="inlineStr">
        <is>
          <t>Q</t>
        </is>
      </c>
      <c r="E12" s="7" t="inlineStr">
        <is>
          <t>ASSERT</t>
        </is>
      </c>
      <c r="F12" s="7" t="inlineStr">
        <is>
          <t>Augsburg Confession</t>
        </is>
      </c>
      <c r="G12" s="7" t="inlineStr">
        <is>
          <t>Article I, Of God</t>
        </is>
      </c>
      <c r="H12" s="7" t="inlineStr">
        <is>
          <t>https://bookofconcord.org/augsburg-confession/of-god/</t>
        </is>
      </c>
      <c r="I12" s="7" t="inlineStr">
        <is>
          <t>the Maker and Preserver of all things, visible and invisible</t>
        </is>
      </c>
      <c r="J12" s="7" t="n">
        <v>10</v>
      </c>
      <c r="K12" s="7" t="inlineStr">
        <is>
          <t>QUEUE TEXT</t>
        </is>
      </c>
      <c r="L12" s="7" t="inlineStr">
        <is>
          <t>HTML</t>
        </is>
      </c>
      <c r="M12" s="7" t="inlineStr">
        <is>
          <t>HTML→visible text; NFKC; casefold; normalize whitespace; normalize curly quotes/apostrophes/dashes.</t>
        </is>
      </c>
      <c r="N12" s="7" t="inlineStr">
        <is>
          <t>Extract cited article/section/creed clause before matching; fail scoped extraction when target is ASSERT.</t>
        </is>
      </c>
      <c r="O12" s="7" t="inlineStr">
        <is>
          <t>Normalized locator-scoped text MUST contain quoted phrase</t>
        </is>
      </c>
      <c r="P12" s="7" t="inlineStr">
        <is>
          <t>Released case-study cell; phrase assertion is blocking.</t>
        </is>
      </c>
    </row>
    <row r="13">
      <c r="A13" s="7" t="inlineStr">
        <is>
          <t>Q-172</t>
        </is>
      </c>
      <c r="B13" s="7" t="inlineStr">
        <is>
          <t>RNR-H22</t>
        </is>
      </c>
      <c r="C13" s="7" t="inlineStr">
        <is>
          <t>Reformed / Presbyterian</t>
        </is>
      </c>
      <c r="D13" s="7" t="inlineStr">
        <is>
          <t>Q</t>
        </is>
      </c>
      <c r="E13" s="7" t="inlineStr">
        <is>
          <t>ASSERT</t>
        </is>
      </c>
      <c r="F13" s="7" t="inlineStr">
        <is>
          <t>Westminster Confession of Faith</t>
        </is>
      </c>
      <c r="G13" s="7" t="inlineStr">
        <is>
          <t>Chapter IV.1</t>
        </is>
      </c>
      <c r="H13" s="7" t="inlineStr">
        <is>
          <t>https://opc.org/wcf.html</t>
        </is>
      </c>
      <c r="I13" s="7" t="inlineStr">
        <is>
          <t>to create, or make of nothing, the world</t>
        </is>
      </c>
      <c r="J13" s="7" t="n">
        <v>8</v>
      </c>
      <c r="K13" s="7" t="inlineStr">
        <is>
          <t>QUEUE TEXT</t>
        </is>
      </c>
      <c r="L13" s="7" t="inlineStr">
        <is>
          <t>HTML</t>
        </is>
      </c>
      <c r="M13" s="7" t="inlineStr">
        <is>
          <t>HTML→visible text; NFKC; casefold; normalize whitespace; normalize curly quotes/apostrophes/dashes.</t>
        </is>
      </c>
      <c r="N13" s="7" t="inlineStr">
        <is>
          <t>Extract cited article/section/creed clause before matching; fail scoped extraction when target is ASSERT.</t>
        </is>
      </c>
      <c r="O13" s="7" t="inlineStr">
        <is>
          <t>Normalized locator-scoped text MUST contain quoted phrase</t>
        </is>
      </c>
      <c r="P13" s="7" t="inlineStr">
        <is>
          <t>Released case-study cell; phrase assertion is blocking.</t>
        </is>
      </c>
    </row>
    <row r="14">
      <c r="A14" s="7" t="inlineStr">
        <is>
          <t>Q-173</t>
        </is>
      </c>
      <c r="B14" s="7" t="inlineStr">
        <is>
          <t>RNR-H22</t>
        </is>
      </c>
      <c r="C14" s="7" t="inlineStr">
        <is>
          <t>Anglican</t>
        </is>
      </c>
      <c r="D14" s="7" t="inlineStr">
        <is>
          <t>Q</t>
        </is>
      </c>
      <c r="E14" s="7" t="inlineStr">
        <is>
          <t>ASSERT</t>
        </is>
      </c>
      <c r="F14" s="7" t="inlineStr">
        <is>
          <t>Thirty-Nine Articles</t>
        </is>
      </c>
      <c r="G14" s="7" t="inlineStr">
        <is>
          <t>Article I</t>
        </is>
      </c>
      <c r="H14" s="7" t="inlineStr">
        <is>
          <t>https://www.churchofengland.org/prayer-and-worship/worship-texts-and-resources/book-common-prayer/articles-religion</t>
        </is>
      </c>
      <c r="I14" s="7" t="inlineStr">
        <is>
          <t>the Maker, and Preserver of all things</t>
        </is>
      </c>
      <c r="J14" s="7" t="n">
        <v>7</v>
      </c>
      <c r="K14" s="7" t="inlineStr">
        <is>
          <t>QUEUE TEXT</t>
        </is>
      </c>
      <c r="L14" s="7" t="inlineStr">
        <is>
          <t>HTML</t>
        </is>
      </c>
      <c r="M14" s="7" t="inlineStr">
        <is>
          <t>HTML→visible text; NFKC; casefold; normalize whitespace; normalize curly quotes/apostrophes/dashes.</t>
        </is>
      </c>
      <c r="N14" s="7" t="inlineStr">
        <is>
          <t>Extract cited article/section/creed clause before matching; fail scoped extraction when target is ASSERT.</t>
        </is>
      </c>
      <c r="O14" s="7" t="inlineStr">
        <is>
          <t>Normalized locator-scoped text MUST contain quoted phrase</t>
        </is>
      </c>
      <c r="P14" s="7" t="inlineStr">
        <is>
          <t>Phrase corrected to source reading 2026-09-09 (pipeline override ratified); Released case-study cell; phrase assertion is blocking.</t>
        </is>
      </c>
    </row>
    <row r="15">
      <c r="A15" s="7" t="inlineStr">
        <is>
          <t>Q-174</t>
        </is>
      </c>
      <c r="B15" s="7" t="inlineStr">
        <is>
          <t>RNR-H22</t>
        </is>
      </c>
      <c r="C15" s="7" t="inlineStr">
        <is>
          <t>Baptist</t>
        </is>
      </c>
      <c r="D15" s="7" t="inlineStr">
        <is>
          <t>Q</t>
        </is>
      </c>
      <c r="E15" s="7" t="inlineStr">
        <is>
          <t>ASSERT</t>
        </is>
      </c>
      <c r="F15" s="7" t="inlineStr">
        <is>
          <t>Baptist Faith and Message 2000</t>
        </is>
      </c>
      <c r="G15" s="7" t="inlineStr">
        <is>
          <t>II. God</t>
        </is>
      </c>
      <c r="H15" s="7" t="inlineStr">
        <is>
          <t>https://bfm.sbc.net/bfm2000/</t>
        </is>
      </c>
      <c r="I15" s="7" t="inlineStr">
        <is>
          <t>the Creator, Redeemer, Preserver, and Ruler of the universe</t>
        </is>
      </c>
      <c r="J15" s="7" t="n">
        <v>9</v>
      </c>
      <c r="K15" s="7" t="inlineStr">
        <is>
          <t>QUEUE TEXT</t>
        </is>
      </c>
      <c r="L15" s="7" t="inlineStr">
        <is>
          <t>HTML</t>
        </is>
      </c>
      <c r="M15" s="7" t="inlineStr">
        <is>
          <t>HTML→visible text; NFKC; casefold; normalize whitespace; normalize curly quotes/apostrophes/dashes.</t>
        </is>
      </c>
      <c r="N15" s="7" t="inlineStr">
        <is>
          <t>Extract cited article/section/creed clause before matching; fail scoped extraction when target is ASSERT.</t>
        </is>
      </c>
      <c r="O15" s="7" t="inlineStr">
        <is>
          <t>Normalized locator-scoped text MUST contain quoted phrase</t>
        </is>
      </c>
      <c r="P15" s="7" t="inlineStr">
        <is>
          <t>Phrase corrected to source reading 2026-09-09 (pipeline override ratified); Released case-study cell; phrase assertion is blocking.</t>
        </is>
      </c>
    </row>
    <row r="16">
      <c r="A16" s="7" t="inlineStr">
        <is>
          <t>Q-175</t>
        </is>
      </c>
      <c r="B16" s="7" t="inlineStr">
        <is>
          <t>RNR-H22</t>
        </is>
      </c>
      <c r="C16" s="7" t="inlineStr">
        <is>
          <t>Methodist / Wesleyan</t>
        </is>
      </c>
      <c r="D16" s="7" t="inlineStr">
        <is>
          <t>Q</t>
        </is>
      </c>
      <c r="E16" s="7" t="inlineStr">
        <is>
          <t>ASSERT</t>
        </is>
      </c>
      <c r="F16" s="7" t="inlineStr">
        <is>
          <t>Articles of Religion</t>
        </is>
      </c>
      <c r="G16" s="7" t="inlineStr">
        <is>
          <t>Article I</t>
        </is>
      </c>
      <c r="H16" s="7" t="inlineStr">
        <is>
          <t>https://www.umc.org/en/content/articles-of-religion</t>
        </is>
      </c>
      <c r="I16" s="7" t="inlineStr">
        <is>
          <t>the maker and preserver of all things, both visible and invisible</t>
        </is>
      </c>
      <c r="J16" s="7" t="n">
        <v>11</v>
      </c>
      <c r="K16" s="7" t="inlineStr">
        <is>
          <t>QUEUE TEXT</t>
        </is>
      </c>
      <c r="L16" s="7" t="inlineStr">
        <is>
          <t>HTML</t>
        </is>
      </c>
      <c r="M16" s="7" t="inlineStr">
        <is>
          <t>HTML→visible text; NFKC; casefold; normalize whitespace; normalize curly quotes/apostrophes/dashes.</t>
        </is>
      </c>
      <c r="N16" s="7" t="inlineStr">
        <is>
          <t>Extract cited article/section/creed clause before matching; fail scoped extraction when target is ASSERT.</t>
        </is>
      </c>
      <c r="O16" s="7" t="inlineStr">
        <is>
          <t>Normalized locator-scoped text MUST contain quoted phrase</t>
        </is>
      </c>
      <c r="P16" s="7" t="inlineStr">
        <is>
          <t>Released case-study cell; phrase assertion is blocking.</t>
        </is>
      </c>
    </row>
    <row r="17">
      <c r="A17" s="7" t="inlineStr">
        <is>
          <t>Q-176</t>
        </is>
      </c>
      <c r="B17" s="7" t="inlineStr">
        <is>
          <t>RNR-H22</t>
        </is>
      </c>
      <c r="C17" s="7" t="inlineStr">
        <is>
          <t>Mennonite / Anabaptist</t>
        </is>
      </c>
      <c r="D17" s="7" t="inlineStr">
        <is>
          <t>Q</t>
        </is>
      </c>
      <c r="E17" s="7" t="inlineStr">
        <is>
          <t>ASSERT</t>
        </is>
      </c>
      <c r="F17" s="7" t="inlineStr">
        <is>
          <t>Confession of Faith in a Mennonite Perspective</t>
        </is>
      </c>
      <c r="G17" s="7" t="inlineStr">
        <is>
          <t>Article 5</t>
        </is>
      </c>
      <c r="H17" s="7" t="inlineStr">
        <is>
          <t>https://www.mennoniteusa.org/who-are-mennonites/what-we-believe/confession-of-faith/creation-and-divine-providence/</t>
        </is>
      </c>
      <c r="I17" s="7" t="inlineStr">
        <is>
          <t>God has created the heavens and the earth</t>
        </is>
      </c>
      <c r="J17" s="7" t="n">
        <v>8</v>
      </c>
      <c r="K17" s="7" t="inlineStr">
        <is>
          <t>QUEUE TEXT</t>
        </is>
      </c>
      <c r="L17" s="7" t="inlineStr">
        <is>
          <t>HTML</t>
        </is>
      </c>
      <c r="M17" s="7" t="inlineStr">
        <is>
          <t>HTML→visible text; NFKC; casefold; normalize whitespace; normalize curly quotes/apostrophes/dashes.</t>
        </is>
      </c>
      <c r="N17" s="7" t="inlineStr">
        <is>
          <t>Extract cited article/section/creed clause before matching; fail scoped extraction when target is ASSERT.</t>
        </is>
      </c>
      <c r="O17" s="7" t="inlineStr">
        <is>
          <t>Normalized locator-scoped text MUST contain quoted phrase</t>
        </is>
      </c>
      <c r="P17" s="7" t="inlineStr">
        <is>
          <t>Released case-study cell; phrase assertion is blocking.</t>
        </is>
      </c>
    </row>
    <row r="18">
      <c r="A18" s="7" t="inlineStr">
        <is>
          <t>Q-337</t>
        </is>
      </c>
      <c r="B18" s="7" t="inlineStr">
        <is>
          <t>RNR-H43</t>
        </is>
      </c>
      <c r="C18" s="7" t="inlineStr">
        <is>
          <t>Roman Catholic</t>
        </is>
      </c>
      <c r="D18" s="7" t="inlineStr">
        <is>
          <t>D</t>
        </is>
      </c>
      <c r="E18" s="7" t="inlineStr">
        <is>
          <t>ASSERT</t>
        </is>
      </c>
      <c r="F18" s="7" t="inlineStr">
        <is>
          <t>First Vatican Council, Dei Filius</t>
        </is>
      </c>
      <c r="G18" s="7" t="inlineStr">
        <is>
          <t>Chapter I</t>
        </is>
      </c>
      <c r="H18" s="7" t="inlineStr">
        <is>
          <t>https://www.ewtn.com/catholicism/teachings/vatican-i-dogmatic-constitution-dei-filius-on-the-catholic-faith-241</t>
        </is>
      </c>
      <c r="I18" s="7" t="inlineStr">
        <is>
          <t>one unique, completely simple and unchangeable spiritual substance</t>
        </is>
      </c>
      <c r="J18" s="7" t="n">
        <v>8</v>
      </c>
      <c r="K18" s="7" t="inlineStr">
        <is>
          <t>QUEUE TEXT</t>
        </is>
      </c>
      <c r="L18" s="7" t="inlineStr">
        <is>
          <t>HTML</t>
        </is>
      </c>
      <c r="M18" s="7" t="inlineStr">
        <is>
          <t>HTML→visible text; NFKC; casefold; normalize whitespace; normalize curly quotes/apostrophes/dashes.</t>
        </is>
      </c>
      <c r="N18" s="7" t="inlineStr">
        <is>
          <t>Extract cited article/section/creed clause before matching; fail scoped extraction when target is ASSERT.</t>
        </is>
      </c>
      <c r="O18" s="7" t="inlineStr">
        <is>
          <t>Normalized locator-scoped text MUST contain quoted phrase</t>
        </is>
      </c>
      <c r="P18" s="7" t="inlineStr">
        <is>
          <t>Released case-study cell; phrase assertion is blocking.</t>
        </is>
      </c>
    </row>
    <row r="19">
      <c r="A19" s="7" t="inlineStr">
        <is>
          <t>Q-338</t>
        </is>
      </c>
      <c r="B19" s="7" t="inlineStr">
        <is>
          <t>RNR-H43</t>
        </is>
      </c>
      <c r="C19" s="7" t="inlineStr">
        <is>
          <t>Eastern Orthodox</t>
        </is>
      </c>
      <c r="D19" s="7" t="inlineStr">
        <is>
          <t>PENDING REVIEW</t>
        </is>
      </c>
      <c r="E19" s="7" t="inlineStr">
        <is>
          <t>NO TARGET — UNRELEASED</t>
        </is>
      </c>
      <c r="F19" s="7" t="inlineStr">
        <is>
          <t>The Orthodox Faith — God</t>
        </is>
      </c>
      <c r="G19" s="7" t="inlineStr">
        <is>
          <t>Divine simplicity discussion</t>
        </is>
      </c>
      <c r="H19" s="7" t="inlineStr">
        <is>
          <t>https://www.oca.org/orthodoxy/the-orthodox-faith/doctrine-scripture/the-symbol-of-faith/god</t>
        </is>
      </c>
      <c r="I19" s="7" t="n"/>
      <c r="J19" s="7" t="n">
        <v>0</v>
      </c>
      <c r="K19" s="7" t="inlineStr">
        <is>
          <t>UNRELEASED</t>
        </is>
      </c>
      <c r="L19" s="7" t="inlineStr">
        <is>
          <t>NO TARGET</t>
        </is>
      </c>
      <c r="M19" s="7" t="inlineStr">
        <is>
          <t>N/A</t>
        </is>
      </c>
      <c r="N19" s="7" t="inlineStr">
        <is>
          <t>N/A</t>
        </is>
      </c>
      <c r="O19" s="7" t="inlineStr">
        <is>
          <t>Excluded from content assertion while cell is unreleased</t>
        </is>
      </c>
      <c r="P19" s="7" t="inlineStr">
        <is>
          <t>Keep state visible in case study; do not infer A/Q/D.</t>
        </is>
      </c>
    </row>
    <row r="20">
      <c r="A20" s="7" t="inlineStr">
        <is>
          <t>Q-339</t>
        </is>
      </c>
      <c r="B20" s="7" t="inlineStr">
        <is>
          <t>RNR-H43</t>
        </is>
      </c>
      <c r="C20" s="7" t="inlineStr">
        <is>
          <t>Lutheran</t>
        </is>
      </c>
      <c r="D20" s="7" t="inlineStr">
        <is>
          <t>D</t>
        </is>
      </c>
      <c r="E20" s="7" t="inlineStr">
        <is>
          <t>ASSERT</t>
        </is>
      </c>
      <c r="F20" s="7" t="inlineStr">
        <is>
          <t>Augsburg Confession</t>
        </is>
      </c>
      <c r="G20" s="7" t="inlineStr">
        <is>
          <t>Article I, Of God</t>
        </is>
      </c>
      <c r="H20" s="7" t="inlineStr">
        <is>
          <t>https://bookofconcord.org/augsburg-confession/of-god/</t>
        </is>
      </c>
      <c r="I20" s="7" t="inlineStr">
        <is>
          <t>without body, without parts</t>
        </is>
      </c>
      <c r="J20" s="7" t="n">
        <v>4</v>
      </c>
      <c r="K20" s="7" t="inlineStr">
        <is>
          <t>QUEUE TEXT</t>
        </is>
      </c>
      <c r="L20" s="7" t="inlineStr">
        <is>
          <t>HTML</t>
        </is>
      </c>
      <c r="M20" s="7" t="inlineStr">
        <is>
          <t>HTML→visible text; NFKC; casefold; normalize whitespace; normalize curly quotes/apostrophes/dashes.</t>
        </is>
      </c>
      <c r="N20" s="7" t="inlineStr">
        <is>
          <t>Extract cited article/section/creed clause before matching; fail scoped extraction when target is ASSERT.</t>
        </is>
      </c>
      <c r="O20" s="7" t="inlineStr">
        <is>
          <t>Normalized locator-scoped text MUST contain quoted phrase</t>
        </is>
      </c>
      <c r="P20" s="7" t="inlineStr">
        <is>
          <t>Released case-study cell; phrase assertion is blocking.</t>
        </is>
      </c>
    </row>
    <row r="21" ht="15.75" customHeight="1" s="29">
      <c r="A21" s="7" t="inlineStr">
        <is>
          <t>Q-340</t>
        </is>
      </c>
      <c r="B21" s="7" t="inlineStr">
        <is>
          <t>RNR-H43</t>
        </is>
      </c>
      <c r="C21" s="7" t="inlineStr">
        <is>
          <t>Reformed / Presbyterian</t>
        </is>
      </c>
      <c r="D21" s="7" t="inlineStr">
        <is>
          <t>D</t>
        </is>
      </c>
      <c r="E21" s="7" t="inlineStr">
        <is>
          <t>ASSERT</t>
        </is>
      </c>
      <c r="F21" s="7" t="inlineStr">
        <is>
          <t>Westminster Confession of Faith</t>
        </is>
      </c>
      <c r="G21" s="7" t="inlineStr">
        <is>
          <t>Chapter II.1</t>
        </is>
      </c>
      <c r="H21" s="7" t="inlineStr">
        <is>
          <t>https://opc.org/wcf.html</t>
        </is>
      </c>
      <c r="I21" s="7" t="inlineStr">
        <is>
          <t>without body, parts, or passions</t>
        </is>
      </c>
      <c r="J21" s="7" t="n">
        <v>5</v>
      </c>
      <c r="K21" s="7" t="inlineStr">
        <is>
          <t>QUEUE TEXT</t>
        </is>
      </c>
      <c r="L21" s="7" t="inlineStr">
        <is>
          <t>HTML</t>
        </is>
      </c>
      <c r="M21" s="7" t="inlineStr">
        <is>
          <t>HTML→visible text; NFKC; casefold; normalize whitespace; normalize curly quotes/apostrophes/dashes.</t>
        </is>
      </c>
      <c r="N21" s="7" t="inlineStr">
        <is>
          <t>Extract cited article/section/creed clause before matching; fail scoped extraction when target is ASSERT.</t>
        </is>
      </c>
      <c r="O21" s="7" t="inlineStr">
        <is>
          <t>Normalized locator-scoped text MUST contain quoted phrase</t>
        </is>
      </c>
      <c r="P21" s="7" t="inlineStr">
        <is>
          <t>Released case-study cell; phrase assertion is blocking.</t>
        </is>
      </c>
    </row>
    <row r="22" ht="15.75" customHeight="1" s="29">
      <c r="A22" s="7" t="inlineStr">
        <is>
          <t>Q-341</t>
        </is>
      </c>
      <c r="B22" s="7" t="inlineStr">
        <is>
          <t>RNR-H43</t>
        </is>
      </c>
      <c r="C22" s="7" t="inlineStr">
        <is>
          <t>Anglican</t>
        </is>
      </c>
      <c r="D22" s="7" t="inlineStr">
        <is>
          <t>D</t>
        </is>
      </c>
      <c r="E22" s="7" t="inlineStr">
        <is>
          <t>ASSERT</t>
        </is>
      </c>
      <c r="F22" s="7" t="inlineStr">
        <is>
          <t>Thirty-Nine Articles</t>
        </is>
      </c>
      <c r="G22" s="7" t="inlineStr">
        <is>
          <t>Article I</t>
        </is>
      </c>
      <c r="H22" s="7" t="inlineStr">
        <is>
          <t>https://www.churchofengland.org/prayer-and-worship/worship-texts-and-resources/book-common-prayer/articles-religion</t>
        </is>
      </c>
      <c r="I22" s="7" t="inlineStr">
        <is>
          <t>without body, parts, or passions</t>
        </is>
      </c>
      <c r="J22" s="7" t="n">
        <v>5</v>
      </c>
      <c r="K22" s="7" t="inlineStr">
        <is>
          <t>QUEUE TEXT</t>
        </is>
      </c>
      <c r="L22" s="7" t="inlineStr">
        <is>
          <t>HTML</t>
        </is>
      </c>
      <c r="M22" s="7" t="inlineStr">
        <is>
          <t>HTML→visible text; NFKC; casefold; normalize whitespace; normalize curly quotes/apostrophes/dashes.</t>
        </is>
      </c>
      <c r="N22" s="7" t="inlineStr">
        <is>
          <t>Extract cited article/section/creed clause before matching; fail scoped extraction when target is ASSERT.</t>
        </is>
      </c>
      <c r="O22" s="7" t="inlineStr">
        <is>
          <t>Normalized locator-scoped text MUST contain quoted phrase</t>
        </is>
      </c>
      <c r="P22" s="7" t="inlineStr">
        <is>
          <t>Released case-study cell; phrase assertion is blocking.</t>
        </is>
      </c>
    </row>
    <row r="23" ht="15.75" customHeight="1" s="29">
      <c r="A23" s="7" t="inlineStr">
        <is>
          <t>Q-342</t>
        </is>
      </c>
      <c r="B23" s="7" t="inlineStr">
        <is>
          <t>RNR-H43</t>
        </is>
      </c>
      <c r="C23" s="7" t="inlineStr">
        <is>
          <t>Baptist</t>
        </is>
      </c>
      <c r="D23" s="7" t="inlineStr">
        <is>
          <t>NOT LOCATED — CURRENT SOURCE</t>
        </is>
      </c>
      <c r="E23" s="7" t="inlineStr">
        <is>
          <t>NO TARGET — UNRELEASED</t>
        </is>
      </c>
      <c r="F23" s="7" t="inlineStr">
        <is>
          <t>Second London Baptist Confession (historical retired witness)</t>
        </is>
      </c>
      <c r="G23" s="7" t="inlineStr">
        <is>
          <t>Chapter 2.1</t>
        </is>
      </c>
      <c r="H23" s="7" t="inlineStr">
        <is>
          <t>https://baptistconfession.org/</t>
        </is>
      </c>
      <c r="I23" s="7" t="n"/>
      <c r="J23" s="7" t="n">
        <v>0</v>
      </c>
      <c r="K23" s="7" t="inlineStr">
        <is>
          <t>UNRELEASED — HISTORICAL WITNESS RETIRED</t>
        </is>
      </c>
      <c r="L23" s="7" t="inlineStr">
        <is>
          <t>NO TARGET</t>
        </is>
      </c>
      <c r="M23" s="7" t="inlineStr">
        <is>
          <t>N/A</t>
        </is>
      </c>
      <c r="N23" s="7" t="inlineStr">
        <is>
          <t>N/A</t>
        </is>
      </c>
      <c r="O23" s="7" t="inlineStr">
        <is>
          <t>Excluded from content assertion while cell is unreleased</t>
        </is>
      </c>
      <c r="P23" s="7" t="inlineStr">
        <is>
          <t>Keep state visible in case study; do not infer A/Q/D.</t>
        </is>
      </c>
    </row>
    <row r="24" ht="15.75" customHeight="1" s="29">
      <c r="A24" s="7" t="inlineStr">
        <is>
          <t>Q-343</t>
        </is>
      </c>
      <c r="B24" s="7" t="inlineStr">
        <is>
          <t>RNR-H43</t>
        </is>
      </c>
      <c r="C24" s="7" t="inlineStr">
        <is>
          <t>Methodist / Wesleyan</t>
        </is>
      </c>
      <c r="D24" s="7" t="inlineStr">
        <is>
          <t>D</t>
        </is>
      </c>
      <c r="E24" s="7" t="inlineStr">
        <is>
          <t>ASSERT</t>
        </is>
      </c>
      <c r="F24" s="7" t="inlineStr">
        <is>
          <t>Articles of Religion</t>
        </is>
      </c>
      <c r="G24" s="7" t="inlineStr">
        <is>
          <t>Article I</t>
        </is>
      </c>
      <c r="H24" s="7" t="inlineStr">
        <is>
          <t>https://www.umc.org/en/content/articles-of-religion</t>
        </is>
      </c>
      <c r="I24" s="7" t="inlineStr">
        <is>
          <t>without body or parts</t>
        </is>
      </c>
      <c r="J24" s="7" t="n">
        <v>4</v>
      </c>
      <c r="K24" s="7" t="inlineStr">
        <is>
          <t>QUEUE TEXT</t>
        </is>
      </c>
      <c r="L24" s="7" t="inlineStr">
        <is>
          <t>HTML</t>
        </is>
      </c>
      <c r="M24" s="7" t="inlineStr">
        <is>
          <t>HTML→visible text; NFKC; casefold; normalize whitespace; normalize curly quotes/apostrophes/dashes.</t>
        </is>
      </c>
      <c r="N24" s="7" t="inlineStr">
        <is>
          <t>Extract cited article/section/creed clause before matching; fail scoped extraction when target is ASSERT.</t>
        </is>
      </c>
      <c r="O24" s="7" t="inlineStr">
        <is>
          <t>Normalized locator-scoped text MUST contain quoted phrase</t>
        </is>
      </c>
      <c r="P24" s="7" t="inlineStr">
        <is>
          <t>Released case-study cell; phrase assertion is blocking.</t>
        </is>
      </c>
    </row>
    <row r="25" ht="15.75" customHeight="1" s="29">
      <c r="A25" s="7" t="inlineStr">
        <is>
          <t>Q-344</t>
        </is>
      </c>
      <c r="B25" s="7" t="inlineStr">
        <is>
          <t>RNR-H43</t>
        </is>
      </c>
      <c r="C25" s="7" t="inlineStr">
        <is>
          <t>Mennonite / Anabaptist</t>
        </is>
      </c>
      <c r="D25" s="7" t="inlineStr">
        <is>
          <t>NOT LOCATED — CURRENT SOURCE</t>
        </is>
      </c>
      <c r="E25" s="7" t="inlineStr">
        <is>
          <t>NO TARGET — UNRELEASED</t>
        </is>
      </c>
      <c r="F25" s="7" t="inlineStr">
        <is>
          <t>Dordrecht Confession (historical retired witness)</t>
        </is>
      </c>
      <c r="G25" s="7" t="inlineStr">
        <is>
          <t>Article I</t>
        </is>
      </c>
      <c r="H25" s="7" t="inlineStr">
        <is>
          <t>https://gameo.org/index.php?title=Dordrecht_Confession_of_Faith_%28Mennonite%2C_1632%29</t>
        </is>
      </c>
      <c r="I25" s="7" t="n"/>
      <c r="J25" s="7" t="n">
        <v>0</v>
      </c>
      <c r="K25" s="7" t="inlineStr">
        <is>
          <t>UNRELEASED — HISTORICAL WITNESS RETIRED</t>
        </is>
      </c>
      <c r="L25" s="7" t="inlineStr">
        <is>
          <t>NO TARGET</t>
        </is>
      </c>
      <c r="M25" s="7" t="inlineStr">
        <is>
          <t>N/A</t>
        </is>
      </c>
      <c r="N25" s="7" t="inlineStr">
        <is>
          <t>N/A</t>
        </is>
      </c>
      <c r="O25" s="7" t="inlineStr">
        <is>
          <t>Excluded from content assertion while cell is unreleased</t>
        </is>
      </c>
      <c r="P25" s="7" t="inlineStr">
        <is>
          <t>Keep state visible in case study; do not infer A/Q/D.</t>
        </is>
      </c>
    </row>
    <row r="26" ht="15.75" customHeight="1" s="29">
      <c r="A26" s="0" t="inlineStr">
        <is>
          <t>Q-290</t>
        </is>
      </c>
      <c r="B26" s="0" t="inlineStr">
        <is>
          <t>RNR-H37</t>
        </is>
      </c>
      <c r="C26" s="0" t="inlineStr">
        <is>
          <t>Eastern Orthodox</t>
        </is>
      </c>
      <c r="D26" s="0" t="inlineStr">
        <is>
          <t>Q</t>
        </is>
      </c>
      <c r="E26" s="0" t="inlineStr">
        <is>
          <t>ASSERT</t>
        </is>
      </c>
      <c r="F26" s="0" t="inlineStr">
        <is>
          <t>The Orthodox Faith, Vol. I — The Holy Trinity: One God, One Father</t>
        </is>
      </c>
      <c r="G26" s="0" t="inlineStr">
        <is>
          <t>One God, One Father (OCA official catechesis)</t>
        </is>
      </c>
      <c r="H26" s="0" t="inlineStr">
        <is>
          <t>https://www.oca.org/orthodoxy/the-orthodox-faith/doctrine-scripture/the-holy-trinity/one-god-one-father</t>
        </is>
      </c>
      <c r="I26" s="0" t="inlineStr">
        <is>
          <t>There is only one God because there is only one Father</t>
        </is>
      </c>
      <c r="J26" s="0" t="n">
        <v>11</v>
      </c>
      <c r="K26" s="0" t="inlineStr">
        <is>
          <t>CURRENT OFFICIAL CATECHETICAL WITNESS</t>
        </is>
      </c>
      <c r="L26" s="0" t="inlineStr">
        <is>
          <t>HTML</t>
        </is>
      </c>
      <c r="M26" s="0" t="inlineStr">
        <is>
          <t>HTML→visible text; NFKC; casefold; normalize whitespace; normalize curly quotes/apostrophes/dashes.</t>
        </is>
      </c>
      <c r="N26" s="0" t="inlineStr">
        <is>
          <t>Extract cited article/section/creed clause before matching; fail scoped extraction when target is ASSERT.</t>
        </is>
      </c>
      <c r="O26" s="0" t="inlineStr">
        <is>
          <t>Normalized locator-scoped text MUST contain quoted phrase</t>
        </is>
      </c>
      <c r="P26" s="0" t="inlineStr">
        <is>
          <t>Released non-case-study cell (H37 Eastern Orthodox); primary target; author source-role approval AUTH-ORTH-H37.</t>
        </is>
      </c>
    </row>
    <row r="27" ht="15.75" customHeight="1" s="29">
      <c r="A27" s="0" t="inlineStr">
        <is>
          <t>Q-290</t>
        </is>
      </c>
      <c r="B27" s="0" t="inlineStr">
        <is>
          <t>RNR-H37</t>
        </is>
      </c>
      <c r="C27" s="0" t="inlineStr">
        <is>
          <t>Eastern Orthodox</t>
        </is>
      </c>
      <c r="D27" s="0" t="inlineStr">
        <is>
          <t>Q</t>
        </is>
      </c>
      <c r="E27" s="0" t="inlineStr">
        <is>
          <t>ASSERT</t>
        </is>
      </c>
      <c r="F27" s="0" t="inlineStr">
        <is>
          <t>The Orthodox Faith, Vol. I — The Symbol of Faith: Son of God</t>
        </is>
      </c>
      <c r="G27" s="0" t="inlineStr">
        <is>
          <t>Son of God (OCA official catechesis)</t>
        </is>
      </c>
      <c r="H27" s="0" t="inlineStr">
        <is>
          <t>https://www.oca.org/orthodoxy/the-orthodox-faith/doctrine-scripture/the-symbol-of-faith/son-of-god</t>
        </is>
      </c>
      <c r="I27" s="0" t="inlineStr">
        <is>
          <t>God is an eternal Father by nature</t>
        </is>
      </c>
      <c r="J27" s="0" t="n">
        <v>7</v>
      </c>
      <c r="K27" s="0" t="inlineStr">
        <is>
          <t>CURRENT OFFICIAL CATECHETICAL WITNESS</t>
        </is>
      </c>
      <c r="L27" s="0" t="inlineStr">
        <is>
          <t>HTML</t>
        </is>
      </c>
      <c r="M27" s="0" t="inlineStr">
        <is>
          <t>HTML→visible text; NFKC; casefold; normalize whitespace; normalize curly quotes/apostrophes/dashes.</t>
        </is>
      </c>
      <c r="N27" s="0" t="inlineStr">
        <is>
          <t>Extract cited article/section/creed clause before matching; fail scoped extraction when target is ASSERT.</t>
        </is>
      </c>
      <c r="O27" s="0" t="inlineStr">
        <is>
          <t>Normalized locator-scoped text MUST contain quoted phrase</t>
        </is>
      </c>
      <c r="P27" s="0" t="inlineStr">
        <is>
          <t>Supplemental target for Q-290.</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0" customWidth="1" style="29" min="2" max="2"/>
    <col width="18" customWidth="1" style="29" min="3" max="3"/>
    <col width="14" customWidth="1" style="29" min="4" max="4"/>
    <col width="64" customWidth="1" style="29" min="5" max="5"/>
    <col width="72" customWidth="1" style="29" min="6" max="6"/>
    <col width="64" customWidth="1" style="29" min="7" max="7"/>
    <col width="52" customWidth="1" style="29" min="8" max="8"/>
    <col width="8.630000000000001" customWidth="1" style="29" min="9" max="26"/>
  </cols>
  <sheetData>
    <row r="1">
      <c r="A1" s="5" t="inlineStr">
        <is>
          <t>Family ID</t>
        </is>
      </c>
      <c r="B1" s="5" t="inlineStr">
        <is>
          <t>Predicate</t>
        </is>
      </c>
      <c r="C1" s="5" t="inlineStr">
        <is>
          <t>Master family code</t>
        </is>
      </c>
      <c r="D1" s="5" t="inlineStr">
        <is>
          <t>Card mode</t>
        </is>
      </c>
      <c r="E1" s="5" t="inlineStr">
        <is>
          <t>Atomic-layer summary</t>
        </is>
      </c>
      <c r="F1" s="5" t="inlineStr">
        <is>
          <t>Learner-facing caption</t>
        </is>
      </c>
      <c r="G1" s="5" t="inlineStr">
        <is>
          <t>Citation display rule</t>
        </is>
      </c>
      <c r="H1" s="5" t="inlineStr">
        <is>
          <t>Pipeline requirement</t>
        </is>
      </c>
    </row>
    <row r="2">
      <c r="A2" s="7" t="inlineStr">
        <is>
          <t>RNR-H07</t>
        </is>
      </c>
      <c r="B2" s="7" t="inlineStr">
        <is>
          <t>Almighty / omnipotent</t>
        </is>
      </c>
      <c r="C2" s="7" t="inlineStr">
        <is>
          <t>A</t>
        </is>
      </c>
      <c r="D2" s="7" t="inlineStr">
        <is>
          <t>VECTOR</t>
        </is>
      </c>
      <c r="E2" s="7" t="inlineStr">
        <is>
          <t>H07a Almighty/all-power = A; H07b unrestricted modal omnipotence = unresolved/U-HOLD lineage.</t>
        </is>
      </c>
      <c r="F2" s="7" t="inlineStr">
        <is>
          <t>Multi-layer family: the Almighty title is shared, but unrestricted modal omnipotence remains unresolved.</t>
        </is>
      </c>
      <c r="G2" s="7" t="inlineStr">
        <is>
          <t>Show atomic source support with this caption; never render the family as one A tile.</t>
        </is>
      </c>
      <c r="H2" s="7" t="inlineStr">
        <is>
          <t>Card mode must equal VECTOR and caption must be nonblank.</t>
        </is>
      </c>
    </row>
    <row r="3">
      <c r="A3" s="7" t="inlineStr">
        <is>
          <t>RNR-H32</t>
        </is>
      </c>
      <c r="B3" s="7" t="inlineStr">
        <is>
          <t>Light</t>
        </is>
      </c>
      <c r="C3" s="7" t="inlineStr">
        <is>
          <t>A</t>
        </is>
      </c>
      <c r="D3" s="7" t="inlineStr">
        <is>
          <t>VECTOR</t>
        </is>
      </c>
      <c r="E3" s="7" t="inlineStr">
        <is>
          <t>H32a Christ is Light = A; H32b Light-from-Light relational formula = Q.</t>
        </is>
      </c>
      <c r="F3" s="7" t="inlineStr">
        <is>
          <t>Multi-layer family: Christ-as-Light is shared; the Light-from-Light relational formula is qualified.</t>
        </is>
      </c>
      <c r="G3" s="7" t="inlineStr">
        <is>
          <t>Render atomic layers separately; never collapse the family into a single A/Q tile.</t>
        </is>
      </c>
      <c r="H3" s="7" t="inlineStr">
        <is>
          <t>Card mode must equal VECTOR and caption must be nonblank.</t>
        </is>
      </c>
    </row>
    <row r="4">
      <c r="A4" s="7" t="inlineStr">
        <is>
          <t>RNR-H56</t>
        </is>
      </c>
      <c r="B4" s="7" t="inlineStr">
        <is>
          <t>Neither confounding nor dividing</t>
        </is>
      </c>
      <c r="C4" s="7" t="inlineStr">
        <is>
          <t>Q</t>
        </is>
      </c>
      <c r="D4" s="7" t="inlineStr">
        <is>
          <t>VECTOR</t>
        </is>
      </c>
      <c r="E4" s="7" t="inlineStr">
        <is>
          <t>H56a relational distinction/unity = A; H56b one-substance metaphysics = D.</t>
        </is>
      </c>
      <c r="F4" s="7" t="inlineStr">
        <is>
          <t>Multi-layer family: relational distinction and unity are shared, while one-substance metaphysics directly diverges.</t>
        </is>
      </c>
      <c r="G4" s="7" t="inlineStr">
        <is>
          <t>Render A and D atomic layers together as a vector; never show one family-level A/Q/D tile.</t>
        </is>
      </c>
      <c r="H4" s="7" t="inlineStr">
        <is>
          <t>Card mode must equal VECTOR and caption must be nonblank.</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29" min="1" max="1"/>
    <col width="38" customWidth="1" style="29" min="2" max="2"/>
    <col width="70" customWidth="1" style="29" min="3" max="3"/>
    <col width="64" customWidth="1" style="29" min="4" max="4"/>
    <col width="8.630000000000001" customWidth="1" style="29" min="5" max="26"/>
  </cols>
  <sheetData>
    <row r="1">
      <c r="A1" s="5" t="inlineStr">
        <is>
          <t>Vocabulary</t>
        </is>
      </c>
      <c r="B1" s="5" t="inlineStr">
        <is>
          <t>Allowed value</t>
        </is>
      </c>
      <c r="C1" s="5" t="inlineStr">
        <is>
          <t>Meaning</t>
        </is>
      </c>
      <c r="D1" s="5" t="inlineStr">
        <is>
          <t>App / research rule</t>
        </is>
      </c>
    </row>
    <row r="2">
      <c r="A2" s="7" t="inlineStr">
        <is>
          <t>Case Type</t>
        </is>
      </c>
      <c r="B2" s="7" t="inlineStr">
        <is>
          <t>SEMANTIC_CLARIFICATION</t>
        </is>
      </c>
      <c r="C2" s="7" t="inlineStr">
        <is>
          <t>Explains what a term means within one or more traditions.</t>
        </is>
      </c>
      <c r="D2" s="7" t="inlineStr">
        <is>
          <t>NOT COUNTED.</t>
        </is>
      </c>
    </row>
    <row r="3">
      <c r="A3" s="7" t="inlineStr">
        <is>
          <t>Case Type</t>
        </is>
      </c>
      <c r="B3" s="7" t="inlineStr">
        <is>
          <t>APPARENT_TENSION_RESOLUTION</t>
        </is>
      </c>
      <c r="C3" s="7" t="inlineStr">
        <is>
          <t>Explains why two teachings/practices that appear contradictory can coexist.</t>
        </is>
      </c>
      <c r="D3" s="7" t="inlineStr">
        <is>
          <t>NOT COUNTED.</t>
        </is>
      </c>
    </row>
    <row r="4">
      <c r="A4" s="7" t="inlineStr">
        <is>
          <t>Case Type</t>
        </is>
      </c>
      <c r="B4" s="7" t="inlineStr">
        <is>
          <t>FAMILY_VARIATION</t>
        </is>
      </c>
      <c r="C4" s="7" t="inlineStr">
        <is>
          <t>Explains material variation within a named tradition family.</t>
        </is>
      </c>
      <c r="D4" s="7" t="inlineStr">
        <is>
          <t>NOT COUNTED.</t>
        </is>
      </c>
    </row>
    <row r="5">
      <c r="A5" s="7" t="inlineStr">
        <is>
          <t>Case Type</t>
        </is>
      </c>
      <c r="B5" s="7" t="inlineStr">
        <is>
          <t>SOURCE_SCOPE_CLARIFICATION</t>
        </is>
      </c>
      <c r="C5" s="7" t="inlineStr">
        <is>
          <t>Explains authority/scope differences among sources or institutions.</t>
        </is>
      </c>
      <c r="D5" s="7" t="inlineStr">
        <is>
          <t>NOT COUNTED.</t>
        </is>
      </c>
    </row>
    <row r="6">
      <c r="A6" s="7" t="inlineStr">
        <is>
          <t>Hazard Type</t>
        </is>
      </c>
      <c r="B6" s="7" t="inlineStr">
        <is>
          <t>SLOGAN_COMPRESSION</t>
        </is>
      </c>
      <c r="C6" s="7" t="inlineStr">
        <is>
          <t>A short slogan is true but omits distinctions needed to predict the theology.</t>
        </is>
      </c>
      <c r="D6" s="7" t="inlineStr">
        <is>
          <t>May trigger automatic cue.</t>
        </is>
      </c>
    </row>
    <row r="7">
      <c r="A7" s="7" t="inlineStr">
        <is>
          <t>Hazard Type</t>
        </is>
      </c>
      <c r="B7" s="7" t="inlineStr">
        <is>
          <t>SAME_WORD_DIFFERENT_MEANING</t>
        </is>
      </c>
      <c r="C7" s="7" t="inlineStr">
        <is>
          <t>Same term is used with materially different semantic content.</t>
        </is>
      </c>
      <c r="D7" s="7" t="inlineStr">
        <is>
          <t>May trigger automatic cue.</t>
        </is>
      </c>
    </row>
    <row r="8">
      <c r="A8" s="7" t="inlineStr">
        <is>
          <t>Hazard Type</t>
        </is>
      </c>
      <c r="B8" s="7" t="inlineStr">
        <is>
          <t>APPARENT_CONTRADICTION</t>
        </is>
      </c>
      <c r="C8" s="7" t="inlineStr">
        <is>
          <t>Two teachings/practices appear inconsistent until layers are distinguished.</t>
        </is>
      </c>
      <c r="D8" s="7" t="inlineStr">
        <is>
          <t>May trigger automatic cue.</t>
        </is>
      </c>
    </row>
    <row r="9">
      <c r="A9" s="7" t="inlineStr">
        <is>
          <t>Hazard Type</t>
        </is>
      </c>
      <c r="B9" s="7" t="inlineStr">
        <is>
          <t>ECCLESIAL_VS_SOTERIOLOGICAL</t>
        </is>
      </c>
      <c r="C9" s="7" t="inlineStr">
        <is>
          <t>Ecclesial recognition/status is confused with standing before God.</t>
        </is>
      </c>
      <c r="D9" s="7" t="inlineStr">
        <is>
          <t>May trigger automatic cue.</t>
        </is>
      </c>
    </row>
    <row r="10">
      <c r="A10" s="7" t="inlineStr">
        <is>
          <t>Hazard Type</t>
        </is>
      </c>
      <c r="B10" s="7" t="inlineStr">
        <is>
          <t>SOURCE_SILENCE_VS_DENIAL</t>
        </is>
      </c>
      <c r="C10" s="7" t="inlineStr">
        <is>
          <t>Absence from a reviewed source is mistaken for doctrinal rejection.</t>
        </is>
      </c>
      <c r="D10" s="7" t="inlineStr">
        <is>
          <t>Usually contextual cue.</t>
        </is>
      </c>
    </row>
    <row r="11">
      <c r="A11" s="7" t="inlineStr">
        <is>
          <t>Hazard Type</t>
        </is>
      </c>
      <c r="B11" s="7" t="inlineStr">
        <is>
          <t>HISTORICAL_ANTECEDENT_VS_EQUIVALENCE</t>
        </is>
      </c>
      <c r="C11" s="7" t="inlineStr">
        <is>
          <t>Historical antecedence is mistaken for identity/equivalence.</t>
        </is>
      </c>
      <c r="D11" s="7" t="inlineStr">
        <is>
          <t>Usually manual/related clarification.</t>
        </is>
      </c>
    </row>
    <row r="12">
      <c r="A12" s="7" t="inlineStr">
        <is>
          <t>Hazard Type</t>
        </is>
      </c>
      <c r="B12" s="7" t="inlineStr">
        <is>
          <t>RELATIONAL_VS_METAPHYSICAL</t>
        </is>
      </c>
      <c r="C12" s="7" t="inlineStr">
        <is>
          <t>Relational language is confused with a thicker metaphysical claim.</t>
        </is>
      </c>
      <c r="D12" s="7" t="inlineStr">
        <is>
          <t>May trigger automatic cue.</t>
        </is>
      </c>
    </row>
    <row r="13">
      <c r="A13" s="7" t="inlineStr">
        <is>
          <t>Hazard Type</t>
        </is>
      </c>
      <c r="B13" s="7" t="inlineStr">
        <is>
          <t>FAMILY_VARIATION</t>
        </is>
      </c>
      <c r="C13" s="7" t="inlineStr">
        <is>
          <t>A tradition family is mistaken for a single uniform body.</t>
        </is>
      </c>
      <c r="D13" s="7" t="inlineStr">
        <is>
          <t>Often auto cue when variation is material.</t>
        </is>
      </c>
    </row>
    <row r="14">
      <c r="A14" s="7" t="inlineStr">
        <is>
          <t>Hazard Type</t>
        </is>
      </c>
      <c r="B14" s="7" t="inlineStr">
        <is>
          <t>AUTHORITY_SCOPE</t>
        </is>
      </c>
      <c r="C14" s="7" t="inlineStr">
        <is>
          <t>A source's institutional authority or jurisdictional scope is overgeneralized.</t>
        </is>
      </c>
      <c r="D14" s="7" t="inlineStr">
        <is>
          <t>Contextual cue.</t>
        </is>
      </c>
    </row>
    <row r="15">
      <c r="A15" s="7" t="inlineStr">
        <is>
          <t>Hazard Type</t>
        </is>
      </c>
      <c r="B15" s="7" t="inlineStr">
        <is>
          <t>SEMANTIC_FLOOR</t>
        </is>
      </c>
      <c r="C15" s="7" t="inlineStr">
        <is>
          <t>A broad label is mistaken for a thicker proposition than the controlled floor.</t>
        </is>
      </c>
      <c r="D15" s="7" t="inlineStr">
        <is>
          <t>Contextual cue.</t>
        </is>
      </c>
    </row>
    <row r="16">
      <c r="A16" s="7" t="inlineStr">
        <is>
          <t>Auto Priority</t>
        </is>
      </c>
      <c r="B16" s="7" t="inlineStr">
        <is>
          <t>HIGH</t>
        </is>
      </c>
      <c r="C16" s="7" t="inlineStr">
        <is>
          <t>Omission creates material risk of misunderstanding the displayed comparison.</t>
        </is>
      </c>
      <c r="D16" s="7" t="inlineStr">
        <is>
          <t>Eligible for automatic cue.</t>
        </is>
      </c>
    </row>
    <row r="17">
      <c r="A17" s="7" t="inlineStr">
        <is>
          <t>Auto Priority</t>
        </is>
      </c>
      <c r="B17" s="7" t="inlineStr">
        <is>
          <t>MEDIUM</t>
        </is>
      </c>
      <c r="C17" s="7" t="inlineStr">
        <is>
          <t>Useful clarification but omission does not usually reverse the interpretation.</t>
        </is>
      </c>
      <c r="D17" s="7" t="inlineStr">
        <is>
          <t>Related clarifications; no automatic interruption.</t>
        </is>
      </c>
    </row>
    <row r="18">
      <c r="A18" s="7" t="inlineStr">
        <is>
          <t>Auto Priority</t>
        </is>
      </c>
      <c r="B18" s="7" t="inlineStr">
        <is>
          <t>LOW</t>
        </is>
      </c>
      <c r="C18" s="7" t="inlineStr">
        <is>
          <t>Enrichment rather than misunderstanding prevention.</t>
        </is>
      </c>
      <c r="D18" s="7" t="inlineStr">
        <is>
          <t>Explorer/search only.</t>
        </is>
      </c>
    </row>
    <row r="19">
      <c r="A19" s="7" t="inlineStr">
        <is>
          <t>Auto Priority</t>
        </is>
      </c>
      <c r="B19" s="7" t="inlineStr">
        <is>
          <t>NONE</t>
        </is>
      </c>
      <c r="C19" s="7" t="inlineStr">
        <is>
          <t>Never auto-surface.</t>
        </is>
      </c>
      <c r="D19" s="7" t="inlineStr">
        <is>
          <t>Manual only.</t>
        </is>
      </c>
    </row>
    <row r="20">
      <c r="A20" s="7" t="inlineStr">
        <is>
          <t>Display Mode</t>
        </is>
      </c>
      <c r="B20" s="7" t="inlineStr">
        <is>
          <t>AUTO_CUE_MANUAL_EXPANSION</t>
        </is>
      </c>
      <c r="C20" s="7" t="inlineStr">
        <is>
          <t>Show one lightweight cue automatically; user opens full case manually.</t>
        </is>
      </c>
      <c r="D20" s="7" t="inlineStr">
        <is>
          <t>Preferred HIGH-priority behavior.</t>
        </is>
      </c>
    </row>
    <row r="21" ht="15.75" customHeight="1" s="29">
      <c r="A21" s="7" t="inlineStr">
        <is>
          <t>Display Mode</t>
        </is>
      </c>
      <c r="B21" s="7" t="inlineStr">
        <is>
          <t>RELATED_CLARIFICATION</t>
        </is>
      </c>
      <c r="C21" s="7" t="inlineStr">
        <is>
          <t>List under related clarifications without automatic cue.</t>
        </is>
      </c>
      <c r="D21" s="7" t="inlineStr">
        <is>
          <t>Preferred MEDIUM behavior.</t>
        </is>
      </c>
    </row>
    <row r="22" ht="15.75" customHeight="1" s="29">
      <c r="A22" s="7" t="inlineStr">
        <is>
          <t>Display Mode</t>
        </is>
      </c>
      <c r="B22" s="7" t="inlineStr">
        <is>
          <t>EXPLORER_ONLY</t>
        </is>
      </c>
      <c r="C22" s="7" t="inlineStr">
        <is>
          <t>Discoverable only through manual clarification explorer/search.</t>
        </is>
      </c>
      <c r="D22" s="7" t="inlineStr">
        <is>
          <t>Preferred LOW behavior.</t>
        </is>
      </c>
    </row>
    <row r="23" ht="15.75" customHeight="1" s="29">
      <c r="A23" s="7" t="inlineStr">
        <is>
          <t>Review State</t>
        </is>
      </c>
      <c r="B23" s="7" t="inlineStr">
        <is>
          <t>DRAFT</t>
        </is>
      </c>
      <c r="C23" s="7" t="inlineStr">
        <is>
          <t>Researcher/assistant working draft.</t>
        </is>
      </c>
      <c r="D23" s="7" t="inlineStr">
        <is>
          <t>Not public.</t>
        </is>
      </c>
    </row>
    <row r="24" ht="15.75" customHeight="1" s="29">
      <c r="A24" s="7" t="inlineStr">
        <is>
          <t>Review State</t>
        </is>
      </c>
      <c r="B24" s="7" t="inlineStr">
        <is>
          <t>AUTHOR_REVIEW</t>
        </is>
      </c>
      <c r="C24" s="7" t="inlineStr">
        <is>
          <t>Awaiting author approval/revision.</t>
        </is>
      </c>
      <c r="D24" s="7" t="inlineStr">
        <is>
          <t>Not authoritative for conversational answers.</t>
        </is>
      </c>
    </row>
    <row r="25" ht="15.75" customHeight="1" s="29">
      <c r="A25" s="7" t="inlineStr">
        <is>
          <t>Review State</t>
        </is>
      </c>
      <c r="B25" s="7" t="inlineStr">
        <is>
          <t>APPROVED</t>
        </is>
      </c>
      <c r="C25" s="7" t="inlineStr">
        <is>
          <t>Author-approved case.</t>
        </is>
      </c>
      <c r="D25" s="7" t="inlineStr">
        <is>
          <t>May be used as preferred answer authority.</t>
        </is>
      </c>
    </row>
    <row r="26" ht="15.75" customHeight="1" s="29">
      <c r="A26" s="7" t="inlineStr">
        <is>
          <t>Review State</t>
        </is>
      </c>
      <c r="B26" s="7" t="inlineStr">
        <is>
          <t>HOLD</t>
        </is>
      </c>
      <c r="C26" s="7" t="inlineStr">
        <is>
          <t>Known issue prevents release.</t>
        </is>
      </c>
      <c r="D26" s="7" t="inlineStr">
        <is>
          <t>No public use.</t>
        </is>
      </c>
    </row>
    <row r="27" ht="15.75" customHeight="1" s="29">
      <c r="A27" s="7" t="inlineStr">
        <is>
          <t>Review State</t>
        </is>
      </c>
      <c r="B27" s="7" t="inlineStr">
        <is>
          <t>RETIRED</t>
        </is>
      </c>
      <c r="C27" s="7" t="inlineStr">
        <is>
          <t>Superseded historical case.</t>
        </is>
      </c>
      <c r="D27" s="7" t="inlineStr">
        <is>
          <t>Lineage only.</t>
        </is>
      </c>
    </row>
    <row r="28" ht="15.75" customHeight="1" s="29">
      <c r="A28" s="7" t="inlineStr">
        <is>
          <t>Trigger Type</t>
        </is>
      </c>
      <c r="B28" s="7" t="inlineStr">
        <is>
          <t>TERM</t>
        </is>
      </c>
      <c r="C28" s="7" t="inlineStr">
        <is>
          <t>Named term or phrase.</t>
        </is>
      </c>
      <c r="D28" s="7" t="inlineStr">
        <is>
          <t>Deterministic lexical/normalized term match.</t>
        </is>
      </c>
    </row>
    <row r="29" ht="15.75" customHeight="1" s="29">
      <c r="A29" s="7" t="inlineStr">
        <is>
          <t>Trigger Type</t>
        </is>
      </c>
      <c r="B29" s="7" t="inlineStr">
        <is>
          <t>TOPIC</t>
        </is>
      </c>
      <c r="C29" s="7" t="inlineStr">
        <is>
          <t>Topic/domain tag.</t>
        </is>
      </c>
      <c r="D29" s="7" t="inlineStr">
        <is>
          <t>Used with conversation/card context.</t>
        </is>
      </c>
    </row>
    <row r="30" ht="15.75" customHeight="1" s="29">
      <c r="A30" s="7" t="inlineStr">
        <is>
          <t>Trigger Type</t>
        </is>
      </c>
      <c r="B30" s="7" t="inlineStr">
        <is>
          <t>TRADITION</t>
        </is>
      </c>
      <c r="C30" s="7" t="inlineStr">
        <is>
          <t>Tradition or subtradition context.</t>
        </is>
      </c>
      <c r="D30" s="7" t="inlineStr">
        <is>
          <t>Usually a required context, not sufficient alone.</t>
        </is>
      </c>
    </row>
    <row r="31" ht="15.75" customHeight="1" s="29">
      <c r="A31" s="7" t="inlineStr">
        <is>
          <t>Trigger Type</t>
        </is>
      </c>
      <c r="B31" s="7" t="inlineStr">
        <is>
          <t>QUESTION_PATTERN</t>
        </is>
      </c>
      <c r="C31" s="7" t="inlineStr">
        <is>
          <t>Common natural-language question pattern.</t>
        </is>
      </c>
      <c r="D31" s="7" t="inlineStr">
        <is>
          <t>Semantic or pattern match.</t>
        </is>
      </c>
    </row>
    <row r="32" ht="15.75" customHeight="1" s="29">
      <c r="A32" s="7" t="inlineStr">
        <is>
          <t>Trigger Type</t>
        </is>
      </c>
      <c r="B32" s="7" t="inlineStr">
        <is>
          <t>PREDICATE_ID</t>
        </is>
      </c>
      <c r="C32" s="7" t="inlineStr">
        <is>
          <t>Direct link to a counted or context predicate.</t>
        </is>
      </c>
      <c r="D32" s="7" t="inlineStr">
        <is>
          <t>Strong deterministic trigger.</t>
        </is>
      </c>
    </row>
    <row r="33" ht="15.75" customHeight="1" s="29">
      <c r="A33" s="7" t="inlineStr">
        <is>
          <t>Trigger Type</t>
        </is>
      </c>
      <c r="B33" s="7" t="inlineStr">
        <is>
          <t>HAZARD_TYPE</t>
        </is>
      </c>
      <c r="C33" s="7" t="inlineStr">
        <is>
          <t>Interpretive hazard classification.</t>
        </is>
      </c>
      <c r="D33" s="7" t="inlineStr">
        <is>
          <t>Explorer/filter and policy logic.</t>
        </is>
      </c>
    </row>
    <row r="34" ht="15.75" customHeight="1" s="29">
      <c r="A34" s="7" t="inlineStr">
        <is>
          <t>Match Mode</t>
        </is>
      </c>
      <c r="B34" s="7" t="inlineStr">
        <is>
          <t>EXACT</t>
        </is>
      </c>
      <c r="C34" s="7" t="inlineStr">
        <is>
          <t>Exact normalized text.</t>
        </is>
      </c>
      <c r="D34" s="7" t="inlineStr">
        <is>
          <t>Deterministic.</t>
        </is>
      </c>
    </row>
    <row r="35" ht="15.75" customHeight="1" s="29">
      <c r="A35" s="7" t="inlineStr">
        <is>
          <t>Match Mode</t>
        </is>
      </c>
      <c r="B35" s="7" t="inlineStr">
        <is>
          <t>KEYWORD</t>
        </is>
      </c>
      <c r="C35" s="7" t="inlineStr">
        <is>
          <t>Keyword or normalized phrase match.</t>
        </is>
      </c>
      <c r="D35" s="7" t="inlineStr">
        <is>
          <t>Deterministic.</t>
        </is>
      </c>
    </row>
    <row r="36" ht="15.75" customHeight="1" s="29">
      <c r="A36" s="7" t="inlineStr">
        <is>
          <t>Match Mode</t>
        </is>
      </c>
      <c r="B36" s="7" t="inlineStr">
        <is>
          <t>SEMANTIC</t>
        </is>
      </c>
      <c r="C36" s="7" t="inlineStr">
        <is>
          <t>Meaning-level conversational match.</t>
        </is>
      </c>
      <c r="D36" s="7" t="inlineStr">
        <is>
          <t>Assistant/runtime only.</t>
        </is>
      </c>
    </row>
    <row r="37" ht="15.75" customHeight="1" s="29">
      <c r="A37" s="7" t="inlineStr">
        <is>
          <t>Match Mode</t>
        </is>
      </c>
      <c r="B37" s="7" t="inlineStr">
        <is>
          <t>CONTEXT_BUNDLED</t>
        </is>
      </c>
      <c r="C37" s="7" t="inlineStr">
        <is>
          <t>Requires trigger plus specified tradition/topic context.</t>
        </is>
      </c>
      <c r="D37" s="7" t="inlineStr">
        <is>
          <t>Preferred for auto-cues.</t>
        </is>
      </c>
    </row>
    <row r="38" ht="15.75" customHeight="1" s="29">
      <c r="A38" s="7" t="inlineStr">
        <is>
          <t>Source Role</t>
        </is>
      </c>
      <c r="B38" s="7" t="inlineStr">
        <is>
          <t>CURRENT_INSTITUTIONAL</t>
        </is>
      </c>
      <c r="C38" s="7" t="inlineStr">
        <is>
          <t>Current official institutional/confessional source.</t>
        </is>
      </c>
      <c r="D38" s="7" t="inlineStr">
        <is>
          <t>Preferred for contemporary claims.</t>
        </is>
      </c>
    </row>
    <row r="39" ht="15.75" customHeight="1" s="29">
      <c r="A39" s="7" t="inlineStr">
        <is>
          <t>Source Role</t>
        </is>
      </c>
      <c r="B39" s="7" t="inlineStr">
        <is>
          <t>HISTORICAL_CONFESSIONAL</t>
        </is>
      </c>
      <c r="C39" s="7" t="inlineStr">
        <is>
          <t>Historical confession or classic confessional witness.</t>
        </is>
      </c>
      <c r="D39" s="7" t="inlineStr">
        <is>
          <t>Use with explicit historical scope.</t>
        </is>
      </c>
    </row>
    <row r="40" ht="15.75" customHeight="1" s="29">
      <c r="A40" s="7" t="inlineStr">
        <is>
          <t>Source Role</t>
        </is>
      </c>
      <c r="B40" s="7" t="inlineStr">
        <is>
          <t>ECCLESIAL_PRACTICE</t>
        </is>
      </c>
      <c r="C40" s="7" t="inlineStr">
        <is>
          <t>Institutional statement/practice source bearing on discipline or governance.</t>
        </is>
      </c>
      <c r="D40" s="7" t="inlineStr">
        <is>
          <t>Do not equate with soteriological mechanism.</t>
        </is>
      </c>
    </row>
    <row r="41" ht="15.75" customHeight="1" s="29">
      <c r="A41" s="7" t="inlineStr">
        <is>
          <t>Source Role</t>
        </is>
      </c>
      <c r="B41" s="7" t="inlineStr">
        <is>
          <t>VARIATION_WITNESS</t>
        </is>
      </c>
      <c r="C41" s="7" t="inlineStr">
        <is>
          <t>Authoritative witness to variation within the tradition family.</t>
        </is>
      </c>
      <c r="D41" s="7" t="inlineStr">
        <is>
          <t>Required for family-variation claims.</t>
        </is>
      </c>
    </row>
    <row r="42" ht="15.75" customHeight="1" s="29">
      <c r="A42" s="7" t="inlineStr">
        <is>
          <t>Answer Authority</t>
        </is>
      </c>
      <c r="B42" s="7" t="inlineStr">
        <is>
          <t>DRAFT_CASE</t>
        </is>
      </c>
      <c r="C42" s="7" t="inlineStr">
        <is>
          <t>Case may inform research but not override general assistant synthesis.</t>
        </is>
      </c>
      <c r="D42" s="7" t="inlineStr">
        <is>
          <t>Not public authority.</t>
        </is>
      </c>
    </row>
    <row r="43" ht="15.75" customHeight="1" s="29">
      <c r="A43" s="7" t="inlineStr">
        <is>
          <t>Answer Authority</t>
        </is>
      </c>
      <c r="B43" s="7" t="inlineStr">
        <is>
          <t>APPROVED_CASE</t>
        </is>
      </c>
      <c r="C43" s="7" t="inlineStr">
        <is>
          <t>Author-approved case should be preferred for matching app/conversational questions.</t>
        </is>
      </c>
      <c r="D43" s="7" t="inlineStr">
        <is>
          <t>Use with source citations and scope.</t>
        </is>
      </c>
    </row>
    <row r="44" ht="15.75" customHeight="1" s="29">
      <c r="A44" s="0" t="inlineStr">
        <is>
          <t>Source Role</t>
        </is>
      </c>
      <c r="B44" s="0" t="inlineStr">
        <is>
          <t>CANONICAL_SCRIPTURE</t>
        </is>
      </c>
      <c r="C44" s="0" t="inlineStr">
        <is>
          <t>Canonized scripture of the tradition (for Latter-day Saints: the standard works).</t>
        </is>
      </c>
      <c r="D44" s="0" t="inlineStr">
        <is>
          <t>Highest authority tier for that tradition; cite verse-level locator.</t>
        </is>
      </c>
    </row>
    <row r="45" ht="15.75" customHeight="1" s="29">
      <c r="A45" s="0" t="inlineStr">
        <is>
          <t>Source Role</t>
        </is>
      </c>
      <c r="B45" s="0" t="inlineStr">
        <is>
          <t>OFFICIAL_EXPOSITION</t>
        </is>
      </c>
      <c r="C45" s="0" t="inlineStr">
        <is>
          <t>Official but non-canonical exposition by the tradition's authorized leaders (e.g., General Conference address published by the Church).</t>
        </is>
      </c>
      <c r="D45" s="0" t="inlineStr">
        <is>
          <t>Use with speaker, occasion, and date; may express current emphasis rather than dogma.</t>
        </is>
      </c>
    </row>
    <row r="46" ht="15.75" customHeight="1" s="29">
      <c r="A46" s="0" t="inlineStr">
        <is>
          <t>Fetch mode</t>
        </is>
      </c>
      <c r="B46" s="0" t="inlineStr">
        <is>
          <t>RENDERED</t>
        </is>
      </c>
      <c r="C46" s="0" t="inlineStr">
        <is>
          <t>churchofjesuschrist.org pages render text client-side; phrase assertions require Playwright or the Church content API.</t>
        </is>
      </c>
      <c r="D46" s="0" t="inlineStr">
        <is>
          <t>P006/P020 must use rendered fetch for this host.</t>
        </is>
      </c>
    </row>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AE5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44" customWidth="1" style="29" min="2" max="2"/>
    <col width="34" customWidth="1" style="29" min="3" max="4"/>
    <col width="22" customWidth="1" style="29" min="5" max="5"/>
    <col width="58" customWidth="1" style="29" min="6" max="6"/>
    <col width="12" customWidth="1" style="29" min="7" max="7"/>
    <col width="24" customWidth="1" style="29" min="8" max="8"/>
    <col width="30" customWidth="1" style="29" min="9" max="9"/>
    <col width="62" customWidth="1" style="29" min="10" max="10"/>
    <col width="16" customWidth="1" style="29" min="11" max="11"/>
    <col width="32" customWidth="1" style="29" min="12" max="12"/>
    <col width="14" customWidth="1" style="29" min="13" max="13"/>
    <col width="18" customWidth="1" style="29" min="14" max="14"/>
    <col width="30" customWidth="1" style="29" min="15" max="15"/>
    <col width="18" customWidth="1" style="29" min="16" max="16"/>
    <col width="68" customWidth="1" style="29" min="17" max="17"/>
    <col width="72" customWidth="1" style="29" min="18" max="18"/>
    <col width="90" customWidth="1" style="29" min="19" max="19"/>
    <col width="88" customWidth="1" style="29" min="20" max="20"/>
    <col width="82" customWidth="1" style="29" min="21" max="22"/>
    <col width="78" customWidth="1" style="29" min="23" max="23"/>
    <col width="30" customWidth="1" style="29" min="24" max="24"/>
    <col width="34" customWidth="1" style="29" min="25" max="25"/>
    <col width="18" customWidth="1" style="29" min="26" max="26"/>
    <col width="58" customWidth="1" style="29" min="27" max="27"/>
    <col width="20" customWidth="1" style="29" min="28" max="28"/>
    <col width="64" customWidth="1" style="29" min="29" max="29"/>
    <col width="20" customWidth="1" style="29" min="30" max="30"/>
    <col width="72" customWidth="1" style="29" min="31" max="31"/>
  </cols>
  <sheetData>
    <row r="1">
      <c r="A1" s="5" t="inlineStr">
        <is>
          <t>Case ID</t>
        </is>
      </c>
      <c r="B1" s="5" t="inlineStr">
        <is>
          <t>Public title</t>
        </is>
      </c>
      <c r="C1" s="5" t="inlineStr">
        <is>
          <t>Short label</t>
        </is>
      </c>
      <c r="D1" s="5" t="inlineStr">
        <is>
          <t>Case type</t>
        </is>
      </c>
      <c r="E1" s="5" t="inlineStr">
        <is>
          <t>Primary tradition family</t>
        </is>
      </c>
      <c r="F1" s="5" t="inlineStr">
        <is>
          <t>Subtradition scope</t>
        </is>
      </c>
      <c r="G1" s="5" t="inlineStr">
        <is>
          <t>Counted?</t>
        </is>
      </c>
      <c r="H1" s="5" t="inlineStr">
        <is>
          <t>Quantitative impact</t>
        </is>
      </c>
      <c r="I1" s="5" t="inlineStr">
        <is>
          <t>Primary hazard</t>
        </is>
      </c>
      <c r="J1" s="5" t="inlineStr">
        <is>
          <t>Additional hazards</t>
        </is>
      </c>
      <c r="K1" s="5" t="inlineStr">
        <is>
          <t>Auto priority</t>
        </is>
      </c>
      <c r="L1" s="5" t="inlineStr">
        <is>
          <t>Display mode</t>
        </is>
      </c>
      <c r="M1" s="5" t="inlineStr">
        <is>
          <t>Max auto cues</t>
        </is>
      </c>
      <c r="N1" s="5" t="inlineStr">
        <is>
          <t>Review state</t>
        </is>
      </c>
      <c r="O1" s="5" t="inlineStr">
        <is>
          <t>App availability</t>
        </is>
      </c>
      <c r="P1" s="5" t="inlineStr">
        <is>
          <t>Answer authority</t>
        </is>
      </c>
      <c r="Q1" s="5" t="inlineStr">
        <is>
          <t>Learner question / apparent tension</t>
        </is>
      </c>
      <c r="R1" s="5" t="inlineStr">
        <is>
          <t>Key distinction</t>
        </is>
      </c>
      <c r="S1" s="5" t="inlineStr">
        <is>
          <t>Resolution summary</t>
        </is>
      </c>
      <c r="T1" s="5" t="inlineStr">
        <is>
          <t>Internal variation</t>
        </is>
      </c>
      <c r="U1" s="5" t="inlineStr">
        <is>
          <t>Interfaith significance</t>
        </is>
      </c>
      <c r="V1" s="5" t="inlineStr">
        <is>
          <t>What this case does NOT prove</t>
        </is>
      </c>
      <c r="W1" s="5" t="inlineStr">
        <is>
          <t>Learner cue copy</t>
        </is>
      </c>
      <c r="X1" s="5" t="inlineStr">
        <is>
          <t>Manual explorer category</t>
        </is>
      </c>
      <c r="Y1" s="5" t="inlineStr">
        <is>
          <t>Related current predicate IDs</t>
        </is>
      </c>
      <c r="Z1" s="5" t="inlineStr">
        <is>
          <t>Author decision</t>
        </is>
      </c>
      <c r="AA1" s="5" t="inlineStr">
        <is>
          <t>Author notes</t>
        </is>
      </c>
      <c r="AB1" s="5" t="inlineStr">
        <is>
          <t>Cue author decision</t>
        </is>
      </c>
      <c r="AC1" s="5" t="inlineStr">
        <is>
          <t>Cue author response / notes</t>
        </is>
      </c>
      <c r="AD1" s="5" t="inlineStr">
        <is>
          <t>Case author decision</t>
        </is>
      </c>
      <c r="AE1" s="5" t="inlineStr">
        <is>
          <t>Case author response / notes</t>
        </is>
      </c>
    </row>
    <row r="2">
      <c r="A2" s="7" t="inlineStr">
        <is>
          <t>ICC-001</t>
        </is>
      </c>
      <c r="B2" s="7" t="inlineStr">
        <is>
          <t>Faith Alone, but Not Faith Without Fruit</t>
        </is>
      </c>
      <c r="C2" s="7" t="inlineStr">
        <is>
          <t>Baptist sola fide and church discipline</t>
        </is>
      </c>
      <c r="D2" s="7" t="inlineStr">
        <is>
          <t>APPARENT_TENSION_RESOLUTION</t>
        </is>
      </c>
      <c r="E2" s="7" t="inlineStr">
        <is>
          <t>Baptist</t>
        </is>
      </c>
      <c r="F2" s="7" t="inlineStr">
        <is>
          <t>Southern Baptist + confessional/Reformed Baptist core; Free Will Baptist variation note</t>
        </is>
      </c>
      <c r="G2" s="7" t="b">
        <v>0</v>
      </c>
      <c r="H2" s="7" t="inlineStr">
        <is>
          <t>NONE — NOT COUNTED</t>
        </is>
      </c>
      <c r="I2" s="7" t="inlineStr">
        <is>
          <t>SLOGAN_COMPRESSION</t>
        </is>
      </c>
      <c r="J2" s="7" t="inlineStr">
        <is>
          <t>APPARENT_CONTRADICTION | ECCLESIAL_VS_SOTERIOLOGICAL | FAMILY_VARIATION</t>
        </is>
      </c>
      <c r="K2" s="7" t="inlineStr">
        <is>
          <t>HIGH</t>
        </is>
      </c>
      <c r="L2" s="7" t="inlineStr">
        <is>
          <t>AUTO_CUE_MANUAL_EXPANSION</t>
        </is>
      </c>
      <c r="M2" s="7" t="n">
        <v>1</v>
      </c>
      <c r="N2" s="7" t="inlineStr">
        <is>
          <t>APPROVED</t>
        </is>
      </c>
      <c r="O2" s="7" t="inlineStr">
        <is>
          <t>AVAILABLE — PAIRED RELEASE WITH ICC-002 (engineering gates)</t>
        </is>
      </c>
      <c r="P2" s="7" t="inlineStr">
        <is>
          <t>APPROVED_CASE</t>
        </is>
      </c>
      <c r="Q2" s="7" t="inlineStr">
        <is>
          <t>If Baptists teach justification by faith alone, why can persistent sin or heresy result in church discipline or excommunication?</t>
        </is>
      </c>
      <c r="R2" s="7" t="inlineStr">
        <is>
          <t>Distinguish justification/standing before God from the congregation's judgment of visible profession, discipleship, and membership.</t>
        </is>
      </c>
      <c r="S2" s="7" t="inlineStr">
        <is>
          <t>In Southern and confessional/Reformed Baptist theology, works do not merit justification. Repentance, sanctification, perseverance, and obedience are expected fruits/evidences of regeneration. Church discipline therefore addresses visible profession and ecclesial fellowship rather than functioning as a church cancellation of God's justification.</t>
        </is>
      </c>
      <c r="T2" s="7" t="inlineStr">
        <is>
          <t>Southern and confessional/Reformed Baptists typically resolve the tension through perseverance and evidentiary fruit. Free Will Baptists likewise deny salvation by works but allow that a genuinely saved person may later make shipwreck of faith and be lost.</t>
        </is>
      </c>
      <c r="U2" s="7" t="inlineStr">
        <is>
          <t>The case shows why 'faith alone' is not equivalent to 'conduct does not matter.' It reveals substantial shared Christian concern for repentance, holiness, perseverance, accountability, and discipleship while preserving real differences in the theology of justification and security.</t>
        </is>
      </c>
      <c r="V2" s="7" t="inlineStr">
        <is>
          <t>It does not make Baptist and Latter-day Saint soteriology identical; it does not claim all Baptists share one perseverance model; and it does not treat excommunication as a direct determination of God's hidden judgment of regeneration.</t>
        </is>
      </c>
      <c r="W2" s="7" t="inlineStr">
        <is>
          <t>How can faith alone and church discipline both fit Baptist theology? See the distinction.</t>
        </is>
      </c>
      <c r="X2" s="7" t="inlineStr">
        <is>
          <t>Salvation &amp; discipleship</t>
        </is>
      </c>
      <c r="Y2" s="7" t="n"/>
      <c r="Z2" s="7" t="inlineStr">
        <is>
          <t>APPROVED</t>
        </is>
      </c>
      <c r="AA2" s="7" t="inlineStr">
        <is>
          <t>AJP 2026-09-09: content approved (AUTH-ICC-001-CASE opt 1); cue = question form (AUTH-ICC-001-CUE opt 1); anchor = explorer category per AUTH-ARCH-003; release held for ICC-002 per AUTH-ARCH-005. 2026-09-09: lens-balance satisfied by ICC-002 approval; release hold lifted.</t>
        </is>
      </c>
      <c r="AB2" s="8">
        <f>IF('Author Decision Queue'!$Z$8="RESOLVED","APPROVED/REVISED",IF('Author Decision Queue'!$Z$8="HOLD","HOLD","PENDING"))</f>
        <v/>
      </c>
      <c r="AC2" s="8">
        <f>IF(AB2="PENDING","",IF('Author Decision Queue'!$U$8&lt;&gt;"",'Author Decision Queue'!$U$8,'Author Decision Queue'!$Y$8))</f>
        <v/>
      </c>
      <c r="AD2" s="8">
        <f>IF('Author Decision Queue'!$Z$9="RESOLVED","APPROVED/REVISED",IF('Author Decision Queue'!$Z$9="HOLD","HOLD","PENDING"))</f>
        <v/>
      </c>
      <c r="AE2" s="8">
        <f>IF(AD2="PENDING","",IF('Author Decision Queue'!$U$9&lt;&gt;"",'Author Decision Queue'!$U$9,'Author Decision Queue'!$Y$9))</f>
        <v/>
      </c>
    </row>
    <row r="3">
      <c r="A3" s="0" t="inlineStr">
        <is>
          <t>ICC-002</t>
        </is>
      </c>
      <c r="B3" s="0" t="inlineStr">
        <is>
          <t>By Grace, After All We Can Do</t>
        </is>
      </c>
      <c r="C3" s="0" t="inlineStr">
        <is>
          <t>Latter-day Saint grace and "after all we can do"</t>
        </is>
      </c>
      <c r="D3" s="0" t="inlineStr">
        <is>
          <t>APPARENT_TENSION_RESOLUTION</t>
        </is>
      </c>
      <c r="E3" s="0" t="inlineStr">
        <is>
          <t>Latter-day Saint</t>
        </is>
      </c>
      <c r="F3" s="0" t="inlineStr">
        <is>
          <t>The Church of Jesus Christ of Latter-day Saints (canonical scripture + official General Conference and Gospel Topics teaching)</t>
        </is>
      </c>
      <c r="G3" s="0" t="b">
        <v>0</v>
      </c>
      <c r="H3" s="0" t="inlineStr">
        <is>
          <t>NONE — NOT COUNTED</t>
        </is>
      </c>
      <c r="I3" s="0" t="inlineStr">
        <is>
          <t>SLOGAN_COMPRESSION</t>
        </is>
      </c>
      <c r="J3" s="0" t="inlineStr">
        <is>
          <t>APPARENT_CONTRADICTION | SAME_WORD_DIFFERENT_MEANING | SEMANTIC_FLOOR</t>
        </is>
      </c>
      <c r="K3" s="0" t="inlineStr">
        <is>
          <t>HIGH</t>
        </is>
      </c>
      <c r="L3" s="0" t="inlineStr">
        <is>
          <t>AUTO_CUE_MANUAL_EXPANSION</t>
        </is>
      </c>
      <c r="M3" s="0" t="n">
        <v>1</v>
      </c>
      <c r="N3" s="8" t="inlineStr">
        <is>
          <t>APPROVED</t>
        </is>
      </c>
      <c r="O3" s="0" t="inlineStr">
        <is>
          <t>AVAILABLE — PAIRED RELEASE WITH ICC-001 (engineering gates)</t>
        </is>
      </c>
      <c r="P3" s="0" t="inlineStr">
        <is>
          <t>APPROVED_CASE</t>
        </is>
      </c>
      <c r="Q3" s="0" t="inlineStr">
        <is>
          <t>If Latter-day Saints believe they are saved by grace, why does the Book of Mormon say "after all we can do," and why do the Articles of Faith say salvation comes "by obedience to the laws and ordinances of the Gospel"? Does that mean Latter-day Saints earn salvation by works?</t>
        </is>
      </c>
      <c r="R3" s="0" t="inlineStr">
        <is>
          <t>Distinguish the source of salvation (the grace of Jesus Christ alone, which no one can earn) from the response salvation calls for (repentance, faith, obedience, and enduring), and distinguish "saved" in the broad sense (resurrection and redemption offered to all) from exaltation (the fulness of eternal life received through covenant).</t>
        </is>
      </c>
      <c r="S3" s="0" t="inlineStr">
        <is>
          <t>In Latter-day Saint teaching, no one earns salvation. The Book of Mormon states that it is "only in and through the grace of God" that anyone is saved (2 Nephi 10:24), and official teaching states plainly that "we cannot earn our way into heaven" and that salvation "cannot be bought with the currency of obedience" (Dieter F. Uchtdorf, "The Gift of Grace," April 2015 General Conference). "After all we can do" (2 Nephi 25:23) does not mean grace is paid out once human effort is exhausted; in the Book of Mormon's own usage "all we could do" is repentance (Alma 24:11). Obedience to the laws and ordinances of the gospel (Articles of Faith 1:3) is the covenant response through which a person receives and keeps receiving the gift, not a price paid for it. Official teaching describes obedience as "the reaching out of our mortal hand to receive this sacred gift" and grace as "the divine help or strength extended to us through the Atonement" (Gospel Topics: Grace) that enables the disciple to be "perfect in Christ" (Moroni 10:32).</t>
        </is>
      </c>
      <c r="T3" s="0" t="inlineStr">
        <is>
          <t>Latter-day Saints have read "after" in 2 Nephi 25:23 two ways: as a temporal sequence (grace completes what effort begins) and, in the reading emphasized by recent official teaching, as "in spite of" or "regardless of" all we can do. Both readings deny that salvation is earned; they differ on how to describe the relationship between effort and gift. The doctrine also uses a graded vocabulary: universal salvation from physical death through resurrection, redemption from sin through faith and repentance, and exaltation through covenant obedience. A Latter-day Saint who says "saved" may mean any of these, which is where interfaith conversations most often talk past each other.</t>
        </is>
      </c>
      <c r="U3" s="0" t="inlineStr">
        <is>
          <t>The case shows why "after all we can do" is not equivalent to "Latter-day Saints earn salvation by works." It reveals substantial shared Christian ground: salvation is a gift of grace through Jesus Christ that no one can merit, and true faith is expected to bear fruit in repentance and obedience. It preserves the real difference, which is not grace versus works but the covenantal structure through which grace is received and the distinction between salvation and exaltation. Read beside ICC-001, it shows both traditions carrying the same fault line in mirror image: a Baptist slogan that sounds like conduct is irrelevant, and a Latter-day Saint slogan that sounds like grace is a reward.</t>
        </is>
      </c>
      <c r="V3" s="0" t="inlineStr">
        <is>
          <t>It does not make Latter-day Saint and Baptist or Reformed soteriology identical; it does not resolve the differences over imputed versus infused righteousness, ordinances as conditions of covenant, or the doctrine of exaltation; and it does not claim that every Latter-day Saint has always articulated grace without a works-emphasis. It settles what the sources teach, not how every member has spoken.</t>
        </is>
      </c>
      <c r="W3" s="0" t="inlineStr">
        <is>
          <t>How can Latter-day Saints say they are saved by grace "after all we can do"? See the distinction.</t>
        </is>
      </c>
      <c r="X3" s="0" t="inlineStr">
        <is>
          <t>Salvation &amp; discipleship</t>
        </is>
      </c>
      <c r="Y3" s="0" t="inlineStr">
        <is>
          <t>RNR-H16 (Gracious); RNR-H27 (Savior); RNR-A19 (become like God — exaltation vocabulary)</t>
        </is>
      </c>
      <c r="Z3" s="8" t="inlineStr">
        <is>
          <t>APPROVED</t>
        </is>
      </c>
      <c r="AA3" s="0" t="inlineStr">
        <is>
          <t>AJP 2026-09-09: case content approved; cue approved; vocabulary additions CANONICAL_SCRIPTURE and OFFICIAL_EXPOSITION confirmed. Mirror of ICC-001 under AUTH-ARCH-005.</t>
        </is>
      </c>
      <c r="AB3" s="0" t="inlineStr">
        <is>
          <t>APPROVED</t>
        </is>
      </c>
      <c r="AC3" s="0" t="inlineStr">
        <is>
          <t>AJP 2026-09-09</t>
        </is>
      </c>
      <c r="AD3" s="0" t="inlineStr">
        <is>
          <t>APPROVED</t>
        </is>
      </c>
      <c r="AE3" s="0" t="inlineStr">
        <is>
          <t>AJP 2026-09-09</t>
        </is>
      </c>
    </row>
    <row r="4">
      <c r="N4" s="8" t="n"/>
      <c r="Z4" s="8" t="n"/>
    </row>
    <row r="5">
      <c r="N5" s="8" t="n"/>
      <c r="Z5" s="8" t="n"/>
    </row>
    <row r="6">
      <c r="N6" s="8" t="n"/>
      <c r="Z6" s="8" t="n"/>
    </row>
    <row r="7">
      <c r="N7" s="8" t="n"/>
      <c r="Z7" s="8" t="n"/>
    </row>
    <row r="8">
      <c r="N8" s="8" t="n"/>
      <c r="Z8" s="8" t="n"/>
    </row>
    <row r="9">
      <c r="N9" s="8" t="n"/>
      <c r="Z9" s="8" t="n"/>
    </row>
    <row r="10">
      <c r="N10" s="8" t="n"/>
      <c r="Z10" s="8" t="n"/>
    </row>
    <row r="11">
      <c r="N11" s="8" t="n"/>
      <c r="Z11" s="8" t="n"/>
    </row>
    <row r="12">
      <c r="N12" s="8" t="n"/>
      <c r="Z12" s="8" t="n"/>
    </row>
    <row r="13">
      <c r="N13" s="8" t="n"/>
      <c r="Z13" s="8" t="n"/>
    </row>
    <row r="14">
      <c r="N14" s="8" t="n"/>
      <c r="Z14" s="8" t="n"/>
    </row>
    <row r="15">
      <c r="N15" s="8" t="n"/>
      <c r="Z15" s="8" t="n"/>
    </row>
    <row r="16">
      <c r="N16" s="8" t="n"/>
      <c r="Z16" s="8" t="n"/>
    </row>
    <row r="17">
      <c r="N17" s="8" t="n"/>
      <c r="Z17" s="8" t="n"/>
    </row>
    <row r="18">
      <c r="N18" s="8" t="n"/>
      <c r="Z18" s="8" t="n"/>
    </row>
    <row r="19">
      <c r="N19" s="8" t="n"/>
      <c r="Z19" s="8" t="n"/>
    </row>
    <row r="20">
      <c r="N20" s="8" t="n"/>
      <c r="Z20" s="8" t="n"/>
    </row>
    <row r="21" ht="15.75" customHeight="1" s="29">
      <c r="N21" s="8" t="n"/>
      <c r="Z21" s="8" t="n"/>
    </row>
    <row r="22" ht="15.75" customHeight="1" s="29">
      <c r="N22" s="8" t="n"/>
      <c r="Z22" s="8" t="n"/>
    </row>
    <row r="23" ht="15.75" customHeight="1" s="29">
      <c r="N23" s="8" t="n"/>
      <c r="Z23" s="8" t="n"/>
    </row>
    <row r="24" ht="15.75" customHeight="1" s="29">
      <c r="N24" s="8" t="n"/>
      <c r="Z24" s="8" t="n"/>
    </row>
    <row r="25" ht="15.75" customHeight="1" s="29">
      <c r="N25" s="8" t="n"/>
      <c r="Z25" s="8" t="n"/>
    </row>
    <row r="26" ht="15.75" customHeight="1" s="29">
      <c r="N26" s="8" t="n"/>
      <c r="Z26" s="8" t="n"/>
    </row>
    <row r="27" ht="15.75" customHeight="1" s="29">
      <c r="N27" s="8" t="n"/>
      <c r="Z27" s="8" t="n"/>
    </row>
    <row r="28" ht="15.75" customHeight="1" s="29">
      <c r="N28" s="8" t="n"/>
      <c r="Z28" s="8" t="n"/>
    </row>
    <row r="29" ht="15.75" customHeight="1" s="29">
      <c r="N29" s="8" t="n"/>
      <c r="Z29" s="8" t="n"/>
    </row>
    <row r="30" ht="15.75" customHeight="1" s="29">
      <c r="N30" s="8" t="n"/>
      <c r="Z30" s="8" t="n"/>
    </row>
    <row r="31" ht="15.75" customHeight="1" s="29">
      <c r="N31" s="8" t="n"/>
      <c r="Z31" s="8" t="n"/>
    </row>
    <row r="32" ht="15.75" customHeight="1" s="29">
      <c r="N32" s="8" t="n"/>
      <c r="Z32" s="8" t="n"/>
    </row>
    <row r="33" ht="15.75" customHeight="1" s="29">
      <c r="N33" s="8" t="n"/>
      <c r="Z33" s="8" t="n"/>
    </row>
    <row r="34" ht="15.75" customHeight="1" s="29">
      <c r="N34" s="8" t="n"/>
      <c r="Z34" s="8" t="n"/>
    </row>
    <row r="35" ht="15.75" customHeight="1" s="29">
      <c r="N35" s="8" t="n"/>
      <c r="Z35" s="8" t="n"/>
    </row>
    <row r="36" ht="15.75" customHeight="1" s="29">
      <c r="N36" s="8" t="n"/>
      <c r="Z36" s="8" t="n"/>
    </row>
    <row r="37" ht="15.75" customHeight="1" s="29">
      <c r="N37" s="8" t="n"/>
      <c r="Z37" s="8" t="n"/>
    </row>
    <row r="38" ht="15.75" customHeight="1" s="29">
      <c r="N38" s="8" t="n"/>
      <c r="Z38" s="8" t="n"/>
    </row>
    <row r="39" ht="15.75" customHeight="1" s="29">
      <c r="N39" s="8" t="n"/>
      <c r="Z39" s="8" t="n"/>
    </row>
    <row r="40" ht="15.75" customHeight="1" s="29">
      <c r="N40" s="8" t="n"/>
      <c r="Z40" s="8" t="n"/>
    </row>
    <row r="41" ht="15.75" customHeight="1" s="29">
      <c r="N41" s="8" t="n"/>
      <c r="Z41" s="8" t="n"/>
    </row>
    <row r="42" ht="15.75" customHeight="1" s="29">
      <c r="N42" s="8" t="n"/>
      <c r="Z42" s="8" t="n"/>
    </row>
    <row r="43" ht="15.75" customHeight="1" s="29">
      <c r="N43" s="8" t="n"/>
      <c r="Z43" s="8" t="n"/>
    </row>
    <row r="44" ht="15.75" customHeight="1" s="29">
      <c r="N44" s="8" t="n"/>
      <c r="Z44" s="8" t="n"/>
    </row>
    <row r="45" ht="15.75" customHeight="1" s="29">
      <c r="N45" s="8" t="n"/>
      <c r="Z45" s="8" t="n"/>
    </row>
    <row r="46" ht="15.75" customHeight="1" s="29">
      <c r="N46" s="8" t="n"/>
      <c r="Z46" s="8" t="n"/>
    </row>
    <row r="47" ht="15.75" customHeight="1" s="29">
      <c r="N47" s="8" t="n"/>
      <c r="Z47" s="8" t="n"/>
    </row>
    <row r="48" ht="15.75" customHeight="1" s="29">
      <c r="N48" s="8" t="n"/>
      <c r="Z48" s="8" t="n"/>
    </row>
    <row r="49" ht="15.75" customHeight="1" s="29">
      <c r="N49" s="8" t="n"/>
      <c r="Z49" s="8" t="n"/>
    </row>
    <row r="50" ht="15.75" customHeight="1" s="29">
      <c r="N50" s="8" t="n"/>
      <c r="Z50" s="8" t="n"/>
    </row>
    <row r="51" ht="15.75" customHeight="1" s="29">
      <c r="A51" s="0" t="n"/>
      <c r="B51" s="0" t="n"/>
      <c r="C51" s="0" t="n"/>
      <c r="D51" s="0" t="n"/>
      <c r="E51" s="0" t="n"/>
      <c r="F51" s="0" t="n"/>
      <c r="G51" s="0" t="n"/>
      <c r="H51" s="0" t="n"/>
      <c r="I51" s="0" t="n"/>
      <c r="J51" s="0" t="n"/>
      <c r="K51" s="0" t="n"/>
      <c r="L51" s="0" t="n"/>
      <c r="M51" s="0" t="n"/>
      <c r="N51" s="0" t="n"/>
      <c r="O51" s="0" t="n"/>
      <c r="P51" s="0" t="n"/>
      <c r="Q51" s="0" t="n"/>
      <c r="R51" s="0" t="n"/>
      <c r="S51" s="0" t="n"/>
      <c r="T51" s="0" t="n"/>
      <c r="U51" s="0" t="n"/>
      <c r="V51" s="0" t="n"/>
      <c r="W51" s="0" t="n"/>
      <c r="X51" s="0" t="n"/>
      <c r="Y51" s="0" t="n"/>
      <c r="Z51" s="0" t="n"/>
      <c r="AA51" s="0" t="n"/>
      <c r="AB51" s="0" t="n"/>
      <c r="AC51" s="0" t="n"/>
      <c r="AD51" s="0" t="n"/>
      <c r="AE51" s="0" t="n"/>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1000">
    <cfRule type="expression" priority="1" dxfId="5">
      <formula>N2="APPROVED"</formula>
    </cfRule>
    <cfRule type="expression" priority="2" dxfId="7">
      <formula>N2="AUTHOR_REVIEW"</formula>
    </cfRule>
    <cfRule type="expression" priority="3" dxfId="6">
      <formula>N2="HOLD"</formula>
    </cfRule>
  </conditionalFormatting>
  <dataValidations count="2">
    <dataValidation sqref="N2:N50" showDropDown="0" showInputMessage="0" showErrorMessage="0" allowBlank="1" type="list">
      <formula1>"DRAFT,AUTHOR_REVIEW,APPROVED,HOLD,RETIRED"</formula1>
    </dataValidation>
    <dataValidation sqref="Z2:Z50" showDropDown="0" showInputMessage="0" showErrorMessage="0" allowBlank="1" type="list">
      <formula1>"PENDING,APPROVE,REVISE,HOLD"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2" customWidth="1" style="29" min="3" max="3"/>
    <col width="52" customWidth="1" style="29" min="4" max="4"/>
    <col width="22" customWidth="1" style="29" min="5" max="5"/>
    <col width="28" customWidth="1" style="29" min="6" max="7"/>
    <col width="20" customWidth="1" style="29" min="8" max="8"/>
    <col width="12" customWidth="1" style="29" min="9" max="9"/>
    <col width="16" customWidth="1" style="29" min="10" max="10"/>
    <col width="18" customWidth="1" style="29" min="11" max="11"/>
    <col width="62" customWidth="1" style="29" min="12" max="12"/>
    <col width="12" customWidth="1" style="29" min="13" max="13"/>
    <col width="8.630000000000001" customWidth="1" style="29" min="14" max="26"/>
  </cols>
  <sheetData>
    <row r="1">
      <c r="A1" s="5" t="inlineStr">
        <is>
          <t>Trigger ID</t>
        </is>
      </c>
      <c r="B1" s="5" t="inlineStr">
        <is>
          <t>Case ID</t>
        </is>
      </c>
      <c r="C1" s="5" t="inlineStr">
        <is>
          <t>Trigger type</t>
        </is>
      </c>
      <c r="D1" s="5" t="inlineStr">
        <is>
          <t>Trigger value</t>
        </is>
      </c>
      <c r="E1" s="5" t="inlineStr">
        <is>
          <t>Match mode</t>
        </is>
      </c>
      <c r="F1" s="5" t="inlineStr">
        <is>
          <t>Required tradition context</t>
        </is>
      </c>
      <c r="G1" s="5" t="inlineStr">
        <is>
          <t>Required topic context</t>
        </is>
      </c>
      <c r="H1" s="5" t="inlineStr">
        <is>
          <t>Auto-cue eligible?</t>
        </is>
      </c>
      <c r="I1" s="5" t="inlineStr">
        <is>
          <t>Priority</t>
        </is>
      </c>
      <c r="J1" s="5" t="inlineStr">
        <is>
          <t>Relevance weight</t>
        </is>
      </c>
      <c r="K1" s="5" t="inlineStr">
        <is>
          <t>Manual explorer?</t>
        </is>
      </c>
      <c r="L1" s="5" t="inlineStr">
        <is>
          <t>Trigger note</t>
        </is>
      </c>
      <c r="M1" s="5" t="inlineStr">
        <is>
          <t>Active?</t>
        </is>
      </c>
    </row>
    <row r="2">
      <c r="A2" s="7" t="inlineStr">
        <is>
          <t>ICT-001</t>
        </is>
      </c>
      <c r="B2" s="7" t="inlineStr">
        <is>
          <t>ICC-001</t>
        </is>
      </c>
      <c r="C2" s="7" t="inlineStr">
        <is>
          <t>TERM</t>
        </is>
      </c>
      <c r="D2" s="7" t="inlineStr">
        <is>
          <t>sola fide</t>
        </is>
      </c>
      <c r="E2" s="7" t="inlineStr">
        <is>
          <t>CONTEXT_BUNDLED</t>
        </is>
      </c>
      <c r="F2" s="7" t="inlineStr">
        <is>
          <t>Baptist</t>
        </is>
      </c>
      <c r="G2" s="7" t="n"/>
      <c r="H2" s="7" t="inlineStr">
        <is>
          <t>YES</t>
        </is>
      </c>
      <c r="I2" s="7" t="inlineStr">
        <is>
          <t>HIGH</t>
        </is>
      </c>
      <c r="J2" s="7" t="n">
        <v>100</v>
      </c>
      <c r="K2" s="7" t="inlineStr">
        <is>
          <t>YES</t>
        </is>
      </c>
      <c r="L2" s="7" t="inlineStr">
        <is>
          <t>Primary slogan trigger; require Baptist context.</t>
        </is>
      </c>
      <c r="M2" s="7" t="inlineStr">
        <is>
          <t>YES</t>
        </is>
      </c>
    </row>
    <row r="3">
      <c r="A3" s="7" t="inlineStr">
        <is>
          <t>ICT-002</t>
        </is>
      </c>
      <c r="B3" s="7" t="inlineStr">
        <is>
          <t>ICC-001</t>
        </is>
      </c>
      <c r="C3" s="7" t="inlineStr">
        <is>
          <t>TERM</t>
        </is>
      </c>
      <c r="D3" s="7" t="inlineStr">
        <is>
          <t>faith alone</t>
        </is>
      </c>
      <c r="E3" s="7" t="inlineStr">
        <is>
          <t>CONTEXT_BUNDLED</t>
        </is>
      </c>
      <c r="F3" s="7" t="inlineStr">
        <is>
          <t>Baptist</t>
        </is>
      </c>
      <c r="G3" s="7" t="n"/>
      <c r="H3" s="7" t="inlineStr">
        <is>
          <t>YES</t>
        </is>
      </c>
      <c r="I3" s="7" t="inlineStr">
        <is>
          <t>HIGH</t>
        </is>
      </c>
      <c r="J3" s="7" t="n">
        <v>100</v>
      </c>
      <c r="K3" s="7" t="inlineStr">
        <is>
          <t>YES</t>
        </is>
      </c>
      <c r="L3" s="7" t="inlineStr">
        <is>
          <t>Primary slogan trigger; require Baptist context.</t>
        </is>
      </c>
      <c r="M3" s="7" t="inlineStr">
        <is>
          <t>YES</t>
        </is>
      </c>
    </row>
    <row r="4">
      <c r="A4" s="7" t="inlineStr">
        <is>
          <t>ICT-003</t>
        </is>
      </c>
      <c r="B4" s="7" t="inlineStr">
        <is>
          <t>ICC-001</t>
        </is>
      </c>
      <c r="C4" s="7" t="inlineStr">
        <is>
          <t>TERM</t>
        </is>
      </c>
      <c r="D4" s="7" t="inlineStr">
        <is>
          <t>excommunication</t>
        </is>
      </c>
      <c r="E4" s="7" t="inlineStr">
        <is>
          <t>CONTEXT_BUNDLED</t>
        </is>
      </c>
      <c r="F4" s="7" t="inlineStr">
        <is>
          <t>Baptist</t>
        </is>
      </c>
      <c r="G4" s="7" t="n"/>
      <c r="H4" s="7" t="inlineStr">
        <is>
          <t>YES</t>
        </is>
      </c>
      <c r="I4" s="7" t="inlineStr">
        <is>
          <t>HIGH</t>
        </is>
      </c>
      <c r="J4" s="7" t="n">
        <v>95</v>
      </c>
      <c r="K4" s="7" t="inlineStr">
        <is>
          <t>YES</t>
        </is>
      </c>
      <c r="L4" s="7" t="inlineStr">
        <is>
          <t>Apparent tension with faith-alone language.</t>
        </is>
      </c>
      <c r="M4" s="7" t="inlineStr">
        <is>
          <t>YES</t>
        </is>
      </c>
    </row>
    <row r="5">
      <c r="A5" s="7" t="inlineStr">
        <is>
          <t>ICT-004</t>
        </is>
      </c>
      <c r="B5" s="7" t="inlineStr">
        <is>
          <t>ICC-001</t>
        </is>
      </c>
      <c r="C5" s="7" t="inlineStr">
        <is>
          <t>TERM</t>
        </is>
      </c>
      <c r="D5" s="7" t="inlineStr">
        <is>
          <t>church discipline</t>
        </is>
      </c>
      <c r="E5" s="7" t="inlineStr">
        <is>
          <t>CONTEXT_BUNDLED</t>
        </is>
      </c>
      <c r="F5" s="7" t="inlineStr">
        <is>
          <t>Baptist</t>
        </is>
      </c>
      <c r="G5" s="7" t="n"/>
      <c r="H5" s="7" t="inlineStr">
        <is>
          <t>YES</t>
        </is>
      </c>
      <c r="I5" s="7" t="inlineStr">
        <is>
          <t>HIGH</t>
        </is>
      </c>
      <c r="J5" s="7" t="n">
        <v>95</v>
      </c>
      <c r="K5" s="7" t="inlineStr">
        <is>
          <t>YES</t>
        </is>
      </c>
      <c r="L5" s="7" t="inlineStr">
        <is>
          <t>Apparent tension with faith-alone language.</t>
        </is>
      </c>
      <c r="M5" s="7" t="inlineStr">
        <is>
          <t>YES</t>
        </is>
      </c>
    </row>
    <row r="6">
      <c r="A6" s="7" t="inlineStr">
        <is>
          <t>ICT-005</t>
        </is>
      </c>
      <c r="B6" s="7" t="inlineStr">
        <is>
          <t>ICC-001</t>
        </is>
      </c>
      <c r="C6" s="7" t="inlineStr">
        <is>
          <t>TERM</t>
        </is>
      </c>
      <c r="D6" s="7" t="inlineStr">
        <is>
          <t>eternal security</t>
        </is>
      </c>
      <c r="E6" s="7" t="inlineStr">
        <is>
          <t>CONTEXT_BUNDLED</t>
        </is>
      </c>
      <c r="F6" s="7" t="inlineStr">
        <is>
          <t>Baptist</t>
        </is>
      </c>
      <c r="G6" s="7" t="n"/>
      <c r="H6" s="7" t="inlineStr">
        <is>
          <t>YES</t>
        </is>
      </c>
      <c r="I6" s="7" t="inlineStr">
        <is>
          <t>HIGH</t>
        </is>
      </c>
      <c r="J6" s="7" t="n">
        <v>90</v>
      </c>
      <c r="K6" s="7" t="inlineStr">
        <is>
          <t>YES</t>
        </is>
      </c>
      <c r="L6" s="7" t="inlineStr">
        <is>
          <t>Relevant to Southern/confessional perseverance solution.</t>
        </is>
      </c>
      <c r="M6" s="7" t="inlineStr">
        <is>
          <t>YES</t>
        </is>
      </c>
    </row>
    <row r="7">
      <c r="A7" s="7" t="inlineStr">
        <is>
          <t>ICT-006</t>
        </is>
      </c>
      <c r="B7" s="7" t="inlineStr">
        <is>
          <t>ICC-001</t>
        </is>
      </c>
      <c r="C7" s="7" t="inlineStr">
        <is>
          <t>TERM</t>
        </is>
      </c>
      <c r="D7" s="7" t="inlineStr">
        <is>
          <t>perseverance</t>
        </is>
      </c>
      <c r="E7" s="7" t="inlineStr">
        <is>
          <t>CONTEXT_BUNDLED</t>
        </is>
      </c>
      <c r="F7" s="7" t="inlineStr">
        <is>
          <t>Baptist</t>
        </is>
      </c>
      <c r="G7" s="7" t="n"/>
      <c r="H7" s="7" t="inlineStr">
        <is>
          <t>YES</t>
        </is>
      </c>
      <c r="I7" s="7" t="inlineStr">
        <is>
          <t>HIGH</t>
        </is>
      </c>
      <c r="J7" s="7" t="n">
        <v>90</v>
      </c>
      <c r="K7" s="7" t="inlineStr">
        <is>
          <t>YES</t>
        </is>
      </c>
      <c r="L7" s="7" t="inlineStr">
        <is>
          <t>Relevant to security/discipline relationship.</t>
        </is>
      </c>
      <c r="M7" s="7" t="inlineStr">
        <is>
          <t>YES</t>
        </is>
      </c>
    </row>
    <row r="8">
      <c r="A8" s="7" t="inlineStr">
        <is>
          <t>ICT-007</t>
        </is>
      </c>
      <c r="B8" s="7" t="inlineStr">
        <is>
          <t>ICC-001</t>
        </is>
      </c>
      <c r="C8" s="7" t="inlineStr">
        <is>
          <t>TERM</t>
        </is>
      </c>
      <c r="D8" s="7" t="inlineStr">
        <is>
          <t>sanctification</t>
        </is>
      </c>
      <c r="E8" s="7" t="inlineStr">
        <is>
          <t>CONTEXT_BUNDLED</t>
        </is>
      </c>
      <c r="F8" s="7" t="inlineStr">
        <is>
          <t>Baptist</t>
        </is>
      </c>
      <c r="G8" s="7" t="inlineStr">
        <is>
          <t>Salvation</t>
        </is>
      </c>
      <c r="H8" s="7" t="inlineStr">
        <is>
          <t>YES</t>
        </is>
      </c>
      <c r="I8" s="7" t="inlineStr">
        <is>
          <t>HIGH</t>
        </is>
      </c>
      <c r="J8" s="7" t="n">
        <v>85</v>
      </c>
      <c r="K8" s="7" t="inlineStr">
        <is>
          <t>YES</t>
        </is>
      </c>
      <c r="L8" s="7" t="inlineStr">
        <is>
          <t>Clarifies fruit/evidence versus basis of justification.</t>
        </is>
      </c>
      <c r="M8" s="7" t="inlineStr">
        <is>
          <t>YES</t>
        </is>
      </c>
    </row>
    <row r="9">
      <c r="A9" s="7" t="inlineStr">
        <is>
          <t>ICT-008</t>
        </is>
      </c>
      <c r="B9" s="7" t="inlineStr">
        <is>
          <t>ICC-001</t>
        </is>
      </c>
      <c r="C9" s="7" t="inlineStr">
        <is>
          <t>TERM</t>
        </is>
      </c>
      <c r="D9" s="7" t="inlineStr">
        <is>
          <t>repentance</t>
        </is>
      </c>
      <c r="E9" s="7" t="inlineStr">
        <is>
          <t>CONTEXT_BUNDLED</t>
        </is>
      </c>
      <c r="F9" s="7" t="inlineStr">
        <is>
          <t>Baptist</t>
        </is>
      </c>
      <c r="G9" s="7" t="inlineStr">
        <is>
          <t>Salvation</t>
        </is>
      </c>
      <c r="H9" s="7" t="inlineStr">
        <is>
          <t>YES</t>
        </is>
      </c>
      <c r="I9" s="7" t="inlineStr">
        <is>
          <t>HIGH</t>
        </is>
      </c>
      <c r="J9" s="7" t="n">
        <v>85</v>
      </c>
      <c r="K9" s="7" t="inlineStr">
        <is>
          <t>YES</t>
        </is>
      </c>
      <c r="L9" s="7" t="inlineStr">
        <is>
          <t>Clarifies inseparable grace response versus merit.</t>
        </is>
      </c>
      <c r="M9" s="7" t="inlineStr">
        <is>
          <t>YES</t>
        </is>
      </c>
    </row>
    <row r="10">
      <c r="A10" s="7" t="inlineStr">
        <is>
          <t>ICT-009</t>
        </is>
      </c>
      <c r="B10" s="7" t="inlineStr">
        <is>
          <t>ICC-001</t>
        </is>
      </c>
      <c r="C10" s="7" t="inlineStr">
        <is>
          <t>TERM</t>
        </is>
      </c>
      <c r="D10" s="7" t="inlineStr">
        <is>
          <t>works</t>
        </is>
      </c>
      <c r="E10" s="7" t="inlineStr">
        <is>
          <t>CONTEXT_BUNDLED</t>
        </is>
      </c>
      <c r="F10" s="7" t="inlineStr">
        <is>
          <t>Baptist</t>
        </is>
      </c>
      <c r="G10" s="7" t="inlineStr">
        <is>
          <t>Salvation</t>
        </is>
      </c>
      <c r="H10" s="7" t="inlineStr">
        <is>
          <t>YES</t>
        </is>
      </c>
      <c r="I10" s="7" t="inlineStr">
        <is>
          <t>HIGH</t>
        </is>
      </c>
      <c r="J10" s="7" t="n">
        <v>80</v>
      </c>
      <c r="K10" s="7" t="inlineStr">
        <is>
          <t>YES</t>
        </is>
      </c>
      <c r="L10" s="7" t="inlineStr">
        <is>
          <t>Use only with Baptist + salvation context to avoid over-triggering.</t>
        </is>
      </c>
      <c r="M10" s="7" t="inlineStr">
        <is>
          <t>YES</t>
        </is>
      </c>
    </row>
    <row r="11">
      <c r="A11" s="7" t="inlineStr">
        <is>
          <t>ICT-010</t>
        </is>
      </c>
      <c r="B11" s="7" t="inlineStr">
        <is>
          <t>ICC-001</t>
        </is>
      </c>
      <c r="C11" s="7" t="inlineStr">
        <is>
          <t>TOPIC</t>
        </is>
      </c>
      <c r="D11" s="7" t="inlineStr">
        <is>
          <t>Justification</t>
        </is>
      </c>
      <c r="E11" s="7" t="inlineStr">
        <is>
          <t>CONTEXT_BUNDLED</t>
        </is>
      </c>
      <c r="F11" s="7" t="inlineStr">
        <is>
          <t>Baptist</t>
        </is>
      </c>
      <c r="G11" s="7" t="n"/>
      <c r="H11" s="7" t="inlineStr">
        <is>
          <t>YES</t>
        </is>
      </c>
      <c r="I11" s="7" t="inlineStr">
        <is>
          <t>HIGH</t>
        </is>
      </c>
      <c r="J11" s="7" t="n">
        <v>90</v>
      </c>
      <c r="K11" s="7" t="inlineStr">
        <is>
          <t>YES</t>
        </is>
      </c>
      <c r="L11" s="7" t="inlineStr">
        <is>
          <t>Topic trigger when Baptist tradition is selected.</t>
        </is>
      </c>
      <c r="M11" s="7" t="inlineStr">
        <is>
          <t>YES</t>
        </is>
      </c>
    </row>
    <row r="12">
      <c r="A12" s="7" t="inlineStr">
        <is>
          <t>ICT-011</t>
        </is>
      </c>
      <c r="B12" s="7" t="inlineStr">
        <is>
          <t>ICC-001</t>
        </is>
      </c>
      <c r="C12" s="7" t="inlineStr">
        <is>
          <t>TOPIC</t>
        </is>
      </c>
      <c r="D12" s="7" t="inlineStr">
        <is>
          <t>Church discipline</t>
        </is>
      </c>
      <c r="E12" s="7" t="inlineStr">
        <is>
          <t>CONTEXT_BUNDLED</t>
        </is>
      </c>
      <c r="F12" s="7" t="inlineStr">
        <is>
          <t>Baptist</t>
        </is>
      </c>
      <c r="G12" s="7" t="n"/>
      <c r="H12" s="7" t="inlineStr">
        <is>
          <t>YES</t>
        </is>
      </c>
      <c r="I12" s="7" t="inlineStr">
        <is>
          <t>HIGH</t>
        </is>
      </c>
      <c r="J12" s="7" t="n">
        <v>95</v>
      </c>
      <c r="K12" s="7" t="inlineStr">
        <is>
          <t>YES</t>
        </is>
      </c>
      <c r="L12" s="7" t="inlineStr">
        <is>
          <t>Topic trigger when Baptist tradition is selected.</t>
        </is>
      </c>
      <c r="M12" s="7" t="inlineStr">
        <is>
          <t>YES</t>
        </is>
      </c>
    </row>
    <row r="13">
      <c r="A13" s="7" t="inlineStr">
        <is>
          <t>ICT-012</t>
        </is>
      </c>
      <c r="B13" s="7" t="inlineStr">
        <is>
          <t>ICC-001</t>
        </is>
      </c>
      <c r="C13" s="7" t="inlineStr">
        <is>
          <t>TRADITION</t>
        </is>
      </c>
      <c r="D13" s="7" t="inlineStr">
        <is>
          <t>Southern Baptist</t>
        </is>
      </c>
      <c r="E13" s="7" t="inlineStr">
        <is>
          <t>EXACT</t>
        </is>
      </c>
      <c r="F13" s="7" t="n"/>
      <c r="G13" s="7" t="inlineStr">
        <is>
          <t>Justification or discipline</t>
        </is>
      </c>
      <c r="H13" s="7" t="inlineStr">
        <is>
          <t>NO</t>
        </is>
      </c>
      <c r="I13" s="7" t="inlineStr">
        <is>
          <t>MEDIUM</t>
        </is>
      </c>
      <c r="J13" s="7" t="n">
        <v>60</v>
      </c>
      <c r="K13" s="7" t="inlineStr">
        <is>
          <t>YES</t>
        </is>
      </c>
      <c r="L13" s="7" t="inlineStr">
        <is>
          <t>Tradition alone never auto-surfaces; context is required.</t>
        </is>
      </c>
      <c r="M13" s="7" t="inlineStr">
        <is>
          <t>YES</t>
        </is>
      </c>
    </row>
    <row r="14">
      <c r="A14" s="7" t="inlineStr">
        <is>
          <t>ICT-013</t>
        </is>
      </c>
      <c r="B14" s="7" t="inlineStr">
        <is>
          <t>ICC-001</t>
        </is>
      </c>
      <c r="C14" s="7" t="inlineStr">
        <is>
          <t>TRADITION</t>
        </is>
      </c>
      <c r="D14" s="7" t="inlineStr">
        <is>
          <t>Reformed Baptist</t>
        </is>
      </c>
      <c r="E14" s="7" t="inlineStr">
        <is>
          <t>EXACT</t>
        </is>
      </c>
      <c r="F14" s="7" t="n"/>
      <c r="G14" s="7" t="inlineStr">
        <is>
          <t>Justification or discipline</t>
        </is>
      </c>
      <c r="H14" s="7" t="inlineStr">
        <is>
          <t>NO</t>
        </is>
      </c>
      <c r="I14" s="7" t="inlineStr">
        <is>
          <t>MEDIUM</t>
        </is>
      </c>
      <c r="J14" s="7" t="n">
        <v>60</v>
      </c>
      <c r="K14" s="7" t="inlineStr">
        <is>
          <t>YES</t>
        </is>
      </c>
      <c r="L14" s="7" t="inlineStr">
        <is>
          <t>Tradition alone never auto-surfaces; context is required.</t>
        </is>
      </c>
      <c r="M14" s="7" t="inlineStr">
        <is>
          <t>YES</t>
        </is>
      </c>
    </row>
    <row r="15">
      <c r="A15" s="7" t="inlineStr">
        <is>
          <t>ICT-014</t>
        </is>
      </c>
      <c r="B15" s="7" t="inlineStr">
        <is>
          <t>ICC-001</t>
        </is>
      </c>
      <c r="C15" s="7" t="inlineStr">
        <is>
          <t>TRADITION</t>
        </is>
      </c>
      <c r="D15" s="7" t="inlineStr">
        <is>
          <t>Free Will Baptist</t>
        </is>
      </c>
      <c r="E15" s="7" t="inlineStr">
        <is>
          <t>EXACT</t>
        </is>
      </c>
      <c r="F15" s="7" t="n"/>
      <c r="G15" s="7" t="inlineStr">
        <is>
          <t>Perseverance or security</t>
        </is>
      </c>
      <c r="H15" s="7" t="inlineStr">
        <is>
          <t>NO</t>
        </is>
      </c>
      <c r="I15" s="7" t="inlineStr">
        <is>
          <t>MEDIUM</t>
        </is>
      </c>
      <c r="J15" s="7" t="n">
        <v>60</v>
      </c>
      <c r="K15" s="7" t="inlineStr">
        <is>
          <t>YES</t>
        </is>
      </c>
      <c r="L15" s="7" t="inlineStr">
        <is>
          <t>Variation branch; manual/related access unless question context matches.</t>
        </is>
      </c>
      <c r="M15" s="7" t="inlineStr">
        <is>
          <t>YES</t>
        </is>
      </c>
    </row>
    <row r="16">
      <c r="A16" s="7" t="inlineStr">
        <is>
          <t>ICT-015</t>
        </is>
      </c>
      <c r="B16" s="7" t="inlineStr">
        <is>
          <t>ICC-001</t>
        </is>
      </c>
      <c r="C16" s="7" t="inlineStr">
        <is>
          <t>QUESTION_PATTERN</t>
        </is>
      </c>
      <c r="D16" s="7" t="inlineStr">
        <is>
          <t>If faith alone saves, why does conduct matter?</t>
        </is>
      </c>
      <c r="E16" s="7" t="inlineStr">
        <is>
          <t>SEMANTIC</t>
        </is>
      </c>
      <c r="F16" s="7" t="inlineStr">
        <is>
          <t>Baptist</t>
        </is>
      </c>
      <c r="G16" s="7" t="n"/>
      <c r="H16" s="7" t="inlineStr">
        <is>
          <t>YES</t>
        </is>
      </c>
      <c r="I16" s="7" t="inlineStr">
        <is>
          <t>HIGH</t>
        </is>
      </c>
      <c r="J16" s="7" t="n">
        <v>100</v>
      </c>
      <c r="K16" s="7" t="inlineStr">
        <is>
          <t>YES</t>
        </is>
      </c>
      <c r="L16" s="7" t="inlineStr">
        <is>
          <t>Conversational trigger.</t>
        </is>
      </c>
      <c r="M16" s="7" t="inlineStr">
        <is>
          <t>DEFERRED</t>
        </is>
      </c>
    </row>
    <row r="17">
      <c r="A17" s="7" t="inlineStr">
        <is>
          <t>ICT-016</t>
        </is>
      </c>
      <c r="B17" s="7" t="inlineStr">
        <is>
          <t>ICC-001</t>
        </is>
      </c>
      <c r="C17" s="7" t="inlineStr">
        <is>
          <t>QUESTION_PATTERN</t>
        </is>
      </c>
      <c r="D17" s="7" t="inlineStr">
        <is>
          <t>Can a Baptist be excommunicated and still be saved?</t>
        </is>
      </c>
      <c r="E17" s="7" t="inlineStr">
        <is>
          <t>SEMANTIC</t>
        </is>
      </c>
      <c r="F17" s="7" t="inlineStr">
        <is>
          <t>Baptist</t>
        </is>
      </c>
      <c r="G17" s="7" t="n"/>
      <c r="H17" s="7" t="inlineStr">
        <is>
          <t>YES</t>
        </is>
      </c>
      <c r="I17" s="7" t="inlineStr">
        <is>
          <t>HIGH</t>
        </is>
      </c>
      <c r="J17" s="7" t="n">
        <v>100</v>
      </c>
      <c r="K17" s="7" t="inlineStr">
        <is>
          <t>YES</t>
        </is>
      </c>
      <c r="L17" s="7" t="inlineStr">
        <is>
          <t>Conversational trigger.</t>
        </is>
      </c>
      <c r="M17" s="7" t="inlineStr">
        <is>
          <t>DEFERRED</t>
        </is>
      </c>
    </row>
    <row r="18">
      <c r="A18" s="7" t="inlineStr">
        <is>
          <t>ICT-017</t>
        </is>
      </c>
      <c r="B18" s="7" t="inlineStr">
        <is>
          <t>ICC-001</t>
        </is>
      </c>
      <c r="C18" s="7" t="inlineStr">
        <is>
          <t>QUESTION_PATTERN</t>
        </is>
      </c>
      <c r="D18" s="7" t="inlineStr">
        <is>
          <t>Does excommunication cancel justification?</t>
        </is>
      </c>
      <c r="E18" s="7" t="inlineStr">
        <is>
          <t>SEMANTIC</t>
        </is>
      </c>
      <c r="F18" s="7" t="inlineStr">
        <is>
          <t>Baptist</t>
        </is>
      </c>
      <c r="G18" s="7" t="n"/>
      <c r="H18" s="7" t="inlineStr">
        <is>
          <t>YES</t>
        </is>
      </c>
      <c r="I18" s="7" t="inlineStr">
        <is>
          <t>HIGH</t>
        </is>
      </c>
      <c r="J18" s="7" t="n">
        <v>100</v>
      </c>
      <c r="K18" s="7" t="inlineStr">
        <is>
          <t>YES</t>
        </is>
      </c>
      <c r="L18" s="7" t="inlineStr">
        <is>
          <t>Conversational trigger.</t>
        </is>
      </c>
      <c r="M18" s="7" t="inlineStr">
        <is>
          <t>DEFERRED</t>
        </is>
      </c>
    </row>
    <row r="19">
      <c r="A19" s="7" t="inlineStr">
        <is>
          <t>ICT-018</t>
        </is>
      </c>
      <c r="B19" s="7" t="inlineStr">
        <is>
          <t>ICC-001</t>
        </is>
      </c>
      <c r="C19" s="7" t="inlineStr">
        <is>
          <t>HAZARD_TYPE</t>
        </is>
      </c>
      <c r="D19" s="7" t="inlineStr">
        <is>
          <t>ECCLESIAL_VS_SOTERIOLOGICAL</t>
        </is>
      </c>
      <c r="E19" s="7" t="inlineStr">
        <is>
          <t>EXACT</t>
        </is>
      </c>
      <c r="F19" s="7" t="n"/>
      <c r="G19" s="7" t="n"/>
      <c r="H19" s="7" t="inlineStr">
        <is>
          <t>NO</t>
        </is>
      </c>
      <c r="I19" s="7" t="inlineStr">
        <is>
          <t>MEDIUM</t>
        </is>
      </c>
      <c r="J19" s="7" t="n">
        <v>70</v>
      </c>
      <c r="K19" s="7" t="inlineStr">
        <is>
          <t>YES</t>
        </is>
      </c>
      <c r="L19" s="7" t="inlineStr">
        <is>
          <t>Explorer/filter classification.</t>
        </is>
      </c>
      <c r="M19" s="7" t="inlineStr">
        <is>
          <t>YES</t>
        </is>
      </c>
    </row>
    <row r="20">
      <c r="A20" s="0" t="inlineStr">
        <is>
          <t>ICT-019</t>
        </is>
      </c>
      <c r="B20" s="0" t="inlineStr">
        <is>
          <t>ICC-002</t>
        </is>
      </c>
      <c r="C20" s="0" t="inlineStr">
        <is>
          <t>TERM</t>
        </is>
      </c>
      <c r="D20" s="0" t="inlineStr">
        <is>
          <t>after all we can do</t>
        </is>
      </c>
      <c r="E20" s="0" t="inlineStr">
        <is>
          <t>CONTEXT_BUNDLED</t>
        </is>
      </c>
      <c r="F20" s="0" t="inlineStr">
        <is>
          <t>Latter-day Saint</t>
        </is>
      </c>
      <c r="H20" s="0" t="inlineStr">
        <is>
          <t>YES</t>
        </is>
      </c>
      <c r="I20" s="0" t="inlineStr">
        <is>
          <t>HIGH</t>
        </is>
      </c>
      <c r="J20" s="0" t="n">
        <v>100</v>
      </c>
      <c r="K20" s="0" t="inlineStr">
        <is>
          <t>YES</t>
        </is>
      </c>
      <c r="L20" s="0" t="inlineStr">
        <is>
          <t>Primary slogan trigger; require Latter-day Saint context.</t>
        </is>
      </c>
      <c r="M20" s="0" t="inlineStr">
        <is>
          <t>YES</t>
        </is>
      </c>
    </row>
    <row r="21" ht="15.75" customHeight="1" s="29">
      <c r="A21" s="0" t="inlineStr">
        <is>
          <t>ICT-020</t>
        </is>
      </c>
      <c r="B21" s="0" t="inlineStr">
        <is>
          <t>ICC-002</t>
        </is>
      </c>
      <c r="C21" s="0" t="inlineStr">
        <is>
          <t>TERM</t>
        </is>
      </c>
      <c r="D21" s="0" t="inlineStr">
        <is>
          <t>saved by grace</t>
        </is>
      </c>
      <c r="E21" s="0" t="inlineStr">
        <is>
          <t>CONTEXT_BUNDLED</t>
        </is>
      </c>
      <c r="F21" s="0" t="inlineStr">
        <is>
          <t>Latter-day Saint</t>
        </is>
      </c>
      <c r="G21" s="0" t="inlineStr">
        <is>
          <t>Salvation</t>
        </is>
      </c>
      <c r="H21" s="0" t="inlineStr">
        <is>
          <t>YES</t>
        </is>
      </c>
      <c r="I21" s="0" t="inlineStr">
        <is>
          <t>HIGH</t>
        </is>
      </c>
      <c r="J21" s="0" t="n">
        <v>95</v>
      </c>
      <c r="K21" s="0" t="inlineStr">
        <is>
          <t>YES</t>
        </is>
      </c>
      <c r="L21" s="0" t="inlineStr">
        <is>
          <t>Apparent tension with obedience language.</t>
        </is>
      </c>
      <c r="M21" s="0" t="inlineStr">
        <is>
          <t>YES</t>
        </is>
      </c>
    </row>
    <row r="22" ht="15.75" customHeight="1" s="29">
      <c r="A22" s="0" t="inlineStr">
        <is>
          <t>ICT-021</t>
        </is>
      </c>
      <c r="B22" s="0" t="inlineStr">
        <is>
          <t>ICC-002</t>
        </is>
      </c>
      <c r="C22" s="0" t="inlineStr">
        <is>
          <t>TERM</t>
        </is>
      </c>
      <c r="D22" s="0" t="inlineStr">
        <is>
          <t>earn salvation</t>
        </is>
      </c>
      <c r="E22" s="0" t="inlineStr">
        <is>
          <t>CONTEXT_BUNDLED</t>
        </is>
      </c>
      <c r="F22" s="0" t="inlineStr">
        <is>
          <t>Latter-day Saint</t>
        </is>
      </c>
      <c r="H22" s="0" t="inlineStr">
        <is>
          <t>YES</t>
        </is>
      </c>
      <c r="I22" s="0" t="inlineStr">
        <is>
          <t>HIGH</t>
        </is>
      </c>
      <c r="J22" s="0" t="n">
        <v>95</v>
      </c>
      <c r="K22" s="0" t="inlineStr">
        <is>
          <t>YES</t>
        </is>
      </c>
      <c r="L22" s="0" t="inlineStr">
        <is>
          <t>Common misreading the case corrects.</t>
        </is>
      </c>
      <c r="M22" s="0" t="inlineStr">
        <is>
          <t>YES</t>
        </is>
      </c>
    </row>
    <row r="23" ht="15.75" customHeight="1" s="29">
      <c r="A23" s="0" t="inlineStr">
        <is>
          <t>ICT-022</t>
        </is>
      </c>
      <c r="B23" s="0" t="inlineStr">
        <is>
          <t>ICC-002</t>
        </is>
      </c>
      <c r="C23" s="0" t="inlineStr">
        <is>
          <t>TERM</t>
        </is>
      </c>
      <c r="D23" s="0" t="inlineStr">
        <is>
          <t>works</t>
        </is>
      </c>
      <c r="E23" s="0" t="inlineStr">
        <is>
          <t>CONTEXT_BUNDLED</t>
        </is>
      </c>
      <c r="F23" s="0" t="inlineStr">
        <is>
          <t>Latter-day Saint</t>
        </is>
      </c>
      <c r="G23" s="0" t="inlineStr">
        <is>
          <t>Salvation</t>
        </is>
      </c>
      <c r="H23" s="0" t="inlineStr">
        <is>
          <t>YES</t>
        </is>
      </c>
      <c r="I23" s="0" t="inlineStr">
        <is>
          <t>HIGH</t>
        </is>
      </c>
      <c r="J23" s="0" t="n">
        <v>80</v>
      </c>
      <c r="K23" s="0" t="inlineStr">
        <is>
          <t>YES</t>
        </is>
      </c>
      <c r="L23" s="0" t="inlineStr">
        <is>
          <t>Use only with Latter-day Saint + salvation context to avoid over-triggering.</t>
        </is>
      </c>
      <c r="M23" s="0" t="inlineStr">
        <is>
          <t>YES</t>
        </is>
      </c>
    </row>
    <row r="24" ht="15.75" customHeight="1" s="29">
      <c r="A24" s="0" t="inlineStr">
        <is>
          <t>ICT-023</t>
        </is>
      </c>
      <c r="B24" s="0" t="inlineStr">
        <is>
          <t>ICC-002</t>
        </is>
      </c>
      <c r="C24" s="0" t="inlineStr">
        <is>
          <t>TERM</t>
        </is>
      </c>
      <c r="D24" s="0" t="inlineStr">
        <is>
          <t>obedience</t>
        </is>
      </c>
      <c r="E24" s="0" t="inlineStr">
        <is>
          <t>CONTEXT_BUNDLED</t>
        </is>
      </c>
      <c r="F24" s="0" t="inlineStr">
        <is>
          <t>Latter-day Saint</t>
        </is>
      </c>
      <c r="G24" s="0" t="inlineStr">
        <is>
          <t>Salvation</t>
        </is>
      </c>
      <c r="H24" s="0" t="inlineStr">
        <is>
          <t>YES</t>
        </is>
      </c>
      <c r="I24" s="0" t="inlineStr">
        <is>
          <t>HIGH</t>
        </is>
      </c>
      <c r="J24" s="0" t="n">
        <v>85</v>
      </c>
      <c r="K24" s="0" t="inlineStr">
        <is>
          <t>YES</t>
        </is>
      </c>
      <c r="L24" s="0" t="inlineStr">
        <is>
          <t>Articles of Faith 1:3 language; clarifies covenant response versus price.</t>
        </is>
      </c>
      <c r="M24" s="0" t="inlineStr">
        <is>
          <t>YES</t>
        </is>
      </c>
    </row>
    <row r="25" ht="15.75" customHeight="1" s="29">
      <c r="A25" s="0" t="inlineStr">
        <is>
          <t>ICT-024</t>
        </is>
      </c>
      <c r="B25" s="0" t="inlineStr">
        <is>
          <t>ICC-002</t>
        </is>
      </c>
      <c r="C25" s="0" t="inlineStr">
        <is>
          <t>TERM</t>
        </is>
      </c>
      <c r="D25" s="0" t="inlineStr">
        <is>
          <t>exaltation</t>
        </is>
      </c>
      <c r="E25" s="0" t="inlineStr">
        <is>
          <t>CONTEXT_BUNDLED</t>
        </is>
      </c>
      <c r="F25" s="0" t="inlineStr">
        <is>
          <t>Latter-day Saint</t>
        </is>
      </c>
      <c r="G25" s="0" t="inlineStr">
        <is>
          <t>Salvation</t>
        </is>
      </c>
      <c r="H25" s="0" t="inlineStr">
        <is>
          <t>YES</t>
        </is>
      </c>
      <c r="I25" s="0" t="inlineStr">
        <is>
          <t>HIGH</t>
        </is>
      </c>
      <c r="J25" s="0" t="n">
        <v>85</v>
      </c>
      <c r="K25" s="0" t="inlineStr">
        <is>
          <t>YES</t>
        </is>
      </c>
      <c r="L25" s="0" t="inlineStr">
        <is>
          <t>Clarifies salvation/exaltation vocabulary layer.</t>
        </is>
      </c>
      <c r="M25" s="0" t="inlineStr">
        <is>
          <t>YES</t>
        </is>
      </c>
    </row>
    <row r="26" ht="15.75" customHeight="1" s="29">
      <c r="A26" s="0" t="inlineStr">
        <is>
          <t>ICT-025</t>
        </is>
      </c>
      <c r="B26" s="0" t="inlineStr">
        <is>
          <t>ICC-002</t>
        </is>
      </c>
      <c r="C26" s="0" t="inlineStr">
        <is>
          <t>TERM</t>
        </is>
      </c>
      <c r="D26" s="0" t="inlineStr">
        <is>
          <t>laws and ordinances</t>
        </is>
      </c>
      <c r="E26" s="0" t="inlineStr">
        <is>
          <t>CONTEXT_BUNDLED</t>
        </is>
      </c>
      <c r="F26" s="0" t="inlineStr">
        <is>
          <t>Latter-day Saint</t>
        </is>
      </c>
      <c r="H26" s="0" t="inlineStr">
        <is>
          <t>YES</t>
        </is>
      </c>
      <c r="I26" s="0" t="inlineStr">
        <is>
          <t>HIGH</t>
        </is>
      </c>
      <c r="J26" s="0" t="n">
        <v>90</v>
      </c>
      <c r="K26" s="0" t="inlineStr">
        <is>
          <t>YES</t>
        </is>
      </c>
      <c r="L26" s="0" t="inlineStr">
        <is>
          <t>Articles of Faith 1:3 phrase.</t>
        </is>
      </c>
      <c r="M26" s="0" t="inlineStr">
        <is>
          <t>YES</t>
        </is>
      </c>
    </row>
    <row r="27" ht="15.75" customHeight="1" s="29">
      <c r="A27" s="0" t="inlineStr">
        <is>
          <t>ICT-026</t>
        </is>
      </c>
      <c r="B27" s="0" t="inlineStr">
        <is>
          <t>ICC-002</t>
        </is>
      </c>
      <c r="C27" s="0" t="inlineStr">
        <is>
          <t>TOPIC</t>
        </is>
      </c>
      <c r="D27" s="0" t="inlineStr">
        <is>
          <t>Grace</t>
        </is>
      </c>
      <c r="E27" s="0" t="inlineStr">
        <is>
          <t>CONTEXT_BUNDLED</t>
        </is>
      </c>
      <c r="F27" s="0" t="inlineStr">
        <is>
          <t>Latter-day Saint</t>
        </is>
      </c>
      <c r="H27" s="0" t="inlineStr">
        <is>
          <t>YES</t>
        </is>
      </c>
      <c r="I27" s="0" t="inlineStr">
        <is>
          <t>HIGH</t>
        </is>
      </c>
      <c r="J27" s="0" t="n">
        <v>90</v>
      </c>
      <c r="K27" s="0" t="inlineStr">
        <is>
          <t>YES</t>
        </is>
      </c>
      <c r="L27" s="0" t="inlineStr">
        <is>
          <t>Topic trigger when Latter-day Saint lens is selected.</t>
        </is>
      </c>
      <c r="M27" s="0" t="inlineStr">
        <is>
          <t>YES</t>
        </is>
      </c>
    </row>
    <row r="28" ht="15.75" customHeight="1" s="29">
      <c r="A28" s="0" t="inlineStr">
        <is>
          <t>ICT-027</t>
        </is>
      </c>
      <c r="B28" s="0" t="inlineStr">
        <is>
          <t>ICC-002</t>
        </is>
      </c>
      <c r="C28" s="0" t="inlineStr">
        <is>
          <t>TOPIC</t>
        </is>
      </c>
      <c r="D28" s="0" t="inlineStr">
        <is>
          <t>Salvation &amp; exaltation</t>
        </is>
      </c>
      <c r="E28" s="0" t="inlineStr">
        <is>
          <t>CONTEXT_BUNDLED</t>
        </is>
      </c>
      <c r="F28" s="0" t="inlineStr">
        <is>
          <t>Latter-day Saint</t>
        </is>
      </c>
      <c r="H28" s="0" t="inlineStr">
        <is>
          <t>YES</t>
        </is>
      </c>
      <c r="I28" s="0" t="inlineStr">
        <is>
          <t>HIGH</t>
        </is>
      </c>
      <c r="J28" s="0" t="n">
        <v>90</v>
      </c>
      <c r="K28" s="0" t="inlineStr">
        <is>
          <t>YES</t>
        </is>
      </c>
      <c r="L28" s="0" t="inlineStr">
        <is>
          <t>Topic trigger when Latter-day Saint lens is selected.</t>
        </is>
      </c>
      <c r="M28" s="0" t="inlineStr">
        <is>
          <t>YES</t>
        </is>
      </c>
    </row>
    <row r="29" ht="15.75" customHeight="1" s="29">
      <c r="A29" s="0" t="inlineStr">
        <is>
          <t>ICT-028</t>
        </is>
      </c>
      <c r="B29" s="0" t="inlineStr">
        <is>
          <t>ICC-002</t>
        </is>
      </c>
      <c r="C29" s="0" t="inlineStr">
        <is>
          <t>TRADITION</t>
        </is>
      </c>
      <c r="D29" s="0" t="inlineStr">
        <is>
          <t>Latter-day Saint</t>
        </is>
      </c>
      <c r="E29" s="0" t="inlineStr">
        <is>
          <t>EXACT</t>
        </is>
      </c>
      <c r="G29" s="0" t="inlineStr">
        <is>
          <t>Grace or salvation</t>
        </is>
      </c>
      <c r="H29" s="0" t="inlineStr">
        <is>
          <t>NO</t>
        </is>
      </c>
      <c r="I29" s="0" t="inlineStr">
        <is>
          <t>MEDIUM</t>
        </is>
      </c>
      <c r="J29" s="0" t="n">
        <v>60</v>
      </c>
      <c r="K29" s="0" t="inlineStr">
        <is>
          <t>YES</t>
        </is>
      </c>
      <c r="L29" s="0" t="inlineStr">
        <is>
          <t>Tradition alone never auto-surfaces; context is required.</t>
        </is>
      </c>
      <c r="M29" s="0" t="inlineStr">
        <is>
          <t>YES</t>
        </is>
      </c>
    </row>
    <row r="30" ht="15.75" customHeight="1" s="29">
      <c r="A30" s="0" t="inlineStr">
        <is>
          <t>ICT-029</t>
        </is>
      </c>
      <c r="B30" s="0" t="inlineStr">
        <is>
          <t>ICC-002</t>
        </is>
      </c>
      <c r="C30" s="0" t="inlineStr">
        <is>
          <t>PREDICATE_ID</t>
        </is>
      </c>
      <c r="D30" s="0" t="inlineStr">
        <is>
          <t>RNR-H16</t>
        </is>
      </c>
      <c r="E30" s="0" t="inlineStr">
        <is>
          <t>EXACT</t>
        </is>
      </c>
      <c r="H30" s="0" t="inlineStr">
        <is>
          <t>NO</t>
        </is>
      </c>
      <c r="I30" s="0" t="inlineStr">
        <is>
          <t>MEDIUM</t>
        </is>
      </c>
      <c r="J30" s="0" t="n">
        <v>70</v>
      </c>
      <c r="K30" s="0" t="inlineStr">
        <is>
          <t>YES</t>
        </is>
      </c>
      <c r="L30" s="0" t="inlineStr">
        <is>
          <t>Related clarification on the Gracious card (no auto-cue; the card is A).</t>
        </is>
      </c>
      <c r="M30" s="0" t="inlineStr">
        <is>
          <t>YES</t>
        </is>
      </c>
    </row>
    <row r="31" ht="15.75" customHeight="1" s="29">
      <c r="A31" s="0" t="inlineStr">
        <is>
          <t>ICT-030</t>
        </is>
      </c>
      <c r="B31" s="0" t="inlineStr">
        <is>
          <t>ICC-002</t>
        </is>
      </c>
      <c r="C31" s="0" t="inlineStr">
        <is>
          <t>PREDICATE_ID</t>
        </is>
      </c>
      <c r="D31" s="0" t="inlineStr">
        <is>
          <t>RNR-H27</t>
        </is>
      </c>
      <c r="E31" s="0" t="inlineStr">
        <is>
          <t>EXACT</t>
        </is>
      </c>
      <c r="H31" s="0" t="inlineStr">
        <is>
          <t>NO</t>
        </is>
      </c>
      <c r="I31" s="0" t="inlineStr">
        <is>
          <t>MEDIUM</t>
        </is>
      </c>
      <c r="J31" s="0" t="n">
        <v>70</v>
      </c>
      <c r="K31" s="0" t="inlineStr">
        <is>
          <t>YES</t>
        </is>
      </c>
      <c r="L31" s="0" t="inlineStr">
        <is>
          <t>Related clarification on the Savior card.</t>
        </is>
      </c>
      <c r="M31" s="0" t="inlineStr">
        <is>
          <t>YES</t>
        </is>
      </c>
    </row>
    <row r="32" ht="15.75" customHeight="1" s="29">
      <c r="A32" s="0" t="inlineStr">
        <is>
          <t>ICT-031</t>
        </is>
      </c>
      <c r="B32" s="0" t="inlineStr">
        <is>
          <t>ICC-002</t>
        </is>
      </c>
      <c r="C32" s="0" t="inlineStr">
        <is>
          <t>PREDICATE_ID</t>
        </is>
      </c>
      <c r="D32" s="0" t="inlineStr">
        <is>
          <t>RNR-A19</t>
        </is>
      </c>
      <c r="E32" s="0" t="inlineStr">
        <is>
          <t>EXACT</t>
        </is>
      </c>
      <c r="H32" s="0" t="inlineStr">
        <is>
          <t>NO</t>
        </is>
      </c>
      <c r="I32" s="0" t="inlineStr">
        <is>
          <t>MEDIUM</t>
        </is>
      </c>
      <c r="J32" s="0" t="n">
        <v>75</v>
      </c>
      <c r="K32" s="0" t="inlineStr">
        <is>
          <t>YES</t>
        </is>
      </c>
      <c r="L32" s="0" t="inlineStr">
        <is>
          <t>Related clarification on the exaltation addition card.</t>
        </is>
      </c>
      <c r="M32" s="0" t="inlineStr">
        <is>
          <t>YES</t>
        </is>
      </c>
    </row>
    <row r="33" ht="15.75" customHeight="1" s="29">
      <c r="A33" s="0" t="inlineStr">
        <is>
          <t>ICT-032</t>
        </is>
      </c>
      <c r="B33" s="0" t="inlineStr">
        <is>
          <t>ICC-002</t>
        </is>
      </c>
      <c r="C33" s="0" t="inlineStr">
        <is>
          <t>QUESTION_PATTERN</t>
        </is>
      </c>
      <c r="D33" s="0" t="inlineStr">
        <is>
          <t>Do Latter-day Saints believe they earn salvation by works?</t>
        </is>
      </c>
      <c r="E33" s="0" t="inlineStr">
        <is>
          <t>SEMANTIC</t>
        </is>
      </c>
      <c r="F33" s="0" t="inlineStr">
        <is>
          <t>Latter-day Saint</t>
        </is>
      </c>
      <c r="H33" s="0" t="inlineStr">
        <is>
          <t>YES</t>
        </is>
      </c>
      <c r="I33" s="0" t="inlineStr">
        <is>
          <t>HIGH</t>
        </is>
      </c>
      <c r="J33" s="0" t="n">
        <v>100</v>
      </c>
      <c r="K33" s="0" t="inlineStr">
        <is>
          <t>YES</t>
        </is>
      </c>
      <c r="L33" s="0" t="inlineStr">
        <is>
          <t>Conversational trigger.</t>
        </is>
      </c>
      <c r="M33" s="0" t="inlineStr">
        <is>
          <t>DEFERRED</t>
        </is>
      </c>
    </row>
    <row r="34" ht="15.75" customHeight="1" s="29">
      <c r="A34" s="0" t="inlineStr">
        <is>
          <t>ICT-033</t>
        </is>
      </c>
      <c r="B34" s="0" t="inlineStr">
        <is>
          <t>ICC-002</t>
        </is>
      </c>
      <c r="C34" s="0" t="inlineStr">
        <is>
          <t>QUESTION_PATTERN</t>
        </is>
      </c>
      <c r="D34" s="0" t="inlineStr">
        <is>
          <t>What does "after all we can do" mean?</t>
        </is>
      </c>
      <c r="E34" s="0" t="inlineStr">
        <is>
          <t>SEMANTIC</t>
        </is>
      </c>
      <c r="F34" s="0" t="inlineStr">
        <is>
          <t>Latter-day Saint</t>
        </is>
      </c>
      <c r="H34" s="0" t="inlineStr">
        <is>
          <t>YES</t>
        </is>
      </c>
      <c r="I34" s="0" t="inlineStr">
        <is>
          <t>HIGH</t>
        </is>
      </c>
      <c r="J34" s="0" t="n">
        <v>100</v>
      </c>
      <c r="K34" s="0" t="inlineStr">
        <is>
          <t>YES</t>
        </is>
      </c>
      <c r="L34" s="0" t="inlineStr">
        <is>
          <t>Conversational trigger.</t>
        </is>
      </c>
      <c r="M34" s="0" t="inlineStr">
        <is>
          <t>DEFERRED</t>
        </is>
      </c>
    </row>
    <row r="35" ht="15.75" customHeight="1" s="29">
      <c r="A35" s="0" t="inlineStr">
        <is>
          <t>ICT-034</t>
        </is>
      </c>
      <c r="B35" s="0" t="inlineStr">
        <is>
          <t>ICC-002</t>
        </is>
      </c>
      <c r="C35" s="0" t="inlineStr">
        <is>
          <t>QUESTION_PATTERN</t>
        </is>
      </c>
      <c r="D35" s="0" t="inlineStr">
        <is>
          <t>Do Mormons believe in grace?</t>
        </is>
      </c>
      <c r="E35" s="0" t="inlineStr">
        <is>
          <t>SEMANTIC</t>
        </is>
      </c>
      <c r="F35" s="0" t="inlineStr">
        <is>
          <t>Latter-day Saint</t>
        </is>
      </c>
      <c r="H35" s="0" t="inlineStr">
        <is>
          <t>YES</t>
        </is>
      </c>
      <c r="I35" s="0" t="inlineStr">
        <is>
          <t>HIGH</t>
        </is>
      </c>
      <c r="J35" s="0" t="n">
        <v>100</v>
      </c>
      <c r="K35" s="0" t="inlineStr">
        <is>
          <t>YES</t>
        </is>
      </c>
      <c r="L35" s="0" t="inlineStr">
        <is>
          <t>Conversational trigger; learner phrasing retained verbatim for matching only — never rendered.</t>
        </is>
      </c>
      <c r="M35" s="0" t="inlineStr">
        <is>
          <t>DEFERRED</t>
        </is>
      </c>
    </row>
    <row r="36" ht="15.75" customHeight="1" s="29">
      <c r="A36" s="0" t="inlineStr">
        <is>
          <t>ICT-035</t>
        </is>
      </c>
      <c r="B36" s="0" t="inlineStr">
        <is>
          <t>ICC-002</t>
        </is>
      </c>
      <c r="C36" s="0" t="inlineStr">
        <is>
          <t>HAZARD_TYPE</t>
        </is>
      </c>
      <c r="D36" s="0" t="inlineStr">
        <is>
          <t>SLOGAN_COMPRESSION</t>
        </is>
      </c>
      <c r="E36" s="0" t="inlineStr">
        <is>
          <t>EXACT</t>
        </is>
      </c>
      <c r="H36" s="0" t="inlineStr">
        <is>
          <t>NO</t>
        </is>
      </c>
      <c r="I36" s="0" t="inlineStr">
        <is>
          <t>MEDIUM</t>
        </is>
      </c>
      <c r="J36" s="0" t="n">
        <v>70</v>
      </c>
      <c r="K36" s="0" t="inlineStr">
        <is>
          <t>YES</t>
        </is>
      </c>
      <c r="L36" s="0" t="inlineStr">
        <is>
          <t>Explorer/filter classification.</t>
        </is>
      </c>
      <c r="M36" s="0" t="inlineStr">
        <is>
          <t>YES</t>
        </is>
      </c>
    </row>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6" customWidth="1" style="29" min="3" max="3"/>
    <col width="34" customWidth="1" style="29" min="4" max="4"/>
    <col width="28" customWidth="1" style="29" min="5" max="5"/>
    <col width="50" customWidth="1" style="29" min="6" max="6"/>
    <col width="36" customWidth="1" style="29" min="7" max="7"/>
    <col width="82" customWidth="1" style="29" min="8" max="8"/>
    <col width="50" customWidth="1" style="29" min="9" max="9"/>
    <col width="16" customWidth="1" style="29" min="10" max="10"/>
    <col width="72" customWidth="1" style="29" min="11" max="11"/>
    <col width="62" customWidth="1" style="29" min="12" max="12"/>
    <col width="38" customWidth="1" style="29" min="13" max="13"/>
    <col width="18" customWidth="1" style="29" min="14" max="14"/>
    <col width="12" customWidth="1" style="29" min="15" max="15"/>
    <col width="24" customWidth="1" style="29" min="16" max="16"/>
    <col width="14" customWidth="1" style="29" min="17" max="17"/>
    <col width="60" customWidth="1" style="29" min="18" max="18"/>
    <col width="8.630000000000001" customWidth="1" style="29" min="19" max="26"/>
  </cols>
  <sheetData>
    <row r="1">
      <c r="A1" s="5" t="inlineStr">
        <is>
          <t>Source ID</t>
        </is>
      </c>
      <c r="B1" s="5" t="inlineStr">
        <is>
          <t>Case ID</t>
        </is>
      </c>
      <c r="C1" s="5" t="inlineStr">
        <is>
          <t>Source role</t>
        </is>
      </c>
      <c r="D1" s="5" t="inlineStr">
        <is>
          <t>Tradition / institution</t>
        </is>
      </c>
      <c r="E1" s="5" t="inlineStr">
        <is>
          <t>Subtradition scope</t>
        </is>
      </c>
      <c r="F1" s="5" t="inlineStr">
        <is>
          <t>Document / statement</t>
        </is>
      </c>
      <c r="G1" s="5" t="inlineStr">
        <is>
          <t>Locator</t>
        </is>
      </c>
      <c r="H1" s="5" t="inlineStr">
        <is>
          <t>URL</t>
        </is>
      </c>
      <c r="I1" s="5" t="inlineStr">
        <is>
          <t>Quoted phrase (≤15 words)</t>
        </is>
      </c>
      <c r="J1" s="5" t="inlineStr">
        <is>
          <t>Phrase word count</t>
        </is>
      </c>
      <c r="K1" s="5" t="inlineStr">
        <is>
          <t>Claim supported</t>
        </is>
      </c>
      <c r="L1" s="5" t="inlineStr">
        <is>
          <t>Authority note</t>
        </is>
      </c>
      <c r="M1" s="5" t="inlineStr">
        <is>
          <t>Content assertion mode</t>
        </is>
      </c>
      <c r="N1" s="5" t="inlineStr">
        <is>
          <t>Review status</t>
        </is>
      </c>
      <c r="O1" s="5" t="inlineStr">
        <is>
          <t>Counted?</t>
        </is>
      </c>
      <c r="P1" s="5" t="inlineStr">
        <is>
          <t>Source date / historical period</t>
        </is>
      </c>
      <c r="Q1" s="5" t="inlineStr">
        <is>
          <t>Current?</t>
        </is>
      </c>
      <c r="R1" s="5" t="inlineStr">
        <is>
          <t>Notes</t>
        </is>
      </c>
    </row>
    <row r="2">
      <c r="A2" s="7" t="inlineStr">
        <is>
          <t>ICS-001</t>
        </is>
      </c>
      <c r="B2" s="7" t="inlineStr">
        <is>
          <t>ICC-001</t>
        </is>
      </c>
      <c r="C2" s="7" t="inlineStr">
        <is>
          <t>CURRENT_INSTITUTIONAL</t>
        </is>
      </c>
      <c r="D2" s="7" t="inlineStr">
        <is>
          <t>Southern Baptist Convention</t>
        </is>
      </c>
      <c r="E2" s="7" t="inlineStr">
        <is>
          <t>Southern Baptist</t>
        </is>
      </c>
      <c r="F2" s="7" t="inlineStr">
        <is>
          <t>Baptist Faith and Message 2000</t>
        </is>
      </c>
      <c r="G2" s="7" t="inlineStr">
        <is>
          <t>Article IV — Salvation</t>
        </is>
      </c>
      <c r="H2" s="7" t="inlineStr">
        <is>
          <t>https://bfm.sbc.net/bfm2000/</t>
        </is>
      </c>
      <c r="I2" s="7" t="inlineStr">
        <is>
          <t>Repentance and faith are inseparable experiences of grace</t>
        </is>
      </c>
      <c r="J2" s="7" t="n">
        <v>8</v>
      </c>
      <c r="K2" s="7" t="inlineStr">
        <is>
          <t>Saving response includes inseparable repentance and faith; sanctification follows regeneration.</t>
        </is>
      </c>
      <c r="L2" s="7" t="inlineStr">
        <is>
          <t>Current SBC confession / cooperative doctrinal standard.</t>
        </is>
      </c>
      <c r="M2" s="7" t="inlineStr">
        <is>
          <t>HTML locator-scoped phrase containment</t>
        </is>
      </c>
      <c r="N2" s="7" t="inlineStr">
        <is>
          <t>VERIFIED</t>
        </is>
      </c>
      <c r="O2" s="7" t="b">
        <v>0</v>
      </c>
      <c r="P2" s="7" t="inlineStr">
        <is>
          <t>2000</t>
        </is>
      </c>
      <c r="Q2" s="7" t="inlineStr">
        <is>
          <t>YES</t>
        </is>
      </c>
      <c r="R2" s="7" t="inlineStr">
        <is>
          <t>Use for justification/sanctification distinction.</t>
        </is>
      </c>
    </row>
    <row r="3">
      <c r="A3" s="7" t="inlineStr">
        <is>
          <t>ICS-002</t>
        </is>
      </c>
      <c r="B3" s="7" t="inlineStr">
        <is>
          <t>ICC-001</t>
        </is>
      </c>
      <c r="C3" s="7" t="inlineStr">
        <is>
          <t>CURRENT_INSTITUTIONAL</t>
        </is>
      </c>
      <c r="D3" s="7" t="inlineStr">
        <is>
          <t>Southern Baptist Convention</t>
        </is>
      </c>
      <c r="E3" s="7" t="inlineStr">
        <is>
          <t>Southern Baptist</t>
        </is>
      </c>
      <c r="F3" s="7" t="inlineStr">
        <is>
          <t>Baptist Faith and Message 2000</t>
        </is>
      </c>
      <c r="G3" s="7" t="inlineStr">
        <is>
          <t>Article V — God's Purpose of Grace</t>
        </is>
      </c>
      <c r="H3" s="7" t="inlineStr">
        <is>
          <t>https://bfm.sbc.net/bfm2000/</t>
        </is>
      </c>
      <c r="I3" s="7" t="inlineStr">
        <is>
          <t>All true believers endure to the end</t>
        </is>
      </c>
      <c r="J3" s="7" t="n">
        <v>7</v>
      </c>
      <c r="K3" s="7" t="inlineStr">
        <is>
          <t>Southern Baptist perseverance/eternal-security model.</t>
        </is>
      </c>
      <c r="L3" s="7" t="inlineStr">
        <is>
          <t>Current SBC confession / cooperative doctrinal standard.</t>
        </is>
      </c>
      <c r="M3" s="7" t="inlineStr">
        <is>
          <t>HTML locator-scoped phrase containment</t>
        </is>
      </c>
      <c r="N3" s="7" t="inlineStr">
        <is>
          <t>VERIFIED</t>
        </is>
      </c>
      <c r="O3" s="7" t="b">
        <v>0</v>
      </c>
      <c r="P3" s="7" t="inlineStr">
        <is>
          <t>2000</t>
        </is>
      </c>
      <c r="Q3" s="7" t="inlineStr">
        <is>
          <t>YES</t>
        </is>
      </c>
      <c r="R3" s="7" t="inlineStr">
        <is>
          <t>Use for perseverance branch of case.</t>
        </is>
      </c>
    </row>
    <row r="4">
      <c r="A4" s="7" t="inlineStr">
        <is>
          <t>ICS-003</t>
        </is>
      </c>
      <c r="B4" s="7" t="inlineStr">
        <is>
          <t>ICC-001</t>
        </is>
      </c>
      <c r="C4" s="7" t="inlineStr">
        <is>
          <t>CURRENT_INSTITUTIONAL</t>
        </is>
      </c>
      <c r="D4" s="7" t="inlineStr">
        <is>
          <t>Southern Baptist Convention</t>
        </is>
      </c>
      <c r="E4" s="7" t="inlineStr">
        <is>
          <t>Southern Baptist</t>
        </is>
      </c>
      <c r="F4" s="7" t="inlineStr">
        <is>
          <t>Resolution on Southern Baptists and Roman Catholics</t>
        </is>
      </c>
      <c r="G4" s="7" t="inlineStr">
        <is>
          <t>1994 Annual Meeting resolution</t>
        </is>
      </c>
      <c r="H4" s="7" t="inlineStr">
        <is>
          <t>https://www.sbc.net/resource-library/resolutions/resolution-on-southern-baptists-and-roman-catholics/</t>
        </is>
      </c>
      <c r="I4" s="7" t="inlineStr">
        <is>
          <t>by grace alone through faith alone in Christ alone</t>
        </is>
      </c>
      <c r="J4" s="7" t="n">
        <v>9</v>
      </c>
      <c r="K4" s="7" t="inlineStr">
        <is>
          <t>Explicit Southern Baptist faith-alone formulation.</t>
        </is>
      </c>
      <c r="L4" s="7" t="inlineStr">
        <is>
          <t>Convention resolution; expression of SBC messengers, not a local-church magisterium.</t>
        </is>
      </c>
      <c r="M4" s="7" t="inlineStr">
        <is>
          <t>HTML locator-scoped phrase containment</t>
        </is>
      </c>
      <c r="N4" s="7" t="inlineStr">
        <is>
          <t>VERIFIED</t>
        </is>
      </c>
      <c r="O4" s="7" t="b">
        <v>0</v>
      </c>
      <c r="P4" s="7" t="inlineStr">
        <is>
          <t>1994</t>
        </is>
      </c>
      <c r="Q4" s="7" t="inlineStr">
        <is>
          <t>YES</t>
        </is>
      </c>
      <c r="R4" s="7" t="inlineStr">
        <is>
          <t>Use to document explicit sola fide language.</t>
        </is>
      </c>
    </row>
    <row r="5">
      <c r="A5" s="7" t="inlineStr">
        <is>
          <t>ICS-004</t>
        </is>
      </c>
      <c r="B5" s="7" t="inlineStr">
        <is>
          <t>ICC-001</t>
        </is>
      </c>
      <c r="C5" s="7" t="inlineStr">
        <is>
          <t>ECCLESIAL_PRACTICE</t>
        </is>
      </c>
      <c r="D5" s="7" t="inlineStr">
        <is>
          <t>Southern Baptist Convention</t>
        </is>
      </c>
      <c r="E5" s="7" t="inlineStr">
        <is>
          <t>Southern Baptist</t>
        </is>
      </c>
      <c r="F5" s="7" t="inlineStr">
        <is>
          <t>On Integrity in SBC Leadership</t>
        </is>
      </c>
      <c r="G5" s="7" t="inlineStr">
        <is>
          <t>2024 Annual Meeting resolution</t>
        </is>
      </c>
      <c r="H5" s="7" t="inlineStr">
        <is>
          <t>https://www.sbc.net/resource-library/resolutions/on-integrity-in-sbc-leadership/</t>
        </is>
      </c>
      <c r="I5" s="7" t="inlineStr">
        <is>
          <t>subject those in unrepentant sin to church discipline</t>
        </is>
      </c>
      <c r="J5" s="7" t="n">
        <v>8</v>
      </c>
      <c r="K5" s="7" t="inlineStr">
        <is>
          <t>Contemporary SBC affirmation of church discipline for unrepentant sin.</t>
        </is>
      </c>
      <c r="L5" s="7" t="inlineStr">
        <is>
          <t>Convention resolution; local churches remain autonomous.</t>
        </is>
      </c>
      <c r="M5" s="7" t="inlineStr">
        <is>
          <t>HTML locator-scoped phrase containment</t>
        </is>
      </c>
      <c r="N5" s="7" t="inlineStr">
        <is>
          <t>VERIFIED</t>
        </is>
      </c>
      <c r="O5" s="7" t="b">
        <v>0</v>
      </c>
      <c r="P5" s="7" t="inlineStr">
        <is>
          <t>2024</t>
        </is>
      </c>
      <c r="Q5" s="7" t="inlineStr">
        <is>
          <t>YES</t>
        </is>
      </c>
      <c r="R5" s="7" t="inlineStr">
        <is>
          <t>Practice/governance witness, not a soteriological revocation mechanism.</t>
        </is>
      </c>
    </row>
    <row r="6">
      <c r="A6" s="7" t="inlineStr">
        <is>
          <t>ICS-005</t>
        </is>
      </c>
      <c r="B6" s="7" t="inlineStr">
        <is>
          <t>ICC-001</t>
        </is>
      </c>
      <c r="C6" s="7" t="inlineStr">
        <is>
          <t>HISTORICAL_CONFESSIONAL</t>
        </is>
      </c>
      <c r="D6" s="7" t="inlineStr">
        <is>
          <t>Particular / Reformed Baptist</t>
        </is>
      </c>
      <c r="E6" s="7" t="inlineStr">
        <is>
          <t>Confessional Baptist</t>
        </is>
      </c>
      <c r="F6" s="7" t="inlineStr">
        <is>
          <t>Second London Baptist Confession (1689)</t>
        </is>
      </c>
      <c r="G6" s="7" t="inlineStr">
        <is>
          <t>Chapter 11, paragraph 2</t>
        </is>
      </c>
      <c r="H6" s="7" t="inlineStr">
        <is>
          <t>https://www.the1689confession.com/1689/chapter-11</t>
        </is>
      </c>
      <c r="I6" s="7" t="inlineStr">
        <is>
          <t>the alone instrument of justification</t>
        </is>
      </c>
      <c r="J6" s="7" t="n">
        <v>5</v>
      </c>
      <c r="K6" s="7" t="inlineStr">
        <is>
          <t>Faith is the sole instrument of justification in the historic confession.</t>
        </is>
      </c>
      <c r="L6" s="7" t="inlineStr">
        <is>
          <t>Historical confessional witness; not a current universal Baptist standard.</t>
        </is>
      </c>
      <c r="M6" s="7" t="inlineStr">
        <is>
          <t>HTML locator-scoped phrase containment</t>
        </is>
      </c>
      <c r="N6" s="7" t="inlineStr">
        <is>
          <t>VERIFIED</t>
        </is>
      </c>
      <c r="O6" s="7" t="b">
        <v>0</v>
      </c>
      <c r="P6" s="7" t="inlineStr">
        <is>
          <t>1689</t>
        </is>
      </c>
      <c r="Q6" s="7" t="inlineStr">
        <is>
          <t>HISTORICAL</t>
        </is>
      </c>
      <c r="R6" s="7" t="inlineStr">
        <is>
          <t>Use with explicit historical/confessional scope.</t>
        </is>
      </c>
    </row>
    <row r="7">
      <c r="A7" s="7" t="inlineStr">
        <is>
          <t>ICS-006</t>
        </is>
      </c>
      <c r="B7" s="7" t="inlineStr">
        <is>
          <t>ICC-001</t>
        </is>
      </c>
      <c r="C7" s="7" t="inlineStr">
        <is>
          <t>HISTORICAL_CONFESSIONAL</t>
        </is>
      </c>
      <c r="D7" s="7" t="inlineStr">
        <is>
          <t>Particular / Reformed Baptist</t>
        </is>
      </c>
      <c r="E7" s="7" t="inlineStr">
        <is>
          <t>Confessional Baptist</t>
        </is>
      </c>
      <c r="F7" s="7" t="inlineStr">
        <is>
          <t>Second London Baptist Confession (1689)</t>
        </is>
      </c>
      <c r="G7" s="7" t="inlineStr">
        <is>
          <t>Chapter 11, paragraph 2</t>
        </is>
      </c>
      <c r="H7" s="7" t="inlineStr">
        <is>
          <t>https://www.the1689confession.com/1689/chapter-11</t>
        </is>
      </c>
      <c r="I7" s="7" t="inlineStr">
        <is>
          <t>yet is not alone in the person justified</t>
        </is>
      </c>
      <c r="J7" s="7" t="n">
        <v>8</v>
      </c>
      <c r="K7" s="7" t="inlineStr">
        <is>
          <t>Justifying faith is accompanied by saving graces and works by love.</t>
        </is>
      </c>
      <c r="L7" s="7" t="inlineStr">
        <is>
          <t>Historical confessional witness; semantic complement to ICS-005.</t>
        </is>
      </c>
      <c r="M7" s="7" t="inlineStr">
        <is>
          <t>HTML locator-scoped phrase containment</t>
        </is>
      </c>
      <c r="N7" s="7" t="inlineStr">
        <is>
          <t>VERIFIED</t>
        </is>
      </c>
      <c r="O7" s="7" t="b">
        <v>0</v>
      </c>
      <c r="P7" s="7" t="inlineStr">
        <is>
          <t>1689</t>
        </is>
      </c>
      <c r="Q7" s="7" t="inlineStr">
        <is>
          <t>HISTORICAL</t>
        </is>
      </c>
      <c r="R7" s="7" t="inlineStr">
        <is>
          <t>Teaching paraphrase may say faith alone justifies but does not remain alone.</t>
        </is>
      </c>
    </row>
    <row r="8">
      <c r="A8" s="7" t="inlineStr">
        <is>
          <t>ICS-007</t>
        </is>
      </c>
      <c r="B8" s="7" t="inlineStr">
        <is>
          <t>ICC-001</t>
        </is>
      </c>
      <c r="C8" s="7" t="inlineStr">
        <is>
          <t>HISTORICAL_CONFESSIONAL</t>
        </is>
      </c>
      <c r="D8" s="7" t="inlineStr">
        <is>
          <t>Particular / Reformed Baptist</t>
        </is>
      </c>
      <c r="E8" s="7" t="inlineStr">
        <is>
          <t>Confessional Baptist</t>
        </is>
      </c>
      <c r="F8" s="7" t="inlineStr">
        <is>
          <t>Second London Baptist Confession (1689)</t>
        </is>
      </c>
      <c r="G8" s="7" t="inlineStr">
        <is>
          <t>Chapter 26, paragraph 2</t>
        </is>
      </c>
      <c r="H8" s="7" t="inlineStr">
        <is>
          <t>https://www.the1689confession.com/1689/chapter-26</t>
        </is>
      </c>
      <c r="I8" s="7" t="inlineStr">
        <is>
          <t>not destroying their own profession</t>
        </is>
      </c>
      <c r="J8" s="7" t="n">
        <v>5</v>
      </c>
      <c r="K8" s="7" t="inlineStr">
        <is>
          <t>Visible sainthood/church membership is tied to a credible profession not destroyed by foundational error or unholy living.</t>
        </is>
      </c>
      <c r="L8" s="7" t="inlineStr">
        <is>
          <t>Historical ecclesiology witness.</t>
        </is>
      </c>
      <c r="M8" s="7" t="inlineStr">
        <is>
          <t>HTML locator-scoped phrase containment</t>
        </is>
      </c>
      <c r="N8" s="7" t="inlineStr">
        <is>
          <t>VERIFIED</t>
        </is>
      </c>
      <c r="O8" s="7" t="b">
        <v>0</v>
      </c>
      <c r="P8" s="7" t="inlineStr">
        <is>
          <t>1689</t>
        </is>
      </c>
      <c r="Q8" s="7" t="inlineStr">
        <is>
          <t>HISTORICAL</t>
        </is>
      </c>
      <c r="R8" s="7" t="inlineStr">
        <is>
          <t>Supports visible-profession distinction.</t>
        </is>
      </c>
    </row>
    <row r="9">
      <c r="A9" s="7" t="inlineStr">
        <is>
          <t>ICS-008</t>
        </is>
      </c>
      <c r="B9" s="7" t="inlineStr">
        <is>
          <t>ICC-001</t>
        </is>
      </c>
      <c r="C9" s="7" t="inlineStr">
        <is>
          <t>HISTORICAL_CONFESSIONAL</t>
        </is>
      </c>
      <c r="D9" s="7" t="inlineStr">
        <is>
          <t>Particular / Reformed Baptist</t>
        </is>
      </c>
      <c r="E9" s="7" t="inlineStr">
        <is>
          <t>Confessional Baptist</t>
        </is>
      </c>
      <c r="F9" s="7" t="inlineStr">
        <is>
          <t>Second London Baptist Confession (1689)</t>
        </is>
      </c>
      <c r="G9" s="7" t="inlineStr">
        <is>
          <t>Chapter 26, paragraph 7</t>
        </is>
      </c>
      <c r="H9" s="7" t="inlineStr">
        <is>
          <t>https://www.the1689confession.com/1689/chapter-26</t>
        </is>
      </c>
      <c r="I9" s="7" t="inlineStr">
        <is>
          <t>order in worship and discipline</t>
        </is>
      </c>
      <c r="J9" s="7" t="n">
        <v>5</v>
      </c>
      <c r="K9" s="7" t="inlineStr">
        <is>
          <t>Local churches possess authority for ecclesial discipline.</t>
        </is>
      </c>
      <c r="L9" s="7" t="inlineStr">
        <is>
          <t>Historical ecclesiology witness.</t>
        </is>
      </c>
      <c r="M9" s="7" t="inlineStr">
        <is>
          <t>HTML locator-scoped phrase containment</t>
        </is>
      </c>
      <c r="N9" s="7" t="inlineStr">
        <is>
          <t>VERIFIED</t>
        </is>
      </c>
      <c r="O9" s="7" t="b">
        <v>0</v>
      </c>
      <c r="P9" s="7" t="inlineStr">
        <is>
          <t>1689</t>
        </is>
      </c>
      <c r="Q9" s="7" t="inlineStr">
        <is>
          <t>HISTORICAL</t>
        </is>
      </c>
      <c r="R9" s="7" t="inlineStr">
        <is>
          <t>Supports ecclesial discipline layer.</t>
        </is>
      </c>
    </row>
    <row r="10">
      <c r="A10" s="7" t="inlineStr">
        <is>
          <t>ICS-009</t>
        </is>
      </c>
      <c r="B10" s="7" t="inlineStr">
        <is>
          <t>ICC-001</t>
        </is>
      </c>
      <c r="C10" s="7" t="inlineStr">
        <is>
          <t>VARIATION_WITNESS</t>
        </is>
      </c>
      <c r="D10" s="7" t="inlineStr">
        <is>
          <t>National Association of Free Will Baptists</t>
        </is>
      </c>
      <c r="E10" s="7" t="inlineStr">
        <is>
          <t>Free Will Baptist</t>
        </is>
      </c>
      <c r="F10" s="7" t="inlineStr">
        <is>
          <t>What We Believe</t>
        </is>
      </c>
      <c r="G10" s="7" t="inlineStr">
        <is>
          <t>Salvation</t>
        </is>
      </c>
      <c r="H10" s="7" t="inlineStr">
        <is>
          <t>https://nafwb.org/site/about/what-we-believe/</t>
        </is>
      </c>
      <c r="I10" s="7" t="inlineStr">
        <is>
          <t>a salvation by grace alone and not of works</t>
        </is>
      </c>
      <c r="J10" s="7" t="n">
        <v>9</v>
      </c>
      <c r="K10" s="7" t="inlineStr">
        <is>
          <t>Free Will Baptist variation also denies salvation by works.</t>
        </is>
      </c>
      <c r="L10" s="7" t="inlineStr">
        <is>
          <t>Current denominational explanatory source.</t>
        </is>
      </c>
      <c r="M10" s="7" t="inlineStr">
        <is>
          <t>HTML locator-scoped phrase containment</t>
        </is>
      </c>
      <c r="N10" s="7" t="inlineStr">
        <is>
          <t>VERIFIED</t>
        </is>
      </c>
      <c r="O10" s="7" t="b">
        <v>0</v>
      </c>
      <c r="P10" s="7" t="inlineStr">
        <is>
          <t>current</t>
        </is>
      </c>
      <c r="Q10" s="7" t="inlineStr">
        <is>
          <t>YES</t>
        </is>
      </c>
      <c r="R10" s="7" t="inlineStr">
        <is>
          <t>Variation witness.</t>
        </is>
      </c>
    </row>
    <row r="11">
      <c r="A11" s="7" t="inlineStr">
        <is>
          <t>ICS-010</t>
        </is>
      </c>
      <c r="B11" s="7" t="inlineStr">
        <is>
          <t>ICC-001</t>
        </is>
      </c>
      <c r="C11" s="7" t="inlineStr">
        <is>
          <t>VARIATION_WITNESS</t>
        </is>
      </c>
      <c r="D11" s="7" t="inlineStr">
        <is>
          <t>National Association of Free Will Baptists</t>
        </is>
      </c>
      <c r="E11" s="7" t="inlineStr">
        <is>
          <t>Free Will Baptist</t>
        </is>
      </c>
      <c r="F11" s="7" t="inlineStr">
        <is>
          <t>What We Believe</t>
        </is>
      </c>
      <c r="G11" s="7" t="inlineStr">
        <is>
          <t>Perseverance</t>
        </is>
      </c>
      <c r="H11" s="7" t="inlineStr">
        <is>
          <t>https://nafwb.org/site/about/what-we-believe/</t>
        </is>
      </c>
      <c r="I11" s="7" t="inlineStr">
        <is>
          <t>make shipwreck of his faith and be lost</t>
        </is>
      </c>
      <c r="J11" s="7" t="n">
        <v>8</v>
      </c>
      <c r="K11" s="7" t="inlineStr">
        <is>
          <t>Free Will Baptist conditional-security variation.</t>
        </is>
      </c>
      <c r="L11" s="7" t="inlineStr">
        <is>
          <t>Current denominational explanatory source.</t>
        </is>
      </c>
      <c r="M11" s="7" t="inlineStr">
        <is>
          <t>HTML locator-scoped phrase containment</t>
        </is>
      </c>
      <c r="N11" s="7" t="inlineStr">
        <is>
          <t>VERIFIED</t>
        </is>
      </c>
      <c r="O11" s="7" t="b">
        <v>0</v>
      </c>
      <c r="P11" s="7" t="inlineStr">
        <is>
          <t>current</t>
        </is>
      </c>
      <c r="Q11" s="7" t="inlineStr">
        <is>
          <t>YES</t>
        </is>
      </c>
      <c r="R11" s="7" t="inlineStr">
        <is>
          <t>Shows Baptist-family variation without changing grace-not-works premise.</t>
        </is>
      </c>
    </row>
    <row r="12">
      <c r="A12" s="0" t="inlineStr">
        <is>
          <t>ICS-011</t>
        </is>
      </c>
      <c r="B12" s="0" t="inlineStr">
        <is>
          <t>ICC-002</t>
        </is>
      </c>
      <c r="C12" s="0" t="inlineStr">
        <is>
          <t>CANONICAL_SCRIPTURE</t>
        </is>
      </c>
      <c r="D12" s="0" t="inlineStr">
        <is>
          <t>The Church of Jesus Christ of Latter-day Saints</t>
        </is>
      </c>
      <c r="E12" s="0" t="inlineStr">
        <is>
          <t>Churchwide (canonical/official)</t>
        </is>
      </c>
      <c r="F12" s="0" t="inlineStr">
        <is>
          <t>Book of Mormon</t>
        </is>
      </c>
      <c r="G12" s="0" t="inlineStr">
        <is>
          <t>2 Nephi 25:23</t>
        </is>
      </c>
      <c r="H12" s="0" t="inlineStr">
        <is>
          <t>https://www.churchofjesuschrist.org/study/scriptures/bofm/2-ne/25?lang=eng&amp;id=p23#p23</t>
        </is>
      </c>
      <c r="I12" s="0" t="inlineStr">
        <is>
          <t>it is by grace that we are saved, after all we can do</t>
        </is>
      </c>
      <c r="J12" s="0" t="n">
        <v>13</v>
      </c>
      <c r="K12" s="0" t="inlineStr">
        <is>
          <t>The slogan itself in its canonical setting.</t>
        </is>
      </c>
      <c r="L12" s="0" t="inlineStr">
        <is>
          <t>Canonical scripture.</t>
        </is>
      </c>
      <c r="M12" s="0" t="inlineStr">
        <is>
          <t>RENDERED HTML locator-scoped phrase containment (Playwright/Church content API)</t>
        </is>
      </c>
      <c r="N12" s="0" t="inlineStr">
        <is>
          <t>VERIFIED</t>
        </is>
      </c>
      <c r="O12" s="0" t="b">
        <v>0</v>
      </c>
      <c r="P12" s="0" t="inlineStr">
        <is>
          <t>c. 559–545 BC (Nephi); published 1830</t>
        </is>
      </c>
      <c r="Q12" s="0" t="inlineStr">
        <is>
          <t>YES</t>
        </is>
      </c>
      <c r="R12" s="0" t="inlineStr">
        <is>
          <t>Slogan source; read with ICS-012 and ICS-013.</t>
        </is>
      </c>
    </row>
    <row r="13">
      <c r="A13" s="0" t="inlineStr">
        <is>
          <t>ICS-012</t>
        </is>
      </c>
      <c r="B13" s="0" t="inlineStr">
        <is>
          <t>ICC-002</t>
        </is>
      </c>
      <c r="C13" s="0" t="inlineStr">
        <is>
          <t>CANONICAL_SCRIPTURE</t>
        </is>
      </c>
      <c r="D13" s="0" t="inlineStr">
        <is>
          <t>The Church of Jesus Christ of Latter-day Saints</t>
        </is>
      </c>
      <c r="E13" s="0" t="inlineStr">
        <is>
          <t>Churchwide (canonical/official)</t>
        </is>
      </c>
      <c r="F13" s="0" t="inlineStr">
        <is>
          <t>Book of Mormon</t>
        </is>
      </c>
      <c r="G13" s="0" t="inlineStr">
        <is>
          <t>2 Nephi 10:24</t>
        </is>
      </c>
      <c r="H13" s="0" t="inlineStr">
        <is>
          <t>https://www.churchofjesuschrist.org/study/scriptures/bofm/2-ne/10?lang=eng&amp;id=p24#p24</t>
        </is>
      </c>
      <c r="I13" s="0" t="inlineStr">
        <is>
          <t>only in and through the grace of God that ye are saved</t>
        </is>
      </c>
      <c r="J13" s="0" t="n">
        <v>12</v>
      </c>
      <c r="K13" s="0" t="inlineStr">
        <is>
          <t>Salvation is by grace alone in the same book that contains the slogan.</t>
        </is>
      </c>
      <c r="L13" s="0" t="inlineStr">
        <is>
          <t>Canonical scripture.</t>
        </is>
      </c>
      <c r="M13" s="0" t="inlineStr">
        <is>
          <t>RENDERED HTML locator-scoped phrase containment (Playwright/Church content API)</t>
        </is>
      </c>
      <c r="N13" s="0" t="inlineStr">
        <is>
          <t>VERIFIED</t>
        </is>
      </c>
      <c r="O13" s="0" t="b">
        <v>0</v>
      </c>
      <c r="P13" s="0" t="inlineStr">
        <is>
          <t>c. 559–545 BC (Jacob); published 1830</t>
        </is>
      </c>
      <c r="Q13" s="0" t="inlineStr">
        <is>
          <t>YES</t>
        </is>
      </c>
      <c r="R13" s="0" t="inlineStr">
        <is>
          <t>Controls the reading of 2 Nephi 25:23.</t>
        </is>
      </c>
    </row>
    <row r="14">
      <c r="A14" s="0" t="inlineStr">
        <is>
          <t>ICS-013</t>
        </is>
      </c>
      <c r="B14" s="0" t="inlineStr">
        <is>
          <t>ICC-002</t>
        </is>
      </c>
      <c r="C14" s="0" t="inlineStr">
        <is>
          <t>CANONICAL_SCRIPTURE</t>
        </is>
      </c>
      <c r="D14" s="0" t="inlineStr">
        <is>
          <t>The Church of Jesus Christ of Latter-day Saints</t>
        </is>
      </c>
      <c r="E14" s="0" t="inlineStr">
        <is>
          <t>Churchwide (canonical/official)</t>
        </is>
      </c>
      <c r="F14" s="0" t="inlineStr">
        <is>
          <t>Book of Mormon</t>
        </is>
      </c>
      <c r="G14" s="0" t="inlineStr">
        <is>
          <t>Alma 24:11</t>
        </is>
      </c>
      <c r="H14" s="0" t="inlineStr">
        <is>
          <t>https://www.churchofjesuschrist.org/study/scriptures/bofm/alma/24?lang=eng&amp;id=p10-p11#p10</t>
        </is>
      </c>
      <c r="I14" s="0" t="inlineStr">
        <is>
          <t>it was all we could do to repent sufficiently before God</t>
        </is>
      </c>
      <c r="J14" s="0" t="n">
        <v>11</v>
      </c>
      <c r="K14" s="0" t="inlineStr">
        <is>
          <t>In Book of Mormon usage, "all we could do" is repentance, not merit.</t>
        </is>
      </c>
      <c r="L14" s="0" t="inlineStr">
        <is>
          <t>Canonical scripture.</t>
        </is>
      </c>
      <c r="M14" s="0" t="inlineStr">
        <is>
          <t>RENDERED HTML locator-scoped phrase containment (Playwright/Church content API)</t>
        </is>
      </c>
      <c r="N14" s="0" t="inlineStr">
        <is>
          <t>VERIFIED</t>
        </is>
      </c>
      <c r="O14" s="0" t="b">
        <v>0</v>
      </c>
      <c r="P14" s="0" t="inlineStr">
        <is>
          <t>c. 90–77 BC; published 1830</t>
        </is>
      </c>
      <c r="Q14" s="0" t="inlineStr">
        <is>
          <t>YES</t>
        </is>
      </c>
      <c r="R14" s="0" t="inlineStr">
        <is>
          <t>Semantic control on "all we can do."</t>
        </is>
      </c>
    </row>
    <row r="15">
      <c r="A15" s="0" t="inlineStr">
        <is>
          <t>ICS-014</t>
        </is>
      </c>
      <c r="B15" s="0" t="inlineStr">
        <is>
          <t>ICC-002</t>
        </is>
      </c>
      <c r="C15" s="0" t="inlineStr">
        <is>
          <t>CANONICAL_SCRIPTURE</t>
        </is>
      </c>
      <c r="D15" s="0" t="inlineStr">
        <is>
          <t>The Church of Jesus Christ of Latter-day Saints</t>
        </is>
      </c>
      <c r="E15" s="0" t="inlineStr">
        <is>
          <t>Churchwide (canonical/official)</t>
        </is>
      </c>
      <c r="F15" s="0" t="inlineStr">
        <is>
          <t>Book of Mormon</t>
        </is>
      </c>
      <c r="G15" s="0" t="inlineStr">
        <is>
          <t>Moroni 10:32</t>
        </is>
      </c>
      <c r="H15" s="0" t="inlineStr">
        <is>
          <t>https://www.churchofjesuschrist.org/study/scriptures/bofm/moro/10?lang=eng&amp;id=p32#p32</t>
        </is>
      </c>
      <c r="I15" s="0" t="inlineStr">
        <is>
          <t>then is his grace sufficient for you</t>
        </is>
      </c>
      <c r="J15" s="0" t="n">
        <v>7</v>
      </c>
      <c r="K15" s="0" t="inlineStr">
        <is>
          <t>Grace enables the disciple to be perfect in Christ; effort is response, not price.</t>
        </is>
      </c>
      <c r="L15" s="0" t="inlineStr">
        <is>
          <t>Canonical scripture.</t>
        </is>
      </c>
      <c r="M15" s="0" t="inlineStr">
        <is>
          <t>RENDERED HTML locator-scoped phrase containment (Playwright/Church content API)</t>
        </is>
      </c>
      <c r="N15" s="0" t="inlineStr">
        <is>
          <t>VERIFIED</t>
        </is>
      </c>
      <c r="O15" s="0" t="b">
        <v>0</v>
      </c>
      <c r="P15" s="0" t="inlineStr">
        <is>
          <t>c. AD 421; published 1830</t>
        </is>
      </c>
      <c r="Q15" s="0" t="inlineStr">
        <is>
          <t>YES</t>
        </is>
      </c>
      <c r="R15" s="0" t="inlineStr">
        <is>
          <t>Enabling-grace witness.</t>
        </is>
      </c>
    </row>
    <row r="16">
      <c r="A16" s="0" t="inlineStr">
        <is>
          <t>ICS-015</t>
        </is>
      </c>
      <c r="B16" s="0" t="inlineStr">
        <is>
          <t>ICC-002</t>
        </is>
      </c>
      <c r="C16" s="0" t="inlineStr">
        <is>
          <t>CANONICAL_SCRIPTURE</t>
        </is>
      </c>
      <c r="D16" s="0" t="inlineStr">
        <is>
          <t>The Church of Jesus Christ of Latter-day Saints</t>
        </is>
      </c>
      <c r="E16" s="0" t="inlineStr">
        <is>
          <t>Churchwide (canonical/official)</t>
        </is>
      </c>
      <c r="F16" s="0" t="inlineStr">
        <is>
          <t>Pearl of Great Price</t>
        </is>
      </c>
      <c r="G16" s="0" t="inlineStr">
        <is>
          <t>Articles of Faith 1:3</t>
        </is>
      </c>
      <c r="H16" s="0" t="inlineStr">
        <is>
          <t>https://www.churchofjesuschrist.org/study/scriptures/pgp/a-of-f/1?lang=eng&amp;id=p3#p3</t>
        </is>
      </c>
      <c r="I16" s="0" t="inlineStr">
        <is>
          <t>by obedience to the laws and ordinances of the Gospel</t>
        </is>
      </c>
      <c r="J16" s="0" t="n">
        <v>10</v>
      </c>
      <c r="K16" s="0" t="inlineStr">
        <is>
          <t>The obedience clause that creates the apparent tension.</t>
        </is>
      </c>
      <c r="L16" s="0" t="inlineStr">
        <is>
          <t>Canonical scripture (1842 Wentworth letter; canonized 1880).</t>
        </is>
      </c>
      <c r="M16" s="0" t="inlineStr">
        <is>
          <t>RENDERED HTML locator-scoped phrase containment (Playwright/Church content API)</t>
        </is>
      </c>
      <c r="N16" s="0" t="inlineStr">
        <is>
          <t>VERIFIED</t>
        </is>
      </c>
      <c r="O16" s="0" t="b">
        <v>0</v>
      </c>
      <c r="P16" s="0" t="inlineStr">
        <is>
          <t>1842</t>
        </is>
      </c>
      <c r="Q16" s="0" t="inlineStr">
        <is>
          <t>YES</t>
        </is>
      </c>
      <c r="R16" s="0" t="inlineStr">
        <is>
          <t>Tension side; read with ICS-018.</t>
        </is>
      </c>
    </row>
    <row r="17">
      <c r="A17" s="0" t="inlineStr">
        <is>
          <t>ICS-016</t>
        </is>
      </c>
      <c r="B17" s="0" t="inlineStr">
        <is>
          <t>ICC-002</t>
        </is>
      </c>
      <c r="C17" s="0" t="inlineStr">
        <is>
          <t>CURRENT_INSTITUTIONAL</t>
        </is>
      </c>
      <c r="D17" s="0" t="inlineStr">
        <is>
          <t>The Church of Jesus Christ of Latter-day Saints</t>
        </is>
      </c>
      <c r="E17" s="0" t="inlineStr">
        <is>
          <t>Churchwide (canonical/official)</t>
        </is>
      </c>
      <c r="F17" s="0" t="inlineStr">
        <is>
          <t>Gospel Topics: Grace</t>
        </is>
      </c>
      <c r="G17" s="0" t="inlineStr">
        <is>
          <t>Opening definition</t>
        </is>
      </c>
      <c r="H17" s="0" t="inlineStr">
        <is>
          <t>https://www.churchofjesuschrist.org/study/manual/gospel-topics/grace?lang=eng</t>
        </is>
      </c>
      <c r="I17" s="0" t="inlineStr">
        <is>
          <t>the divine help or strength extended to us through the Atonement</t>
        </is>
      </c>
      <c r="J17" s="0" t="n">
        <v>11</v>
      </c>
      <c r="K17" s="0" t="inlineStr">
        <is>
          <t>Official definition: grace as enabling help, not reward.</t>
        </is>
      </c>
      <c r="L17" s="0" t="inlineStr">
        <is>
          <t>Official Church doctrinal summary.</t>
        </is>
      </c>
      <c r="M17" s="0" t="inlineStr">
        <is>
          <t>RENDERED HTML locator-scoped phrase containment (Playwright/Church content API)</t>
        </is>
      </c>
      <c r="N17" s="0" t="inlineStr">
        <is>
          <t>VERIFIED</t>
        </is>
      </c>
      <c r="O17" s="0" t="b">
        <v>0</v>
      </c>
      <c r="P17" s="0" t="inlineStr">
        <is>
          <t>current</t>
        </is>
      </c>
      <c r="Q17" s="0" t="inlineStr">
        <is>
          <t>YES</t>
        </is>
      </c>
      <c r="R17" s="0" t="inlineStr">
        <is>
          <t>Use for definition of grace.</t>
        </is>
      </c>
    </row>
    <row r="18">
      <c r="A18" s="0" t="inlineStr">
        <is>
          <t>ICS-017</t>
        </is>
      </c>
      <c r="B18" s="0" t="inlineStr">
        <is>
          <t>ICC-002</t>
        </is>
      </c>
      <c r="C18" s="0" t="inlineStr">
        <is>
          <t>OFFICIAL_EXPOSITION</t>
        </is>
      </c>
      <c r="D18" s="0" t="inlineStr">
        <is>
          <t>The Church of Jesus Christ of Latter-day Saints</t>
        </is>
      </c>
      <c r="E18" s="0" t="inlineStr">
        <is>
          <t>Churchwide (canonical/official)</t>
        </is>
      </c>
      <c r="F18" s="0" t="inlineStr">
        <is>
          <t>Dieter F. Uchtdorf, "The Gift of Grace," April 2015 General Conference</t>
        </is>
      </c>
      <c r="G18" s="0" t="inlineStr">
        <is>
          <t>Section "The Gift of Grace"</t>
        </is>
      </c>
      <c r="H18" s="0" t="inlineStr">
        <is>
          <t>https://www.churchofjesuschrist.org/study/general-conference/2015/04/the-gift-of-grace?lang=eng</t>
        </is>
      </c>
      <c r="I18" s="0" t="inlineStr">
        <is>
          <t>We cannot earn our way into heaven</t>
        </is>
      </c>
      <c r="J18" s="0" t="n">
        <v>7</v>
      </c>
      <c r="K18" s="0" t="inlineStr">
        <is>
          <t>Explicit official denial that salvation is earned.</t>
        </is>
      </c>
      <c r="L18" s="0" t="inlineStr">
        <is>
          <t>General Conference address by a member of the First Presidency; official publication.</t>
        </is>
      </c>
      <c r="M18" s="0" t="inlineStr">
        <is>
          <t>RENDERED HTML locator-scoped phrase containment (Playwright/Church content API)</t>
        </is>
      </c>
      <c r="N18" s="0" t="inlineStr">
        <is>
          <t>VERIFIED</t>
        </is>
      </c>
      <c r="O18" s="0" t="b">
        <v>0</v>
      </c>
      <c r="P18" s="0" t="inlineStr">
        <is>
          <t>2015</t>
        </is>
      </c>
      <c r="Q18" s="0" t="inlineStr">
        <is>
          <t>YES</t>
        </is>
      </c>
      <c r="R18" s="0" t="inlineStr">
        <is>
          <t>Primary "not earned" witness.</t>
        </is>
      </c>
    </row>
    <row r="19">
      <c r="A19" s="0" t="inlineStr">
        <is>
          <t>ICS-018</t>
        </is>
      </c>
      <c r="B19" s="0" t="inlineStr">
        <is>
          <t>ICC-002</t>
        </is>
      </c>
      <c r="C19" s="0" t="inlineStr">
        <is>
          <t>OFFICIAL_EXPOSITION</t>
        </is>
      </c>
      <c r="D19" s="0" t="inlineStr">
        <is>
          <t>The Church of Jesus Christ of Latter-day Saints</t>
        </is>
      </c>
      <c r="E19" s="0" t="inlineStr">
        <is>
          <t>Churchwide (canonical/official)</t>
        </is>
      </c>
      <c r="F19" s="0" t="inlineStr">
        <is>
          <t>Dieter F. Uchtdorf, "The Gift of Grace," April 2015 General Conference</t>
        </is>
      </c>
      <c r="G19" s="0" t="inlineStr">
        <is>
          <t>Section "The Gift of Grace"</t>
        </is>
      </c>
      <c r="H19" s="0" t="inlineStr">
        <is>
          <t>https://www.churchofjesuschrist.org/study/general-conference/2015/04/the-gift-of-grace?lang=eng</t>
        </is>
      </c>
      <c r="I19" s="0" t="inlineStr">
        <is>
          <t>Salvation cannot be bought with the currency of obedience</t>
        </is>
      </c>
      <c r="J19" s="0" t="n">
        <v>9</v>
      </c>
      <c r="K19" s="0" t="inlineStr">
        <is>
          <t>Obedience is not a purchase price.</t>
        </is>
      </c>
      <c r="L19" s="0" t="inlineStr">
        <is>
          <t>General Conference address; official publication.</t>
        </is>
      </c>
      <c r="M19" s="0" t="inlineStr">
        <is>
          <t>RENDERED HTML locator-scoped phrase containment (Playwright/Church content API)</t>
        </is>
      </c>
      <c r="N19" s="0" t="inlineStr">
        <is>
          <t>VERIFIED</t>
        </is>
      </c>
      <c r="O19" s="0" t="b">
        <v>0</v>
      </c>
      <c r="P19" s="0" t="inlineStr">
        <is>
          <t>2015</t>
        </is>
      </c>
      <c r="Q19" s="0" t="inlineStr">
        <is>
          <t>YES</t>
        </is>
      </c>
      <c r="R19" s="0" t="inlineStr">
        <is>
          <t>Pairs with Articles of Faith 1:3.</t>
        </is>
      </c>
    </row>
    <row r="20">
      <c r="A20" s="0" t="inlineStr">
        <is>
          <t>ICS-019</t>
        </is>
      </c>
      <c r="B20" s="0" t="inlineStr">
        <is>
          <t>ICC-002</t>
        </is>
      </c>
      <c r="C20" s="0" t="inlineStr">
        <is>
          <t>OFFICIAL_EXPOSITION</t>
        </is>
      </c>
      <c r="D20" s="0" t="inlineStr">
        <is>
          <t>The Church of Jesus Christ of Latter-day Saints</t>
        </is>
      </c>
      <c r="E20" s="0" t="inlineStr">
        <is>
          <t>Churchwide (canonical/official)</t>
        </is>
      </c>
      <c r="F20" s="0" t="inlineStr">
        <is>
          <t>Dieter F. Uchtdorf, "The Gift of Grace," April 2015 General Conference</t>
        </is>
      </c>
      <c r="G20" s="0" t="inlineStr">
        <is>
          <t>Section "Why Then Obey?"</t>
        </is>
      </c>
      <c r="H20" s="0" t="inlineStr">
        <is>
          <t>https://www.churchofjesuschrist.org/study/general-conference/2015/04/the-gift-of-grace?lang=eng</t>
        </is>
      </c>
      <c r="I20" s="0" t="inlineStr">
        <is>
          <t>the reaching out of our mortal hand to receive this sacred gift</t>
        </is>
      </c>
      <c r="J20" s="0" t="n">
        <v>12</v>
      </c>
      <c r="K20" s="0" t="inlineStr">
        <is>
          <t>Obedience as the receiving response to grace.</t>
        </is>
      </c>
      <c r="L20" s="0" t="inlineStr">
        <is>
          <t>General Conference address; official publication.</t>
        </is>
      </c>
      <c r="M20" s="0" t="inlineStr">
        <is>
          <t>RENDERED HTML locator-scoped phrase containment (Playwright/Church content API)</t>
        </is>
      </c>
      <c r="N20" s="0" t="inlineStr">
        <is>
          <t>VERIFIED</t>
        </is>
      </c>
      <c r="O20" s="0" t="b">
        <v>0</v>
      </c>
      <c r="P20" s="0" t="inlineStr">
        <is>
          <t>2015</t>
        </is>
      </c>
      <c r="Q20" s="0" t="inlineStr">
        <is>
          <t>YES</t>
        </is>
      </c>
      <c r="R20" s="0" t="inlineStr">
        <is>
          <t>Key distinction witness.</t>
        </is>
      </c>
    </row>
    <row r="21" ht="15.75" customHeight="1" s="29">
      <c r="A21" s="0" t="inlineStr">
        <is>
          <t>ICS-020</t>
        </is>
      </c>
      <c r="B21" s="0" t="inlineStr">
        <is>
          <t>ICC-002</t>
        </is>
      </c>
      <c r="C21" s="0" t="inlineStr">
        <is>
          <t>CURRENT_INSTITUTIONAL</t>
        </is>
      </c>
      <c r="D21" s="0" t="inlineStr">
        <is>
          <t>The Church of Jesus Christ of Latter-day Saints</t>
        </is>
      </c>
      <c r="E21" s="0" t="inlineStr">
        <is>
          <t>Churchwide (canonical/official)</t>
        </is>
      </c>
      <c r="F21" s="0" t="inlineStr">
        <is>
          <t>Bible Dictionary: Grace</t>
        </is>
      </c>
      <c r="G21" s="0" t="inlineStr">
        <is>
          <t>Entry "Grace"</t>
        </is>
      </c>
      <c r="H21" s="0" t="inlineStr">
        <is>
          <t>https://www.churchofjesuschrist.org/study/scriptures/bd/grace?lang=eng</t>
        </is>
      </c>
      <c r="I21" s="0" t="inlineStr">
        <is>
          <t>after they have expended their own best efforts</t>
        </is>
      </c>
      <c r="J21" s="0" t="n">
        <v>8</v>
      </c>
      <c r="K21" s="0" t="inlineStr">
        <is>
          <t>Church study-aid gloss on 2 Nephi 25:23; states the temporal reading.</t>
        </is>
      </c>
      <c r="L21" s="0" t="inlineStr">
        <is>
          <t>Study aid published with the Church edition of the KJV; not canonical.</t>
        </is>
      </c>
      <c r="M21" s="0" t="inlineStr">
        <is>
          <t>RENDERED HTML locator-scoped phrase containment (Playwright/Church content API)</t>
        </is>
      </c>
      <c r="N21" s="0" t="inlineStr">
        <is>
          <t>PENDING FETCH — page is client-rendered; verify with Playwright</t>
        </is>
      </c>
      <c r="O21" s="0" t="b">
        <v>0</v>
      </c>
      <c r="P21" s="0" t="inlineStr">
        <is>
          <t>1979 ed.; current</t>
        </is>
      </c>
      <c r="Q21" s="0" t="inlineStr">
        <is>
          <t>YES</t>
        </is>
      </c>
      <c r="R21" s="0" t="inlineStr">
        <is>
          <t>Represents the temporal-sequence reading in Internal variation.</t>
        </is>
      </c>
    </row>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34" customWidth="1" style="29" min="3" max="3"/>
    <col width="26" customWidth="1" style="29" min="4" max="4"/>
    <col width="12" customWidth="1" style="29" min="5" max="5"/>
    <col width="16" customWidth="1" style="29" min="6" max="6"/>
    <col width="28" customWidth="1" style="29" min="7" max="7"/>
    <col width="30" customWidth="1" style="29" min="8" max="8"/>
    <col width="18" customWidth="1" style="29" min="9" max="9"/>
    <col width="46" customWidth="1" style="29" min="10" max="10"/>
    <col width="68" customWidth="1" style="29" min="11" max="11"/>
    <col width="86" customWidth="1" style="29" min="12" max="12"/>
    <col width="68" customWidth="1" style="29" min="13" max="13"/>
    <col width="58" customWidth="1" style="29" min="14" max="14"/>
    <col width="54" customWidth="1" style="29" min="15" max="18"/>
    <col width="24" customWidth="1" style="29" min="19" max="20"/>
    <col width="70" customWidth="1" style="29" min="21" max="21"/>
    <col width="52" customWidth="1" style="29" min="22" max="22"/>
    <col width="16" customWidth="1" style="29" min="23" max="24"/>
    <col width="72" customWidth="1" style="29" min="25" max="25"/>
    <col width="32" customWidth="1" style="29" min="26" max="26"/>
    <col width="14" customWidth="1" style="29" min="27" max="27"/>
    <col width="66" customWidth="1" style="29" min="28" max="28"/>
    <col width="42" customWidth="1" style="29" min="29" max="29"/>
    <col width="70" customWidth="1" style="29" min="30" max="30"/>
    <col width="64" customWidth="1" style="29" min="31" max="31"/>
    <col width="20" customWidth="1" style="29" min="32" max="32"/>
    <col width="16" customWidth="1" style="29" min="33" max="33"/>
    <col width="20" customWidth="1" style="29" min="34" max="34"/>
  </cols>
  <sheetData>
    <row r="1">
      <c r="A1" s="5" t="inlineStr">
        <is>
          <t>Sequence</t>
        </is>
      </c>
      <c r="B1" s="5" t="inlineStr">
        <is>
          <t>Decision ID</t>
        </is>
      </c>
      <c r="C1" s="5" t="inlineStr">
        <is>
          <t>Gate</t>
        </is>
      </c>
      <c r="D1" s="5" t="inlineStr">
        <is>
          <t>Category</t>
        </is>
      </c>
      <c r="E1" s="5" t="inlineStr">
        <is>
          <t>Priority</t>
        </is>
      </c>
      <c r="F1" s="5" t="inlineStr">
        <is>
          <t>Actionability</t>
        </is>
      </c>
      <c r="G1" s="5" t="inlineStr">
        <is>
          <t>Source Sheet</t>
        </is>
      </c>
      <c r="H1" s="5" t="inlineStr">
        <is>
          <t>Source Key</t>
        </is>
      </c>
      <c r="I1" s="5" t="inlineStr">
        <is>
          <t>Source Range</t>
        </is>
      </c>
      <c r="J1" s="5" t="inlineStr">
        <is>
          <t>Decision Title</t>
        </is>
      </c>
      <c r="K1" s="5" t="inlineStr">
        <is>
          <t>Author Question</t>
        </is>
      </c>
      <c r="L1" s="5" t="inlineStr">
        <is>
          <t>Relevant Context</t>
        </is>
      </c>
      <c r="M1" s="5" t="inlineStr">
        <is>
          <t>Current State / Evidence</t>
        </is>
      </c>
      <c r="N1" s="5" t="inlineStr">
        <is>
          <t>Gate Impact</t>
        </is>
      </c>
      <c r="O1" s="5" t="inlineStr">
        <is>
          <t>Suggested Option 1</t>
        </is>
      </c>
      <c r="P1" s="5" t="inlineStr">
        <is>
          <t>Suggested Option 2</t>
        </is>
      </c>
      <c r="Q1" s="5" t="inlineStr">
        <is>
          <t>Suggested Option 3</t>
        </is>
      </c>
      <c r="R1" s="5" t="inlineStr">
        <is>
          <t>Suggested Option 4</t>
        </is>
      </c>
      <c r="S1" s="5" t="inlineStr">
        <is>
          <t>Custom Required For</t>
        </is>
      </c>
      <c r="T1" s="5" t="inlineStr">
        <is>
          <t>Response Menu</t>
        </is>
      </c>
      <c r="U1" s="5" t="inlineStr">
        <is>
          <t>Custom Response</t>
        </is>
      </c>
      <c r="V1" s="5" t="inlineStr">
        <is>
          <t>Author Notes</t>
        </is>
      </c>
      <c r="W1" s="5" t="inlineStr">
        <is>
          <t>Author Initials</t>
        </is>
      </c>
      <c r="X1" s="5" t="inlineStr">
        <is>
          <t>Decision Date</t>
        </is>
      </c>
      <c r="Y1" s="5" t="inlineStr">
        <is>
          <t>Resolved Response</t>
        </is>
      </c>
      <c r="Z1" s="5" t="inlineStr">
        <is>
          <t>Workflow Status</t>
        </is>
      </c>
      <c r="AA1" s="5" t="inlineStr">
        <is>
          <t>Gate Blocking?</t>
        </is>
      </c>
      <c r="AB1" s="5" t="inlineStr">
        <is>
          <t>Propagation / Follow-up</t>
        </is>
      </c>
      <c r="AC1" s="5" t="inlineStr">
        <is>
          <t>Review Batch</t>
        </is>
      </c>
      <c r="AD1" s="5" t="inlineStr">
        <is>
          <t>Source URL</t>
        </is>
      </c>
      <c r="AE1" s="5" t="inlineStr">
        <is>
          <t>Source Caution</t>
        </is>
      </c>
      <c r="AF1" s="5" t="inlineStr">
        <is>
          <t>Needs Author Attention</t>
        </is>
      </c>
      <c r="AG1" s="5" t="inlineStr">
        <is>
          <t>Current Item</t>
        </is>
      </c>
      <c r="AH1" s="5" t="inlineStr">
        <is>
          <t>Duplicate Decision ID?</t>
        </is>
      </c>
    </row>
    <row r="2">
      <c r="A2" s="7" t="n">
        <v>1</v>
      </c>
      <c r="B2" s="7" t="inlineStr">
        <is>
          <t>AUTH-ARCH-001</t>
        </is>
      </c>
      <c r="C2" s="7" t="inlineStr">
        <is>
          <t>G1 — Architecture &amp; ICL governance</t>
        </is>
      </c>
      <c r="D2" s="7" t="inlineStr">
        <is>
          <t>Data architecture</t>
        </is>
      </c>
      <c r="E2" s="7" t="inlineStr">
        <is>
          <t>HIGH</t>
        </is>
      </c>
      <c r="F2" s="7" t="inlineStr">
        <is>
          <t>READY</t>
        </is>
      </c>
      <c r="G2" s="7" t="inlineStr">
        <is>
          <t>APP CONFIG</t>
        </is>
      </c>
      <c r="H2" s="7" t="inlineStr">
        <is>
          <t>canonical_research_source / runtime_database_policy</t>
        </is>
      </c>
      <c r="I2" s="7" t="inlineStr">
        <is>
          <t>A51:C55</t>
        </is>
      </c>
      <c r="J2" s="7" t="inlineStr">
        <is>
          <t>Confirm the canonical data-source architecture</t>
        </is>
      </c>
      <c r="K2" s="7" t="inlineStr">
        <is>
          <t>What should remain the authoritative research source for Seeking Jesus of Nazareth?</t>
        </is>
      </c>
      <c r="L2" s="7" t="inlineStr">
        <is>
          <t>The project is now relational enough that a database could be introduced, but the learning objective favors a single auditable scholarly corpus. The current architecture treats the workbook as canonical and any JSON/database as a reproducible runtime derivative.</t>
        </is>
      </c>
      <c r="M2" s="7" t="inlineStr">
        <is>
          <t>WORKBOOK canonical; runtime database optional derived store; database not required.</t>
        </is>
      </c>
      <c r="N2" s="7" t="inlineStr">
        <is>
          <t>Clears the governing source-of-truth policy before further app implementation.</t>
        </is>
      </c>
      <c r="O2" s="7" t="inlineStr">
        <is>
          <t>APPROVE — workbook remains canonical; runtime JSON/database is derived</t>
        </is>
      </c>
      <c r="P2" s="7" t="inlineStr">
        <is>
          <t>APPROVE — workbook canonical and v1 uses static JSON only; no database</t>
        </is>
      </c>
      <c r="Q2" s="7" t="inlineStr">
        <is>
          <t>MOVE canonical authority to a database now</t>
        </is>
      </c>
      <c r="R2" s="7" t="inlineStr">
        <is>
          <t>DEFER architecture decision</t>
        </is>
      </c>
      <c r="S2" s="7" t="n"/>
      <c r="T2" s="17">
        <f>'Author Response Entry'!$D$2</f>
        <v/>
      </c>
      <c r="U2" s="18">
        <f>'Author Response Entry'!$E$2</f>
        <v/>
      </c>
      <c r="V2" s="18">
        <f>'Author Response Entry'!$F$2</f>
        <v/>
      </c>
      <c r="W2" s="18">
        <f>'Author Response Entry'!$G$2</f>
        <v/>
      </c>
      <c r="X2" s="19">
        <f>'Author Response Entry'!$H$2</f>
        <v/>
      </c>
      <c r="Y2" s="18">
        <f>IF(T2="","",IF(T2="CUSTOM RESPONSE",U2,IF(T2="HOLD — NEEDS RESEARCH",IF(U2&lt;&gt;"",U2,"HOLD — NEEDS RESEARCH"),IF(T2="DEFER — NOT YET",IF(U2&lt;&gt;"",U2,"DEFER — NOT YET"),IF(T2="OPTION 1",O2,IF(T2="OPTION 2",P2,IF(T2="OPTION 3",Q2,IF(T2="OPTION 4",R2,""))))))))</f>
        <v/>
      </c>
      <c r="Z2" s="18">
        <f>IF(T2="","OPEN",IF(T2="CUSTOM RESPONSE",IF(U2="","OPEN — CUSTOM TEXT REQUIRED",IF(W2="","RESOLVED — ADD INITIALS/DATE",IF(X2="","RESOLVED — ADD INITIALS/DATE","RESOLVED"))),IF(T2="HOLD — NEEDS RESEARCH",IF(W2="","HOLD — ADD INITIALS/DATE",IF(X2="","HOLD — ADD INITIALS/DATE","HOLD")),IF(T2="DEFER — NOT YET",IF(W2="","DEFERRED — ADD INITIALS/DATE",IF(X2="","DEFERRED — ADD INITIALS/DATE","DEFERRED")),IF(T2="OPTION 1",IF(W2="","RESOLVED — ADD INITIALS/DATE",IF(X2="","RESOLVED — ADD INITIALS/DATE","RESOLVED")),IF(T2="OPTION 2",IF(W2="","RESOLVED — ADD INITIALS/DATE",IF(X2="","RESOLVED — ADD INITIALS/DATE","RESOLVED")),IF(T2="OPTION 3",IF(W2="","RESOLVED — ADD INITIALS/DATE",IF(X2="","RESOLVED — ADD INITIALS/DATE","RESOLVED")),IF(T2="OPTION 4",IF(W2="","DEFERRED — ADD INITIALS/DATE",IF(X2="","DEFERRED — ADD INITIALS/DATE","DEFERRED")),IF(W2="","RESOLVED — ADD INITIALS/DATE",IF(X2="","RESOLVED — ADD INITIALS/DATE","RESOLVED"))))))))))</f>
        <v/>
      </c>
      <c r="AA2" s="18" t="inlineStr">
        <is>
          <t>YES</t>
        </is>
      </c>
      <c r="AB2" s="18" t="inlineStr">
        <is>
          <t>Update APP CONFIG architecture policy; no research rows change.</t>
        </is>
      </c>
      <c r="AC2" s="18" t="inlineStr">
        <is>
          <t>Architecture</t>
        </is>
      </c>
      <c r="AD2" s="18" t="n"/>
      <c r="AE2" s="18" t="inlineStr">
        <is>
          <t>Recommended: preserve one authoritative research corpus and compile runtime data from it.</t>
        </is>
      </c>
      <c r="AF2" s="18">
        <f>IF(F2&lt;&gt;"READY","NO",IF(Z2="OPEN","YES",IF(Z2="OPEN — CUSTOM TEXT REQUIRED","YES",IF(Z2="RESOLVED — ADD INITIALS/DATE","YES",IF(Z2="HOLD — ADD INITIALS/DATE","YES",IF(Z2="DEFERRED — ADD INITIALS/DATE","YES","NO"))))))</f>
        <v/>
      </c>
      <c r="AG2" s="18">
        <f>IF(AF2&lt;&gt;"YES","",IF(A2=IFERROR(MATCH("YES",$AF$2:$AF$105,0),0),"CURRENT",""))</f>
        <v/>
      </c>
      <c r="AH2" s="20">
        <f>IF(COUNTIF($B$2:$B$105,B2)&gt;1,"DUPLICATE","")</f>
        <v/>
      </c>
    </row>
    <row r="3">
      <c r="A3" s="7" t="n">
        <v>2</v>
      </c>
      <c r="B3" s="7" t="inlineStr">
        <is>
          <t>AUTH-ARCH-002</t>
        </is>
      </c>
      <c r="C3" s="7" t="inlineStr">
        <is>
          <t>G1 — Architecture &amp; ICL governance</t>
        </is>
      </c>
      <c r="D3" s="7" t="inlineStr">
        <is>
          <t>Clarification runtime</t>
        </is>
      </c>
      <c r="E3" s="7" t="inlineStr">
        <is>
          <t>HIGH</t>
        </is>
      </c>
      <c r="F3" s="7" t="inlineStr">
        <is>
          <t>READY</t>
        </is>
      </c>
      <c r="G3" s="7" t="inlineStr">
        <is>
          <t>Clarification Trigger Map</t>
        </is>
      </c>
      <c r="H3" s="7" t="inlineStr">
        <is>
          <t>SEMANTIC / QUESTION_PATTERN policy</t>
        </is>
      </c>
      <c r="I3" s="7" t="inlineStr">
        <is>
          <t>A1:M19</t>
        </is>
      </c>
      <c r="J3" s="7" t="inlineStr">
        <is>
          <t>Choose the v1 clarification-trigger engine</t>
        </is>
      </c>
      <c r="K3" s="7" t="inlineStr">
        <is>
          <t>Should v1 use only deterministic client-side clarification triggers, or also semantic/conversational triggers?</t>
        </is>
      </c>
      <c r="L3" s="7" t="inlineStr">
        <is>
          <t>Gate 0 chose static Eleventy with no server. Four trigger rows are semantic question-pattern triggers. Deterministic term/topic/context triggers can run entirely client-side. Semantic matching naturally belongs with a later ministry RAG/backend.</t>
        </is>
      </c>
      <c r="M3" s="7" t="inlineStr">
        <is>
          <t>v2.13 contains deterministic and SEMANTIC trigger types, but unapproved cases do not auto-surface.</t>
        </is>
      </c>
      <c r="N3" s="7" t="inlineStr">
        <is>
          <t>Determines whether the static v1 app acquires an unnecessary conversational backend.</t>
        </is>
      </c>
      <c r="O3" s="7" t="inlineStr">
        <is>
          <t>V1 DETERMINISTIC ONLY — keep semantic/question-pattern rows inactive until later RAG</t>
        </is>
      </c>
      <c r="P3" s="7" t="inlineStr">
        <is>
          <t>V1 MANUAL EXPLORER ONLY — no automatic clarification cues</t>
        </is>
      </c>
      <c r="Q3" s="7" t="inlineStr">
        <is>
          <t>ENABLE semantic triggering in v1 with a new backend</t>
        </is>
      </c>
      <c r="R3" s="7" t="inlineStr">
        <is>
          <t>CUSTOM runtime policy</t>
        </is>
      </c>
      <c r="S3" s="7" t="inlineStr">
        <is>
          <t>OPTION 4</t>
        </is>
      </c>
      <c r="T3" s="17">
        <f>'Author Response Entry'!$D$3</f>
        <v/>
      </c>
      <c r="U3" s="18">
        <f>'Author Response Entry'!$E$3</f>
        <v/>
      </c>
      <c r="V3" s="18">
        <f>'Author Response Entry'!$F$3</f>
        <v/>
      </c>
      <c r="W3" s="18">
        <f>'Author Response Entry'!$G$3</f>
        <v/>
      </c>
      <c r="X3" s="19">
        <f>'Author Response Entry'!$H$3</f>
        <v/>
      </c>
      <c r="Y3" s="18">
        <f>IF(T3="","",IF(T3="CUSTOM RESPONSE",U3,IF(T3="HOLD — NEEDS RESEARCH",IF(U3&lt;&gt;"",U3,"HOLD — NEEDS RESEARCH"),IF(T3="DEFER — NOT YET",IF(U3&lt;&gt;"",U3,"DEFER — NOT YET"),IF(T3="OPTION 1",O3,IF(T3="OPTION 2",P3,IF(T3="OPTION 3",Q3,IF(T3="OPTION 4",U3,""))))))))</f>
        <v/>
      </c>
      <c r="Z3" s="18">
        <f>IF(T3="","OPEN",IF(T3="CUSTOM RESPONSE",IF(U3="","OPEN — CUSTOM TEXT REQUIRED",IF(W3="","RESOLVED — ADD INITIALS/DATE",IF(X3="","RESOLVED — ADD INITIALS/DATE","RESOLVED"))),IF(T3="HOLD — NEEDS RESEARCH",IF(W3="","HOLD — ADD INITIALS/DATE",IF(X3="","HOLD — ADD INITIALS/DATE","HOLD")),IF(T3="DEFER — NOT YET",IF(W3="","DEFERRED — ADD INITIALS/DATE",IF(X3="","DEFERRED — ADD INITIALS/DATE","DEFERRED")),IF(T3="OPTION 1",IF(W3="","RESOLVED — ADD INITIALS/DATE",IF(X3="","RESOLVED — ADD INITIALS/DATE","RESOLVED")),IF(T3="OPTION 2",IF(W3="","RESOLVED — ADD INITIALS/DATE",IF(X3="","RESOLVED — ADD INITIALS/DATE","RESOLVED")),IF(T3="OPTION 3",IF(W3="","RESOLVED — ADD INITIALS/DATE",IF(X3="","RESOLVED — ADD INITIALS/DATE","RESOLVED")),IF(T3="OPTION 4",IF(U3="","OPEN — CUSTOM TEXT REQUIRED",IF(W3="","RESOLVED — ADD INITIALS/DATE",IF(X3="","RESOLVED — ADD INITIALS/DATE","RESOLVED"))),IF(W3="","RESOLVED — ADD INITIALS/DATE",IF(X3="","RESOLVED — ADD INITIALS/DATE","RESOLVED"))))))))))</f>
        <v/>
      </c>
      <c r="AA3" s="18" t="inlineStr">
        <is>
          <t>YES</t>
        </is>
      </c>
      <c r="AB3" s="18" t="inlineStr">
        <is>
          <t>Set v1 Active? flags / runtime policy; retain semantic rows as future lineage if deferred.</t>
        </is>
      </c>
      <c r="AC3" s="18" t="inlineStr">
        <is>
          <t>Architecture</t>
        </is>
      </c>
      <c r="AD3" s="18" t="n"/>
      <c r="AE3" s="18" t="inlineStr">
        <is>
          <t>Recommended: deterministic-only for static v1; preserve semantic rows for later RAG.</t>
        </is>
      </c>
      <c r="AF3" s="18">
        <f>IF(F3&lt;&gt;"READY","NO",IF(Z3="OPEN","YES",IF(Z3="OPEN — CUSTOM TEXT REQUIRED","YES",IF(Z3="RESOLVED — ADD INITIALS/DATE","YES",IF(Z3="HOLD — ADD INITIALS/DATE","YES",IF(Z3="DEFERRED — ADD INITIALS/DATE","YES","NO"))))))</f>
        <v/>
      </c>
      <c r="AG3" s="18">
        <f>IF(AF3&lt;&gt;"YES","",IF(A3=IFERROR(MATCH("YES",$AF$2:$AF$105,0),0),"CURRENT",""))</f>
        <v/>
      </c>
      <c r="AH3" s="20">
        <f>IF(COUNTIF($B$2:$B$105,B3)&gt;1,"DUPLICATE","")</f>
        <v/>
      </c>
    </row>
    <row r="4">
      <c r="A4" s="7" t="n">
        <v>3</v>
      </c>
      <c r="B4" s="7" t="inlineStr">
        <is>
          <t>AUTH-ARCH-003</t>
        </is>
      </c>
      <c r="C4" s="7" t="inlineStr">
        <is>
          <t>G1 — Architecture &amp; ICL governance</t>
        </is>
      </c>
      <c r="D4" s="7" t="inlineStr">
        <is>
          <t>Clarification anchoring</t>
        </is>
      </c>
      <c r="E4" s="7" t="inlineStr">
        <is>
          <t>HIGH</t>
        </is>
      </c>
      <c r="F4" s="7" t="inlineStr">
        <is>
          <t>READY</t>
        </is>
      </c>
      <c r="G4" s="7" t="inlineStr">
        <is>
          <t>Interpretive Clarifications</t>
        </is>
      </c>
      <c r="H4" s="7" t="inlineStr">
        <is>
          <t>Related current predicate IDs / explorer category</t>
        </is>
      </c>
      <c r="I4" s="7" t="inlineStr">
        <is>
          <t>Y2 / X2</t>
        </is>
      </c>
      <c r="J4" s="7" t="inlineStr">
        <is>
          <t>Set the required anchor rule for every clarification case</t>
        </is>
      </c>
      <c r="K4" s="7" t="inlineStr">
        <is>
          <t>Where must an Interpretive Clarification Case attach so it cannot appear out of context?</t>
        </is>
      </c>
      <c r="L4" s="7" t="inlineStr">
        <is>
          <t>ICC-001 concerns justification and discipline, outside the current God-language counted map. The reviewer recommends every case anchor to a counted predicate, a Godhead proposition, or a declared explorer category, with orientation explaining that the explorer reaches beyond the counted corpus.</t>
        </is>
      </c>
      <c r="M4" s="7" t="inlineStr">
        <is>
          <t>ICC-001 has Manual explorer category = Salvation &amp; discipleship and no related current predicate IDs.</t>
        </is>
      </c>
      <c r="N4" s="7" t="inlineStr">
        <is>
          <t>Prevents a Baptist sola-fide cue from appearing merely because a learner selected the Baptist lens on a divine-attributes map.</t>
        </is>
      </c>
      <c r="O4" s="7" t="inlineStr">
        <is>
          <t>REQUIRE predicate/Godhead/explorer anchor; ICC-001 = explorer-only 'Salvation &amp; discipleship'</t>
        </is>
      </c>
      <c r="P4" s="7" t="inlineStr">
        <is>
          <t>REQUIRE counted predicate or Godhead anchor only; keep ICC-001 out of v1</t>
        </is>
      </c>
      <c r="Q4" s="7" t="inlineStr">
        <is>
          <t>ALLOW unanchored clarification cases when tradition context matches</t>
        </is>
      </c>
      <c r="R4" s="7" t="inlineStr">
        <is>
          <t>CUSTOM anchoring rule</t>
        </is>
      </c>
      <c r="S4" s="7" t="inlineStr">
        <is>
          <t>OPTION 4</t>
        </is>
      </c>
      <c r="T4" s="17">
        <f>'Author Response Entry'!$D$4</f>
        <v/>
      </c>
      <c r="U4" s="18">
        <f>'Author Response Entry'!$E$4</f>
        <v/>
      </c>
      <c r="V4" s="18">
        <f>'Author Response Entry'!$F$4</f>
        <v/>
      </c>
      <c r="W4" s="18">
        <f>'Author Response Entry'!$G$4</f>
        <v/>
      </c>
      <c r="X4" s="19">
        <f>'Author Response Entry'!$H$4</f>
        <v/>
      </c>
      <c r="Y4" s="18">
        <f>IF(T4="","",IF(T4="CUSTOM RESPONSE",U4,IF(T4="HOLD — NEEDS RESEARCH",IF(U4&lt;&gt;"",U4,"HOLD — NEEDS RESEARCH"),IF(T4="DEFER — NOT YET",IF(U4&lt;&gt;"",U4,"DEFER — NOT YET"),IF(T4="OPTION 1",O4,IF(T4="OPTION 2",P4,IF(T4="OPTION 3",Q4,IF(T4="OPTION 4",U4,""))))))))</f>
        <v/>
      </c>
      <c r="Z4" s="18">
        <f>IF(T4="","OPEN",IF(T4="CUSTOM RESPONSE",IF(U4="","OPEN — CUSTOM TEXT REQUIRED",IF(W4="","RESOLVED — ADD INITIALS/DATE",IF(X4="","RESOLVED — ADD INITIALS/DATE","RESOLVED"))),IF(T4="HOLD — NEEDS RESEARCH",IF(W4="","HOLD — ADD INITIALS/DATE",IF(X4="","HOLD — ADD INITIALS/DATE","HOLD")),IF(T4="DEFER — NOT YET",IF(W4="","DEFERRED — ADD INITIALS/DATE",IF(X4="","DEFERRED — ADD INITIALS/DATE","DEFERRED")),IF(T4="OPTION 1",IF(W4="","RESOLVED — ADD INITIALS/DATE",IF(X4="","RESOLVED — ADD INITIALS/DATE","RESOLVED")),IF(T4="OPTION 2",IF(W4="","RESOLVED — ADD INITIALS/DATE",IF(X4="","RESOLVED — ADD INITIALS/DATE","RESOLVED")),IF(T4="OPTION 3",IF(W4="","RESOLVED — ADD INITIALS/DATE",IF(X4="","RESOLVED — ADD INITIALS/DATE","RESOLVED")),IF(T4="OPTION 4",IF(U4="","OPEN — CUSTOM TEXT REQUIRED",IF(W4="","RESOLVED — ADD INITIALS/DATE",IF(X4="","RESOLVED — ADD INITIALS/DATE","RESOLVED"))),IF(W4="","RESOLVED — ADD INITIALS/DATE",IF(X4="","RESOLVED — ADD INITIALS/DATE","RESOLVED"))))))))))</f>
        <v/>
      </c>
      <c r="AA4" s="18" t="inlineStr">
        <is>
          <t>YES</t>
        </is>
      </c>
      <c r="AB4" s="18" t="inlineStr">
        <is>
          <t>Add required Anchor Type/Anchor ID policy to ICL schema and orientation copy.</t>
        </is>
      </c>
      <c r="AC4" s="18" t="inlineStr">
        <is>
          <t>Architecture</t>
        </is>
      </c>
      <c r="AD4" s="18" t="n"/>
      <c r="AE4" s="18" t="inlineStr">
        <is>
          <t>Recommended: three-way anchor rule with explorer category for out-of-corpus cases.</t>
        </is>
      </c>
      <c r="AF4" s="18">
        <f>IF(F4&lt;&gt;"READY","NO",IF(Z4="OPEN","YES",IF(Z4="OPEN — CUSTOM TEXT REQUIRED","YES",IF(Z4="RESOLVED — ADD INITIALS/DATE","YES",IF(Z4="HOLD — ADD INITIALS/DATE","YES",IF(Z4="DEFERRED — ADD INITIALS/DATE","YES","NO"))))))</f>
        <v/>
      </c>
      <c r="AG4" s="18">
        <f>IF(AF4&lt;&gt;"YES","",IF(A4=IFERROR(MATCH("YES",$AF$2:$AF$105,0),0),"CURRENT",""))</f>
        <v/>
      </c>
      <c r="AH4" s="20">
        <f>IF(COUNTIF($B$2:$B$105,B4)&gt;1,"DUPLICATE","")</f>
        <v/>
      </c>
    </row>
    <row r="5">
      <c r="A5" s="7" t="n">
        <v>4</v>
      </c>
      <c r="B5" s="7" t="inlineStr">
        <is>
          <t>AUTH-ARCH-004</t>
        </is>
      </c>
      <c r="C5" s="7" t="inlineStr">
        <is>
          <t>G1 — Architecture &amp; ICL governance</t>
        </is>
      </c>
      <c r="D5" s="7" t="inlineStr">
        <is>
          <t>Orientation teaching</t>
        </is>
      </c>
      <c r="E5" s="7" t="inlineStr">
        <is>
          <t>MEDIUM</t>
        </is>
      </c>
      <c r="F5" s="7" t="inlineStr">
        <is>
          <t>READY</t>
        </is>
      </c>
      <c r="G5" s="7" t="inlineStr">
        <is>
          <t>Clarification Vocabulary</t>
        </is>
      </c>
      <c r="H5" s="7" t="inlineStr">
        <is>
          <t>Hazard Type taxonomy</t>
        </is>
      </c>
      <c r="I5" s="7" t="inlineStr">
        <is>
          <t>A6:D15</t>
        </is>
      </c>
      <c r="J5" s="7" t="inlineStr">
        <is>
          <t>Decide whether the interpretive-hazard taxonomy belongs in Orientation</t>
        </is>
      </c>
      <c r="K5" s="7" t="inlineStr">
        <is>
          <t>Should the ten clarification hazard types be taught explicitly to learners in the orientation module?</t>
        </is>
      </c>
      <c r="L5" s="7" t="inlineStr">
        <is>
          <t>The hazard taxonomy names recurring interpretive errors the project method is designed to prevent: slogan compression, same-word/different-meaning, apparent contradiction, ecclesial vs soteriological, source silence vs denial, historical antecedent vs equivalence, relational vs metaphysical, family variation, authority scope, and semantic floor.</t>
        </is>
      </c>
      <c r="M5" s="7" t="inlineStr">
        <is>
          <t>Taxonomy exists in the workbook as internal/app vocabulary.</t>
        </is>
      </c>
      <c r="N5" s="7" t="inlineStr">
        <is>
          <t>Controls whether the methodology itself becomes learner-facing literacy rather than invisible machinery.</t>
        </is>
      </c>
      <c r="O5" s="7" t="inlineStr">
        <is>
          <t>APPROVE all ten hazards as Orientation teaching content</t>
        </is>
      </c>
      <c r="P5" s="7" t="inlineStr">
        <is>
          <t>APPROVE a shorter learner-facing subset; enter selected hazards in Custom Response</t>
        </is>
      </c>
      <c r="Q5" s="7" t="inlineStr">
        <is>
          <t>KEEP taxonomy internal; do not teach it explicitly</t>
        </is>
      </c>
      <c r="R5" s="7" t="inlineStr">
        <is>
          <t>CUSTOM orientation treatment</t>
        </is>
      </c>
      <c r="S5" s="7" t="inlineStr">
        <is>
          <t>OPTION 2 | OPTION 4</t>
        </is>
      </c>
      <c r="T5" s="17">
        <f>'Author Response Entry'!$D$5</f>
        <v/>
      </c>
      <c r="U5" s="18">
        <f>'Author Response Entry'!$E$5</f>
        <v/>
      </c>
      <c r="V5" s="18">
        <f>'Author Response Entry'!$F$5</f>
        <v/>
      </c>
      <c r="W5" s="18">
        <f>'Author Response Entry'!$G$5</f>
        <v/>
      </c>
      <c r="X5" s="19">
        <f>'Author Response Entry'!$H$5</f>
        <v/>
      </c>
      <c r="Y5" s="18">
        <f>IF(T5="","",IF(T5="CUSTOM RESPONSE",U5,IF(T5="HOLD — NEEDS RESEARCH",IF(U5&lt;&gt;"",U5,"HOLD — NEEDS RESEARCH"),IF(T5="DEFER — NOT YET",IF(U5&lt;&gt;"",U5,"DEFER — NOT YET"),IF(T5="OPTION 1",O5,IF(T5="OPTION 2",U5,IF(T5="OPTION 3",Q5,IF(T5="OPTION 4",U5,""))))))))</f>
        <v/>
      </c>
      <c r="Z5" s="18">
        <f>IF(T5="","OPEN",IF(T5="CUSTOM RESPONSE",IF(U5="","OPEN — CUSTOM TEXT REQUIRED",IF(W5="","RESOLVED — ADD INITIALS/DATE",IF(X5="","RESOLVED — ADD INITIALS/DATE","RESOLVED"))),IF(T5="HOLD — NEEDS RESEARCH",IF(W5="","HOLD — ADD INITIALS/DATE",IF(X5="","HOLD — ADD INITIALS/DATE","HOLD")),IF(T5="DEFER — NOT YET",IF(W5="","DEFERRED — ADD INITIALS/DATE",IF(X5="","DEFERRED — ADD INITIALS/DATE","DEFERRED")),IF(T5="OPTION 1",IF(W5="","RESOLVED — ADD INITIALS/DATE",IF(X5="","RESOLVED — ADD INITIALS/DATE","RESOLVED")),IF(T5="OPTION 2",IF(U5="","OPEN — CUSTOM TEXT REQUIRED",IF(W5="","RESOLVED — ADD INITIALS/DATE",IF(X5="","RESOLVED — ADD INITIALS/DATE","RESOLVED"))),IF(T5="OPTION 3",IF(W5="","RESOLVED — ADD INITIALS/DATE",IF(X5="","RESOLVED — ADD INITIALS/DATE","RESOLVED")),IF(T5="OPTION 4",IF(U5="","OPEN — CUSTOM TEXT REQUIRED",IF(W5="","RESOLVED — ADD INITIALS/DATE",IF(X5="","RESOLVED — ADD INITIALS/DATE","RESOLVED"))),IF(W5="","RESOLVED — ADD INITIALS/DATE",IF(X5="","RESOLVED — ADD INITIALS/DATE","RESOLVED"))))))))))</f>
        <v/>
      </c>
      <c r="AA5" s="18" t="inlineStr">
        <is>
          <t>YES</t>
        </is>
      </c>
      <c r="AB5" s="18" t="inlineStr">
        <is>
          <t>Create orientation copy only after author choice; quantitative corpus remains unchanged.</t>
        </is>
      </c>
      <c r="AC5" s="18" t="inlineStr">
        <is>
          <t>Architecture</t>
        </is>
      </c>
      <c r="AD5" s="18" t="n"/>
      <c r="AE5" s="18" t="inlineStr">
        <is>
          <t>Recommended: teach the taxonomy in accessible language because it explains how to read the map responsibly.</t>
        </is>
      </c>
      <c r="AF5" s="18">
        <f>IF(F5&lt;&gt;"READY","NO",IF(Z5="OPEN","YES",IF(Z5="OPEN — CUSTOM TEXT REQUIRED","YES",IF(Z5="RESOLVED — ADD INITIALS/DATE","YES",IF(Z5="HOLD — ADD INITIALS/DATE","YES",IF(Z5="DEFERRED — ADD INITIALS/DATE","YES","NO"))))))</f>
        <v/>
      </c>
      <c r="AG5" s="18">
        <f>IF(AF5&lt;&gt;"YES","",IF(A5=IFERROR(MATCH("YES",$AF$2:$AF$105,0),0),"CURRENT",""))</f>
        <v/>
      </c>
      <c r="AH5" s="20">
        <f>IF(COUNTIF($B$2:$B$105,B5)&gt;1,"DUPLICATE","")</f>
        <v/>
      </c>
    </row>
    <row r="6">
      <c r="A6" s="7" t="n">
        <v>5</v>
      </c>
      <c r="B6" s="7" t="inlineStr">
        <is>
          <t>AUTH-ARCH-005</t>
        </is>
      </c>
      <c r="C6" s="7" t="inlineStr">
        <is>
          <t>G1 — Architecture &amp; ICL governance</t>
        </is>
      </c>
      <c r="D6" s="7" t="inlineStr">
        <is>
          <t>Lens balance</t>
        </is>
      </c>
      <c r="E6" s="7" t="inlineStr">
        <is>
          <t>HIGH</t>
        </is>
      </c>
      <c r="F6" s="7" t="inlineStr">
        <is>
          <t>READY</t>
        </is>
      </c>
      <c r="G6" s="7" t="inlineStr">
        <is>
          <t>Interpretive Clarifications</t>
        </is>
      </c>
      <c r="H6" s="7" t="inlineStr">
        <is>
          <t>ICC release symmetry policy</t>
        </is>
      </c>
      <c r="I6" s="7" t="inlineStr">
        <is>
          <t>A1:AA2</t>
        </is>
      </c>
      <c r="J6" s="7" t="inlineStr">
        <is>
          <t>Choose the lens-balance policy for clarification cases</t>
        </is>
      </c>
      <c r="K6" s="7" t="inlineStr">
        <is>
          <t>Should v1 clarification cases be released in interfaith-balanced pairs or batches?</t>
        </is>
      </c>
      <c r="L6" s="7" t="inlineStr">
        <is>
          <t>With ICC-001 clarifying a Baptist misunderstanding, a dual-audience app could appear to explain only other traditions. A natural Latter-day Saint mirror is the slogan-compression problem around 2 Nephi 25:23 ('after all we can do') and grace/works.</t>
        </is>
      </c>
      <c r="M6" s="7" t="inlineStr">
        <is>
          <t>Only ICC-001 exists; no Latter-day Saint mirror case yet.</t>
        </is>
      </c>
      <c r="N6" s="7" t="inlineStr">
        <is>
          <t>Affects perceived fairness and whether the clarification explorer models mutual rather than one-directional interpretation.</t>
        </is>
      </c>
      <c r="O6" s="7" t="inlineStr">
        <is>
          <t>REQUIRE balanced pair for v1 — create ICC-002 LDS grace/'after all we can do' before ICC-001 public release</t>
        </is>
      </c>
      <c r="P6" s="7" t="inlineStr">
        <is>
          <t>BALANCE by release batch, not strict one-for-one pairing</t>
        </is>
      </c>
      <c r="Q6" s="7" t="inlineStr">
        <is>
          <t>NO formal symmetry rule; approve cases solely by need</t>
        </is>
      </c>
      <c r="R6" s="7" t="inlineStr">
        <is>
          <t>CUSTOM balance policy</t>
        </is>
      </c>
      <c r="S6" s="7" t="inlineStr">
        <is>
          <t>OPTION 4</t>
        </is>
      </c>
      <c r="T6" s="17">
        <f>'Author Response Entry'!$D$6</f>
        <v/>
      </c>
      <c r="U6" s="18">
        <f>'Author Response Entry'!$E$6</f>
        <v/>
      </c>
      <c r="V6" s="18">
        <f>'Author Response Entry'!$F$6</f>
        <v/>
      </c>
      <c r="W6" s="18">
        <f>'Author Response Entry'!$G$6</f>
        <v/>
      </c>
      <c r="X6" s="19">
        <f>'Author Response Entry'!$H$6</f>
        <v/>
      </c>
      <c r="Y6" s="18">
        <f>IF(T6="","",IF(T6="CUSTOM RESPONSE",U6,IF(T6="HOLD — NEEDS RESEARCH",IF(U6&lt;&gt;"",U6,"HOLD — NEEDS RESEARCH"),IF(T6="DEFER — NOT YET",IF(U6&lt;&gt;"",U6,"DEFER — NOT YET"),IF(T6="OPTION 1",O6,IF(T6="OPTION 2",P6,IF(T6="OPTION 3",Q6,IF(T6="OPTION 4",U6,""))))))))</f>
        <v/>
      </c>
      <c r="Z6" s="18">
        <f>IF(T6="","OPEN",IF(T6="CUSTOM RESPONSE",IF(U6="","OPEN — CUSTOM TEXT REQUIRED",IF(W6="","RESOLVED — ADD INITIALS/DATE",IF(X6="","RESOLVED — ADD INITIALS/DATE","RESOLVED"))),IF(T6="HOLD — NEEDS RESEARCH",IF(W6="","HOLD — ADD INITIALS/DATE",IF(X6="","HOLD — ADD INITIALS/DATE","HOLD")),IF(T6="DEFER — NOT YET",IF(W6="","DEFERRED — ADD INITIALS/DATE",IF(X6="","DEFERRED — ADD INITIALS/DATE","DEFERRED")),IF(T6="OPTION 1",IF(W6="","RESOLVED — ADD INITIALS/DATE",IF(X6="","RESOLVED — ADD INITIALS/DATE","RESOLVED")),IF(T6="OPTION 2",IF(W6="","RESOLVED — ADD INITIALS/DATE",IF(X6="","RESOLVED — ADD INITIALS/DATE","RESOLVED")),IF(T6="OPTION 3",IF(W6="","RESOLVED — ADD INITIALS/DATE",IF(X6="","RESOLVED — ADD INITIALS/DATE","RESOLVED")),IF(T6="OPTION 4",IF(U6="","OPEN — CUSTOM TEXT REQUIRED",IF(W6="","RESOLVED — ADD INITIALS/DATE",IF(X6="","RESOLVED — ADD INITIALS/DATE","RESOLVED"))),IF(W6="","RESOLVED — ADD INITIALS/DATE",IF(X6="","RESOLVED — ADD INITIALS/DATE","RESOLVED"))))))))))</f>
        <v/>
      </c>
      <c r="AA6" s="18" t="inlineStr">
        <is>
          <t>YES</t>
        </is>
      </c>
      <c r="AB6" s="18" t="inlineStr">
        <is>
          <t>Set ICL release policy; if Option 1, create ICC-002 as next case.</t>
        </is>
      </c>
      <c r="AC6" s="18" t="inlineStr">
        <is>
          <t>Architecture</t>
        </is>
      </c>
      <c r="AD6" s="18" t="n"/>
      <c r="AE6" s="18" t="inlineStr">
        <is>
          <t>Recommended: balanced pair for the prototype so the feature begins visibly reciprocal.</t>
        </is>
      </c>
      <c r="AF6" s="18">
        <f>IF(F6&lt;&gt;"READY","NO",IF(Z6="OPEN","YES",IF(Z6="OPEN — CUSTOM TEXT REQUIRED","YES",IF(Z6="RESOLVED — ADD INITIALS/DATE","YES",IF(Z6="HOLD — ADD INITIALS/DATE","YES",IF(Z6="DEFERRED — ADD INITIALS/DATE","YES","NO"))))))</f>
        <v/>
      </c>
      <c r="AG6" s="18">
        <f>IF(AF6&lt;&gt;"YES","",IF(A6=IFERROR(MATCH("YES",$AF$2:$AF$105,0),0),"CURRENT",""))</f>
        <v/>
      </c>
      <c r="AH6" s="20">
        <f>IF(COUNTIF($B$2:$B$105,B6)&gt;1,"DUPLICATE","")</f>
        <v/>
      </c>
    </row>
    <row r="7">
      <c r="A7" s="7" t="n">
        <v>6</v>
      </c>
      <c r="B7" s="7" t="inlineStr">
        <is>
          <t>AUTH-ARCH-006</t>
        </is>
      </c>
      <c r="C7" s="7" t="inlineStr">
        <is>
          <t>G1 — Architecture &amp; ICL governance</t>
        </is>
      </c>
      <c r="D7" s="7" t="inlineStr">
        <is>
          <t>Clarification volume</t>
        </is>
      </c>
      <c r="E7" s="7" t="inlineStr">
        <is>
          <t>MEDIUM</t>
        </is>
      </c>
      <c r="F7" s="7" t="inlineStr">
        <is>
          <t>READY</t>
        </is>
      </c>
      <c r="G7" s="7" t="inlineStr">
        <is>
          <t>Interpretive Clarifications</t>
        </is>
      </c>
      <c r="H7" s="7" t="inlineStr">
        <is>
          <t>v1 case-volume policy</t>
        </is>
      </c>
      <c r="I7" s="7" t="inlineStr">
        <is>
          <t>A1:AA2</t>
        </is>
      </c>
      <c r="J7" s="7" t="inlineStr">
        <is>
          <t>Set the v1 clarification-case volume rule</t>
        </is>
      </c>
      <c r="K7" s="7" t="inlineStr">
        <is>
          <t>How many clarification cases should v1 allow, and what earns a case?</t>
        </is>
      </c>
      <c r="L7" s="7" t="inlineStr">
        <is>
          <t>Each case carries a substantial source and trigger footprint. The review recommends cases be earned by observed misunderstanding rather than authored speculatively, with a v1 cap of six.</t>
        </is>
      </c>
      <c r="M7" s="7" t="inlineStr">
        <is>
          <t>No formal v1 cap is yet encoded.</t>
        </is>
      </c>
      <c r="N7" s="7" t="inlineStr">
        <is>
          <t>Prevents the clarification layer from becoming a second encyclopedia that dilutes the map's learning objective.</t>
        </is>
      </c>
      <c r="O7" s="7" t="inlineStr">
        <is>
          <t>CAP v1 at 6 APPROVED cases; require observed/recurrent misunderstanding</t>
        </is>
      </c>
      <c r="P7" s="7" t="inlineStr">
        <is>
          <t>CAP v1 at 4 APPROVED cases; require observed/recurrent misunderstanding</t>
        </is>
      </c>
      <c r="Q7" s="7" t="inlineStr">
        <is>
          <t>CAP v1 at 10 APPROVED cases; require author approval but not observed use</t>
        </is>
      </c>
      <c r="R7" s="7" t="inlineStr">
        <is>
          <t>NO numeric cap; rely on author approval</t>
        </is>
      </c>
      <c r="S7" s="7" t="n"/>
      <c r="T7" s="17">
        <f>'Author Response Entry'!$D$7</f>
        <v/>
      </c>
      <c r="U7" s="18">
        <f>'Author Response Entry'!$E$7</f>
        <v/>
      </c>
      <c r="V7" s="18">
        <f>'Author Response Entry'!$F$7</f>
        <v/>
      </c>
      <c r="W7" s="18">
        <f>'Author Response Entry'!$G$7</f>
        <v/>
      </c>
      <c r="X7" s="19">
        <f>'Author Response Entry'!$H$7</f>
        <v/>
      </c>
      <c r="Y7" s="18">
        <f>IF(T7="","",IF(T7="CUSTOM RESPONSE",U7,IF(T7="HOLD — NEEDS RESEARCH",IF(U7&lt;&gt;"",U7,"HOLD — NEEDS RESEARCH"),IF(T7="DEFER — NOT YET",IF(U7&lt;&gt;"",U7,"DEFER — NOT YET"),IF(T7="OPTION 1",O7,IF(T7="OPTION 2",P7,IF(T7="OPTION 3",Q7,IF(T7="OPTION 4",R7,""))))))))</f>
        <v/>
      </c>
      <c r="Z7" s="18">
        <f>IF(T7="","OPEN",IF(T7="CUSTOM RESPONSE",IF(U7="","OPEN — CUSTOM TEXT REQUIRED",IF(W7="","RESOLVED — ADD INITIALS/DATE",IF(X7="","RESOLVED — ADD INITIALS/DATE","RESOLVED"))),IF(T7="HOLD — NEEDS RESEARCH",IF(W7="","HOLD — ADD INITIALS/DATE",IF(X7="","HOLD — ADD INITIALS/DATE","HOLD")),IF(T7="DEFER — NOT YET",IF(W7="","DEFERRED — ADD INITIALS/DATE",IF(X7="","DEFERRED — ADD INITIALS/DATE","DEFERRED")),IF(T7="OPTION 1",IF(W7="","RESOLVED — ADD INITIALS/DATE",IF(X7="","RESOLVED — ADD INITIALS/DATE","RESOLVED")),IF(T7="OPTION 2",IF(W7="","RESOLVED — ADD INITIALS/DATE",IF(X7="","RESOLVED — ADD INITIALS/DATE","RESOLVED")),IF(T7="OPTION 3",IF(W7="","RESOLVED — ADD INITIALS/DATE",IF(X7="","RESOLVED — ADD INITIALS/DATE","RESOLVED")),IF(T7="OPTION 4",IF(W7="","RESOLVED — ADD INITIALS/DATE",IF(X7="","RESOLVED — ADD INITIALS/DATE","RESOLVED")),IF(W7="","RESOLVED — ADD INITIALS/DATE",IF(X7="","RESOLVED — ADD INITIALS/DATE","RESOLVED"))))))))))</f>
        <v/>
      </c>
      <c r="AA7" s="18" t="inlineStr">
        <is>
          <t>YES</t>
        </is>
      </c>
      <c r="AB7" s="18" t="inlineStr">
        <is>
          <t>Add case-volume and admission-policy fields to APP CONFIG / ICL governance.</t>
        </is>
      </c>
      <c r="AC7" s="18" t="inlineStr">
        <is>
          <t>Architecture</t>
        </is>
      </c>
      <c r="AD7" s="18" t="n"/>
      <c r="AE7" s="18" t="inlineStr">
        <is>
          <t>Recommended: six-case cap and evidence of actual misunderstanding.</t>
        </is>
      </c>
      <c r="AF7" s="18">
        <f>IF(F7&lt;&gt;"READY","NO",IF(Z7="OPEN","YES",IF(Z7="OPEN — CUSTOM TEXT REQUIRED","YES",IF(Z7="RESOLVED — ADD INITIALS/DATE","YES",IF(Z7="HOLD — ADD INITIALS/DATE","YES",IF(Z7="DEFERRED — ADD INITIALS/DATE","YES","NO"))))))</f>
        <v/>
      </c>
      <c r="AG7" s="18">
        <f>IF(AF7&lt;&gt;"YES","",IF(A7=IFERROR(MATCH("YES",$AF$2:$AF$105,0),0),"CURRENT",""))</f>
        <v/>
      </c>
      <c r="AH7" s="20">
        <f>IF(COUNTIF($B$2:$B$105,B7)&gt;1,"DUPLICATE","")</f>
        <v/>
      </c>
    </row>
    <row r="8">
      <c r="A8" s="7" t="n">
        <v>7</v>
      </c>
      <c r="B8" s="7" t="inlineStr">
        <is>
          <t>AUTH-ICC-001-CUE</t>
        </is>
      </c>
      <c r="C8" s="7" t="inlineStr">
        <is>
          <t>G2 — ICC prototype release</t>
        </is>
      </c>
      <c r="D8" s="7" t="inlineStr">
        <is>
          <t>ICC-001 learner wording</t>
        </is>
      </c>
      <c r="E8" s="7" t="inlineStr">
        <is>
          <t>HIGH</t>
        </is>
      </c>
      <c r="F8" s="7" t="inlineStr">
        <is>
          <t>READY</t>
        </is>
      </c>
      <c r="G8" s="7" t="inlineStr">
        <is>
          <t>Interpretive Clarifications</t>
        </is>
      </c>
      <c r="H8" s="7" t="inlineStr">
        <is>
          <t>ICC-001 Learner cue copy</t>
        </is>
      </c>
      <c r="I8" s="7" t="inlineStr">
        <is>
          <t>W2</t>
        </is>
      </c>
      <c r="J8" s="7" t="inlineStr">
        <is>
          <t>Approve or replace the ICC-001 automatic cue wording</t>
        </is>
      </c>
      <c r="K8" s="7" t="inlineStr">
        <is>
          <t>What short learner-facing cue should invite clarification without sounding managerial or corrective?</t>
        </is>
      </c>
      <c r="L8" s="7" t="inlineStr">
        <is>
          <t>Current cue: “Important clarification: 'faith alone' does not mean repentance, holiness, perseverance, or conduct are irrelevant in Baptist theology.” The review found it accurate but managerial in tone.</t>
        </is>
      </c>
      <c r="M8" s="7" t="inlineStr">
        <is>
          <t>ICC-001 is AUTHOR_REVIEW and cannot auto-surface yet.</t>
        </is>
      </c>
      <c r="N8" s="7" t="inlineStr">
        <is>
          <t>The cue is the only automatically visible text; tone strongly shapes whether the learner feels invited or corrected.</t>
        </is>
      </c>
      <c r="O8" s="7" t="inlineStr">
        <is>
          <t>“How can faith alone and church discipline both fit Baptist theology? See the distinction.”</t>
        </is>
      </c>
      <c r="P8" s="7" t="inlineStr">
        <is>
          <t>“In Baptist theology, faith alone and church discipline answer different questions. Explore the distinction.”</t>
        </is>
      </c>
      <c r="Q8" s="7" t="inlineStr">
        <is>
          <t>“‘Faith alone’ does not mean Christian conduct is irrelevant. See how Baptists distinguish justification from discipleship.”</t>
        </is>
      </c>
      <c r="R8" s="7" t="inlineStr">
        <is>
          <t>CUSTOM cue wording</t>
        </is>
      </c>
      <c r="S8" s="7" t="inlineStr">
        <is>
          <t>OPTION 4</t>
        </is>
      </c>
      <c r="T8" s="17">
        <f>'Author Response Entry'!$D$8</f>
        <v/>
      </c>
      <c r="U8" s="18">
        <f>'Author Response Entry'!$E$8</f>
        <v/>
      </c>
      <c r="V8" s="18">
        <f>'Author Response Entry'!$F$8</f>
        <v/>
      </c>
      <c r="W8" s="18">
        <f>'Author Response Entry'!$G$8</f>
        <v/>
      </c>
      <c r="X8" s="19">
        <f>'Author Response Entry'!$H$8</f>
        <v/>
      </c>
      <c r="Y8" s="18">
        <f>IF(T8="","",IF(T8="CUSTOM RESPONSE",U8,IF(T8="HOLD — NEEDS RESEARCH",IF(U8&lt;&gt;"",U8,"HOLD — NEEDS RESEARCH"),IF(T8="DEFER — NOT YET",IF(U8&lt;&gt;"",U8,"DEFER — NOT YET"),IF(T8="OPTION 1",O8,IF(T8="OPTION 2",P8,IF(T8="OPTION 3",Q8,IF(T8="OPTION 4",U8,""))))))))</f>
        <v/>
      </c>
      <c r="Z8" s="18">
        <f>IF(T8="","OPEN",IF(T8="CUSTOM RESPONSE",IF(U8="","OPEN — CUSTOM TEXT REQUIRED",IF(W8="","RESOLVED — ADD INITIALS/DATE",IF(X8="","RESOLVED — ADD INITIALS/DATE","RESOLVED"))),IF(T8="HOLD — NEEDS RESEARCH",IF(W8="","HOLD — ADD INITIALS/DATE",IF(X8="","HOLD — ADD INITIALS/DATE","HOLD")),IF(T8="DEFER — NOT YET",IF(W8="","DEFERRED — ADD INITIALS/DATE",IF(X8="","DEFERRED — ADD INITIALS/DATE","DEFERRED")),IF(T8="OPTION 1",IF(W8="","RESOLVED — ADD INITIALS/DATE",IF(X8="","RESOLVED — ADD INITIALS/DATE","RESOLVED")),IF(T8="OPTION 2",IF(W8="","RESOLVED — ADD INITIALS/DATE",IF(X8="","RESOLVED — ADD INITIALS/DATE","RESOLVED")),IF(T8="OPTION 3",IF(W8="","RESOLVED — ADD INITIALS/DATE",IF(X8="","RESOLVED — ADD INITIALS/DATE","RESOLVED")),IF(T8="OPTION 4",IF(U8="","OPEN — CUSTOM TEXT REQUIRED",IF(W8="","RESOLVED — ADD INITIALS/DATE",IF(X8="","RESOLVED — ADD INITIALS/DATE","RESOLVED"))),IF(W8="","RESOLVED — ADD INITIALS/DATE",IF(X8="","RESOLVED — ADD INITIALS/DATE","RESOLVED"))))))))))</f>
        <v/>
      </c>
      <c r="AA8" s="18" t="inlineStr">
        <is>
          <t>YES</t>
        </is>
      </c>
      <c r="AB8" s="18" t="inlineStr">
        <is>
          <t>Replace ICC-001 Learner cue copy after author choice.</t>
        </is>
      </c>
      <c r="AC8" s="18" t="inlineStr">
        <is>
          <t>ICC prototype</t>
        </is>
      </c>
      <c r="AD8" s="18" t="n"/>
      <c r="AE8" s="18" t="inlineStr">
        <is>
          <t>Recommended: a question/invitation rather than a corrective announcement.</t>
        </is>
      </c>
      <c r="AF8" s="18">
        <f>IF(F8&lt;&gt;"READY","NO",IF(Z8="OPEN","YES",IF(Z8="OPEN — CUSTOM TEXT REQUIRED","YES",IF(Z8="RESOLVED — ADD INITIALS/DATE","YES",IF(Z8="HOLD — ADD INITIALS/DATE","YES",IF(Z8="DEFERRED — ADD INITIALS/DATE","YES","NO"))))))</f>
        <v/>
      </c>
      <c r="AG8" s="18">
        <f>IF(AF8&lt;&gt;"YES","",IF(A8=IFERROR(MATCH("YES",$AF$2:$AF$105,0),0),"CURRENT",""))</f>
        <v/>
      </c>
      <c r="AH8" s="20">
        <f>IF(COUNTIF($B$2:$B$105,B8)&gt;1,"DUPLICATE","")</f>
        <v/>
      </c>
    </row>
    <row r="9">
      <c r="A9" s="7" t="n">
        <v>8</v>
      </c>
      <c r="B9" s="7" t="inlineStr">
        <is>
          <t>AUTH-ICC-001-CASE</t>
        </is>
      </c>
      <c r="C9" s="7" t="inlineStr">
        <is>
          <t>G2 — ICC prototype release</t>
        </is>
      </c>
      <c r="D9" s="7" t="inlineStr">
        <is>
          <t>ICC-001 case approval</t>
        </is>
      </c>
      <c r="E9" s="7" t="inlineStr">
        <is>
          <t>HIGH</t>
        </is>
      </c>
      <c r="F9" s="7" t="inlineStr">
        <is>
          <t>READY</t>
        </is>
      </c>
      <c r="G9" s="7" t="inlineStr">
        <is>
          <t>Interpretive Clarifications</t>
        </is>
      </c>
      <c r="H9" s="7" t="inlineStr">
        <is>
          <t>ICC-001</t>
        </is>
      </c>
      <c r="I9" s="7" t="inlineStr">
        <is>
          <t>A2:AA2</t>
        </is>
      </c>
      <c r="J9" s="7" t="inlineStr">
        <is>
          <t>Author-review the full ICC-001 case</t>
        </is>
      </c>
      <c r="K9" s="7" t="inlineStr">
        <is>
          <t>Is ICC-001's scope, resolution, variation note, interfaith significance, and boundary language suitable for author approval?</t>
        </is>
      </c>
      <c r="L9" s="7" t="inlineStr">
        <is>
          <t>ICC-001 distinguishes justification from ecclesial recognition, preserves Southern/confessional Baptist perseverance, and includes Free Will Baptist conditional-security variation. Ten source records are content-addressable. It is NOT COUNTED.</t>
        </is>
      </c>
      <c r="M9" s="7" t="inlineStr">
        <is>
          <t>Review state = AUTHOR_REVIEW; app availability = HOLD UNTIL AUTHOR APPROVAL; answer authority = DRAFT_CASE.</t>
        </is>
      </c>
      <c r="N9" s="7" t="inlineStr">
        <is>
          <t>An APPROVED case may become a public clarification and preferred answer authority within its registered scope.</t>
        </is>
      </c>
      <c r="O9" s="7" t="inlineStr">
        <is>
          <t>APPROVE CONTENT — keep public release held until the lens-balance policy is satisfied</t>
        </is>
      </c>
      <c r="P9" s="7" t="inlineStr">
        <is>
          <t>APPROVE CONTENT AND ALLOW standalone release when engineering gates pass</t>
        </is>
      </c>
      <c r="Q9" s="7" t="inlineStr">
        <is>
          <t>REVISE CASE — enter replacement/change instructions in Custom Response</t>
        </is>
      </c>
      <c r="R9" s="7" t="inlineStr">
        <is>
          <t>HOLD — more source or theological review required</t>
        </is>
      </c>
      <c r="S9" s="7" t="inlineStr">
        <is>
          <t>OPTION 3</t>
        </is>
      </c>
      <c r="T9" s="17">
        <f>'Author Response Entry'!$D$9</f>
        <v/>
      </c>
      <c r="U9" s="18">
        <f>'Author Response Entry'!$E$9</f>
        <v/>
      </c>
      <c r="V9" s="18">
        <f>'Author Response Entry'!$F$9</f>
        <v/>
      </c>
      <c r="W9" s="18">
        <f>'Author Response Entry'!$G$9</f>
        <v/>
      </c>
      <c r="X9" s="19">
        <f>'Author Response Entry'!$H$9</f>
        <v/>
      </c>
      <c r="Y9" s="18">
        <f>IF(T9="","",IF(T9="CUSTOM RESPONSE",U9,IF(T9="HOLD — NEEDS RESEARCH",IF(U9&lt;&gt;"",U9,"HOLD — NEEDS RESEARCH"),IF(T9="DEFER — NOT YET",IF(U9&lt;&gt;"",U9,"DEFER — NOT YET"),IF(T9="OPTION 1",O9,IF(T9="OPTION 2",P9,IF(T9="OPTION 3",U9,IF(T9="OPTION 4",R9,""))))))))</f>
        <v/>
      </c>
      <c r="Z9" s="18">
        <f>IF(T9="","OPEN",IF(T9="CUSTOM RESPONSE",IF(U9="","OPEN — CUSTOM TEXT REQUIRED",IF(W9="","RESOLVED — ADD INITIALS/DATE",IF(X9="","RESOLVED — ADD INITIALS/DATE","RESOLVED"))),IF(T9="HOLD — NEEDS RESEARCH",IF(W9="","HOLD — ADD INITIALS/DATE",IF(X9="","HOLD — ADD INITIALS/DATE","HOLD")),IF(T9="DEFER — NOT YET",IF(W9="","DEFERRED — ADD INITIALS/DATE",IF(X9="","DEFERRED — ADD INITIALS/DATE","DEFERRED")),IF(T9="OPTION 1",IF(W9="","RESOLVED — ADD INITIALS/DATE",IF(X9="","RESOLVED — ADD INITIALS/DATE","RESOLVED")),IF(T9="OPTION 2",IF(W9="","RESOLVED — ADD INITIALS/DATE",IF(X9="","RESOLVED — ADD INITIALS/DATE","RESOLVED")),IF(T9="OPTION 3",IF(U9="","OPEN — CUSTOM TEXT REQUIRED",IF(W9="","RESOLVED — ADD INITIALS/DATE",IF(X9="","RESOLVED — ADD INITIALS/DATE","RESOLVED"))),IF(T9="OPTION 4",IF(W9="","HOLD — ADD INITIALS/DATE",IF(X9="","HOLD — ADD INITIALS/DATE","HOLD")),IF(W9="","RESOLVED — ADD INITIALS/DATE",IF(X9="","RESOLVED — ADD INITIALS/DATE","RESOLVED"))))))))))</f>
        <v/>
      </c>
      <c r="AA9" s="18" t="inlineStr">
        <is>
          <t>YES</t>
        </is>
      </c>
      <c r="AB9" s="18" t="inlineStr">
        <is>
          <t>Update ICC-001 Review State / availability / answer authority only after resolving any release-policy dependency.</t>
        </is>
      </c>
      <c r="AC9" s="18" t="inlineStr">
        <is>
          <t>ICC prototype</t>
        </is>
      </c>
      <c r="AD9" s="18" t="n"/>
      <c r="AE9" s="18" t="inlineStr">
        <is>
          <t>Case approval is separate from automatic-release policy.</t>
        </is>
      </c>
      <c r="AF9" s="18">
        <f>IF(F9&lt;&gt;"READY","NO",IF(Z9="OPEN","YES",IF(Z9="OPEN — CUSTOM TEXT REQUIRED","YES",IF(Z9="RESOLVED — ADD INITIALS/DATE","YES",IF(Z9="HOLD — ADD INITIALS/DATE","YES",IF(Z9="DEFERRED — ADD INITIALS/DATE","YES","NO"))))))</f>
        <v/>
      </c>
      <c r="AG9" s="18">
        <f>IF(AF9&lt;&gt;"YES","",IF(A9=IFERROR(MATCH("YES",$AF$2:$AF$105,0),0),"CURRENT",""))</f>
        <v/>
      </c>
      <c r="AH9" s="20">
        <f>IF(COUNTIF($B$2:$B$105,B9)&gt;1,"DUPLICATE","")</f>
        <v/>
      </c>
    </row>
    <row r="10">
      <c r="A10" s="7" t="n">
        <v>9</v>
      </c>
      <c r="B10" s="7" t="inlineStr">
        <is>
          <t>AUTH-COMP-H06</t>
        </is>
      </c>
      <c r="C10" s="7" t="inlineStr">
        <is>
          <t>G3 — Restoration comparator review</t>
        </is>
      </c>
      <c r="D10" s="7" t="inlineStr">
        <is>
          <t>Restoration comparator</t>
        </is>
      </c>
      <c r="E10" s="7" t="inlineStr">
        <is>
          <t>HIGH</t>
        </is>
      </c>
      <c r="F10" s="7" t="inlineStr">
        <is>
          <t>READY</t>
        </is>
      </c>
      <c r="G10" s="7" t="inlineStr">
        <is>
          <t>Inherited Public Citations</t>
        </is>
      </c>
      <c r="H10" s="7" t="inlineStr">
        <is>
          <t>RNR-H06</t>
        </is>
      </c>
      <c r="I10" s="7" t="inlineStr">
        <is>
          <t>A7:AC7</t>
        </is>
      </c>
      <c r="J10" s="7" t="inlineStr">
        <is>
          <t>Review H06 Lord Restoration comparator</t>
        </is>
      </c>
      <c r="K10" s="7" t="inlineStr">
        <is>
          <t>Which Restoration-side source should control the public comparator for H06 Lord?</t>
        </is>
      </c>
      <c r="L10" s="7" t="inlineStr">
        <is>
          <t>Current comparator: Moses 1:6 (Moses 1:6).</t>
        </is>
      </c>
      <c r="M10" s="7" t="inlineStr">
        <is>
          <t>Moses 1:6 is indirect; the existing review suggests D&amp;C 20:24 or Mosiah 3:5.</t>
        </is>
      </c>
      <c r="N10" s="7" t="inlineStr">
        <is>
          <t>Must resolve before the corresponding two-sided citation is treated as fully author-reviewed.</t>
        </is>
      </c>
      <c r="O10" s="7" t="inlineStr">
        <is>
          <t>RETAIN Moses 1:6</t>
        </is>
      </c>
      <c r="P10" s="7" t="inlineStr">
        <is>
          <t>REPLACE with D&amp;C 20:24</t>
        </is>
      </c>
      <c r="Q10" s="7" t="inlineStr">
        <is>
          <t>REPLACE with Mosiah 3:5</t>
        </is>
      </c>
      <c r="R10" s="7" t="inlineStr">
        <is>
          <t>REPLACE with custom source</t>
        </is>
      </c>
      <c r="S10" s="7" t="inlineStr">
        <is>
          <t>OPTION 4</t>
        </is>
      </c>
      <c r="T10" s="17">
        <f>'Author Response Entry'!$D$10</f>
        <v/>
      </c>
      <c r="U10" s="18">
        <f>'Author Response Entry'!$E$10</f>
        <v/>
      </c>
      <c r="V10" s="18">
        <f>'Author Response Entry'!$F$10</f>
        <v/>
      </c>
      <c r="W10" s="18">
        <f>'Author Response Entry'!$G$10</f>
        <v/>
      </c>
      <c r="X10" s="19">
        <f>'Author Response Entry'!$H$10</f>
        <v/>
      </c>
      <c r="Y10" s="18">
        <f>IF(T10="","",IF(T10="CUSTOM RESPONSE",U10,IF(T10="HOLD — NEEDS RESEARCH",IF(U10&lt;&gt;"",U10,"HOLD — NEEDS RESEARCH"),IF(T10="DEFER — NOT YET",IF(U10&lt;&gt;"",U10,"DEFER — NOT YET"),IF(T10="OPTION 1",O10,IF(T10="OPTION 2",P10,IF(T10="OPTION 3",Q10,IF(T10="OPTION 4",U10,""))))))))</f>
        <v/>
      </c>
      <c r="Z10" s="18">
        <f>IF(T10="","OPEN",IF(T10="CUSTOM RESPONSE",IF(U10="","OPEN — CUSTOM TEXT REQUIRED",IF(W10="","RESOLVED — ADD INITIALS/DATE",IF(X10="","RESOLVED — ADD INITIALS/DATE","RESOLVED"))),IF(T10="HOLD — NEEDS RESEARCH",IF(W10="","HOLD — ADD INITIALS/DATE",IF(X10="","HOLD — ADD INITIALS/DATE","HOLD")),IF(T10="DEFER — NOT YET",IF(W10="","DEFERRED — ADD INITIALS/DATE",IF(X10="","DEFERRED — ADD INITIALS/DATE","DEFERRED")),IF(T10="OPTION 1",IF(W10="","RESOLVED — ADD INITIALS/DATE",IF(X10="","RESOLVED — ADD INITIALS/DATE","RESOLVED")),IF(T10="OPTION 2",IF(W10="","RESOLVED — ADD INITIALS/DATE",IF(X10="","RESOLVED — ADD INITIALS/DATE","RESOLVED")),IF(T10="OPTION 3",IF(W10="","RESOLVED — ADD INITIALS/DATE",IF(X10="","RESOLVED — ADD INITIALS/DATE","RESOLVED")),IF(T10="OPTION 4",IF(U10="","OPEN — CUSTOM TEXT REQUIRED",IF(W10="","RESOLVED — ADD INITIALS/DATE",IF(X10="","RESOLVED — ADD INITIALS/DATE","RESOLVED"))),IF(W10="","RESOLVED — ADD INITIALS/DATE",IF(X10="","RESOLVED — ADD INITIALS/DATE","RESOLVED"))))))))))</f>
        <v/>
      </c>
      <c r="AA10" s="18" t="inlineStr">
        <is>
          <t>YES</t>
        </is>
      </c>
      <c r="AB10" s="18" t="inlineStr">
        <is>
          <t>Cascade approved replacement through citation label/locator/URL and Restoration phrase target in next controlled merge.</t>
        </is>
      </c>
      <c r="AC10" s="18" t="inlineStr">
        <is>
          <t>Comparator review</t>
        </is>
      </c>
      <c r="AD10" s="18" t="inlineStr">
        <is>
          <t>https://www.churchofjesuschrist.org/study/scriptures/pgp/moses/1?lang=eng&amp;id=p6#p6</t>
        </is>
      </c>
      <c r="AE10" s="18" t="inlineStr">
        <is>
          <t>Moses 1:6 is indirect; the existing review suggests D&amp;C 20:24 or Mosiah 3:5.</t>
        </is>
      </c>
      <c r="AF10" s="18">
        <f>IF(F10&lt;&gt;"READY","NO",IF(Z10="OPEN","YES",IF(Z10="OPEN — CUSTOM TEXT REQUIRED","YES",IF(Z10="RESOLVED — ADD INITIALS/DATE","YES",IF(Z10="HOLD — ADD INITIALS/DATE","YES",IF(Z10="DEFERRED — ADD INITIALS/DATE","YES","NO"))))))</f>
        <v/>
      </c>
      <c r="AG10" s="18">
        <f>IF(AF10&lt;&gt;"YES","",IF(A10=IFERROR(MATCH("YES",$AF$2:$AF$105,0),0),"CURRENT",""))</f>
        <v/>
      </c>
      <c r="AH10" s="20">
        <f>IF(COUNTIF($B$2:$B$105,B10)&gt;1,"DUPLICATE","")</f>
        <v/>
      </c>
    </row>
    <row r="11">
      <c r="A11" s="7" t="n">
        <v>10</v>
      </c>
      <c r="B11" s="7" t="inlineStr">
        <is>
          <t>AUTH-COMP-H09</t>
        </is>
      </c>
      <c r="C11" s="7" t="inlineStr">
        <is>
          <t>G3 — Restoration comparator review</t>
        </is>
      </c>
      <c r="D11" s="7" t="inlineStr">
        <is>
          <t>Restoration comparator</t>
        </is>
      </c>
      <c r="E11" s="7" t="inlineStr">
        <is>
          <t>HIGH</t>
        </is>
      </c>
      <c r="F11" s="7" t="inlineStr">
        <is>
          <t>READY</t>
        </is>
      </c>
      <c r="G11" s="7" t="inlineStr">
        <is>
          <t>Inherited Public Citations</t>
        </is>
      </c>
      <c r="H11" s="7" t="inlineStr">
        <is>
          <t>RNR-H09</t>
        </is>
      </c>
      <c r="I11" s="7" t="inlineStr">
        <is>
          <t>A10:AC10</t>
        </is>
      </c>
      <c r="J11" s="7" t="inlineStr">
        <is>
          <t>Review H09 Good Restoration comparator</t>
        </is>
      </c>
      <c r="K11" s="7" t="inlineStr">
        <is>
          <t>Which Restoration-side source should control the public comparator for H09 Good?</t>
        </is>
      </c>
      <c r="L11" s="7" t="inlineStr">
        <is>
          <t>Current comparator: Psalm 100:5 (Psalm 100:5).</t>
        </is>
      </c>
      <c r="M11" s="7" t="inlineStr">
        <is>
          <t>Psalm 100:5 is valid, but Moroni 7:12 would keep the comparator in Restoration scripture.</t>
        </is>
      </c>
      <c r="N11" s="7" t="inlineStr">
        <is>
          <t>Must resolve before the corresponding two-sided citation is treated as fully author-reviewed.</t>
        </is>
      </c>
      <c r="O11" s="7" t="inlineStr">
        <is>
          <t>RETAIN Psalm 100:5</t>
        </is>
      </c>
      <c r="P11" s="7" t="inlineStr">
        <is>
          <t>REPLACE with Moroni 7:12</t>
        </is>
      </c>
      <c r="Q11" s="7" t="inlineStr">
        <is>
          <t>USE BOTH Psalm 100:5 and Moroni 7:12</t>
        </is>
      </c>
      <c r="R11" s="7" t="inlineStr">
        <is>
          <t>REPLACE with custom source</t>
        </is>
      </c>
      <c r="S11" s="7" t="inlineStr">
        <is>
          <t>OPTION 4</t>
        </is>
      </c>
      <c r="T11" s="17">
        <f>'Author Response Entry'!$D$11</f>
        <v/>
      </c>
      <c r="U11" s="18">
        <f>'Author Response Entry'!$E$11</f>
        <v/>
      </c>
      <c r="V11" s="18">
        <f>'Author Response Entry'!$F$11</f>
        <v/>
      </c>
      <c r="W11" s="18">
        <f>'Author Response Entry'!$G$11</f>
        <v/>
      </c>
      <c r="X11" s="19">
        <f>'Author Response Entry'!$H$11</f>
        <v/>
      </c>
      <c r="Y11" s="18">
        <f>IF(T11="","",IF(T11="CUSTOM RESPONSE",U11,IF(T11="HOLD — NEEDS RESEARCH",IF(U11&lt;&gt;"",U11,"HOLD — NEEDS RESEARCH"),IF(T11="DEFER — NOT YET",IF(U11&lt;&gt;"",U11,"DEFER — NOT YET"),IF(T11="OPTION 1",O11,IF(T11="OPTION 2",P11,IF(T11="OPTION 3",Q11,IF(T11="OPTION 4",U11,""))))))))</f>
        <v/>
      </c>
      <c r="Z11" s="18">
        <f>IF(T11="","OPEN",IF(T11="CUSTOM RESPONSE",IF(U11="","OPEN — CUSTOM TEXT REQUIRED",IF(W11="","RESOLVED — ADD INITIALS/DATE",IF(X11="","RESOLVED — ADD INITIALS/DATE","RESOLVED"))),IF(T11="HOLD — NEEDS RESEARCH",IF(W11="","HOLD — ADD INITIALS/DATE",IF(X11="","HOLD — ADD INITIALS/DATE","HOLD")),IF(T11="DEFER — NOT YET",IF(W11="","DEFERRED — ADD INITIALS/DATE",IF(X11="","DEFERRED — ADD INITIALS/DATE","DEFERRED")),IF(T11="OPTION 1",IF(W11="","RESOLVED — ADD INITIALS/DATE",IF(X11="","RESOLVED — ADD INITIALS/DATE","RESOLVED")),IF(T11="OPTION 2",IF(W11="","RESOLVED — ADD INITIALS/DATE",IF(X11="","RESOLVED — ADD INITIALS/DATE","RESOLVED")),IF(T11="OPTION 3",IF(W11="","RESOLVED — ADD INITIALS/DATE",IF(X11="","RESOLVED — ADD INITIALS/DATE","RESOLVED")),IF(T11="OPTION 4",IF(U11="","OPEN — CUSTOM TEXT REQUIRED",IF(W11="","RESOLVED — ADD INITIALS/DATE",IF(X11="","RESOLVED — ADD INITIALS/DATE","RESOLVED"))),IF(W11="","RESOLVED — ADD INITIALS/DATE",IF(X11="","RESOLVED — ADD INITIALS/DATE","RESOLVED"))))))))))</f>
        <v/>
      </c>
      <c r="AA11" s="18" t="inlineStr">
        <is>
          <t>YES</t>
        </is>
      </c>
      <c r="AB11" s="18" t="inlineStr">
        <is>
          <t>Cascade approved replacement through citation label/locator/URL and Restoration phrase target in next controlled merge.</t>
        </is>
      </c>
      <c r="AC11" s="18" t="inlineStr">
        <is>
          <t>Comparator review</t>
        </is>
      </c>
      <c r="AD11" s="18" t="inlineStr">
        <is>
          <t>https://www.churchofjesuschrist.org/study/scriptures/ot/ps/100?lang=eng&amp;id=p5#p5</t>
        </is>
      </c>
      <c r="AE11" s="18" t="inlineStr">
        <is>
          <t>Psalm 100:5 is valid, but Moroni 7:12 would keep the comparator in Restoration scripture.</t>
        </is>
      </c>
      <c r="AF11" s="18">
        <f>IF(F11&lt;&gt;"READY","NO",IF(Z11="OPEN","YES",IF(Z11="OPEN — CUSTOM TEXT REQUIRED","YES",IF(Z11="RESOLVED — ADD INITIALS/DATE","YES",IF(Z11="HOLD — ADD INITIALS/DATE","YES",IF(Z11="DEFERRED — ADD INITIALS/DATE","YES","NO"))))))</f>
        <v/>
      </c>
      <c r="AG11" s="18">
        <f>IF(AF11&lt;&gt;"YES","",IF(A11=IFERROR(MATCH("YES",$AF$2:$AF$105,0),0),"CURRENT",""))</f>
        <v/>
      </c>
      <c r="AH11" s="20">
        <f>IF(COUNTIF($B$2:$B$105,B11)&gt;1,"DUPLICATE","")</f>
        <v/>
      </c>
    </row>
    <row r="12">
      <c r="A12" s="7" t="n">
        <v>11</v>
      </c>
      <c r="B12" s="7" t="inlineStr">
        <is>
          <t>AUTH-COMP-H19</t>
        </is>
      </c>
      <c r="C12" s="7" t="inlineStr">
        <is>
          <t>G3 — Restoration comparator review</t>
        </is>
      </c>
      <c r="D12" s="7" t="inlineStr">
        <is>
          <t>Restoration comparator</t>
        </is>
      </c>
      <c r="E12" s="7" t="inlineStr">
        <is>
          <t>HIGH</t>
        </is>
      </c>
      <c r="F12" s="7" t="inlineStr">
        <is>
          <t>READY</t>
        </is>
      </c>
      <c r="G12" s="7" t="inlineStr">
        <is>
          <t>Inherited Public Citations</t>
        </is>
      </c>
      <c r="H12" s="7" t="inlineStr">
        <is>
          <t>RNR-H19</t>
        </is>
      </c>
      <c r="I12" s="7" t="inlineStr">
        <is>
          <t>A20:AC20</t>
        </is>
      </c>
      <c r="J12" s="7" t="inlineStr">
        <is>
          <t>Review H19 Blessed Restoration comparator</t>
        </is>
      </c>
      <c r="K12" s="7" t="inlineStr">
        <is>
          <t>Which Restoration-side source should control the public comparator for H19 Blessed?</t>
        </is>
      </c>
      <c r="L12" s="7" t="inlineStr">
        <is>
          <t>Current comparator: 3 Nephi 28:10 (3 Nephi 28:10).</t>
        </is>
      </c>
      <c r="M12" s="7" t="inlineStr">
        <is>
          <t>3 Nephi 28:10 concerns the disciples' joy and is weak evidence that God is blessed.</t>
        </is>
      </c>
      <c r="N12" s="7" t="inlineStr">
        <is>
          <t>Must resolve before the corresponding two-sided citation is treated as fully author-reviewed.</t>
        </is>
      </c>
      <c r="O12" s="7" t="inlineStr">
        <is>
          <t>RETAIN 3 Nephi 28:10 despite weakness</t>
        </is>
      </c>
      <c r="P12" s="7" t="inlineStr">
        <is>
          <t>REPLACE — enter a direct divine-blessedness source in Custom Response</t>
        </is>
      </c>
      <c r="Q12" s="7" t="inlineStr">
        <is>
          <t>HOLD comparator pending targeted source research</t>
        </is>
      </c>
      <c r="R12" s="7" t="inlineStr">
        <is>
          <t>REMOVE public comparator until a direct source is approved</t>
        </is>
      </c>
      <c r="S12" s="7" t="inlineStr">
        <is>
          <t>OPTION 2</t>
        </is>
      </c>
      <c r="T12" s="17">
        <f>'Author Response Entry'!$D$12</f>
        <v/>
      </c>
      <c r="U12" s="18">
        <f>'Author Response Entry'!$E$12</f>
        <v/>
      </c>
      <c r="V12" s="18">
        <f>'Author Response Entry'!$F$12</f>
        <v/>
      </c>
      <c r="W12" s="18">
        <f>'Author Response Entry'!$G$12</f>
        <v/>
      </c>
      <c r="X12" s="19">
        <f>'Author Response Entry'!$H$12</f>
        <v/>
      </c>
      <c r="Y12" s="18">
        <f>IF(T12="","",IF(T12="CUSTOM RESPONSE",U12,IF(T12="HOLD — NEEDS RESEARCH",IF(U12&lt;&gt;"",U12,"HOLD — NEEDS RESEARCH"),IF(T12="DEFER — NOT YET",IF(U12&lt;&gt;"",U12,"DEFER — NOT YET"),IF(T12="OPTION 1",O12,IF(T12="OPTION 2",U12,IF(T12="OPTION 3",Q12,IF(T12="OPTION 4",R12,""))))))))</f>
        <v/>
      </c>
      <c r="Z12" s="18">
        <f>IF(T12="","OPEN",IF(T12="CUSTOM RESPONSE",IF(U12="","OPEN — CUSTOM TEXT REQUIRED",IF(W12="","RESOLVED — ADD INITIALS/DATE",IF(X12="","RESOLVED — ADD INITIALS/DATE","RESOLVED"))),IF(T12="HOLD — NEEDS RESEARCH",IF(W12="","HOLD — ADD INITIALS/DATE",IF(X12="","HOLD — ADD INITIALS/DATE","HOLD")),IF(T12="DEFER — NOT YET",IF(W12="","DEFERRED — ADD INITIALS/DATE",IF(X12="","DEFERRED — ADD INITIALS/DATE","DEFERRED")),IF(T12="OPTION 1",IF(W12="","RESOLVED — ADD INITIALS/DATE",IF(X12="","RESOLVED — ADD INITIALS/DATE","RESOLVED")),IF(T12="OPTION 2",IF(U12="","OPEN — CUSTOM TEXT REQUIRED",IF(W12="","RESOLVED — ADD INITIALS/DATE",IF(X12="","RESOLVED — ADD INITIALS/DATE","RESOLVED"))),IF(T12="OPTION 3",IF(W12="","HOLD — ADD INITIALS/DATE",IF(X12="","HOLD — ADD INITIALS/DATE","HOLD")),IF(T12="OPTION 4",IF(W12="","RESOLVED — ADD INITIALS/DATE",IF(X12="","RESOLVED — ADD INITIALS/DATE","RESOLVED")),IF(W12="","RESOLVED — ADD INITIALS/DATE",IF(X12="","RESOLVED — ADD INITIALS/DATE","RESOLVED"))))))))))</f>
        <v/>
      </c>
      <c r="AA12" s="18" t="inlineStr">
        <is>
          <t>YES</t>
        </is>
      </c>
      <c r="AB12" s="18" t="inlineStr">
        <is>
          <t>Cascade approved replacement through citation label/locator/URL and Restoration phrase target in next controlled merge.</t>
        </is>
      </c>
      <c r="AC12" s="18" t="inlineStr">
        <is>
          <t>Comparator review</t>
        </is>
      </c>
      <c r="AD12" s="18" t="inlineStr">
        <is>
          <t>https://www.churchofjesuschrist.org/study/scriptures/bofm/3-ne/28?lang=eng&amp;id=p10#p10</t>
        </is>
      </c>
      <c r="AE12" s="18" t="inlineStr">
        <is>
          <t>3 Nephi 28:10 concerns the disciples' joy and is weak evidence that God is blessed.</t>
        </is>
      </c>
      <c r="AF12" s="18">
        <f>IF(F12&lt;&gt;"READY","NO",IF(Z12="OPEN","YES",IF(Z12="OPEN — CUSTOM TEXT REQUIRED","YES",IF(Z12="RESOLVED — ADD INITIALS/DATE","YES",IF(Z12="HOLD — ADD INITIALS/DATE","YES",IF(Z12="DEFERRED — ADD INITIALS/DATE","YES","NO"))))))</f>
        <v/>
      </c>
      <c r="AG12" s="18">
        <f>IF(AF12&lt;&gt;"YES","",IF(A12=IFERROR(MATCH("YES",$AF$2:$AF$105,0),0),"CURRENT",""))</f>
        <v/>
      </c>
      <c r="AH12" s="20">
        <f>IF(COUNTIF($B$2:$B$105,B12)&gt;1,"DUPLICATE","")</f>
        <v/>
      </c>
    </row>
    <row r="13">
      <c r="A13" s="7" t="n">
        <v>12</v>
      </c>
      <c r="B13" s="7" t="inlineStr">
        <is>
          <t>AUTH-COMP-H20</t>
        </is>
      </c>
      <c r="C13" s="7" t="inlineStr">
        <is>
          <t>G3 — Restoration comparator review</t>
        </is>
      </c>
      <c r="D13" s="7" t="inlineStr">
        <is>
          <t>Restoration comparator</t>
        </is>
      </c>
      <c r="E13" s="7" t="inlineStr">
        <is>
          <t>HIGH</t>
        </is>
      </c>
      <c r="F13" s="7" t="inlineStr">
        <is>
          <t>READY</t>
        </is>
      </c>
      <c r="G13" s="7" t="inlineStr">
        <is>
          <t>Inherited Public Citations</t>
        </is>
      </c>
      <c r="H13" s="7" t="inlineStr">
        <is>
          <t>RNR-H20</t>
        </is>
      </c>
      <c r="I13" s="7" t="inlineStr">
        <is>
          <t>A21:AC21</t>
        </is>
      </c>
      <c r="J13" s="7" t="inlineStr">
        <is>
          <t>Review H20 Glorious Restoration comparator</t>
        </is>
      </c>
      <c r="K13" s="7" t="inlineStr">
        <is>
          <t>Which Restoration-side source should control the public comparator for H20 Glorious?</t>
        </is>
      </c>
      <c r="L13" s="7" t="inlineStr">
        <is>
          <t>Current comparator: 1 Nephi 1:14 (1 Nephi 1:14).</t>
        </is>
      </c>
      <c r="M13" s="7" t="inlineStr">
        <is>
          <t>1 Nephi 1:14 is contextual; Moses 1:2 or D&amp;C 76:19–20 are more direct divine-glory witnesses.</t>
        </is>
      </c>
      <c r="N13" s="7" t="inlineStr">
        <is>
          <t>Must resolve before the corresponding two-sided citation is treated as fully author-reviewed.</t>
        </is>
      </c>
      <c r="O13" s="7" t="inlineStr">
        <is>
          <t>RETAIN 1 Nephi 1:14</t>
        </is>
      </c>
      <c r="P13" s="7" t="inlineStr">
        <is>
          <t>REPLACE with Moses 1:2</t>
        </is>
      </c>
      <c r="Q13" s="7" t="inlineStr">
        <is>
          <t>REPLACE with D&amp;C 76:19–20</t>
        </is>
      </c>
      <c r="R13" s="7" t="inlineStr">
        <is>
          <t>REPLACE with custom source</t>
        </is>
      </c>
      <c r="S13" s="7" t="inlineStr">
        <is>
          <t>OPTION 4</t>
        </is>
      </c>
      <c r="T13" s="17">
        <f>'Author Response Entry'!$D$13</f>
        <v/>
      </c>
      <c r="U13" s="18">
        <f>'Author Response Entry'!$E$13</f>
        <v/>
      </c>
      <c r="V13" s="18">
        <f>'Author Response Entry'!$F$13</f>
        <v/>
      </c>
      <c r="W13" s="18">
        <f>'Author Response Entry'!$G$13</f>
        <v/>
      </c>
      <c r="X13" s="19">
        <f>'Author Response Entry'!$H$13</f>
        <v/>
      </c>
      <c r="Y13" s="18">
        <f>IF(T13="","",IF(T13="CUSTOM RESPONSE",U13,IF(T13="HOLD — NEEDS RESEARCH",IF(U13&lt;&gt;"",U13,"HOLD — NEEDS RESEARCH"),IF(T13="DEFER — NOT YET",IF(U13&lt;&gt;"",U13,"DEFER — NOT YET"),IF(T13="OPTION 1",O13,IF(T13="OPTION 2",P13,IF(T13="OPTION 3",Q13,IF(T13="OPTION 4",U13,""))))))))</f>
        <v/>
      </c>
      <c r="Z13" s="18">
        <f>IF(T13="","OPEN",IF(T13="CUSTOM RESPONSE",IF(U13="","OPEN — CUSTOM TEXT REQUIRED",IF(W13="","RESOLVED — ADD INITIALS/DATE",IF(X13="","RESOLVED — ADD INITIALS/DATE","RESOLVED"))),IF(T13="HOLD — NEEDS RESEARCH",IF(W13="","HOLD — ADD INITIALS/DATE",IF(X13="","HOLD — ADD INITIALS/DATE","HOLD")),IF(T13="DEFER — NOT YET",IF(W13="","DEFERRED — ADD INITIALS/DATE",IF(X13="","DEFERRED — ADD INITIALS/DATE","DEFERRED")),IF(T13="OPTION 1",IF(W13="","RESOLVED — ADD INITIALS/DATE",IF(X13="","RESOLVED — ADD INITIALS/DATE","RESOLVED")),IF(T13="OPTION 2",IF(W13="","RESOLVED — ADD INITIALS/DATE",IF(X13="","RESOLVED — ADD INITIALS/DATE","RESOLVED")),IF(T13="OPTION 3",IF(W13="","RESOLVED — ADD INITIALS/DATE",IF(X13="","RESOLVED — ADD INITIALS/DATE","RESOLVED")),IF(T13="OPTION 4",IF(U13="","OPEN — CUSTOM TEXT REQUIRED",IF(W13="","RESOLVED — ADD INITIALS/DATE",IF(X13="","RESOLVED — ADD INITIALS/DATE","RESOLVED"))),IF(W13="","RESOLVED — ADD INITIALS/DATE",IF(X13="","RESOLVED — ADD INITIALS/DATE","RESOLVED"))))))))))</f>
        <v/>
      </c>
      <c r="AA13" s="18" t="inlineStr">
        <is>
          <t>YES</t>
        </is>
      </c>
      <c r="AB13" s="18" t="inlineStr">
        <is>
          <t>Cascade approved replacement through citation label/locator/URL and Restoration phrase target in next controlled merge.</t>
        </is>
      </c>
      <c r="AC13" s="18" t="inlineStr">
        <is>
          <t>Comparator review</t>
        </is>
      </c>
      <c r="AD13" s="18" t="inlineStr">
        <is>
          <t>https://www.churchofjesuschrist.org/study/scriptures/bofm/1-ne/1?lang=eng&amp;id=p14#p14</t>
        </is>
      </c>
      <c r="AE13" s="18" t="inlineStr">
        <is>
          <t>1 Nephi 1:14 is contextual; Moses 1:2 or D&amp;C 76:19–20 are more direct divine-glory witnesses.</t>
        </is>
      </c>
      <c r="AF13" s="18">
        <f>IF(F13&lt;&gt;"READY","NO",IF(Z13="OPEN","YES",IF(Z13="OPEN — CUSTOM TEXT REQUIRED","YES",IF(Z13="RESOLVED — ADD INITIALS/DATE","YES",IF(Z13="HOLD — ADD INITIALS/DATE","YES",IF(Z13="DEFERRED — ADD INITIALS/DATE","YES","NO"))))))</f>
        <v/>
      </c>
      <c r="AG13" s="18">
        <f>IF(AF13&lt;&gt;"YES","",IF(A13=IFERROR(MATCH("YES",$AF$2:$AF$105,0),0),"CURRENT",""))</f>
        <v/>
      </c>
      <c r="AH13" s="20">
        <f>IF(COUNTIF($B$2:$B$105,B13)&gt;1,"DUPLICATE","")</f>
        <v/>
      </c>
    </row>
    <row r="14">
      <c r="A14" s="7" t="n">
        <v>13</v>
      </c>
      <c r="B14" s="7" t="inlineStr">
        <is>
          <t>AUTH-ORTH-H37</t>
        </is>
      </c>
      <c r="C14" s="7" t="inlineStr">
        <is>
          <t>G4 — Orthodox adjudications</t>
        </is>
      </c>
      <c r="D14" s="7" t="inlineStr">
        <is>
          <t>Source-role adjudication</t>
        </is>
      </c>
      <c r="E14" s="7" t="inlineStr">
        <is>
          <t>HIGH</t>
        </is>
      </c>
      <c r="F14" s="7" t="inlineStr">
        <is>
          <t>READY</t>
        </is>
      </c>
      <c r="G14" s="7" t="inlineStr">
        <is>
          <t>Final 24 Reconciliation</t>
        </is>
      </c>
      <c r="H14" s="7" t="inlineStr">
        <is>
          <t>Q-290 / RNR-H37 Eastern Orthodox</t>
        </is>
      </c>
      <c r="I14" s="7" t="inlineStr">
        <is>
          <t>A3:J3</t>
        </is>
      </c>
      <c r="J14" s="7" t="inlineStr">
        <is>
          <t>Adjudicate Eastern Orthodox H37 source role</t>
        </is>
      </c>
      <c r="K14" s="7" t="inlineStr">
        <is>
          <t>May the recovered OCA-hosted patristic/liturgical witness support a jurisdictionally scoped Eastern Orthodox H37 branch result?</t>
        </is>
      </c>
      <c r="L14" s="7" t="inlineStr">
        <is>
          <t>H37 Unbegotten. Concept evidence was recovered, but the source role has not been promoted to a controlling branch doctrinal source.</t>
        </is>
      </c>
      <c r="M14" s="7" t="inlineStr">
        <is>
          <t>Q-290 = PENDING SOURCE-ROLE REVIEW; Rendered State = RECONCILIATION HOLD — SOURCE ROLE; master H37 remains Q.</t>
        </is>
      </c>
      <c r="N14" s="7" t="inlineStr">
        <is>
          <t>Controls whether the Eastern Orthodox H37 tile remains excluded or may resolve to Q at the accepted floor.</t>
        </is>
      </c>
      <c r="O14" s="7" t="inlineStr">
        <is>
          <t>APPROVE source role — resolve Eastern Orthodox H37 to Q with explicit OCA/jurisdictional scope</t>
        </is>
      </c>
      <c r="P14" s="7" t="inlineStr">
        <is>
          <t>KEEP source-role hold — current witness is insufficient</t>
        </is>
      </c>
      <c r="Q14" s="7" t="inlineStr">
        <is>
          <t>REQUIRE stronger controlling Orthodox source before decision</t>
        </is>
      </c>
      <c r="R14" s="7" t="inlineStr">
        <is>
          <t>CUSTOM source-role disposition</t>
        </is>
      </c>
      <c r="S14" s="7" t="inlineStr">
        <is>
          <t>OPTION 4</t>
        </is>
      </c>
      <c r="T14" s="17">
        <f>'Author Response Entry'!$D$14</f>
        <v/>
      </c>
      <c r="U14" s="18">
        <f>'Author Response Entry'!$E$14</f>
        <v/>
      </c>
      <c r="V14" s="18">
        <f>'Author Response Entry'!$F$14</f>
        <v/>
      </c>
      <c r="W14" s="18">
        <f>'Author Response Entry'!$G$14</f>
        <v/>
      </c>
      <c r="X14" s="19">
        <f>'Author Response Entry'!$H$14</f>
        <v/>
      </c>
      <c r="Y14" s="18">
        <f>IF(T14="","",IF(T14="CUSTOM RESPONSE",U14,IF(T14="HOLD — NEEDS RESEARCH",IF(U14&lt;&gt;"",U14,"HOLD — NEEDS RESEARCH"),IF(T14="DEFER — NOT YET",IF(U14&lt;&gt;"",U14,"DEFER — NOT YET"),IF(T14="OPTION 1",O14,IF(T14="OPTION 2",P14,IF(T14="OPTION 3",Q14,IF(T14="OPTION 4",U14,""))))))))</f>
        <v/>
      </c>
      <c r="Z14" s="18">
        <f>IF(T14="","OPEN",IF(T14="CUSTOM RESPONSE",IF(U14="","OPEN — CUSTOM TEXT REQUIRED",IF(W14="","RESOLVED — ADD INITIALS/DATE",IF(X14="","RESOLVED — ADD INITIALS/DATE","RESOLVED"))),IF(T14="HOLD — NEEDS RESEARCH",IF(W14="","HOLD — ADD INITIALS/DATE",IF(X14="","HOLD — ADD INITIALS/DATE","HOLD")),IF(T14="DEFER — NOT YET",IF(W14="","DEFERRED — ADD INITIALS/DATE",IF(X14="","DEFERRED — ADD INITIALS/DATE","DEFERRED")),IF(T14="OPTION 1",IF(W14="","RESOLVED — ADD INITIALS/DATE",IF(X14="","RESOLVED — ADD INITIALS/DATE","RESOLVED")),IF(T14="OPTION 2",IF(W14="","HOLD — ADD INITIALS/DATE",IF(X14="","HOLD — ADD INITIALS/DATE","HOLD")),IF(T14="OPTION 3",IF(W14="","HOLD — ADD INITIALS/DATE",IF(X14="","HOLD — ADD INITIALS/DATE","HOLD")),IF(T14="OPTION 4",IF(U14="","OPEN — CUSTOM TEXT REQUIRED",IF(W14="","RESOLVED — ADD INITIALS/DATE",IF(X14="","RESOLVED — ADD INITIALS/DATE","RESOLVED"))),IF(W14="","RESOLVED — ADD INITIALS/DATE",IF(X14="","RESOLVED — ADD INITIALS/DATE","RESOLVED"))))))))))</f>
        <v/>
      </c>
      <c r="AA14" s="18" t="inlineStr">
        <is>
          <t>YES</t>
        </is>
      </c>
      <c r="AB14" s="18" t="inlineStr">
        <is>
          <t>Propagate only after author decision; do not generalize OCA witness to all Orthodoxy.</t>
        </is>
      </c>
      <c r="AC14" s="18" t="inlineStr">
        <is>
          <t>Orthodox adjudication</t>
        </is>
      </c>
      <c r="AD14" s="18" t="n"/>
      <c r="AE14" s="18" t="inlineStr">
        <is>
          <t>Question is source authority/scope, not whether 'unbegotten' exists in Orthodox tradition.</t>
        </is>
      </c>
      <c r="AF14" s="18">
        <f>IF(F14&lt;&gt;"READY","NO",IF(Z14="OPEN","YES",IF(Z14="OPEN — CUSTOM TEXT REQUIRED","YES",IF(Z14="RESOLVED — ADD INITIALS/DATE","YES",IF(Z14="HOLD — ADD INITIALS/DATE","YES",IF(Z14="DEFERRED — ADD INITIALS/DATE","YES","NO"))))))</f>
        <v/>
      </c>
      <c r="AG14" s="18">
        <f>IF(AF14&lt;&gt;"YES","",IF(A14=IFERROR(MATCH("YES",$AF$2:$AF$105,0),0),"CURRENT",""))</f>
        <v/>
      </c>
      <c r="AH14" s="20">
        <f>IF(COUNTIF($B$2:$B$105,B14)&gt;1,"DUPLICATE","")</f>
        <v/>
      </c>
    </row>
    <row r="15">
      <c r="A15" s="7" t="n">
        <v>14</v>
      </c>
      <c r="B15" s="7" t="inlineStr">
        <is>
          <t>AUTH-ORTH-H43</t>
        </is>
      </c>
      <c r="C15" s="7" t="inlineStr">
        <is>
          <t>G4 — Orthodox adjudications</t>
        </is>
      </c>
      <c r="D15" s="7" t="inlineStr">
        <is>
          <t>Semantic-floor adjudication</t>
        </is>
      </c>
      <c r="E15" s="7" t="inlineStr">
        <is>
          <t>HIGH</t>
        </is>
      </c>
      <c r="F15" s="7" t="inlineStr">
        <is>
          <t>READY</t>
        </is>
      </c>
      <c r="G15" s="7" t="inlineStr">
        <is>
          <t>Evidence-First Cell Queue</t>
        </is>
      </c>
      <c r="H15" s="7" t="inlineStr">
        <is>
          <t>Q-338 / RNR-H43 Eastern Orthodox</t>
        </is>
      </c>
      <c r="I15" s="7" t="inlineStr">
        <is>
          <t>A343:AA343</t>
        </is>
      </c>
      <c r="J15" s="7" t="inlineStr">
        <is>
          <t>Adjudicate Eastern Orthodox H43 semantic floor</t>
        </is>
      </c>
      <c r="K15" s="7" t="inlineStr">
        <is>
          <t>Does the cited OCA simplicity teaching reach the project's exact H43 'without parts / strong divine simplicity' floor?</t>
        </is>
      </c>
      <c r="L15" s="7" t="inlineStr">
        <is>
          <t>OCA The Orthodox Faith — God contains a divine-simplicity discussion. The row is jurisdictional and evidence exists, but exact equivalence to the project's 'without parts' floor has not been promoted.</t>
        </is>
      </c>
      <c r="M15" s="7" t="inlineStr">
        <is>
          <t>Q-338 Rendered State = PENDING REVIEW; Metric Class = EXCLUDED. H43 currently remains 5 D + 1 pending + 2 current-source gaps.</t>
        </is>
      </c>
      <c r="N15" s="7" t="inlineStr">
        <is>
          <t>Controls whether H43 Eastern Orthodox becomes D or remains explicitly unresolved.</t>
        </is>
      </c>
      <c r="O15" s="7" t="inlineStr">
        <is>
          <t>APPROVE D at the current H43 floor</t>
        </is>
      </c>
      <c r="P15" s="7" t="inlineStr">
        <is>
          <t>KEEP PENDING — source does not establish exact 'without parts' equivalence</t>
        </is>
      </c>
      <c r="Q15" s="7" t="inlineStr">
        <is>
          <t>REVISE/NARROW H43 semantic floor — enter exact replacement rule in Custom Response</t>
        </is>
      </c>
      <c r="R15" s="7" t="inlineStr">
        <is>
          <t>REQUIRE targeted Orthodox source recovery before decision</t>
        </is>
      </c>
      <c r="S15" s="7" t="inlineStr">
        <is>
          <t>OPTION 3</t>
        </is>
      </c>
      <c r="T15" s="17">
        <f>'Author Response Entry'!$D$15</f>
        <v/>
      </c>
      <c r="U15" s="18">
        <f>'Author Response Entry'!$E$15</f>
        <v/>
      </c>
      <c r="V15" s="18">
        <f>'Author Response Entry'!$F$15</f>
        <v/>
      </c>
      <c r="W15" s="18">
        <f>'Author Response Entry'!$G$15</f>
        <v/>
      </c>
      <c r="X15" s="19">
        <f>'Author Response Entry'!$H$15</f>
        <v/>
      </c>
      <c r="Y15" s="18">
        <f>IF(T15="","",IF(T15="CUSTOM RESPONSE",U15,IF(T15="HOLD — NEEDS RESEARCH",IF(U15&lt;&gt;"",U15,"HOLD — NEEDS RESEARCH"),IF(T15="DEFER — NOT YET",IF(U15&lt;&gt;"",U15,"DEFER — NOT YET"),IF(T15="OPTION 1",O15,IF(T15="OPTION 2",P15,IF(T15="OPTION 3",U15,IF(T15="OPTION 4",R15,""))))))))</f>
        <v/>
      </c>
      <c r="Z15" s="18">
        <f>IF(T15="","OPEN",IF(T15="CUSTOM RESPONSE",IF(U15="","OPEN — CUSTOM TEXT REQUIRED",IF(W15="","RESOLVED — ADD INITIALS/DATE",IF(X15="","RESOLVED — ADD INITIALS/DATE","RESOLVED"))),IF(T15="HOLD — NEEDS RESEARCH",IF(W15="","HOLD — ADD INITIALS/DATE",IF(X15="","HOLD — ADD INITIALS/DATE","HOLD")),IF(T15="DEFER — NOT YET",IF(W15="","DEFERRED — ADD INITIALS/DATE",IF(X15="","DEFERRED — ADD INITIALS/DATE","DEFERRED")),IF(T15="OPTION 1",IF(W15="","RESOLVED — ADD INITIALS/DATE",IF(X15="","RESOLVED — ADD INITIALS/DATE","RESOLVED")),IF(T15="OPTION 2",IF(W15="","HOLD — ADD INITIALS/DATE",IF(X15="","HOLD — ADD INITIALS/DATE","HOLD")),IF(T15="OPTION 3",IF(U15="","OPEN — CUSTOM TEXT REQUIRED",IF(W15="","RESOLVED — ADD INITIALS/DATE",IF(X15="","RESOLVED — ADD INITIALS/DATE","RESOLVED"))),IF(T15="OPTION 4",IF(W15="","HOLD — ADD INITIALS/DATE",IF(X15="","HOLD — ADD INITIALS/DATE","HOLD")),IF(W15="","RESOLVED — ADD INITIALS/DATE",IF(X15="","RESOLVED — ADD INITIALS/DATE","RESOLVED"))))))))))</f>
        <v/>
      </c>
      <c r="AA15" s="18" t="inlineStr">
        <is>
          <t>YES</t>
        </is>
      </c>
      <c r="AB15" s="18" t="inlineStr">
        <is>
          <t>If semantic floor changes, flag broader research-code propagation rather than silently recoding one cell.</t>
        </is>
      </c>
      <c r="AC15" s="18" t="inlineStr">
        <is>
          <t>Orthodox adjudication</t>
        </is>
      </c>
      <c r="AD15" s="18" t="inlineStr">
        <is>
          <t>https://www.oca.org/orthodoxy/the-orthodox-faith/doctrine-scripture/the-symbol-of-faith/god</t>
        </is>
      </c>
      <c r="AE15" s="18" t="inlineStr">
        <is>
          <t>Eastern Orthodox row remains jurisdictional/pending at exact H43 floor; Mennonite row remains not located.</t>
        </is>
      </c>
      <c r="AF15" s="18">
        <f>IF(F15&lt;&gt;"READY","NO",IF(Z15="OPEN","YES",IF(Z15="OPEN — CUSTOM TEXT REQUIRED","YES",IF(Z15="RESOLVED — ADD INITIALS/DATE","YES",IF(Z15="HOLD — ADD INITIALS/DATE","YES",IF(Z15="DEFERRED — ADD INITIALS/DATE","YES","NO"))))))</f>
        <v/>
      </c>
      <c r="AG15" s="18">
        <f>IF(AF15&lt;&gt;"YES","",IF(A15=IFERROR(MATCH("YES",$AF$2:$AF$105,0),0),"CURRENT",""))</f>
        <v/>
      </c>
      <c r="AH15" s="20">
        <f>IF(COUNTIF($B$2:$B$105,B15)&gt;1,"DUPLICATE","")</f>
        <v/>
      </c>
    </row>
    <row r="16">
      <c r="A16" s="7" t="n">
        <v>15</v>
      </c>
      <c r="B16" s="7" t="inlineStr">
        <is>
          <t>AUTH-GOD-01</t>
        </is>
      </c>
      <c r="C16" s="7" t="inlineStr">
        <is>
          <t>G5 — Godhead Context wording</t>
        </is>
      </c>
      <c r="D16" s="7" t="inlineStr">
        <is>
          <t>Godhead Context</t>
        </is>
      </c>
      <c r="E16" s="7" t="inlineStr">
        <is>
          <t>MEDIUM</t>
        </is>
      </c>
      <c r="F16" s="7" t="inlineStr">
        <is>
          <t>READY</t>
        </is>
      </c>
      <c r="G16" s="7" t="inlineStr">
        <is>
          <t>Godhead Context</t>
        </is>
      </c>
      <c r="H16" s="7" t="inlineStr">
        <is>
          <t>GOD-01</t>
        </is>
      </c>
      <c r="I16" s="7" t="inlineStr">
        <is>
          <t>A6:J6</t>
        </is>
      </c>
      <c r="J16" s="7" t="inlineStr">
        <is>
          <t>Review GOD-01 learner-facing Godhead Context wording</t>
        </is>
      </c>
      <c r="K16" s="7" t="inlineStr">
        <is>
          <t>Approve the proposition, teaching use, and caution for GOD-01?</t>
        </is>
      </c>
      <c r="L16" s="7" t="inlineStr">
        <is>
          <t>Proposition: Father, Son, and Holy Spirit are explicitly named in Christian confession.
Historic example: Nicene-Constantinopolitan Creed / Westminster Shorter Catechism Q4–6
LDS example: Articles of Faith 1:1
Relationship to counted predicates: Related to H04 Father, H05 Son, H34–H35 Spirit language
Teaching use: Establish shared threefold God-language before discussing structural differences.
Caution: Shared naming does not establish identical Trinity/Godhead ontology.</t>
        </is>
      </c>
      <c r="M16" s="7" t="inlineStr">
        <is>
          <t>Quantitative status = NOT COUNTED.</t>
        </is>
      </c>
      <c r="N16" s="7" t="inlineStr">
        <is>
          <t>Required before the learner-facing Trinity/Godhead context panel is author-approved.</t>
        </is>
      </c>
      <c r="O16" s="7" t="inlineStr">
        <is>
          <t>APPROVE AS WRITTEN</t>
        </is>
      </c>
      <c r="P16" s="7" t="inlineStr">
        <is>
          <t>REVISE proposition/teaching/caution — enter complete replacement in Custom Response</t>
        </is>
      </c>
      <c r="Q16" s="7" t="inlineStr">
        <is>
          <t>APPROVE proposition but REVISE caution — enter replacement caution in Custom Response</t>
        </is>
      </c>
      <c r="R16" s="7" t="inlineStr">
        <is>
          <t>HOLD — more theological/source review required</t>
        </is>
      </c>
      <c r="S16" s="7" t="inlineStr">
        <is>
          <t>OPTION 2 | OPTION 3</t>
        </is>
      </c>
      <c r="T16" s="17">
        <f>'Author Response Entry'!$D$16</f>
        <v/>
      </c>
      <c r="U16" s="18">
        <f>'Author Response Entry'!$E$16</f>
        <v/>
      </c>
      <c r="V16" s="18">
        <f>'Author Response Entry'!$F$16</f>
        <v/>
      </c>
      <c r="W16" s="18">
        <f>'Author Response Entry'!$G$16</f>
        <v/>
      </c>
      <c r="X16" s="19">
        <f>'Author Response Entry'!$H$16</f>
        <v/>
      </c>
      <c r="Y16" s="18">
        <f>IF(T16="","",IF(T16="CUSTOM RESPONSE",U16,IF(T16="HOLD — NEEDS RESEARCH",IF(U16&lt;&gt;"",U16,"HOLD — NEEDS RESEARCH"),IF(T16="DEFER — NOT YET",IF(U16&lt;&gt;"",U16,"DEFER — NOT YET"),IF(T16="OPTION 1",O16,IF(T16="OPTION 2",U16,IF(T16="OPTION 3",U16,IF(T16="OPTION 4",R16,""))))))))</f>
        <v/>
      </c>
      <c r="Z16" s="18">
        <f>IF(T16="","OPEN",IF(T16="CUSTOM RESPONSE",IF(U16="","OPEN — CUSTOM TEXT REQUIRED",IF(W16="","RESOLVED — ADD INITIALS/DATE",IF(X16="","RESOLVED — ADD INITIALS/DATE","RESOLVED"))),IF(T16="HOLD — NEEDS RESEARCH",IF(W16="","HOLD — ADD INITIALS/DATE",IF(X16="","HOLD — ADD INITIALS/DATE","HOLD")),IF(T16="DEFER — NOT YET",IF(W16="","DEFERRED — ADD INITIALS/DATE",IF(X16="","DEFERRED — ADD INITIALS/DATE","DEFERRED")),IF(T16="OPTION 1",IF(W16="","RESOLVED — ADD INITIALS/DATE",IF(X16="","RESOLVED — ADD INITIALS/DATE","RESOLVED")),IF(T16="OPTION 2",IF(U16="","OPEN — CUSTOM TEXT REQUIRED",IF(W16="","RESOLVED — ADD INITIALS/DATE",IF(X16="","RESOLVED — ADD INITIALS/DATE","RESOLVED"))),IF(T16="OPTION 3",IF(U16="","OPEN — CUSTOM TEXT REQUIRED",IF(W16="","RESOLVED — ADD INITIALS/DATE",IF(X16="","RESOLVED — ADD INITIALS/DATE","RESOLVED"))),IF(T16="OPTION 4",IF(W16="","HOLD — ADD INITIALS/DATE",IF(X16="","HOLD — ADD INITIALS/DATE","HOLD")),IF(W16="","RESOLVED — ADD INITIALS/DATE",IF(X16="","RESOLVED — ADD INITIALS/DATE","RESOLVED"))))))))))</f>
        <v/>
      </c>
      <c r="AA16" s="18" t="inlineStr">
        <is>
          <t>YES</t>
        </is>
      </c>
      <c r="AB16" s="18" t="inlineStr">
        <is>
          <t>Apply author wording only; preserve NOT COUNTED status and source fields unless explicitly changed.</t>
        </is>
      </c>
      <c r="AC16" s="18" t="inlineStr">
        <is>
          <t>Godhead Context</t>
        </is>
      </c>
      <c r="AD16" s="18" t="inlineStr">
        <is>
          <t>https://www.churchofjesuschrist.org/study/scriptures/pgp/a-of-f/1?lang=eng&amp;id=p1#p1</t>
        </is>
      </c>
      <c r="AE16" s="18" t="inlineStr">
        <is>
          <t>Shared naming does not establish identical Trinity/Godhead ontology.</t>
        </is>
      </c>
      <c r="AF16" s="18">
        <f>IF(F16&lt;&gt;"READY","NO",IF(Z16="OPEN","YES",IF(Z16="OPEN — CUSTOM TEXT REQUIRED","YES",IF(Z16="RESOLVED — ADD INITIALS/DATE","YES",IF(Z16="HOLD — ADD INITIALS/DATE","YES",IF(Z16="DEFERRED — ADD INITIALS/DATE","YES","NO"))))))</f>
        <v/>
      </c>
      <c r="AG16" s="18">
        <f>IF(AF16&lt;&gt;"YES","",IF(A16=IFERROR(MATCH("YES",$AF$2:$AF$105,0),0),"CURRENT",""))</f>
        <v/>
      </c>
      <c r="AH16" s="20">
        <f>IF(COUNTIF($B$2:$B$105,B16)&gt;1,"DUPLICATE","")</f>
        <v/>
      </c>
    </row>
    <row r="17">
      <c r="A17" s="7" t="n">
        <v>16</v>
      </c>
      <c r="B17" s="7" t="inlineStr">
        <is>
          <t>AUTH-GOD-02</t>
        </is>
      </c>
      <c r="C17" s="7" t="inlineStr">
        <is>
          <t>G5 — Godhead Context wording</t>
        </is>
      </c>
      <c r="D17" s="7" t="inlineStr">
        <is>
          <t>Godhead Context</t>
        </is>
      </c>
      <c r="E17" s="7" t="inlineStr">
        <is>
          <t>MEDIUM</t>
        </is>
      </c>
      <c r="F17" s="7" t="inlineStr">
        <is>
          <t>READY</t>
        </is>
      </c>
      <c r="G17" s="7" t="inlineStr">
        <is>
          <t>Godhead Context</t>
        </is>
      </c>
      <c r="H17" s="7" t="inlineStr">
        <is>
          <t>GOD-02</t>
        </is>
      </c>
      <c r="I17" s="7" t="inlineStr">
        <is>
          <t>A7:J7</t>
        </is>
      </c>
      <c r="J17" s="7" t="inlineStr">
        <is>
          <t>Review GOD-02 learner-facing Godhead Context wording</t>
        </is>
      </c>
      <c r="K17" s="7" t="inlineStr">
        <is>
          <t>Approve the proposition, teaching use, and caution for GOD-02?</t>
        </is>
      </c>
      <c r="L17" s="7" t="inlineStr">
        <is>
          <t>Proposition: Historic conciliar/confessional Christianity commonly affirms one divine essence/nature shared by Father, Son, and Spirit.
Historic example: Nicene Creed; Augsburg Confession I; Westminster Shorter Catechism Q4–6
LDS example: Gospel Topics: Godhead
Relationship to counted predicates: H56 is the nearest counted delimiter and remains Q
Teaching use: Explain why the dataset is not a complete Trinity census.
Caution: Do not reduce all Christian Trinitarian traditions to one philosophical theory.</t>
        </is>
      </c>
      <c r="M17" s="7" t="inlineStr">
        <is>
          <t>Quantitative status = NOT COUNTED.</t>
        </is>
      </c>
      <c r="N17" s="7" t="inlineStr">
        <is>
          <t>Required before the learner-facing Trinity/Godhead context panel is author-approved.</t>
        </is>
      </c>
      <c r="O17" s="7" t="inlineStr">
        <is>
          <t>APPROVE AS WRITTEN</t>
        </is>
      </c>
      <c r="P17" s="7" t="inlineStr">
        <is>
          <t>REVISE proposition/teaching/caution — enter complete replacement in Custom Response</t>
        </is>
      </c>
      <c r="Q17" s="7" t="inlineStr">
        <is>
          <t>APPROVE proposition but REVISE caution — enter replacement caution in Custom Response</t>
        </is>
      </c>
      <c r="R17" s="7" t="inlineStr">
        <is>
          <t>HOLD — more theological/source review required</t>
        </is>
      </c>
      <c r="S17" s="7" t="inlineStr">
        <is>
          <t>OPTION 2 | OPTION 3</t>
        </is>
      </c>
      <c r="T17" s="17">
        <f>'Author Response Entry'!$D$17</f>
        <v/>
      </c>
      <c r="U17" s="18">
        <f>'Author Response Entry'!$E$17</f>
        <v/>
      </c>
      <c r="V17" s="18">
        <f>'Author Response Entry'!$F$17</f>
        <v/>
      </c>
      <c r="W17" s="18">
        <f>'Author Response Entry'!$G$17</f>
        <v/>
      </c>
      <c r="X17" s="19">
        <f>'Author Response Entry'!$H$17</f>
        <v/>
      </c>
      <c r="Y17" s="18">
        <f>IF(T17="","",IF(T17="CUSTOM RESPONSE",U17,IF(T17="HOLD — NEEDS RESEARCH",IF(U17&lt;&gt;"",U17,"HOLD — NEEDS RESEARCH"),IF(T17="DEFER — NOT YET",IF(U17&lt;&gt;"",U17,"DEFER — NOT YET"),IF(T17="OPTION 1",O17,IF(T17="OPTION 2",U17,IF(T17="OPTION 3",U17,IF(T17="OPTION 4",R17,""))))))))</f>
        <v/>
      </c>
      <c r="Z17" s="18">
        <f>IF(T17="","OPEN",IF(T17="CUSTOM RESPONSE",IF(U17="","OPEN — CUSTOM TEXT REQUIRED",IF(W17="","RESOLVED — ADD INITIALS/DATE",IF(X17="","RESOLVED — ADD INITIALS/DATE","RESOLVED"))),IF(T17="HOLD — NEEDS RESEARCH",IF(W17="","HOLD — ADD INITIALS/DATE",IF(X17="","HOLD — ADD INITIALS/DATE","HOLD")),IF(T17="DEFER — NOT YET",IF(W17="","DEFERRED — ADD INITIALS/DATE",IF(X17="","DEFERRED — ADD INITIALS/DATE","DEFERRED")),IF(T17="OPTION 1",IF(W17="","RESOLVED — ADD INITIALS/DATE",IF(X17="","RESOLVED — ADD INITIALS/DATE","RESOLVED")),IF(T17="OPTION 2",IF(U17="","OPEN — CUSTOM TEXT REQUIRED",IF(W17="","RESOLVED — ADD INITIALS/DATE",IF(X17="","RESOLVED — ADD INITIALS/DATE","RESOLVED"))),IF(T17="OPTION 3",IF(U17="","OPEN — CUSTOM TEXT REQUIRED",IF(W17="","RESOLVED — ADD INITIALS/DATE",IF(X17="","RESOLVED — ADD INITIALS/DATE","RESOLVED"))),IF(T17="OPTION 4",IF(W17="","HOLD — ADD INITIALS/DATE",IF(X17="","HOLD — ADD INITIALS/DATE","HOLD")),IF(W17="","RESOLVED — ADD INITIALS/DATE",IF(X17="","RESOLVED — ADD INITIALS/DATE","RESOLVED"))))))))))</f>
        <v/>
      </c>
      <c r="AA17" s="18" t="inlineStr">
        <is>
          <t>YES</t>
        </is>
      </c>
      <c r="AB17" s="18" t="inlineStr">
        <is>
          <t>Apply author wording only; preserve NOT COUNTED status and source fields unless explicitly changed.</t>
        </is>
      </c>
      <c r="AC17" s="18" t="inlineStr">
        <is>
          <t>Godhead Context</t>
        </is>
      </c>
      <c r="AD17" s="18" t="inlineStr">
        <is>
          <t>https://www.churchofjesuschrist.org/study/manual/gospel-topics/godhead?lang=eng</t>
        </is>
      </c>
      <c r="AE17" s="18" t="inlineStr">
        <is>
          <t>Do not reduce all Christian Trinitarian traditions to one philosophical theory.</t>
        </is>
      </c>
      <c r="AF17" s="18">
        <f>IF(F17&lt;&gt;"READY","NO",IF(Z17="OPEN","YES",IF(Z17="OPEN — CUSTOM TEXT REQUIRED","YES",IF(Z17="RESOLVED — ADD INITIALS/DATE","YES",IF(Z17="HOLD — ADD INITIALS/DATE","YES",IF(Z17="DEFERRED — ADD INITIALS/DATE","YES","NO"))))))</f>
        <v/>
      </c>
      <c r="AG17" s="18">
        <f>IF(AF17&lt;&gt;"YES","",IF(A17=IFERROR(MATCH("YES",$AF$2:$AF$105,0),0),"CURRENT",""))</f>
        <v/>
      </c>
      <c r="AH17" s="20">
        <f>IF(COUNTIF($B$2:$B$105,B17)&gt;1,"DUPLICATE","")</f>
        <v/>
      </c>
    </row>
    <row r="18">
      <c r="A18" s="7" t="n">
        <v>17</v>
      </c>
      <c r="B18" s="7" t="inlineStr">
        <is>
          <t>AUTH-GOD-03</t>
        </is>
      </c>
      <c r="C18" s="7" t="inlineStr">
        <is>
          <t>G5 — Godhead Context wording</t>
        </is>
      </c>
      <c r="D18" s="7" t="inlineStr">
        <is>
          <t>Godhead Context</t>
        </is>
      </c>
      <c r="E18" s="7" t="inlineStr">
        <is>
          <t>MEDIUM</t>
        </is>
      </c>
      <c r="F18" s="7" t="inlineStr">
        <is>
          <t>READY</t>
        </is>
      </c>
      <c r="G18" s="7" t="inlineStr">
        <is>
          <t>Godhead Context</t>
        </is>
      </c>
      <c r="H18" s="7" t="inlineStr">
        <is>
          <t>GOD-03</t>
        </is>
      </c>
      <c r="I18" s="7" t="inlineStr">
        <is>
          <t>A8:J8</t>
        </is>
      </c>
      <c r="J18" s="7" t="inlineStr">
        <is>
          <t>Review GOD-03 learner-facing Godhead Context wording</t>
        </is>
      </c>
      <c r="K18" s="7" t="inlineStr">
        <is>
          <t>Approve the proposition, teaching use, and caution for GOD-03?</t>
        </is>
      </c>
      <c r="L18" s="7" t="inlineStr">
        <is>
          <t>Proposition: Restoration teaching distinguishes the Father, Son, and Holy Ghost personally and gives a distinctive embodied/personage account.
Historic example: Contextual contrast, not an inherited predicate row
LDS example: D&amp;C 130:22; Gospel Topics: Godhead
Relationship to counted predicates: Related to H41–H43, H56, A01–A03
Teaching use: Connect Godhead structure to embodiment and unity without denominator drift.
Caution: This panel is explanatory; it does not create a new A/Q/D row.</t>
        </is>
      </c>
      <c r="M18" s="7" t="inlineStr">
        <is>
          <t>Quantitative status = NOT COUNTED.</t>
        </is>
      </c>
      <c r="N18" s="7" t="inlineStr">
        <is>
          <t>Required before the learner-facing Trinity/Godhead context panel is author-approved.</t>
        </is>
      </c>
      <c r="O18" s="7" t="inlineStr">
        <is>
          <t>APPROVE AS WRITTEN</t>
        </is>
      </c>
      <c r="P18" s="7" t="inlineStr">
        <is>
          <t>REVISE proposition/teaching/caution — enter complete replacement in Custom Response</t>
        </is>
      </c>
      <c r="Q18" s="7" t="inlineStr">
        <is>
          <t>APPROVE proposition but REVISE caution — enter replacement caution in Custom Response</t>
        </is>
      </c>
      <c r="R18" s="7" t="inlineStr">
        <is>
          <t>HOLD — more theological/source review required</t>
        </is>
      </c>
      <c r="S18" s="7" t="inlineStr">
        <is>
          <t>OPTION 2 | OPTION 3</t>
        </is>
      </c>
      <c r="T18" s="17">
        <f>'Author Response Entry'!$D$18</f>
        <v/>
      </c>
      <c r="U18" s="18">
        <f>'Author Response Entry'!$E$18</f>
        <v/>
      </c>
      <c r="V18" s="18">
        <f>'Author Response Entry'!$F$18</f>
        <v/>
      </c>
      <c r="W18" s="18">
        <f>'Author Response Entry'!$G$18</f>
        <v/>
      </c>
      <c r="X18" s="19">
        <f>'Author Response Entry'!$H$18</f>
        <v/>
      </c>
      <c r="Y18" s="18">
        <f>IF(T18="","",IF(T18="CUSTOM RESPONSE",U18,IF(T18="HOLD — NEEDS RESEARCH",IF(U18&lt;&gt;"",U18,"HOLD — NEEDS RESEARCH"),IF(T18="DEFER — NOT YET",IF(U18&lt;&gt;"",U18,"DEFER — NOT YET"),IF(T18="OPTION 1",O18,IF(T18="OPTION 2",U18,IF(T18="OPTION 3",U18,IF(T18="OPTION 4",R18,""))))))))</f>
        <v/>
      </c>
      <c r="Z18" s="18">
        <f>IF(T18="","OPEN",IF(T18="CUSTOM RESPONSE",IF(U18="","OPEN — CUSTOM TEXT REQUIRED",IF(W18="","RESOLVED — ADD INITIALS/DATE",IF(X18="","RESOLVED — ADD INITIALS/DATE","RESOLVED"))),IF(T18="HOLD — NEEDS RESEARCH",IF(W18="","HOLD — ADD INITIALS/DATE",IF(X18="","HOLD — ADD INITIALS/DATE","HOLD")),IF(T18="DEFER — NOT YET",IF(W18="","DEFERRED — ADD INITIALS/DATE",IF(X18="","DEFERRED — ADD INITIALS/DATE","DEFERRED")),IF(T18="OPTION 1",IF(W18="","RESOLVED — ADD INITIALS/DATE",IF(X18="","RESOLVED — ADD INITIALS/DATE","RESOLVED")),IF(T18="OPTION 2",IF(U18="","OPEN — CUSTOM TEXT REQUIRED",IF(W18="","RESOLVED — ADD INITIALS/DATE",IF(X18="","RESOLVED — ADD INITIALS/DATE","RESOLVED"))),IF(T18="OPTION 3",IF(U18="","OPEN — CUSTOM TEXT REQUIRED",IF(W18="","RESOLVED — ADD INITIALS/DATE",IF(X18="","RESOLVED — ADD INITIALS/DATE","RESOLVED"))),IF(T18="OPTION 4",IF(W18="","HOLD — ADD INITIALS/DATE",IF(X18="","HOLD — ADD INITIALS/DATE","HOLD")),IF(W18="","RESOLVED — ADD INITIALS/DATE",IF(X18="","RESOLVED — ADD INITIALS/DATE","RESOLVED"))))))))))</f>
        <v/>
      </c>
      <c r="AA18" s="18" t="inlineStr">
        <is>
          <t>YES</t>
        </is>
      </c>
      <c r="AB18" s="18" t="inlineStr">
        <is>
          <t>Apply author wording only; preserve NOT COUNTED status and source fields unless explicitly changed.</t>
        </is>
      </c>
      <c r="AC18" s="18" t="inlineStr">
        <is>
          <t>Godhead Context</t>
        </is>
      </c>
      <c r="AD18" s="18" t="inlineStr">
        <is>
          <t>https://www.churchofjesuschrist.org/study/scriptures/dc-testament/dc/130?lang=eng&amp;id=p22#p22</t>
        </is>
      </c>
      <c r="AE18" s="18" t="inlineStr">
        <is>
          <t>This panel is explanatory; it does not create a new A/Q/D row.</t>
        </is>
      </c>
      <c r="AF18" s="18">
        <f>IF(F18&lt;&gt;"READY","NO",IF(Z18="OPEN","YES",IF(Z18="OPEN — CUSTOM TEXT REQUIRED","YES",IF(Z18="RESOLVED — ADD INITIALS/DATE","YES",IF(Z18="HOLD — ADD INITIALS/DATE","YES",IF(Z18="DEFERRED — ADD INITIALS/DATE","YES","NO"))))))</f>
        <v/>
      </c>
      <c r="AG18" s="18">
        <f>IF(AF18&lt;&gt;"YES","",IF(A18=IFERROR(MATCH("YES",$AF$2:$AF$105,0),0),"CURRENT",""))</f>
        <v/>
      </c>
      <c r="AH18" s="20">
        <f>IF(COUNTIF($B$2:$B$105,B18)&gt;1,"DUPLICATE","")</f>
        <v/>
      </c>
    </row>
    <row r="19">
      <c r="A19" s="7" t="n">
        <v>18</v>
      </c>
      <c r="B19" s="7" t="inlineStr">
        <is>
          <t>AUTH-GOD-04</t>
        </is>
      </c>
      <c r="C19" s="7" t="inlineStr">
        <is>
          <t>G5 — Godhead Context wording</t>
        </is>
      </c>
      <c r="D19" s="7" t="inlineStr">
        <is>
          <t>Godhead Context</t>
        </is>
      </c>
      <c r="E19" s="7" t="inlineStr">
        <is>
          <t>MEDIUM</t>
        </is>
      </c>
      <c r="F19" s="7" t="inlineStr">
        <is>
          <t>READY</t>
        </is>
      </c>
      <c r="G19" s="7" t="inlineStr">
        <is>
          <t>Godhead Context</t>
        </is>
      </c>
      <c r="H19" s="7" t="inlineStr">
        <is>
          <t>GOD-04</t>
        </is>
      </c>
      <c r="I19" s="7" t="inlineStr">
        <is>
          <t>A9:J9</t>
        </is>
      </c>
      <c r="J19" s="7" t="inlineStr">
        <is>
          <t>Review GOD-04 learner-facing Godhead Context wording</t>
        </is>
      </c>
      <c r="K19" s="7" t="inlineStr">
        <is>
          <t>Approve the proposition, teaching use, and caution for GOD-04?</t>
        </is>
      </c>
      <c r="L19" s="7" t="inlineStr">
        <is>
          <t>Proposition: Unity and distinction are shared concerns even where the metaphysical account differs.
Historic example: Historic Trinity language guards both distinction and unity.
LDS example: Gospel Topics: Godhead
Relationship to counted predicates: H56 Neither confounding nor dividing = Q
Teaching use: Teach 'unity of faith' without pretending doctrinal conformity.
Caution: The exact meaning of divine unity must be stated tradition by tradition.</t>
        </is>
      </c>
      <c r="M19" s="7" t="inlineStr">
        <is>
          <t>Quantitative status = NOT COUNTED.</t>
        </is>
      </c>
      <c r="N19" s="7" t="inlineStr">
        <is>
          <t>Required before the learner-facing Trinity/Godhead context panel is author-approved.</t>
        </is>
      </c>
      <c r="O19" s="7" t="inlineStr">
        <is>
          <t>APPROVE AS WRITTEN</t>
        </is>
      </c>
      <c r="P19" s="7" t="inlineStr">
        <is>
          <t>REVISE proposition/teaching/caution — enter complete replacement in Custom Response</t>
        </is>
      </c>
      <c r="Q19" s="7" t="inlineStr">
        <is>
          <t>APPROVE proposition but REVISE caution — enter replacement caution in Custom Response</t>
        </is>
      </c>
      <c r="R19" s="7" t="inlineStr">
        <is>
          <t>HOLD — more theological/source review required</t>
        </is>
      </c>
      <c r="S19" s="7" t="inlineStr">
        <is>
          <t>OPTION 2 | OPTION 3</t>
        </is>
      </c>
      <c r="T19" s="17">
        <f>'Author Response Entry'!$D$19</f>
        <v/>
      </c>
      <c r="U19" s="18">
        <f>'Author Response Entry'!$E$19</f>
        <v/>
      </c>
      <c r="V19" s="18">
        <f>'Author Response Entry'!$F$19</f>
        <v/>
      </c>
      <c r="W19" s="18">
        <f>'Author Response Entry'!$G$19</f>
        <v/>
      </c>
      <c r="X19" s="19">
        <f>'Author Response Entry'!$H$19</f>
        <v/>
      </c>
      <c r="Y19" s="18">
        <f>IF(T19="","",IF(T19="CUSTOM RESPONSE",U19,IF(T19="HOLD — NEEDS RESEARCH",IF(U19&lt;&gt;"",U19,"HOLD — NEEDS RESEARCH"),IF(T19="DEFER — NOT YET",IF(U19&lt;&gt;"",U19,"DEFER — NOT YET"),IF(T19="OPTION 1",O19,IF(T19="OPTION 2",U19,IF(T19="OPTION 3",U19,IF(T19="OPTION 4",R19,""))))))))</f>
        <v/>
      </c>
      <c r="Z19" s="18">
        <f>IF(T19="","OPEN",IF(T19="CUSTOM RESPONSE",IF(U19="","OPEN — CUSTOM TEXT REQUIRED",IF(W19="","RESOLVED — ADD INITIALS/DATE",IF(X19="","RESOLVED — ADD INITIALS/DATE","RESOLVED"))),IF(T19="HOLD — NEEDS RESEARCH",IF(W19="","HOLD — ADD INITIALS/DATE",IF(X19="","HOLD — ADD INITIALS/DATE","HOLD")),IF(T19="DEFER — NOT YET",IF(W19="","DEFERRED — ADD INITIALS/DATE",IF(X19="","DEFERRED — ADD INITIALS/DATE","DEFERRED")),IF(T19="OPTION 1",IF(W19="","RESOLVED — ADD INITIALS/DATE",IF(X19="","RESOLVED — ADD INITIALS/DATE","RESOLVED")),IF(T19="OPTION 2",IF(U19="","OPEN — CUSTOM TEXT REQUIRED",IF(W19="","RESOLVED — ADD INITIALS/DATE",IF(X19="","RESOLVED — ADD INITIALS/DATE","RESOLVED"))),IF(T19="OPTION 3",IF(U19="","OPEN — CUSTOM TEXT REQUIRED",IF(W19="","RESOLVED — ADD INITIALS/DATE",IF(X19="","RESOLVED — ADD INITIALS/DATE","RESOLVED"))),IF(T19="OPTION 4",IF(W19="","HOLD — ADD INITIALS/DATE",IF(X19="","HOLD — ADD INITIALS/DATE","HOLD")),IF(W19="","RESOLVED — ADD INITIALS/DATE",IF(X19="","RESOLVED — ADD INITIALS/DATE","RESOLVED"))))))))))</f>
        <v/>
      </c>
      <c r="AA19" s="18" t="inlineStr">
        <is>
          <t>YES</t>
        </is>
      </c>
      <c r="AB19" s="18" t="inlineStr">
        <is>
          <t>Apply author wording only; preserve NOT COUNTED status and source fields unless explicitly changed.</t>
        </is>
      </c>
      <c r="AC19" s="18" t="inlineStr">
        <is>
          <t>Godhead Context</t>
        </is>
      </c>
      <c r="AD19" s="18" t="inlineStr">
        <is>
          <t>https://www.churchofjesuschrist.org/study/manual/gospel-topics/godhead?lang=eng</t>
        </is>
      </c>
      <c r="AE19" s="18" t="inlineStr">
        <is>
          <t>The exact meaning of divine unity must be stated tradition by tradition.</t>
        </is>
      </c>
      <c r="AF19" s="18">
        <f>IF(F19&lt;&gt;"READY","NO",IF(Z19="OPEN","YES",IF(Z19="OPEN — CUSTOM TEXT REQUIRED","YES",IF(Z19="RESOLVED — ADD INITIALS/DATE","YES",IF(Z19="HOLD — ADD INITIALS/DATE","YES",IF(Z19="DEFERRED — ADD INITIALS/DATE","YES","NO"))))))</f>
        <v/>
      </c>
      <c r="AG19" s="18">
        <f>IF(AF19&lt;&gt;"YES","",IF(A19=IFERROR(MATCH("YES",$AF$2:$AF$105,0),0),"CURRENT",""))</f>
        <v/>
      </c>
      <c r="AH19" s="20">
        <f>IF(COUNTIF($B$2:$B$105,B19)&gt;1,"DUPLICATE","")</f>
        <v/>
      </c>
    </row>
    <row r="20">
      <c r="A20" s="7" t="n">
        <v>19</v>
      </c>
      <c r="B20" s="7" t="inlineStr">
        <is>
          <t>AUTH-RAT-RNR-H01</t>
        </is>
      </c>
      <c r="C20" s="7" t="inlineStr">
        <is>
          <t>G6 — Row Ratification</t>
        </is>
      </c>
      <c r="D20" s="7" t="inlineStr">
        <is>
          <t>Predicate/addition wording</t>
        </is>
      </c>
      <c r="E20" s="7" t="inlineStr">
        <is>
          <t>HIGH</t>
        </is>
      </c>
      <c r="F20" s="7" t="inlineStr">
        <is>
          <t>READY</t>
        </is>
      </c>
      <c r="G20" s="7" t="inlineStr">
        <is>
          <t>Row Ratification</t>
        </is>
      </c>
      <c r="H20" s="7" t="inlineStr">
        <is>
          <t>RNR-H01</t>
        </is>
      </c>
      <c r="I20" s="7" t="inlineStr">
        <is>
          <t>A6:N6</t>
        </is>
      </c>
      <c r="J20" s="7" t="inlineStr">
        <is>
          <t>Ratify RNR-H01: Living</t>
        </is>
      </c>
      <c r="K20" s="7" t="inlineStr">
        <is>
          <t>Is this public/ministry wording accurate, appropriately scoped, and fair enough to approve?</t>
        </is>
      </c>
      <c r="L20" s="7" t="inlineStr">
        <is>
          <t>Corpus: Inherited 57
Family/domain: Divine identity &amp; relation
Public summary: Living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0" s="7" t="inlineStr">
        <is>
          <t>Author decision = PENDING.</t>
        </is>
      </c>
      <c r="N20" s="7" t="inlineStr">
        <is>
          <t>Blocks M1/M2 public row copy until the row is APPROVED, REVISED, or intentionally HELD.</t>
        </is>
      </c>
      <c r="O20" s="7" t="inlineStr">
        <is>
          <t>APPROVE AS WRITTEN</t>
        </is>
      </c>
      <c r="P20" s="7" t="inlineStr">
        <is>
          <t>REVISE — enter complete replacement wording/scope note in Custom Response</t>
        </is>
      </c>
      <c r="Q20" s="7" t="inlineStr">
        <is>
          <t>HOLD — research-code review required before wording approval</t>
        </is>
      </c>
      <c r="R20" s="7" t="inlineStr">
        <is>
          <t>HOLD — source/scope review required before wording approval</t>
        </is>
      </c>
      <c r="S20" s="7" t="inlineStr">
        <is>
          <t>OPTION 2</t>
        </is>
      </c>
      <c r="T20" s="17">
        <f>'Author Response Entry'!$D$20</f>
        <v/>
      </c>
      <c r="U20" s="18">
        <f>'Author Response Entry'!$E$20</f>
        <v/>
      </c>
      <c r="V20" s="18">
        <f>'Author Response Entry'!$F$20</f>
        <v/>
      </c>
      <c r="W20" s="18">
        <f>'Author Response Entry'!$G$20</f>
        <v/>
      </c>
      <c r="X20" s="19">
        <f>'Author Response Entry'!$H$20</f>
        <v/>
      </c>
      <c r="Y20" s="18">
        <f>IF(T20="","",IF(T20="CUSTOM RESPONSE",U20,IF(T20="HOLD — NEEDS RESEARCH",IF(U20&lt;&gt;"",U20,"HOLD — NEEDS RESEARCH"),IF(T20="DEFER — NOT YET",IF(U20&lt;&gt;"",U20,"DEFER — NOT YET"),IF(T20="OPTION 1",O20,IF(T20="OPTION 2",U20,IF(T20="OPTION 3",Q20,IF(T20="OPTION 4",R20,""))))))))</f>
        <v/>
      </c>
      <c r="Z20" s="18">
        <f>IF(T20="","OPEN",IF(T20="CUSTOM RESPONSE",IF(U20="","OPEN — CUSTOM TEXT REQUIRED",IF(W20="","RESOLVED — ADD INITIALS/DATE",IF(X20="","RESOLVED — ADD INITIALS/DATE","RESOLVED"))),IF(T20="HOLD — NEEDS RESEARCH",IF(W20="","HOLD — ADD INITIALS/DATE",IF(X20="","HOLD — ADD INITIALS/DATE","HOLD")),IF(T20="DEFER — NOT YET",IF(W20="","DEFERRED — ADD INITIALS/DATE",IF(X20="","DEFERRED — ADD INITIALS/DATE","DEFERRED")),IF(T20="OPTION 1",IF(W20="","RESOLVED — ADD INITIALS/DATE",IF(X20="","RESOLVED — ADD INITIALS/DATE","RESOLVED")),IF(T20="OPTION 2",IF(U20="","OPEN — CUSTOM TEXT REQUIRED",IF(W20="","RESOLVED — ADD INITIALS/DATE",IF(X20="","RESOLVED — ADD INITIALS/DATE","RESOLVED"))),IF(T20="OPTION 3",IF(W20="","HOLD — ADD INITIALS/DATE",IF(X20="","HOLD — ADD INITIALS/DATE","HOLD")),IF(T20="OPTION 4",IF(W20="","HOLD — ADD INITIALS/DATE",IF(X20="","HOLD — ADD INITIALS/DATE","HOLD")),IF(W20="","RESOLVED — ADD INITIALS/DATE",IF(X20="","RESOLVED — ADD INITIALS/DATE","RESOLVED"))))))))))</f>
        <v/>
      </c>
      <c r="AA20" s="18" t="inlineStr">
        <is>
          <t>YES</t>
        </is>
      </c>
      <c r="AB20" s="18" t="inlineStr">
        <is>
          <t>Next controlled merge propagates decision to Row Ratification K:N. A wording review must not silently recode A/Q/D or authority tier.</t>
        </is>
      </c>
      <c r="AC20" s="18" t="inlineStr">
        <is>
          <t>Inherited H01–H20 — identity &amp; positive attributes</t>
        </is>
      </c>
      <c r="AD20" s="18" t="n"/>
      <c r="AE20" s="18" t="inlineStr">
        <is>
          <t>Positive continuity at the controlling proposition floor.</t>
        </is>
      </c>
      <c r="AF20" s="18">
        <f>IF(F20&lt;&gt;"READY","NO",IF(Z20="OPEN","YES",IF(Z20="OPEN — CUSTOM TEXT REQUIRED","YES",IF(Z20="RESOLVED — ADD INITIALS/DATE","YES",IF(Z20="HOLD — ADD INITIALS/DATE","YES",IF(Z20="DEFERRED — ADD INITIALS/DATE","YES","NO"))))))</f>
        <v/>
      </c>
      <c r="AG20" s="18">
        <f>IF(AF20&lt;&gt;"YES","",IF(A20=IFERROR(MATCH("YES",$AF$2:$AF$105,0),0),"CURRENT",""))</f>
        <v/>
      </c>
      <c r="AH20" s="20">
        <f>IF(COUNTIF($B$2:$B$105,B20)&gt;1,"DUPLICATE","")</f>
        <v/>
      </c>
    </row>
    <row r="21" ht="15.75" customHeight="1" s="29">
      <c r="A21" s="7" t="n">
        <v>20</v>
      </c>
      <c r="B21" s="7" t="inlineStr">
        <is>
          <t>AUTH-RAT-RNR-H02</t>
        </is>
      </c>
      <c r="C21" s="7" t="inlineStr">
        <is>
          <t>G6 — Row Ratification</t>
        </is>
      </c>
      <c r="D21" s="7" t="inlineStr">
        <is>
          <t>Predicate/addition wording</t>
        </is>
      </c>
      <c r="E21" s="7" t="inlineStr">
        <is>
          <t>HIGH</t>
        </is>
      </c>
      <c r="F21" s="7" t="inlineStr">
        <is>
          <t>READY</t>
        </is>
      </c>
      <c r="G21" s="7" t="inlineStr">
        <is>
          <t>Row Ratification</t>
        </is>
      </c>
      <c r="H21" s="7" t="inlineStr">
        <is>
          <t>RNR-H02</t>
        </is>
      </c>
      <c r="I21" s="7" t="inlineStr">
        <is>
          <t>A7:N7</t>
        </is>
      </c>
      <c r="J21" s="7" t="inlineStr">
        <is>
          <t>Ratify RNR-H02: True</t>
        </is>
      </c>
      <c r="K21" s="7" t="inlineStr">
        <is>
          <t>Is this public/ministry wording accurate, appropriately scoped, and fair enough to approve?</t>
        </is>
      </c>
      <c r="L21" s="7" t="inlineStr">
        <is>
          <t>Corpus: Inherited 57
Family/domain: Divine identity &amp; relation
Public summary: True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1" s="7" t="inlineStr">
        <is>
          <t>Author decision = PENDING.</t>
        </is>
      </c>
      <c r="N21" s="7" t="inlineStr">
        <is>
          <t>Blocks M1/M2 public row copy until the row is APPROVED, REVISED, or intentionally HELD.</t>
        </is>
      </c>
      <c r="O21" s="7" t="inlineStr">
        <is>
          <t>APPROVE AS WRITTEN</t>
        </is>
      </c>
      <c r="P21" s="7" t="inlineStr">
        <is>
          <t>REVISE — enter complete replacement wording/scope note in Custom Response</t>
        </is>
      </c>
      <c r="Q21" s="7" t="inlineStr">
        <is>
          <t>HOLD — research-code review required before wording approval</t>
        </is>
      </c>
      <c r="R21" s="7" t="inlineStr">
        <is>
          <t>HOLD — source/scope review required before wording approval</t>
        </is>
      </c>
      <c r="S21" s="7" t="inlineStr">
        <is>
          <t>OPTION 2</t>
        </is>
      </c>
      <c r="T21" s="17">
        <f>'Author Response Entry'!$D$21</f>
        <v/>
      </c>
      <c r="U21" s="18">
        <f>'Author Response Entry'!$E$21</f>
        <v/>
      </c>
      <c r="V21" s="18">
        <f>'Author Response Entry'!$F$21</f>
        <v/>
      </c>
      <c r="W21" s="18">
        <f>'Author Response Entry'!$G$21</f>
        <v/>
      </c>
      <c r="X21" s="19">
        <f>'Author Response Entry'!$H$21</f>
        <v/>
      </c>
      <c r="Y21" s="18">
        <f>IF(T21="","",IF(T21="CUSTOM RESPONSE",U21,IF(T21="HOLD — NEEDS RESEARCH",IF(U21&lt;&gt;"",U21,"HOLD — NEEDS RESEARCH"),IF(T21="DEFER — NOT YET",IF(U21&lt;&gt;"",U21,"DEFER — NOT YET"),IF(T21="OPTION 1",O21,IF(T21="OPTION 2",U21,IF(T21="OPTION 3",Q21,IF(T21="OPTION 4",R21,""))))))))</f>
        <v/>
      </c>
      <c r="Z21" s="18">
        <f>IF(T21="","OPEN",IF(T21="CUSTOM RESPONSE",IF(U21="","OPEN — CUSTOM TEXT REQUIRED",IF(W21="","RESOLVED — ADD INITIALS/DATE",IF(X21="","RESOLVED — ADD INITIALS/DATE","RESOLVED"))),IF(T21="HOLD — NEEDS RESEARCH",IF(W21="","HOLD — ADD INITIALS/DATE",IF(X21="","HOLD — ADD INITIALS/DATE","HOLD")),IF(T21="DEFER — NOT YET",IF(W21="","DEFERRED — ADD INITIALS/DATE",IF(X21="","DEFERRED — ADD INITIALS/DATE","DEFERRED")),IF(T21="OPTION 1",IF(W21="","RESOLVED — ADD INITIALS/DATE",IF(X21="","RESOLVED — ADD INITIALS/DATE","RESOLVED")),IF(T21="OPTION 2",IF(U21="","OPEN — CUSTOM TEXT REQUIRED",IF(W21="","RESOLVED — ADD INITIALS/DATE",IF(X21="","RESOLVED — ADD INITIALS/DATE","RESOLVED"))),IF(T21="OPTION 3",IF(W21="","HOLD — ADD INITIALS/DATE",IF(X21="","HOLD — ADD INITIALS/DATE","HOLD")),IF(T21="OPTION 4",IF(W21="","HOLD — ADD INITIALS/DATE",IF(X21="","HOLD — ADD INITIALS/DATE","HOLD")),IF(W21="","RESOLVED — ADD INITIALS/DATE",IF(X21="","RESOLVED — ADD INITIALS/DATE","RESOLVED"))))))))))</f>
        <v/>
      </c>
      <c r="AA21" s="18" t="inlineStr">
        <is>
          <t>YES</t>
        </is>
      </c>
      <c r="AB21" s="18" t="inlineStr">
        <is>
          <t>Next controlled merge propagates decision to Row Ratification K:N. A wording review must not silently recode A/Q/D or authority tier.</t>
        </is>
      </c>
      <c r="AC21" s="18" t="inlineStr">
        <is>
          <t>Inherited H01–H20 — identity &amp; positive attributes</t>
        </is>
      </c>
      <c r="AD21" s="18" t="n"/>
      <c r="AE21" s="18" t="inlineStr">
        <is>
          <t>Positive continuity at the controlling proposition floor.</t>
        </is>
      </c>
      <c r="AF21" s="18">
        <f>IF(F21&lt;&gt;"READY","NO",IF(Z21="OPEN","YES",IF(Z21="OPEN — CUSTOM TEXT REQUIRED","YES",IF(Z21="RESOLVED — ADD INITIALS/DATE","YES",IF(Z21="HOLD — ADD INITIALS/DATE","YES",IF(Z21="DEFERRED — ADD INITIALS/DATE","YES","NO"))))))</f>
        <v/>
      </c>
      <c r="AG21" s="18">
        <f>IF(AF21&lt;&gt;"YES","",IF(A21=IFERROR(MATCH("YES",$AF$2:$AF$105,0),0),"CURRENT",""))</f>
        <v/>
      </c>
      <c r="AH21" s="20">
        <f>IF(COUNTIF($B$2:$B$105,B21)&gt;1,"DUPLICATE","")</f>
        <v/>
      </c>
    </row>
    <row r="22" ht="15.75" customHeight="1" s="29">
      <c r="A22" s="7" t="n">
        <v>21</v>
      </c>
      <c r="B22" s="7" t="inlineStr">
        <is>
          <t>AUTH-RAT-RNR-H03</t>
        </is>
      </c>
      <c r="C22" s="7" t="inlineStr">
        <is>
          <t>G6 — Row Ratification</t>
        </is>
      </c>
      <c r="D22" s="7" t="inlineStr">
        <is>
          <t>Predicate/addition wording</t>
        </is>
      </c>
      <c r="E22" s="7" t="inlineStr">
        <is>
          <t>HIGH</t>
        </is>
      </c>
      <c r="F22" s="7" t="inlineStr">
        <is>
          <t>READY</t>
        </is>
      </c>
      <c r="G22" s="7" t="inlineStr">
        <is>
          <t>Row Ratification</t>
        </is>
      </c>
      <c r="H22" s="7" t="inlineStr">
        <is>
          <t>RNR-H03</t>
        </is>
      </c>
      <c r="I22" s="7" t="inlineStr">
        <is>
          <t>A8:N8</t>
        </is>
      </c>
      <c r="J22" s="7" t="inlineStr">
        <is>
          <t>Ratify RNR-H03: Spirit</t>
        </is>
      </c>
      <c r="K22" s="7" t="inlineStr">
        <is>
          <t>Is this public/ministry wording accurate, appropriately scoped, and fair enough to approve?</t>
        </is>
      </c>
      <c r="L22" s="7" t="inlineStr">
        <is>
          <t>Corpus: Inherited 57
Family/domain: Divine identity &amp; relation
Public summary: Spirit
Current code/tier: Q
Provenance: Count-constrained reconstruction
Source/pointer: See inherited source report / recovered institution ledgers
Locator/source note: Recurring Kataphatic Vocabulary table
Public scope caution: Shared spiritual language; Restoration materially redefines spirit as refined matter (D&amp;C 131:7–8).
Research status: RECONSTRUCTED — source-level/master-family recertification remains publication-critical</t>
        </is>
      </c>
      <c r="M22" s="7" t="inlineStr">
        <is>
          <t>Author decision = PENDING.</t>
        </is>
      </c>
      <c r="N22" s="7" t="inlineStr">
        <is>
          <t>Blocks M1/M2 public row copy until the row is APPROVED, REVISED, or intentionally HELD.</t>
        </is>
      </c>
      <c r="O22" s="7" t="inlineStr">
        <is>
          <t>APPROVE AS WRITTEN</t>
        </is>
      </c>
      <c r="P22" s="7" t="inlineStr">
        <is>
          <t>REVISE — enter complete replacement wording/scope note in Custom Response</t>
        </is>
      </c>
      <c r="Q22" s="7" t="inlineStr">
        <is>
          <t>HOLD — research-code review required before wording approval</t>
        </is>
      </c>
      <c r="R22" s="7" t="inlineStr">
        <is>
          <t>HOLD — source/scope review required before wording approval</t>
        </is>
      </c>
      <c r="S22" s="7" t="inlineStr">
        <is>
          <t>OPTION 2</t>
        </is>
      </c>
      <c r="T22" s="17">
        <f>'Author Response Entry'!$D$22</f>
        <v/>
      </c>
      <c r="U22" s="18">
        <f>'Author Response Entry'!$E$22</f>
        <v/>
      </c>
      <c r="V22" s="18">
        <f>'Author Response Entry'!$F$22</f>
        <v/>
      </c>
      <c r="W22" s="18">
        <f>'Author Response Entry'!$G$22</f>
        <v/>
      </c>
      <c r="X22" s="19">
        <f>'Author Response Entry'!$H$22</f>
        <v/>
      </c>
      <c r="Y22" s="18">
        <f>IF(T22="","",IF(T22="CUSTOM RESPONSE",U22,IF(T22="HOLD — NEEDS RESEARCH",IF(U22&lt;&gt;"",U22,"HOLD — NEEDS RESEARCH"),IF(T22="DEFER — NOT YET",IF(U22&lt;&gt;"",U22,"DEFER — NOT YET"),IF(T22="OPTION 1",O22,IF(T22="OPTION 2",U22,IF(T22="OPTION 3",Q22,IF(T22="OPTION 4",R22,""))))))))</f>
        <v/>
      </c>
      <c r="Z22" s="18">
        <f>IF(T22="","OPEN",IF(T22="CUSTOM RESPONSE",IF(U22="","OPEN — CUSTOM TEXT REQUIRED",IF(W22="","RESOLVED — ADD INITIALS/DATE",IF(X22="","RESOLVED — ADD INITIALS/DATE","RESOLVED"))),IF(T22="HOLD — NEEDS RESEARCH",IF(W22="","HOLD — ADD INITIALS/DATE",IF(X22="","HOLD — ADD INITIALS/DATE","HOLD")),IF(T22="DEFER — NOT YET",IF(W22="","DEFERRED — ADD INITIALS/DATE",IF(X22="","DEFERRED — ADD INITIALS/DATE","DEFERRED")),IF(T22="OPTION 1",IF(W22="","RESOLVED — ADD INITIALS/DATE",IF(X22="","RESOLVED — ADD INITIALS/DATE","RESOLVED")),IF(T22="OPTION 2",IF(U22="","OPEN — CUSTOM TEXT REQUIRED",IF(W22="","RESOLVED — ADD INITIALS/DATE",IF(X22="","RESOLVED — ADD INITIALS/DATE","RESOLVED"))),IF(T22="OPTION 3",IF(W22="","HOLD — ADD INITIALS/DATE",IF(X22="","HOLD — ADD INITIALS/DATE","HOLD")),IF(T22="OPTION 4",IF(W22="","HOLD — ADD INITIALS/DATE",IF(X22="","HOLD — ADD INITIALS/DATE","HOLD")),IF(W22="","RESOLVED — ADD INITIALS/DATE",IF(X22="","RESOLVED — ADD INITIALS/DATE","RESOLVED"))))))))))</f>
        <v/>
      </c>
      <c r="AA22" s="18" t="inlineStr">
        <is>
          <t>YES</t>
        </is>
      </c>
      <c r="AB22" s="18" t="inlineStr">
        <is>
          <t>Next controlled merge propagates decision to Row Ratification K:N. A wording review must not silently recode A/Q/D or authority tier.</t>
        </is>
      </c>
      <c r="AC22" s="18" t="inlineStr">
        <is>
          <t>Inherited H01–H20 — identity &amp; positive attributes</t>
        </is>
      </c>
      <c r="AD22" s="18" t="n"/>
      <c r="AE22" s="18" t="inlineStr">
        <is>
          <t>Shared spiritual language; Restoration materially redefines spirit as refined matter (D&amp;C 131:7–8).</t>
        </is>
      </c>
      <c r="AF22" s="18">
        <f>IF(F22&lt;&gt;"READY","NO",IF(Z22="OPEN","YES",IF(Z22="OPEN — CUSTOM TEXT REQUIRED","YES",IF(Z22="RESOLVED — ADD INITIALS/DATE","YES",IF(Z22="HOLD — ADD INITIALS/DATE","YES",IF(Z22="DEFERRED — ADD INITIALS/DATE","YES","NO"))))))</f>
        <v/>
      </c>
      <c r="AG22" s="18">
        <f>IF(AF22&lt;&gt;"YES","",IF(A22=IFERROR(MATCH("YES",$AF$2:$AF$105,0),0),"CURRENT",""))</f>
        <v/>
      </c>
      <c r="AH22" s="20">
        <f>IF(COUNTIF($B$2:$B$105,B22)&gt;1,"DUPLICATE","")</f>
        <v/>
      </c>
    </row>
    <row r="23" ht="15.75" customHeight="1" s="29">
      <c r="A23" s="7" t="n">
        <v>22</v>
      </c>
      <c r="B23" s="7" t="inlineStr">
        <is>
          <t>AUTH-RAT-RNR-H04</t>
        </is>
      </c>
      <c r="C23" s="7" t="inlineStr">
        <is>
          <t>G6 — Row Ratification</t>
        </is>
      </c>
      <c r="D23" s="7" t="inlineStr">
        <is>
          <t>Predicate/addition wording</t>
        </is>
      </c>
      <c r="E23" s="7" t="inlineStr">
        <is>
          <t>HIGH</t>
        </is>
      </c>
      <c r="F23" s="7" t="inlineStr">
        <is>
          <t>READY</t>
        </is>
      </c>
      <c r="G23" s="7" t="inlineStr">
        <is>
          <t>Row Ratification</t>
        </is>
      </c>
      <c r="H23" s="7" t="inlineStr">
        <is>
          <t>RNR-H04</t>
        </is>
      </c>
      <c r="I23" s="7" t="inlineStr">
        <is>
          <t>A9:N9</t>
        </is>
      </c>
      <c r="J23" s="7" t="inlineStr">
        <is>
          <t>Ratify RNR-H04: Father</t>
        </is>
      </c>
      <c r="K23" s="7" t="inlineStr">
        <is>
          <t>Is this public/ministry wording accurate, appropriately scoped, and fair enough to approve?</t>
        </is>
      </c>
      <c r="L23" s="7" t="inlineStr">
        <is>
          <t>Corpus: Inherited 57
Family/domain: Divine identity &amp; relation
Public summary: Father
Current code/tier: A
Provenance: Count-constrained reconstruction
Source/pointer: See inherited source report / recovered institution ledgers
Locator/source note: Recurring Kataphatic Vocabulary table
Public scope caution: Shared divine paternity/relational identity at the controlling floor.
Research status: RECONSTRUCTED — source-level/master-family recertification remains publication-critical</t>
        </is>
      </c>
      <c r="M23" s="7" t="inlineStr">
        <is>
          <t>Author decision = PENDING.</t>
        </is>
      </c>
      <c r="N23" s="7" t="inlineStr">
        <is>
          <t>Blocks M1/M2 public row copy until the row is APPROVED, REVISED, or intentionally HELD.</t>
        </is>
      </c>
      <c r="O23" s="7" t="inlineStr">
        <is>
          <t>APPROVE AS WRITTEN</t>
        </is>
      </c>
      <c r="P23" s="7" t="inlineStr">
        <is>
          <t>REVISE — enter complete replacement wording/scope note in Custom Response</t>
        </is>
      </c>
      <c r="Q23" s="7" t="inlineStr">
        <is>
          <t>HOLD — research-code review required before wording approval</t>
        </is>
      </c>
      <c r="R23" s="7" t="inlineStr">
        <is>
          <t>HOLD — source/scope review required before wording approval</t>
        </is>
      </c>
      <c r="S23" s="7" t="inlineStr">
        <is>
          <t>OPTION 2</t>
        </is>
      </c>
      <c r="T23" s="17">
        <f>'Author Response Entry'!$D$23</f>
        <v/>
      </c>
      <c r="U23" s="18">
        <f>'Author Response Entry'!$E$23</f>
        <v/>
      </c>
      <c r="V23" s="18">
        <f>'Author Response Entry'!$F$23</f>
        <v/>
      </c>
      <c r="W23" s="18">
        <f>'Author Response Entry'!$G$23</f>
        <v/>
      </c>
      <c r="X23" s="19">
        <f>'Author Response Entry'!$H$23</f>
        <v/>
      </c>
      <c r="Y23" s="18">
        <f>IF(T23="","",IF(T23="CUSTOM RESPONSE",U23,IF(T23="HOLD — NEEDS RESEARCH",IF(U23&lt;&gt;"",U23,"HOLD — NEEDS RESEARCH"),IF(T23="DEFER — NOT YET",IF(U23&lt;&gt;"",U23,"DEFER — NOT YET"),IF(T23="OPTION 1",O23,IF(T23="OPTION 2",U23,IF(T23="OPTION 3",Q23,IF(T23="OPTION 4",R23,""))))))))</f>
        <v/>
      </c>
      <c r="Z23" s="18">
        <f>IF(T23="","OPEN",IF(T23="CUSTOM RESPONSE",IF(U23="","OPEN — CUSTOM TEXT REQUIRED",IF(W23="","RESOLVED — ADD INITIALS/DATE",IF(X23="","RESOLVED — ADD INITIALS/DATE","RESOLVED"))),IF(T23="HOLD — NEEDS RESEARCH",IF(W23="","HOLD — ADD INITIALS/DATE",IF(X23="","HOLD — ADD INITIALS/DATE","HOLD")),IF(T23="DEFER — NOT YET",IF(W23="","DEFERRED — ADD INITIALS/DATE",IF(X23="","DEFERRED — ADD INITIALS/DATE","DEFERRED")),IF(T23="OPTION 1",IF(W23="","RESOLVED — ADD INITIALS/DATE",IF(X23="","RESOLVED — ADD INITIALS/DATE","RESOLVED")),IF(T23="OPTION 2",IF(U23="","OPEN — CUSTOM TEXT REQUIRED",IF(W23="","RESOLVED — ADD INITIALS/DATE",IF(X23="","RESOLVED — ADD INITIALS/DATE","RESOLVED"))),IF(T23="OPTION 3",IF(W23="","HOLD — ADD INITIALS/DATE",IF(X23="","HOLD — ADD INITIALS/DATE","HOLD")),IF(T23="OPTION 4",IF(W23="","HOLD — ADD INITIALS/DATE",IF(X23="","HOLD — ADD INITIALS/DATE","HOLD")),IF(W23="","RESOLVED — ADD INITIALS/DATE",IF(X23="","RESOLVED — ADD INITIALS/DATE","RESOLVED"))))))))))</f>
        <v/>
      </c>
      <c r="AA23" s="18" t="inlineStr">
        <is>
          <t>YES</t>
        </is>
      </c>
      <c r="AB23" s="18" t="inlineStr">
        <is>
          <t>Next controlled merge propagates decision to Row Ratification K:N. A wording review must not silently recode A/Q/D or authority tier.</t>
        </is>
      </c>
      <c r="AC23" s="18" t="inlineStr">
        <is>
          <t>Inherited H01–H20 — identity &amp; positive attributes</t>
        </is>
      </c>
      <c r="AD23" s="18" t="n"/>
      <c r="AE23" s="18" t="inlineStr">
        <is>
          <t>Shared divine paternity/relational identity at the controlling floor.</t>
        </is>
      </c>
      <c r="AF23" s="18">
        <f>IF(F23&lt;&gt;"READY","NO",IF(Z23="OPEN","YES",IF(Z23="OPEN — CUSTOM TEXT REQUIRED","YES",IF(Z23="RESOLVED — ADD INITIALS/DATE","YES",IF(Z23="HOLD — ADD INITIALS/DATE","YES",IF(Z23="DEFERRED — ADD INITIALS/DATE","YES","NO"))))))</f>
        <v/>
      </c>
      <c r="AG23" s="18">
        <f>IF(AF23&lt;&gt;"YES","",IF(A23=IFERROR(MATCH("YES",$AF$2:$AF$105,0),0),"CURRENT",""))</f>
        <v/>
      </c>
      <c r="AH23" s="20">
        <f>IF(COUNTIF($B$2:$B$105,B23)&gt;1,"DUPLICATE","")</f>
        <v/>
      </c>
    </row>
    <row r="24" ht="15.75" customHeight="1" s="29">
      <c r="A24" s="7" t="n">
        <v>23</v>
      </c>
      <c r="B24" s="7" t="inlineStr">
        <is>
          <t>AUTH-RAT-RNR-H05</t>
        </is>
      </c>
      <c r="C24" s="7" t="inlineStr">
        <is>
          <t>G6 — Row Ratification</t>
        </is>
      </c>
      <c r="D24" s="7" t="inlineStr">
        <is>
          <t>Predicate/addition wording</t>
        </is>
      </c>
      <c r="E24" s="7" t="inlineStr">
        <is>
          <t>HIGH</t>
        </is>
      </c>
      <c r="F24" s="7" t="inlineStr">
        <is>
          <t>READY</t>
        </is>
      </c>
      <c r="G24" s="7" t="inlineStr">
        <is>
          <t>Row Ratification</t>
        </is>
      </c>
      <c r="H24" s="7" t="inlineStr">
        <is>
          <t>RNR-H05</t>
        </is>
      </c>
      <c r="I24" s="7" t="inlineStr">
        <is>
          <t>A10:N10</t>
        </is>
      </c>
      <c r="J24" s="7" t="inlineStr">
        <is>
          <t>Ratify RNR-H05: Son</t>
        </is>
      </c>
      <c r="K24" s="7" t="inlineStr">
        <is>
          <t>Is this public/ministry wording accurate, appropriately scoped, and fair enough to approve?</t>
        </is>
      </c>
      <c r="L24" s="7" t="inlineStr">
        <is>
          <t>Corpus: Inherited 57
Family/domain: Divine identity &amp; relation
Public summary: Son
Current code/tier: A
Provenance: Count-constrained reconstruction
Source/pointer: See inherited source report / recovered institution ledgers
Locator/source note: Recurring Kataphatic Vocabulary table
Public scope caution: Shared filial identity/relationship controls A; thick Nicene metaphysical entailments are not imported automatically.
Research status: RECONSTRUCTED — source-level/master-family recertification remains publication-critical</t>
        </is>
      </c>
      <c r="M24" s="7" t="inlineStr">
        <is>
          <t>Author decision = PENDING.</t>
        </is>
      </c>
      <c r="N24" s="7" t="inlineStr">
        <is>
          <t>Blocks M1/M2 public row copy until the row is APPROVED, REVISED, or intentionally HELD.</t>
        </is>
      </c>
      <c r="O24" s="7" t="inlineStr">
        <is>
          <t>APPROVE AS WRITTEN</t>
        </is>
      </c>
      <c r="P24" s="7" t="inlineStr">
        <is>
          <t>REVISE — enter complete replacement wording/scope note in Custom Response</t>
        </is>
      </c>
      <c r="Q24" s="7" t="inlineStr">
        <is>
          <t>HOLD — research-code review required before wording approval</t>
        </is>
      </c>
      <c r="R24" s="7" t="inlineStr">
        <is>
          <t>HOLD — source/scope review required before wording approval</t>
        </is>
      </c>
      <c r="S24" s="7" t="inlineStr">
        <is>
          <t>OPTION 2</t>
        </is>
      </c>
      <c r="T24" s="17">
        <f>'Author Response Entry'!$D$24</f>
        <v/>
      </c>
      <c r="U24" s="18">
        <f>'Author Response Entry'!$E$24</f>
        <v/>
      </c>
      <c r="V24" s="18">
        <f>'Author Response Entry'!$F$24</f>
        <v/>
      </c>
      <c r="W24" s="18">
        <f>'Author Response Entry'!$G$24</f>
        <v/>
      </c>
      <c r="X24" s="19">
        <f>'Author Response Entry'!$H$24</f>
        <v/>
      </c>
      <c r="Y24" s="18">
        <f>IF(T24="","",IF(T24="CUSTOM RESPONSE",U24,IF(T24="HOLD — NEEDS RESEARCH",IF(U24&lt;&gt;"",U24,"HOLD — NEEDS RESEARCH"),IF(T24="DEFER — NOT YET",IF(U24&lt;&gt;"",U24,"DEFER — NOT YET"),IF(T24="OPTION 1",O24,IF(T24="OPTION 2",U24,IF(T24="OPTION 3",Q24,IF(T24="OPTION 4",R24,""))))))))</f>
        <v/>
      </c>
      <c r="Z24" s="18">
        <f>IF(T24="","OPEN",IF(T24="CUSTOM RESPONSE",IF(U24="","OPEN — CUSTOM TEXT REQUIRED",IF(W24="","RESOLVED — ADD INITIALS/DATE",IF(X24="","RESOLVED — ADD INITIALS/DATE","RESOLVED"))),IF(T24="HOLD — NEEDS RESEARCH",IF(W24="","HOLD — ADD INITIALS/DATE",IF(X24="","HOLD — ADD INITIALS/DATE","HOLD")),IF(T24="DEFER — NOT YET",IF(W24="","DEFERRED — ADD INITIALS/DATE",IF(X24="","DEFERRED — ADD INITIALS/DATE","DEFERRED")),IF(T24="OPTION 1",IF(W24="","RESOLVED — ADD INITIALS/DATE",IF(X24="","RESOLVED — ADD INITIALS/DATE","RESOLVED")),IF(T24="OPTION 2",IF(U24="","OPEN — CUSTOM TEXT REQUIRED",IF(W24="","RESOLVED — ADD INITIALS/DATE",IF(X24="","RESOLVED — ADD INITIALS/DATE","RESOLVED"))),IF(T24="OPTION 3",IF(W24="","HOLD — ADD INITIALS/DATE",IF(X24="","HOLD — ADD INITIALS/DATE","HOLD")),IF(T24="OPTION 4",IF(W24="","HOLD — ADD INITIALS/DATE",IF(X24="","HOLD — ADD INITIALS/DATE","HOLD")),IF(W24="","RESOLVED — ADD INITIALS/DATE",IF(X24="","RESOLVED — ADD INITIALS/DATE","RESOLVED"))))))))))</f>
        <v/>
      </c>
      <c r="AA24" s="18" t="inlineStr">
        <is>
          <t>YES</t>
        </is>
      </c>
      <c r="AB24" s="18" t="inlineStr">
        <is>
          <t>Next controlled merge propagates decision to Row Ratification K:N. A wording review must not silently recode A/Q/D or authority tier.</t>
        </is>
      </c>
      <c r="AC24" s="18" t="inlineStr">
        <is>
          <t>Inherited H01–H20 — identity &amp; positive attributes</t>
        </is>
      </c>
      <c r="AD24" s="18" t="n"/>
      <c r="AE24" s="18" t="inlineStr">
        <is>
          <t>Shared filial identity/relationship controls A; thick Nicene metaphysical entailments are not imported automatically.</t>
        </is>
      </c>
      <c r="AF24" s="18">
        <f>IF(F24&lt;&gt;"READY","NO",IF(Z24="OPEN","YES",IF(Z24="OPEN — CUSTOM TEXT REQUIRED","YES",IF(Z24="RESOLVED — ADD INITIALS/DATE","YES",IF(Z24="HOLD — ADD INITIALS/DATE","YES",IF(Z24="DEFERRED — ADD INITIALS/DATE","YES","NO"))))))</f>
        <v/>
      </c>
      <c r="AG24" s="18">
        <f>IF(AF24&lt;&gt;"YES","",IF(A24=IFERROR(MATCH("YES",$AF$2:$AF$105,0),0),"CURRENT",""))</f>
        <v/>
      </c>
      <c r="AH24" s="20">
        <f>IF(COUNTIF($B$2:$B$105,B24)&gt;1,"DUPLICATE","")</f>
        <v/>
      </c>
    </row>
    <row r="25" ht="15.75" customHeight="1" s="29">
      <c r="A25" s="7" t="n">
        <v>24</v>
      </c>
      <c r="B25" s="7" t="inlineStr">
        <is>
          <t>AUTH-RAT-RNR-H06</t>
        </is>
      </c>
      <c r="C25" s="7" t="inlineStr">
        <is>
          <t>G6 — Row Ratification</t>
        </is>
      </c>
      <c r="D25" s="7" t="inlineStr">
        <is>
          <t>Predicate/addition wording</t>
        </is>
      </c>
      <c r="E25" s="7" t="inlineStr">
        <is>
          <t>HIGH</t>
        </is>
      </c>
      <c r="F25" s="7" t="inlineStr">
        <is>
          <t>READY</t>
        </is>
      </c>
      <c r="G25" s="7" t="inlineStr">
        <is>
          <t>Row Ratification</t>
        </is>
      </c>
      <c r="H25" s="7" t="inlineStr">
        <is>
          <t>RNR-H06</t>
        </is>
      </c>
      <c r="I25" s="7" t="inlineStr">
        <is>
          <t>A11:N11</t>
        </is>
      </c>
      <c r="J25" s="7" t="inlineStr">
        <is>
          <t>Ratify RNR-H06: Lord</t>
        </is>
      </c>
      <c r="K25" s="7" t="inlineStr">
        <is>
          <t>Is this public/ministry wording accurate, appropriately scoped, and fair enough to approve?</t>
        </is>
      </c>
      <c r="L25" s="7" t="inlineStr">
        <is>
          <t>Corpus: Inherited 57
Family/domain: Divine identity &amp; relation
Public summary: Lord
Current code/tier: A
Provenance: Count-constrained reconstruction
Source/pointer: See inherited source report / recovered institution ledgers
Locator/source note: Recurring Kataphatic Vocabulary table
Public scope caution: Shared authority and lordship.
Research status: RECONSTRUCTED — source-level/master-family recertification remains publication-critical</t>
        </is>
      </c>
      <c r="M25" s="7" t="inlineStr">
        <is>
          <t>Author decision = PENDING.</t>
        </is>
      </c>
      <c r="N25" s="7" t="inlineStr">
        <is>
          <t>Blocks M1/M2 public row copy until the row is APPROVED, REVISED, or intentionally HELD.</t>
        </is>
      </c>
      <c r="O25" s="7" t="inlineStr">
        <is>
          <t>APPROVE AS WRITTEN</t>
        </is>
      </c>
      <c r="P25" s="7" t="inlineStr">
        <is>
          <t>REVISE — enter complete replacement wording/scope note in Custom Response</t>
        </is>
      </c>
      <c r="Q25" s="7" t="inlineStr">
        <is>
          <t>HOLD — research-code review required before wording approval</t>
        </is>
      </c>
      <c r="R25" s="7" t="inlineStr">
        <is>
          <t>HOLD — source/scope review required before wording approval</t>
        </is>
      </c>
      <c r="S25" s="7" t="inlineStr">
        <is>
          <t>OPTION 2</t>
        </is>
      </c>
      <c r="T25" s="17">
        <f>'Author Response Entry'!$D$25</f>
        <v/>
      </c>
      <c r="U25" s="18">
        <f>'Author Response Entry'!$E$25</f>
        <v/>
      </c>
      <c r="V25" s="18">
        <f>'Author Response Entry'!$F$25</f>
        <v/>
      </c>
      <c r="W25" s="18">
        <f>'Author Response Entry'!$G$25</f>
        <v/>
      </c>
      <c r="X25" s="19">
        <f>'Author Response Entry'!$H$25</f>
        <v/>
      </c>
      <c r="Y25" s="18">
        <f>IF(T25="","",IF(T25="CUSTOM RESPONSE",U25,IF(T25="HOLD — NEEDS RESEARCH",IF(U25&lt;&gt;"",U25,"HOLD — NEEDS RESEARCH"),IF(T25="DEFER — NOT YET",IF(U25&lt;&gt;"",U25,"DEFER — NOT YET"),IF(T25="OPTION 1",O25,IF(T25="OPTION 2",U25,IF(T25="OPTION 3",Q25,IF(T25="OPTION 4",R25,""))))))))</f>
        <v/>
      </c>
      <c r="Z25" s="18">
        <f>IF(T25="","OPEN",IF(T25="CUSTOM RESPONSE",IF(U25="","OPEN — CUSTOM TEXT REQUIRED",IF(W25="","RESOLVED — ADD INITIALS/DATE",IF(X25="","RESOLVED — ADD INITIALS/DATE","RESOLVED"))),IF(T25="HOLD — NEEDS RESEARCH",IF(W25="","HOLD — ADD INITIALS/DATE",IF(X25="","HOLD — ADD INITIALS/DATE","HOLD")),IF(T25="DEFER — NOT YET",IF(W25="","DEFERRED — ADD INITIALS/DATE",IF(X25="","DEFERRED — ADD INITIALS/DATE","DEFERRED")),IF(T25="OPTION 1",IF(W25="","RESOLVED — ADD INITIALS/DATE",IF(X25="","RESOLVED — ADD INITIALS/DATE","RESOLVED")),IF(T25="OPTION 2",IF(U25="","OPEN — CUSTOM TEXT REQUIRED",IF(W25="","RESOLVED — ADD INITIALS/DATE",IF(X25="","RESOLVED — ADD INITIALS/DATE","RESOLVED"))),IF(T25="OPTION 3",IF(W25="","HOLD — ADD INITIALS/DATE",IF(X25="","HOLD — ADD INITIALS/DATE","HOLD")),IF(T25="OPTION 4",IF(W25="","HOLD — ADD INITIALS/DATE",IF(X25="","HOLD — ADD INITIALS/DATE","HOLD")),IF(W25="","RESOLVED — ADD INITIALS/DATE",IF(X25="","RESOLVED — ADD INITIALS/DATE","RESOLVED"))))))))))</f>
        <v/>
      </c>
      <c r="AA25" s="18" t="inlineStr">
        <is>
          <t>YES</t>
        </is>
      </c>
      <c r="AB25" s="18" t="inlineStr">
        <is>
          <t>Next controlled merge propagates decision to Row Ratification K:N. A wording review must not silently recode A/Q/D or authority tier.</t>
        </is>
      </c>
      <c r="AC25" s="18" t="inlineStr">
        <is>
          <t>Inherited H01–H20 — identity &amp; positive attributes</t>
        </is>
      </c>
      <c r="AD25" s="18" t="n"/>
      <c r="AE25" s="18" t="inlineStr">
        <is>
          <t>Shared authority and lordship.</t>
        </is>
      </c>
      <c r="AF25" s="18">
        <f>IF(F25&lt;&gt;"READY","NO",IF(Z25="OPEN","YES",IF(Z25="OPEN — CUSTOM TEXT REQUIRED","YES",IF(Z25="RESOLVED — ADD INITIALS/DATE","YES",IF(Z25="HOLD — ADD INITIALS/DATE","YES",IF(Z25="DEFERRED — ADD INITIALS/DATE","YES","NO"))))))</f>
        <v/>
      </c>
      <c r="AG25" s="18">
        <f>IF(AF25&lt;&gt;"YES","",IF(A25=IFERROR(MATCH("YES",$AF$2:$AF$105,0),0),"CURRENT",""))</f>
        <v/>
      </c>
      <c r="AH25" s="20">
        <f>IF(COUNTIF($B$2:$B$105,B25)&gt;1,"DUPLICATE","")</f>
        <v/>
      </c>
    </row>
    <row r="26" ht="15.75" customHeight="1" s="29">
      <c r="A26" s="7" t="n">
        <v>25</v>
      </c>
      <c r="B26" s="7" t="inlineStr">
        <is>
          <t>AUTH-RAT-RNR-H07</t>
        </is>
      </c>
      <c r="C26" s="7" t="inlineStr">
        <is>
          <t>G6 — Row Ratification</t>
        </is>
      </c>
      <c r="D26" s="7" t="inlineStr">
        <is>
          <t>Predicate/addition wording</t>
        </is>
      </c>
      <c r="E26" s="7" t="inlineStr">
        <is>
          <t>HIGH</t>
        </is>
      </c>
      <c r="F26" s="7" t="inlineStr">
        <is>
          <t>READY</t>
        </is>
      </c>
      <c r="G26" s="7" t="inlineStr">
        <is>
          <t>Row Ratification</t>
        </is>
      </c>
      <c r="H26" s="7" t="inlineStr">
        <is>
          <t>RNR-H07</t>
        </is>
      </c>
      <c r="I26" s="7" t="inlineStr">
        <is>
          <t>A12:N12</t>
        </is>
      </c>
      <c r="J26" s="7" t="inlineStr">
        <is>
          <t>Ratify RNR-H07: Almighty / omnipotent</t>
        </is>
      </c>
      <c r="K26" s="7" t="inlineStr">
        <is>
          <t>Is this public/ministry wording accurate, appropriately scoped, and fair enough to approve?</t>
        </is>
      </c>
      <c r="L26" s="7" t="inlineStr">
        <is>
          <t>Corpus: Inherited 57
Family/domain: Power, wisdom, goodness &amp; holiness
Public summary: Almighty / omnipotent
Current code/tier: A
Provenance: Count-constrained reconstruction
Source/pointer: See inherited source report / recovered institution ledgers
Locator/source note: Recurring Kataphatic Vocabulary table
Public scope caution: Shared supreme divine power; absolute modal or creatio-ex-nihilo implications are not imported automatically.
Research status: RECONSTRUCTED — source-level/master-family recertification remains publication-critical</t>
        </is>
      </c>
      <c r="M26" s="7" t="inlineStr">
        <is>
          <t>Author decision = PENDING.</t>
        </is>
      </c>
      <c r="N26" s="7" t="inlineStr">
        <is>
          <t>Blocks M1/M2 public row copy until the row is APPROVED, REVISED, or intentionally HELD.</t>
        </is>
      </c>
      <c r="O26" s="7" t="inlineStr">
        <is>
          <t>APPROVE AS WRITTEN</t>
        </is>
      </c>
      <c r="P26" s="7" t="inlineStr">
        <is>
          <t>REVISE — enter complete replacement wording/scope note in Custom Response</t>
        </is>
      </c>
      <c r="Q26" s="7" t="inlineStr">
        <is>
          <t>HOLD — research-code review required before wording approval</t>
        </is>
      </c>
      <c r="R26" s="7" t="inlineStr">
        <is>
          <t>HOLD — source/scope review required before wording approval</t>
        </is>
      </c>
      <c r="S26" s="7" t="inlineStr">
        <is>
          <t>OPTION 2</t>
        </is>
      </c>
      <c r="T26" s="17">
        <f>'Author Response Entry'!$D$26</f>
        <v/>
      </c>
      <c r="U26" s="18">
        <f>'Author Response Entry'!$E$26</f>
        <v/>
      </c>
      <c r="V26" s="18">
        <f>'Author Response Entry'!$F$26</f>
        <v/>
      </c>
      <c r="W26" s="18">
        <f>'Author Response Entry'!$G$26</f>
        <v/>
      </c>
      <c r="X26" s="19">
        <f>'Author Response Entry'!$H$26</f>
        <v/>
      </c>
      <c r="Y26" s="18">
        <f>IF(T26="","",IF(T26="CUSTOM RESPONSE",U26,IF(T26="HOLD — NEEDS RESEARCH",IF(U26&lt;&gt;"",U26,"HOLD — NEEDS RESEARCH"),IF(T26="DEFER — NOT YET",IF(U26&lt;&gt;"",U26,"DEFER — NOT YET"),IF(T26="OPTION 1",O26,IF(T26="OPTION 2",U26,IF(T26="OPTION 3",Q26,IF(T26="OPTION 4",R26,""))))))))</f>
        <v/>
      </c>
      <c r="Z26" s="18">
        <f>IF(T26="","OPEN",IF(T26="CUSTOM RESPONSE",IF(U26="","OPEN — CUSTOM TEXT REQUIRED",IF(W26="","RESOLVED — ADD INITIALS/DATE",IF(X26="","RESOLVED — ADD INITIALS/DATE","RESOLVED"))),IF(T26="HOLD — NEEDS RESEARCH",IF(W26="","HOLD — ADD INITIALS/DATE",IF(X26="","HOLD — ADD INITIALS/DATE","HOLD")),IF(T26="DEFER — NOT YET",IF(W26="","DEFERRED — ADD INITIALS/DATE",IF(X26="","DEFERRED — ADD INITIALS/DATE","DEFERRED")),IF(T26="OPTION 1",IF(W26="","RESOLVED — ADD INITIALS/DATE",IF(X26="","RESOLVED — ADD INITIALS/DATE","RESOLVED")),IF(T26="OPTION 2",IF(U26="","OPEN — CUSTOM TEXT REQUIRED",IF(W26="","RESOLVED — ADD INITIALS/DATE",IF(X26="","RESOLVED — ADD INITIALS/DATE","RESOLVED"))),IF(T26="OPTION 3",IF(W26="","HOLD — ADD INITIALS/DATE",IF(X26="","HOLD — ADD INITIALS/DATE","HOLD")),IF(T26="OPTION 4",IF(W26="","HOLD — ADD INITIALS/DATE",IF(X26="","HOLD — ADD INITIALS/DATE","HOLD")),IF(W26="","RESOLVED — ADD INITIALS/DATE",IF(X26="","RESOLVED — ADD INITIALS/DATE","RESOLVED"))))))))))</f>
        <v/>
      </c>
      <c r="AA26" s="18" t="inlineStr">
        <is>
          <t>YES</t>
        </is>
      </c>
      <c r="AB26" s="18" t="inlineStr">
        <is>
          <t>Next controlled merge propagates decision to Row Ratification K:N. A wording review must not silently recode A/Q/D or authority tier.</t>
        </is>
      </c>
      <c r="AC26" s="18" t="inlineStr">
        <is>
          <t>Inherited H01–H20 — identity &amp; positive attributes</t>
        </is>
      </c>
      <c r="AD26" s="18" t="n"/>
      <c r="AE26" s="18" t="inlineStr">
        <is>
          <t>Shared supreme divine power; absolute modal or creatio-ex-nihilo implications are not imported automatically.</t>
        </is>
      </c>
      <c r="AF26" s="18">
        <f>IF(F26&lt;&gt;"READY","NO",IF(Z26="OPEN","YES",IF(Z26="OPEN — CUSTOM TEXT REQUIRED","YES",IF(Z26="RESOLVED — ADD INITIALS/DATE","YES",IF(Z26="HOLD — ADD INITIALS/DATE","YES",IF(Z26="DEFERRED — ADD INITIALS/DATE","YES","NO"))))))</f>
        <v/>
      </c>
      <c r="AG26" s="18">
        <f>IF(AF26&lt;&gt;"YES","",IF(A26=IFERROR(MATCH("YES",$AF$2:$AF$105,0),0),"CURRENT",""))</f>
        <v/>
      </c>
      <c r="AH26" s="20">
        <f>IF(COUNTIF($B$2:$B$105,B26)&gt;1,"DUPLICATE","")</f>
        <v/>
      </c>
    </row>
    <row r="27" ht="15.75" customHeight="1" s="29">
      <c r="A27" s="7" t="n">
        <v>26</v>
      </c>
      <c r="B27" s="7" t="inlineStr">
        <is>
          <t>AUTH-RAT-RNR-H08</t>
        </is>
      </c>
      <c r="C27" s="7" t="inlineStr">
        <is>
          <t>G6 — Row Ratification</t>
        </is>
      </c>
      <c r="D27" s="7" t="inlineStr">
        <is>
          <t>Predicate/addition wording</t>
        </is>
      </c>
      <c r="E27" s="7" t="inlineStr">
        <is>
          <t>HIGH</t>
        </is>
      </c>
      <c r="F27" s="7" t="inlineStr">
        <is>
          <t>READY</t>
        </is>
      </c>
      <c r="G27" s="7" t="inlineStr">
        <is>
          <t>Row Ratification</t>
        </is>
      </c>
      <c r="H27" s="7" t="inlineStr">
        <is>
          <t>RNR-H08</t>
        </is>
      </c>
      <c r="I27" s="7" t="inlineStr">
        <is>
          <t>A13:N13</t>
        </is>
      </c>
      <c r="J27" s="7" t="inlineStr">
        <is>
          <t>Ratify RNR-H08: Wise / all-wise</t>
        </is>
      </c>
      <c r="K27" s="7" t="inlineStr">
        <is>
          <t>Is this public/ministry wording accurate, appropriately scoped, and fair enough to approve?</t>
        </is>
      </c>
      <c r="L27" s="7" t="inlineStr">
        <is>
          <t>Corpus: Inherited 57
Family/domain: Power, wisdom, goodness &amp; holiness
Public summary: Wise / all-wise
Current code/tier: A
Provenance: Count-constrained reconstruction
Source/pointer: See inherited source report / recovered institution ledgers
Locator/source note: Recurring Kataphatic Vocabulary table
Public scope caution: Shared divine wisdom.
Research status: RECONSTRUCTED — source-level/master-family recertification remains publication-critical</t>
        </is>
      </c>
      <c r="M27" s="7" t="inlineStr">
        <is>
          <t>Author decision = PENDING.</t>
        </is>
      </c>
      <c r="N27" s="7" t="inlineStr">
        <is>
          <t>Blocks M1/M2 public row copy until the row is APPROVED, REVISED, or intentionally HELD.</t>
        </is>
      </c>
      <c r="O27" s="7" t="inlineStr">
        <is>
          <t>APPROVE AS WRITTEN</t>
        </is>
      </c>
      <c r="P27" s="7" t="inlineStr">
        <is>
          <t>REVISE — enter complete replacement wording/scope note in Custom Response</t>
        </is>
      </c>
      <c r="Q27" s="7" t="inlineStr">
        <is>
          <t>HOLD — research-code review required before wording approval</t>
        </is>
      </c>
      <c r="R27" s="7" t="inlineStr">
        <is>
          <t>HOLD — source/scope review required before wording approval</t>
        </is>
      </c>
      <c r="S27" s="7" t="inlineStr">
        <is>
          <t>OPTION 2</t>
        </is>
      </c>
      <c r="T27" s="17">
        <f>'Author Response Entry'!$D$27</f>
        <v/>
      </c>
      <c r="U27" s="18">
        <f>'Author Response Entry'!$E$27</f>
        <v/>
      </c>
      <c r="V27" s="18">
        <f>'Author Response Entry'!$F$27</f>
        <v/>
      </c>
      <c r="W27" s="18">
        <f>'Author Response Entry'!$G$27</f>
        <v/>
      </c>
      <c r="X27" s="19">
        <f>'Author Response Entry'!$H$27</f>
        <v/>
      </c>
      <c r="Y27" s="18">
        <f>IF(T27="","",IF(T27="CUSTOM RESPONSE",U27,IF(T27="HOLD — NEEDS RESEARCH",IF(U27&lt;&gt;"",U27,"HOLD — NEEDS RESEARCH"),IF(T27="DEFER — NOT YET",IF(U27&lt;&gt;"",U27,"DEFER — NOT YET"),IF(T27="OPTION 1",O27,IF(T27="OPTION 2",U27,IF(T27="OPTION 3",Q27,IF(T27="OPTION 4",R27,""))))))))</f>
        <v/>
      </c>
      <c r="Z27" s="18">
        <f>IF(T27="","OPEN",IF(T27="CUSTOM RESPONSE",IF(U27="","OPEN — CUSTOM TEXT REQUIRED",IF(W27="","RESOLVED — ADD INITIALS/DATE",IF(X27="","RESOLVED — ADD INITIALS/DATE","RESOLVED"))),IF(T27="HOLD — NEEDS RESEARCH",IF(W27="","HOLD — ADD INITIALS/DATE",IF(X27="","HOLD — ADD INITIALS/DATE","HOLD")),IF(T27="DEFER — NOT YET",IF(W27="","DEFERRED — ADD INITIALS/DATE",IF(X27="","DEFERRED — ADD INITIALS/DATE","DEFERRED")),IF(T27="OPTION 1",IF(W27="","RESOLVED — ADD INITIALS/DATE",IF(X27="","RESOLVED — ADD INITIALS/DATE","RESOLVED")),IF(T27="OPTION 2",IF(U27="","OPEN — CUSTOM TEXT REQUIRED",IF(W27="","RESOLVED — ADD INITIALS/DATE",IF(X27="","RESOLVED — ADD INITIALS/DATE","RESOLVED"))),IF(T27="OPTION 3",IF(W27="","HOLD — ADD INITIALS/DATE",IF(X27="","HOLD — ADD INITIALS/DATE","HOLD")),IF(T27="OPTION 4",IF(W27="","HOLD — ADD INITIALS/DATE",IF(X27="","HOLD — ADD INITIALS/DATE","HOLD")),IF(W27="","RESOLVED — ADD INITIALS/DATE",IF(X27="","RESOLVED — ADD INITIALS/DATE","RESOLVED"))))))))))</f>
        <v/>
      </c>
      <c r="AA27" s="18" t="inlineStr">
        <is>
          <t>YES</t>
        </is>
      </c>
      <c r="AB27" s="18" t="inlineStr">
        <is>
          <t>Next controlled merge propagates decision to Row Ratification K:N. A wording review must not silently recode A/Q/D or authority tier.</t>
        </is>
      </c>
      <c r="AC27" s="18" t="inlineStr">
        <is>
          <t>Inherited H01–H20 — identity &amp; positive attributes</t>
        </is>
      </c>
      <c r="AD27" s="18" t="n"/>
      <c r="AE27" s="18" t="inlineStr">
        <is>
          <t>Shared divine wisdom.</t>
        </is>
      </c>
      <c r="AF27" s="18">
        <f>IF(F27&lt;&gt;"READY","NO",IF(Z27="OPEN","YES",IF(Z27="OPEN — CUSTOM TEXT REQUIRED","YES",IF(Z27="RESOLVED — ADD INITIALS/DATE","YES",IF(Z27="HOLD — ADD INITIALS/DATE","YES",IF(Z27="DEFERRED — ADD INITIALS/DATE","YES","NO"))))))</f>
        <v/>
      </c>
      <c r="AG27" s="18">
        <f>IF(AF27&lt;&gt;"YES","",IF(A27=IFERROR(MATCH("YES",$AF$2:$AF$105,0),0),"CURRENT",""))</f>
        <v/>
      </c>
      <c r="AH27" s="20">
        <f>IF(COUNTIF($B$2:$B$105,B27)&gt;1,"DUPLICATE","")</f>
        <v/>
      </c>
    </row>
    <row r="28" ht="15.75" customHeight="1" s="29">
      <c r="A28" s="7" t="n">
        <v>27</v>
      </c>
      <c r="B28" s="7" t="inlineStr">
        <is>
          <t>AUTH-RAT-RNR-H09</t>
        </is>
      </c>
      <c r="C28" s="7" t="inlineStr">
        <is>
          <t>G6 — Row Ratification</t>
        </is>
      </c>
      <c r="D28" s="7" t="inlineStr">
        <is>
          <t>Predicate/addition wording</t>
        </is>
      </c>
      <c r="E28" s="7" t="inlineStr">
        <is>
          <t>HIGH</t>
        </is>
      </c>
      <c r="F28" s="7" t="inlineStr">
        <is>
          <t>READY</t>
        </is>
      </c>
      <c r="G28" s="7" t="inlineStr">
        <is>
          <t>Row Ratification</t>
        </is>
      </c>
      <c r="H28" s="7" t="inlineStr">
        <is>
          <t>RNR-H09</t>
        </is>
      </c>
      <c r="I28" s="7" t="inlineStr">
        <is>
          <t>A14:N14</t>
        </is>
      </c>
      <c r="J28" s="7" t="inlineStr">
        <is>
          <t>Ratify RNR-H09: Good</t>
        </is>
      </c>
      <c r="K28" s="7" t="inlineStr">
        <is>
          <t>Is this public/ministry wording accurate, appropriately scoped, and fair enough to approve?</t>
        </is>
      </c>
      <c r="L28" s="7" t="inlineStr">
        <is>
          <t>Corpus: Inherited 57
Family/domain: Power, wisdom, goodness &amp; holiness
Public summary: Good
Current code/tier: A
Provenance: Count-constrained reconstruction
Source/pointer: See inherited source report / recovered institution ledgers
Locator/source note: Recurring Kataphatic Vocabulary table
Public scope caution: Shared divine goodness.
Research status: RECONSTRUCTED — source-level/master-family recertification remains publication-critical</t>
        </is>
      </c>
      <c r="M28" s="7" t="inlineStr">
        <is>
          <t>Author decision = PENDING.</t>
        </is>
      </c>
      <c r="N28" s="7" t="inlineStr">
        <is>
          <t>Blocks M1/M2 public row copy until the row is APPROVED, REVISED, or intentionally HELD.</t>
        </is>
      </c>
      <c r="O28" s="7" t="inlineStr">
        <is>
          <t>APPROVE AS WRITTEN</t>
        </is>
      </c>
      <c r="P28" s="7" t="inlineStr">
        <is>
          <t>REVISE — enter complete replacement wording/scope note in Custom Response</t>
        </is>
      </c>
      <c r="Q28" s="7" t="inlineStr">
        <is>
          <t>HOLD — research-code review required before wording approval</t>
        </is>
      </c>
      <c r="R28" s="7" t="inlineStr">
        <is>
          <t>HOLD — source/scope review required before wording approval</t>
        </is>
      </c>
      <c r="S28" s="7" t="inlineStr">
        <is>
          <t>OPTION 2</t>
        </is>
      </c>
      <c r="T28" s="17">
        <f>'Author Response Entry'!$D$28</f>
        <v/>
      </c>
      <c r="U28" s="18">
        <f>'Author Response Entry'!$E$28</f>
        <v/>
      </c>
      <c r="V28" s="18">
        <f>'Author Response Entry'!$F$28</f>
        <v/>
      </c>
      <c r="W28" s="18">
        <f>'Author Response Entry'!$G$28</f>
        <v/>
      </c>
      <c r="X28" s="19">
        <f>'Author Response Entry'!$H$28</f>
        <v/>
      </c>
      <c r="Y28" s="18">
        <f>IF(T28="","",IF(T28="CUSTOM RESPONSE",U28,IF(T28="HOLD — NEEDS RESEARCH",IF(U28&lt;&gt;"",U28,"HOLD — NEEDS RESEARCH"),IF(T28="DEFER — NOT YET",IF(U28&lt;&gt;"",U28,"DEFER — NOT YET"),IF(T28="OPTION 1",O28,IF(T28="OPTION 2",U28,IF(T28="OPTION 3",Q28,IF(T28="OPTION 4",R28,""))))))))</f>
        <v/>
      </c>
      <c r="Z28" s="18">
        <f>IF(T28="","OPEN",IF(T28="CUSTOM RESPONSE",IF(U28="","OPEN — CUSTOM TEXT REQUIRED",IF(W28="","RESOLVED — ADD INITIALS/DATE",IF(X28="","RESOLVED — ADD INITIALS/DATE","RESOLVED"))),IF(T28="HOLD — NEEDS RESEARCH",IF(W28="","HOLD — ADD INITIALS/DATE",IF(X28="","HOLD — ADD INITIALS/DATE","HOLD")),IF(T28="DEFER — NOT YET",IF(W28="","DEFERRED — ADD INITIALS/DATE",IF(X28="","DEFERRED — ADD INITIALS/DATE","DEFERRED")),IF(T28="OPTION 1",IF(W28="","RESOLVED — ADD INITIALS/DATE",IF(X28="","RESOLVED — ADD INITIALS/DATE","RESOLVED")),IF(T28="OPTION 2",IF(U28="","OPEN — CUSTOM TEXT REQUIRED",IF(W28="","RESOLVED — ADD INITIALS/DATE",IF(X28="","RESOLVED — ADD INITIALS/DATE","RESOLVED"))),IF(T28="OPTION 3",IF(W28="","HOLD — ADD INITIALS/DATE",IF(X28="","HOLD — ADD INITIALS/DATE","HOLD")),IF(T28="OPTION 4",IF(W28="","HOLD — ADD INITIALS/DATE",IF(X28="","HOLD — ADD INITIALS/DATE","HOLD")),IF(W28="","RESOLVED — ADD INITIALS/DATE",IF(X28="","RESOLVED — ADD INITIALS/DATE","RESOLVED"))))))))))</f>
        <v/>
      </c>
      <c r="AA28" s="18" t="inlineStr">
        <is>
          <t>YES</t>
        </is>
      </c>
      <c r="AB28" s="18" t="inlineStr">
        <is>
          <t>Next controlled merge propagates decision to Row Ratification K:N. A wording review must not silently recode A/Q/D or authority tier.</t>
        </is>
      </c>
      <c r="AC28" s="18" t="inlineStr">
        <is>
          <t>Inherited H01–H20 — identity &amp; positive attributes</t>
        </is>
      </c>
      <c r="AD28" s="18" t="n"/>
      <c r="AE28" s="18" t="inlineStr">
        <is>
          <t>Shared divine goodness.</t>
        </is>
      </c>
      <c r="AF28" s="18">
        <f>IF(F28&lt;&gt;"READY","NO",IF(Z28="OPEN","YES",IF(Z28="OPEN — CUSTOM TEXT REQUIRED","YES",IF(Z28="RESOLVED — ADD INITIALS/DATE","YES",IF(Z28="HOLD — ADD INITIALS/DATE","YES",IF(Z28="DEFERRED — ADD INITIALS/DATE","YES","NO"))))))</f>
        <v/>
      </c>
      <c r="AG28" s="18">
        <f>IF(AF28&lt;&gt;"YES","",IF(A28=IFERROR(MATCH("YES",$AF$2:$AF$105,0),0),"CURRENT",""))</f>
        <v/>
      </c>
      <c r="AH28" s="20">
        <f>IF(COUNTIF($B$2:$B$105,B28)&gt;1,"DUPLICATE","")</f>
        <v/>
      </c>
    </row>
    <row r="29" ht="15.75" customHeight="1" s="29">
      <c r="A29" s="7" t="n">
        <v>28</v>
      </c>
      <c r="B29" s="7" t="inlineStr">
        <is>
          <t>AUTH-RAT-RNR-H10</t>
        </is>
      </c>
      <c r="C29" s="7" t="inlineStr">
        <is>
          <t>G6 — Row Ratification</t>
        </is>
      </c>
      <c r="D29" s="7" t="inlineStr">
        <is>
          <t>Predicate/addition wording</t>
        </is>
      </c>
      <c r="E29" s="7" t="inlineStr">
        <is>
          <t>HIGH</t>
        </is>
      </c>
      <c r="F29" s="7" t="inlineStr">
        <is>
          <t>READY</t>
        </is>
      </c>
      <c r="G29" s="7" t="inlineStr">
        <is>
          <t>Row Ratification</t>
        </is>
      </c>
      <c r="H29" s="7" t="inlineStr">
        <is>
          <t>RNR-H10</t>
        </is>
      </c>
      <c r="I29" s="7" t="inlineStr">
        <is>
          <t>A15:N15</t>
        </is>
      </c>
      <c r="J29" s="7" t="inlineStr">
        <is>
          <t>Ratify RNR-H10: Source of all good</t>
        </is>
      </c>
      <c r="K29" s="7" t="inlineStr">
        <is>
          <t>Is this public/ministry wording accurate, appropriately scoped, and fair enough to approve?</t>
        </is>
      </c>
      <c r="L29" s="7" t="inlineStr">
        <is>
          <t>Corpus: Inherited 57
Family/domain: Power, wisdom, goodness &amp; holiness
Public summary: Source of all good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29" s="7" t="inlineStr">
        <is>
          <t>Author decision = PENDING.</t>
        </is>
      </c>
      <c r="N29" s="7" t="inlineStr">
        <is>
          <t>Blocks M1/M2 public row copy until the row is APPROVED, REVISED, or intentionally HELD.</t>
        </is>
      </c>
      <c r="O29" s="7" t="inlineStr">
        <is>
          <t>APPROVE AS WRITTEN</t>
        </is>
      </c>
      <c r="P29" s="7" t="inlineStr">
        <is>
          <t>REVISE — enter complete replacement wording/scope note in Custom Response</t>
        </is>
      </c>
      <c r="Q29" s="7" t="inlineStr">
        <is>
          <t>HOLD — research-code review required before wording approval</t>
        </is>
      </c>
      <c r="R29" s="7" t="inlineStr">
        <is>
          <t>HOLD — source/scope review required before wording approval</t>
        </is>
      </c>
      <c r="S29" s="7" t="inlineStr">
        <is>
          <t>OPTION 2</t>
        </is>
      </c>
      <c r="T29" s="17">
        <f>'Author Response Entry'!$D$29</f>
        <v/>
      </c>
      <c r="U29" s="18">
        <f>'Author Response Entry'!$E$29</f>
        <v/>
      </c>
      <c r="V29" s="18">
        <f>'Author Response Entry'!$F$29</f>
        <v/>
      </c>
      <c r="W29" s="18">
        <f>'Author Response Entry'!$G$29</f>
        <v/>
      </c>
      <c r="X29" s="19">
        <f>'Author Response Entry'!$H$29</f>
        <v/>
      </c>
      <c r="Y29" s="18">
        <f>IF(T29="","",IF(T29="CUSTOM RESPONSE",U29,IF(T29="HOLD — NEEDS RESEARCH",IF(U29&lt;&gt;"",U29,"HOLD — NEEDS RESEARCH"),IF(T29="DEFER — NOT YET",IF(U29&lt;&gt;"",U29,"DEFER — NOT YET"),IF(T29="OPTION 1",O29,IF(T29="OPTION 2",U29,IF(T29="OPTION 3",Q29,IF(T29="OPTION 4",R29,""))))))))</f>
        <v/>
      </c>
      <c r="Z29" s="18">
        <f>IF(T29="","OPEN",IF(T29="CUSTOM RESPONSE",IF(U29="","OPEN — CUSTOM TEXT REQUIRED",IF(W29="","RESOLVED — ADD INITIALS/DATE",IF(X29="","RESOLVED — ADD INITIALS/DATE","RESOLVED"))),IF(T29="HOLD — NEEDS RESEARCH",IF(W29="","HOLD — ADD INITIALS/DATE",IF(X29="","HOLD — ADD INITIALS/DATE","HOLD")),IF(T29="DEFER — NOT YET",IF(W29="","DEFERRED — ADD INITIALS/DATE",IF(X29="","DEFERRED — ADD INITIALS/DATE","DEFERRED")),IF(T29="OPTION 1",IF(W29="","RESOLVED — ADD INITIALS/DATE",IF(X29="","RESOLVED — ADD INITIALS/DATE","RESOLVED")),IF(T29="OPTION 2",IF(U29="","OPEN — CUSTOM TEXT REQUIRED",IF(W29="","RESOLVED — ADD INITIALS/DATE",IF(X29="","RESOLVED — ADD INITIALS/DATE","RESOLVED"))),IF(T29="OPTION 3",IF(W29="","HOLD — ADD INITIALS/DATE",IF(X29="","HOLD — ADD INITIALS/DATE","HOLD")),IF(T29="OPTION 4",IF(W29="","HOLD — ADD INITIALS/DATE",IF(X29="","HOLD — ADD INITIALS/DATE","HOLD")),IF(W29="","RESOLVED — ADD INITIALS/DATE",IF(X29="","RESOLVED — ADD INITIALS/DATE","RESOLVED"))))))))))</f>
        <v/>
      </c>
      <c r="AA29" s="18" t="inlineStr">
        <is>
          <t>YES</t>
        </is>
      </c>
      <c r="AB29" s="18" t="inlineStr">
        <is>
          <t>Next controlled merge propagates decision to Row Ratification K:N. A wording review must not silently recode A/Q/D or authority tier.</t>
        </is>
      </c>
      <c r="AC29" s="18" t="inlineStr">
        <is>
          <t>Inherited H01–H20 — identity &amp; positive attributes</t>
        </is>
      </c>
      <c r="AD29" s="18" t="n"/>
      <c r="AE29" s="18" t="inlineStr">
        <is>
          <t>No material conflict identified at the accepted floor.</t>
        </is>
      </c>
      <c r="AF29" s="18">
        <f>IF(F29&lt;&gt;"READY","NO",IF(Z29="OPEN","YES",IF(Z29="OPEN — CUSTOM TEXT REQUIRED","YES",IF(Z29="RESOLVED — ADD INITIALS/DATE","YES",IF(Z29="HOLD — ADD INITIALS/DATE","YES",IF(Z29="DEFERRED — ADD INITIALS/DATE","YES","NO"))))))</f>
        <v/>
      </c>
      <c r="AG29" s="18">
        <f>IF(AF29&lt;&gt;"YES","",IF(A29=IFERROR(MATCH("YES",$AF$2:$AF$105,0),0),"CURRENT",""))</f>
        <v/>
      </c>
      <c r="AH29" s="20">
        <f>IF(COUNTIF($B$2:$B$105,B29)&gt;1,"DUPLICATE","")</f>
        <v/>
      </c>
    </row>
    <row r="30" ht="15.75" customHeight="1" s="29">
      <c r="A30" s="7" t="n">
        <v>29</v>
      </c>
      <c r="B30" s="7" t="inlineStr">
        <is>
          <t>AUTH-RAT-RNR-H11</t>
        </is>
      </c>
      <c r="C30" s="7" t="inlineStr">
        <is>
          <t>G6 — Row Ratification</t>
        </is>
      </c>
      <c r="D30" s="7" t="inlineStr">
        <is>
          <t>Predicate/addition wording</t>
        </is>
      </c>
      <c r="E30" s="7" t="inlineStr">
        <is>
          <t>HIGH</t>
        </is>
      </c>
      <c r="F30" s="7" t="inlineStr">
        <is>
          <t>READY</t>
        </is>
      </c>
      <c r="G30" s="7" t="inlineStr">
        <is>
          <t>Row Ratification</t>
        </is>
      </c>
      <c r="H30" s="7" t="inlineStr">
        <is>
          <t>RNR-H11</t>
        </is>
      </c>
      <c r="I30" s="7" t="inlineStr">
        <is>
          <t>A16:N16</t>
        </is>
      </c>
      <c r="J30" s="7" t="inlineStr">
        <is>
          <t>Ratify RNR-H11: Just / righteous</t>
        </is>
      </c>
      <c r="K30" s="7" t="inlineStr">
        <is>
          <t>Is this public/ministry wording accurate, appropriately scoped, and fair enough to approve?</t>
        </is>
      </c>
      <c r="L30" s="7" t="inlineStr">
        <is>
          <t>Corpus: Inherited 57
Family/domain: Power, wisdom, goodness &amp; holiness
Public summary: Just / righteous
Current code/tier: A
Provenance: Count-constrained reconstruction
Source/pointer: See inherited source report / recovered institution ledgers
Locator/source note: Recurring Kataphatic Vocabulary table
Public scope caution: Shared divine justice/righteousness.
Research status: RECONSTRUCTED — source-level/master-family recertification remains publication-critical</t>
        </is>
      </c>
      <c r="M30" s="7" t="inlineStr">
        <is>
          <t>Author decision = PENDING.</t>
        </is>
      </c>
      <c r="N30" s="7" t="inlineStr">
        <is>
          <t>Blocks M1/M2 public row copy until the row is APPROVED, REVISED, or intentionally HELD.</t>
        </is>
      </c>
      <c r="O30" s="7" t="inlineStr">
        <is>
          <t>APPROVE AS WRITTEN</t>
        </is>
      </c>
      <c r="P30" s="7" t="inlineStr">
        <is>
          <t>REVISE — enter complete replacement wording/scope note in Custom Response</t>
        </is>
      </c>
      <c r="Q30" s="7" t="inlineStr">
        <is>
          <t>HOLD — research-code review required before wording approval</t>
        </is>
      </c>
      <c r="R30" s="7" t="inlineStr">
        <is>
          <t>HOLD — source/scope review required before wording approval</t>
        </is>
      </c>
      <c r="S30" s="7" t="inlineStr">
        <is>
          <t>OPTION 2</t>
        </is>
      </c>
      <c r="T30" s="17">
        <f>'Author Response Entry'!$D$30</f>
        <v/>
      </c>
      <c r="U30" s="18">
        <f>'Author Response Entry'!$E$30</f>
        <v/>
      </c>
      <c r="V30" s="18">
        <f>'Author Response Entry'!$F$30</f>
        <v/>
      </c>
      <c r="W30" s="18">
        <f>'Author Response Entry'!$G$30</f>
        <v/>
      </c>
      <c r="X30" s="19">
        <f>'Author Response Entry'!$H$30</f>
        <v/>
      </c>
      <c r="Y30" s="18">
        <f>IF(T30="","",IF(T30="CUSTOM RESPONSE",U30,IF(T30="HOLD — NEEDS RESEARCH",IF(U30&lt;&gt;"",U30,"HOLD — NEEDS RESEARCH"),IF(T30="DEFER — NOT YET",IF(U30&lt;&gt;"",U30,"DEFER — NOT YET"),IF(T30="OPTION 1",O30,IF(T30="OPTION 2",U30,IF(T30="OPTION 3",Q30,IF(T30="OPTION 4",R30,""))))))))</f>
        <v/>
      </c>
      <c r="Z30" s="18">
        <f>IF(T30="","OPEN",IF(T30="CUSTOM RESPONSE",IF(U30="","OPEN — CUSTOM TEXT REQUIRED",IF(W30="","RESOLVED — ADD INITIALS/DATE",IF(X30="","RESOLVED — ADD INITIALS/DATE","RESOLVED"))),IF(T30="HOLD — NEEDS RESEARCH",IF(W30="","HOLD — ADD INITIALS/DATE",IF(X30="","HOLD — ADD INITIALS/DATE","HOLD")),IF(T30="DEFER — NOT YET",IF(W30="","DEFERRED — ADD INITIALS/DATE",IF(X30="","DEFERRED — ADD INITIALS/DATE","DEFERRED")),IF(T30="OPTION 1",IF(W30="","RESOLVED — ADD INITIALS/DATE",IF(X30="","RESOLVED — ADD INITIALS/DATE","RESOLVED")),IF(T30="OPTION 2",IF(U30="","OPEN — CUSTOM TEXT REQUIRED",IF(W30="","RESOLVED — ADD INITIALS/DATE",IF(X30="","RESOLVED — ADD INITIALS/DATE","RESOLVED"))),IF(T30="OPTION 3",IF(W30="","HOLD — ADD INITIALS/DATE",IF(X30="","HOLD — ADD INITIALS/DATE","HOLD")),IF(T30="OPTION 4",IF(W30="","HOLD — ADD INITIALS/DATE",IF(X30="","HOLD — ADD INITIALS/DATE","HOLD")),IF(W30="","RESOLVED — ADD INITIALS/DATE",IF(X30="","RESOLVED — ADD INITIALS/DATE","RESOLVED"))))))))))</f>
        <v/>
      </c>
      <c r="AA30" s="18" t="inlineStr">
        <is>
          <t>YES</t>
        </is>
      </c>
      <c r="AB30" s="18" t="inlineStr">
        <is>
          <t>Next controlled merge propagates decision to Row Ratification K:N. A wording review must not silently recode A/Q/D or authority tier.</t>
        </is>
      </c>
      <c r="AC30" s="18" t="inlineStr">
        <is>
          <t>Inherited H01–H20 — identity &amp; positive attributes</t>
        </is>
      </c>
      <c r="AD30" s="18" t="n"/>
      <c r="AE30" s="18" t="inlineStr">
        <is>
          <t>Shared divine justice/righteousness.</t>
        </is>
      </c>
      <c r="AF30" s="18">
        <f>IF(F30&lt;&gt;"READY","NO",IF(Z30="OPEN","YES",IF(Z30="OPEN — CUSTOM TEXT REQUIRED","YES",IF(Z30="RESOLVED — ADD INITIALS/DATE","YES",IF(Z30="HOLD — ADD INITIALS/DATE","YES",IF(Z30="DEFERRED — ADD INITIALS/DATE","YES","NO"))))))</f>
        <v/>
      </c>
      <c r="AG30" s="18">
        <f>IF(AF30&lt;&gt;"YES","",IF(A30=IFERROR(MATCH("YES",$AF$2:$AF$105,0),0),"CURRENT",""))</f>
        <v/>
      </c>
      <c r="AH30" s="20">
        <f>IF(COUNTIF($B$2:$B$105,B30)&gt;1,"DUPLICATE","")</f>
        <v/>
      </c>
    </row>
    <row r="31" ht="15.75" customHeight="1" s="29">
      <c r="A31" s="7" t="n">
        <v>30</v>
      </c>
      <c r="B31" s="7" t="inlineStr">
        <is>
          <t>AUTH-RAT-RNR-H12</t>
        </is>
      </c>
      <c r="C31" s="7" t="inlineStr">
        <is>
          <t>G6 — Row Ratification</t>
        </is>
      </c>
      <c r="D31" s="7" t="inlineStr">
        <is>
          <t>Predicate/addition wording</t>
        </is>
      </c>
      <c r="E31" s="7" t="inlineStr">
        <is>
          <t>HIGH</t>
        </is>
      </c>
      <c r="F31" s="7" t="inlineStr">
        <is>
          <t>READY</t>
        </is>
      </c>
      <c r="G31" s="7" t="inlineStr">
        <is>
          <t>Row Ratification</t>
        </is>
      </c>
      <c r="H31" s="7" t="inlineStr">
        <is>
          <t>RNR-H12</t>
        </is>
      </c>
      <c r="I31" s="7" t="inlineStr">
        <is>
          <t>A17:N17</t>
        </is>
      </c>
      <c r="J31" s="7" t="inlineStr">
        <is>
          <t>Ratify RNR-H12: Holy</t>
        </is>
      </c>
      <c r="K31" s="7" t="inlineStr">
        <is>
          <t>Is this public/ministry wording accurate, appropriately scoped, and fair enough to approve?</t>
        </is>
      </c>
      <c r="L31" s="7" t="inlineStr">
        <is>
          <t>Corpus: Inherited 57
Family/domain: Power, wisdom, goodness &amp; holiness
Public summary: Holy
Current code/tier: A
Provenance: Count-constrained reconstruction
Source/pointer: See inherited source report / recovered institution ledgers
Locator/source note: Recurring Kataphatic Vocabulary table
Public scope caution: Shared holiness.
Research status: RECONSTRUCTED — source-level/master-family recertification remains publication-critical</t>
        </is>
      </c>
      <c r="M31" s="7" t="inlineStr">
        <is>
          <t>Author decision = PENDING.</t>
        </is>
      </c>
      <c r="N31" s="7" t="inlineStr">
        <is>
          <t>Blocks M1/M2 public row copy until the row is APPROVED, REVISED, or intentionally HELD.</t>
        </is>
      </c>
      <c r="O31" s="7" t="inlineStr">
        <is>
          <t>APPROVE AS WRITTEN</t>
        </is>
      </c>
      <c r="P31" s="7" t="inlineStr">
        <is>
          <t>REVISE — enter complete replacement wording/scope note in Custom Response</t>
        </is>
      </c>
      <c r="Q31" s="7" t="inlineStr">
        <is>
          <t>HOLD — research-code review required before wording approval</t>
        </is>
      </c>
      <c r="R31" s="7" t="inlineStr">
        <is>
          <t>HOLD — source/scope review required before wording approval</t>
        </is>
      </c>
      <c r="S31" s="7" t="inlineStr">
        <is>
          <t>OPTION 2</t>
        </is>
      </c>
      <c r="T31" s="17">
        <f>'Author Response Entry'!$D$31</f>
        <v/>
      </c>
      <c r="U31" s="18">
        <f>'Author Response Entry'!$E$31</f>
        <v/>
      </c>
      <c r="V31" s="18">
        <f>'Author Response Entry'!$F$31</f>
        <v/>
      </c>
      <c r="W31" s="18">
        <f>'Author Response Entry'!$G$31</f>
        <v/>
      </c>
      <c r="X31" s="19">
        <f>'Author Response Entry'!$H$31</f>
        <v/>
      </c>
      <c r="Y31" s="18">
        <f>IF(T31="","",IF(T31="CUSTOM RESPONSE",U31,IF(T31="HOLD — NEEDS RESEARCH",IF(U31&lt;&gt;"",U31,"HOLD — NEEDS RESEARCH"),IF(T31="DEFER — NOT YET",IF(U31&lt;&gt;"",U31,"DEFER — NOT YET"),IF(T31="OPTION 1",O31,IF(T31="OPTION 2",U31,IF(T31="OPTION 3",Q31,IF(T31="OPTION 4",R31,""))))))))</f>
        <v/>
      </c>
      <c r="Z31" s="18">
        <f>IF(T31="","OPEN",IF(T31="CUSTOM RESPONSE",IF(U31="","OPEN — CUSTOM TEXT REQUIRED",IF(W31="","RESOLVED — ADD INITIALS/DATE",IF(X31="","RESOLVED — ADD INITIALS/DATE","RESOLVED"))),IF(T31="HOLD — NEEDS RESEARCH",IF(W31="","HOLD — ADD INITIALS/DATE",IF(X31="","HOLD — ADD INITIALS/DATE","HOLD")),IF(T31="DEFER — NOT YET",IF(W31="","DEFERRED — ADD INITIALS/DATE",IF(X31="","DEFERRED — ADD INITIALS/DATE","DEFERRED")),IF(T31="OPTION 1",IF(W31="","RESOLVED — ADD INITIALS/DATE",IF(X31="","RESOLVED — ADD INITIALS/DATE","RESOLVED")),IF(T31="OPTION 2",IF(U31="","OPEN — CUSTOM TEXT REQUIRED",IF(W31="","RESOLVED — ADD INITIALS/DATE",IF(X31="","RESOLVED — ADD INITIALS/DATE","RESOLVED"))),IF(T31="OPTION 3",IF(W31="","HOLD — ADD INITIALS/DATE",IF(X31="","HOLD — ADD INITIALS/DATE","HOLD")),IF(T31="OPTION 4",IF(W31="","HOLD — ADD INITIALS/DATE",IF(X31="","HOLD — ADD INITIALS/DATE","HOLD")),IF(W31="","RESOLVED — ADD INITIALS/DATE",IF(X31="","RESOLVED — ADD INITIALS/DATE","RESOLVED"))))))))))</f>
        <v/>
      </c>
      <c r="AA31" s="18" t="inlineStr">
        <is>
          <t>YES</t>
        </is>
      </c>
      <c r="AB31" s="18" t="inlineStr">
        <is>
          <t>Next controlled merge propagates decision to Row Ratification K:N. A wording review must not silently recode A/Q/D or authority tier.</t>
        </is>
      </c>
      <c r="AC31" s="18" t="inlineStr">
        <is>
          <t>Inherited H01–H20 — identity &amp; positive attributes</t>
        </is>
      </c>
      <c r="AD31" s="18" t="n"/>
      <c r="AE31" s="18" t="inlineStr">
        <is>
          <t>Shared holiness.</t>
        </is>
      </c>
      <c r="AF31" s="18">
        <f>IF(F31&lt;&gt;"READY","NO",IF(Z31="OPEN","YES",IF(Z31="OPEN — CUSTOM TEXT REQUIRED","YES",IF(Z31="RESOLVED — ADD INITIALS/DATE","YES",IF(Z31="HOLD — ADD INITIALS/DATE","YES",IF(Z31="DEFERRED — ADD INITIALS/DATE","YES","NO"))))))</f>
        <v/>
      </c>
      <c r="AG31" s="18">
        <f>IF(AF31&lt;&gt;"YES","",IF(A31=IFERROR(MATCH("YES",$AF$2:$AF$105,0),0),"CURRENT",""))</f>
        <v/>
      </c>
      <c r="AH31" s="20">
        <f>IF(COUNTIF($B$2:$B$105,B31)&gt;1,"DUPLICATE","")</f>
        <v/>
      </c>
    </row>
    <row r="32" ht="15.75" customHeight="1" s="29">
      <c r="A32" s="7" t="n">
        <v>31</v>
      </c>
      <c r="B32" s="7" t="inlineStr">
        <is>
          <t>AUTH-RAT-RNR-H13</t>
        </is>
      </c>
      <c r="C32" s="7" t="inlineStr">
        <is>
          <t>G6 — Row Ratification</t>
        </is>
      </c>
      <c r="D32" s="7" t="inlineStr">
        <is>
          <t>Predicate/addition wording</t>
        </is>
      </c>
      <c r="E32" s="7" t="inlineStr">
        <is>
          <t>HIGH</t>
        </is>
      </c>
      <c r="F32" s="7" t="inlineStr">
        <is>
          <t>READY</t>
        </is>
      </c>
      <c r="G32" s="7" t="inlineStr">
        <is>
          <t>Row Ratification</t>
        </is>
      </c>
      <c r="H32" s="7" t="inlineStr">
        <is>
          <t>RNR-H13</t>
        </is>
      </c>
      <c r="I32" s="7" t="inlineStr">
        <is>
          <t>A18:N18</t>
        </is>
      </c>
      <c r="J32" s="7" t="inlineStr">
        <is>
          <t>Ratify RNR-H13: Truthful / faithful</t>
        </is>
      </c>
      <c r="K32" s="7" t="inlineStr">
        <is>
          <t>Is this public/ministry wording accurate, appropriately scoped, and fair enough to approve?</t>
        </is>
      </c>
      <c r="L32" s="7" t="inlineStr">
        <is>
          <t>Corpus: Inherited 57
Family/domain: Power, wisdom, goodness &amp; holiness
Public summary: Truthful / faithful
Current code/tier: A
Provenance: Count-constrained reconstruction
Source/pointer: See inherited source report / recovered institution ledgers
Locator/source note: Recurring Kataphatic Vocabulary table
Public scope caution: Shared faithfulness and truthfulness.
Research status: RECONSTRUCTED — source-level/master-family recertification remains publication-critical</t>
        </is>
      </c>
      <c r="M32" s="7" t="inlineStr">
        <is>
          <t>Author decision = PENDING.</t>
        </is>
      </c>
      <c r="N32" s="7" t="inlineStr">
        <is>
          <t>Blocks M1/M2 public row copy until the row is APPROVED, REVISED, or intentionally HELD.</t>
        </is>
      </c>
      <c r="O32" s="7" t="inlineStr">
        <is>
          <t>APPROVE AS WRITTEN</t>
        </is>
      </c>
      <c r="P32" s="7" t="inlineStr">
        <is>
          <t>REVISE — enter complete replacement wording/scope note in Custom Response</t>
        </is>
      </c>
      <c r="Q32" s="7" t="inlineStr">
        <is>
          <t>HOLD — research-code review required before wording approval</t>
        </is>
      </c>
      <c r="R32" s="7" t="inlineStr">
        <is>
          <t>HOLD — source/scope review required before wording approval</t>
        </is>
      </c>
      <c r="S32" s="7" t="inlineStr">
        <is>
          <t>OPTION 2</t>
        </is>
      </c>
      <c r="T32" s="17">
        <f>'Author Response Entry'!$D$32</f>
        <v/>
      </c>
      <c r="U32" s="18">
        <f>'Author Response Entry'!$E$32</f>
        <v/>
      </c>
      <c r="V32" s="18">
        <f>'Author Response Entry'!$F$32</f>
        <v/>
      </c>
      <c r="W32" s="18">
        <f>'Author Response Entry'!$G$32</f>
        <v/>
      </c>
      <c r="X32" s="19">
        <f>'Author Response Entry'!$H$32</f>
        <v/>
      </c>
      <c r="Y32" s="18">
        <f>IF(T32="","",IF(T32="CUSTOM RESPONSE",U32,IF(T32="HOLD — NEEDS RESEARCH",IF(U32&lt;&gt;"",U32,"HOLD — NEEDS RESEARCH"),IF(T32="DEFER — NOT YET",IF(U32&lt;&gt;"",U32,"DEFER — NOT YET"),IF(T32="OPTION 1",O32,IF(T32="OPTION 2",U32,IF(T32="OPTION 3",Q32,IF(T32="OPTION 4",R32,""))))))))</f>
        <v/>
      </c>
      <c r="Z32" s="18">
        <f>IF(T32="","OPEN",IF(T32="CUSTOM RESPONSE",IF(U32="","OPEN — CUSTOM TEXT REQUIRED",IF(W32="","RESOLVED — ADD INITIALS/DATE",IF(X32="","RESOLVED — ADD INITIALS/DATE","RESOLVED"))),IF(T32="HOLD — NEEDS RESEARCH",IF(W32="","HOLD — ADD INITIALS/DATE",IF(X32="","HOLD — ADD INITIALS/DATE","HOLD")),IF(T32="DEFER — NOT YET",IF(W32="","DEFERRED — ADD INITIALS/DATE",IF(X32="","DEFERRED — ADD INITIALS/DATE","DEFERRED")),IF(T32="OPTION 1",IF(W32="","RESOLVED — ADD INITIALS/DATE",IF(X32="","RESOLVED — ADD INITIALS/DATE","RESOLVED")),IF(T32="OPTION 2",IF(U32="","OPEN — CUSTOM TEXT REQUIRED",IF(W32="","RESOLVED — ADD INITIALS/DATE",IF(X32="","RESOLVED — ADD INITIALS/DATE","RESOLVED"))),IF(T32="OPTION 3",IF(W32="","HOLD — ADD INITIALS/DATE",IF(X32="","HOLD — ADD INITIALS/DATE","HOLD")),IF(T32="OPTION 4",IF(W32="","HOLD — ADD INITIALS/DATE",IF(X32="","HOLD — ADD INITIALS/DATE","HOLD")),IF(W32="","RESOLVED — ADD INITIALS/DATE",IF(X32="","RESOLVED — ADD INITIALS/DATE","RESOLVED"))))))))))</f>
        <v/>
      </c>
      <c r="AA32" s="18" t="inlineStr">
        <is>
          <t>YES</t>
        </is>
      </c>
      <c r="AB32" s="18" t="inlineStr">
        <is>
          <t>Next controlled merge propagates decision to Row Ratification K:N. A wording review must not silently recode A/Q/D or authority tier.</t>
        </is>
      </c>
      <c r="AC32" s="18" t="inlineStr">
        <is>
          <t>Inherited H01–H20 — identity &amp; positive attributes</t>
        </is>
      </c>
      <c r="AD32" s="18" t="n"/>
      <c r="AE32" s="18" t="inlineStr">
        <is>
          <t>Shared faithfulness and truthfulness.</t>
        </is>
      </c>
      <c r="AF32" s="18">
        <f>IF(F32&lt;&gt;"READY","NO",IF(Z32="OPEN","YES",IF(Z32="OPEN — CUSTOM TEXT REQUIRED","YES",IF(Z32="RESOLVED — ADD INITIALS/DATE","YES",IF(Z32="HOLD — ADD INITIALS/DATE","YES",IF(Z32="DEFERRED — ADD INITIALS/DATE","YES","NO"))))))</f>
        <v/>
      </c>
      <c r="AG32" s="18">
        <f>IF(AF32&lt;&gt;"YES","",IF(A32=IFERROR(MATCH("YES",$AF$2:$AF$105,0),0),"CURRENT",""))</f>
        <v/>
      </c>
      <c r="AH32" s="20">
        <f>IF(COUNTIF($B$2:$B$105,B32)&gt;1,"DUPLICATE","")</f>
        <v/>
      </c>
    </row>
    <row r="33" ht="15.75" customHeight="1" s="29">
      <c r="A33" s="7" t="n">
        <v>32</v>
      </c>
      <c r="B33" s="7" t="inlineStr">
        <is>
          <t>AUTH-RAT-RNR-H14</t>
        </is>
      </c>
      <c r="C33" s="7" t="inlineStr">
        <is>
          <t>G6 — Row Ratification</t>
        </is>
      </c>
      <c r="D33" s="7" t="inlineStr">
        <is>
          <t>Predicate/addition wording</t>
        </is>
      </c>
      <c r="E33" s="7" t="inlineStr">
        <is>
          <t>HIGH</t>
        </is>
      </c>
      <c r="F33" s="7" t="inlineStr">
        <is>
          <t>READY</t>
        </is>
      </c>
      <c r="G33" s="7" t="inlineStr">
        <is>
          <t>Row Ratification</t>
        </is>
      </c>
      <c r="H33" s="7" t="inlineStr">
        <is>
          <t>RNR-H14</t>
        </is>
      </c>
      <c r="I33" s="7" t="inlineStr">
        <is>
          <t>A19:N19</t>
        </is>
      </c>
      <c r="J33" s="7" t="inlineStr">
        <is>
          <t>Ratify RNR-H14: Love / loving</t>
        </is>
      </c>
      <c r="K33" s="7" t="inlineStr">
        <is>
          <t>Is this public/ministry wording accurate, appropriately scoped, and fair enough to approve?</t>
        </is>
      </c>
      <c r="L33" s="7" t="inlineStr">
        <is>
          <t>Corpus: Inherited 57
Family/domain: Love, mercy, grace &amp; glory
Public summary: Love / loving
Current code/tier: A
Provenance: Count-constrained reconstruction
Source/pointer: See inherited source report / recovered institution ledgers
Locator/source note: Recurring Kataphatic Vocabulary table
Public scope caution: Shared divine love.
Research status: RECONSTRUCTED — source-level/master-family recertification remains publication-critical</t>
        </is>
      </c>
      <c r="M33" s="7" t="inlineStr">
        <is>
          <t>Author decision = PENDING.</t>
        </is>
      </c>
      <c r="N33" s="7" t="inlineStr">
        <is>
          <t>Blocks M1/M2 public row copy until the row is APPROVED, REVISED, or intentionally HELD.</t>
        </is>
      </c>
      <c r="O33" s="7" t="inlineStr">
        <is>
          <t>APPROVE AS WRITTEN</t>
        </is>
      </c>
      <c r="P33" s="7" t="inlineStr">
        <is>
          <t>REVISE — enter complete replacement wording/scope note in Custom Response</t>
        </is>
      </c>
      <c r="Q33" s="7" t="inlineStr">
        <is>
          <t>HOLD — research-code review required before wording approval</t>
        </is>
      </c>
      <c r="R33" s="7" t="inlineStr">
        <is>
          <t>HOLD — source/scope review required before wording approval</t>
        </is>
      </c>
      <c r="S33" s="7" t="inlineStr">
        <is>
          <t>OPTION 2</t>
        </is>
      </c>
      <c r="T33" s="17">
        <f>'Author Response Entry'!$D$33</f>
        <v/>
      </c>
      <c r="U33" s="18">
        <f>'Author Response Entry'!$E$33</f>
        <v/>
      </c>
      <c r="V33" s="18">
        <f>'Author Response Entry'!$F$33</f>
        <v/>
      </c>
      <c r="W33" s="18">
        <f>'Author Response Entry'!$G$33</f>
        <v/>
      </c>
      <c r="X33" s="19">
        <f>'Author Response Entry'!$H$33</f>
        <v/>
      </c>
      <c r="Y33" s="18">
        <f>IF(T33="","",IF(T33="CUSTOM RESPONSE",U33,IF(T33="HOLD — NEEDS RESEARCH",IF(U33&lt;&gt;"",U33,"HOLD — NEEDS RESEARCH"),IF(T33="DEFER — NOT YET",IF(U33&lt;&gt;"",U33,"DEFER — NOT YET"),IF(T33="OPTION 1",O33,IF(T33="OPTION 2",U33,IF(T33="OPTION 3",Q33,IF(T33="OPTION 4",R33,""))))))))</f>
        <v/>
      </c>
      <c r="Z33" s="18">
        <f>IF(T33="","OPEN",IF(T33="CUSTOM RESPONSE",IF(U33="","OPEN — CUSTOM TEXT REQUIRED",IF(W33="","RESOLVED — ADD INITIALS/DATE",IF(X33="","RESOLVED — ADD INITIALS/DATE","RESOLVED"))),IF(T33="HOLD — NEEDS RESEARCH",IF(W33="","HOLD — ADD INITIALS/DATE",IF(X33="","HOLD — ADD INITIALS/DATE","HOLD")),IF(T33="DEFER — NOT YET",IF(W33="","DEFERRED — ADD INITIALS/DATE",IF(X33="","DEFERRED — ADD INITIALS/DATE","DEFERRED")),IF(T33="OPTION 1",IF(W33="","RESOLVED — ADD INITIALS/DATE",IF(X33="","RESOLVED — ADD INITIALS/DATE","RESOLVED")),IF(T33="OPTION 2",IF(U33="","OPEN — CUSTOM TEXT REQUIRED",IF(W33="","RESOLVED — ADD INITIALS/DATE",IF(X33="","RESOLVED — ADD INITIALS/DATE","RESOLVED"))),IF(T33="OPTION 3",IF(W33="","HOLD — ADD INITIALS/DATE",IF(X33="","HOLD — ADD INITIALS/DATE","HOLD")),IF(T33="OPTION 4",IF(W33="","HOLD — ADD INITIALS/DATE",IF(X33="","HOLD — ADD INITIALS/DATE","HOLD")),IF(W33="","RESOLVED — ADD INITIALS/DATE",IF(X33="","RESOLVED — ADD INITIALS/DATE","RESOLVED"))))))))))</f>
        <v/>
      </c>
      <c r="AA33" s="18" t="inlineStr">
        <is>
          <t>YES</t>
        </is>
      </c>
      <c r="AB33" s="18" t="inlineStr">
        <is>
          <t>Next controlled merge propagates decision to Row Ratification K:N. A wording review must not silently recode A/Q/D or authority tier.</t>
        </is>
      </c>
      <c r="AC33" s="18" t="inlineStr">
        <is>
          <t>Inherited H01–H20 — identity &amp; positive attributes</t>
        </is>
      </c>
      <c r="AD33" s="18" t="n"/>
      <c r="AE33" s="18" t="inlineStr">
        <is>
          <t>Shared divine love.</t>
        </is>
      </c>
      <c r="AF33" s="18">
        <f>IF(F33&lt;&gt;"READY","NO",IF(Z33="OPEN","YES",IF(Z33="OPEN — CUSTOM TEXT REQUIRED","YES",IF(Z33="RESOLVED — ADD INITIALS/DATE","YES",IF(Z33="HOLD — ADD INITIALS/DATE","YES",IF(Z33="DEFERRED — ADD INITIALS/DATE","YES","NO"))))))</f>
        <v/>
      </c>
      <c r="AG33" s="18">
        <f>IF(AF33&lt;&gt;"YES","",IF(A33=IFERROR(MATCH("YES",$AF$2:$AF$105,0),0),"CURRENT",""))</f>
        <v/>
      </c>
      <c r="AH33" s="20">
        <f>IF(COUNTIF($B$2:$B$105,B33)&gt;1,"DUPLICATE","")</f>
        <v/>
      </c>
    </row>
    <row r="34" ht="15.75" customHeight="1" s="29">
      <c r="A34" s="7" t="n">
        <v>33</v>
      </c>
      <c r="B34" s="7" t="inlineStr">
        <is>
          <t>AUTH-RAT-RNR-H15</t>
        </is>
      </c>
      <c r="C34" s="7" t="inlineStr">
        <is>
          <t>G6 — Row Ratification</t>
        </is>
      </c>
      <c r="D34" s="7" t="inlineStr">
        <is>
          <t>Predicate/addition wording</t>
        </is>
      </c>
      <c r="E34" s="7" t="inlineStr">
        <is>
          <t>HIGH</t>
        </is>
      </c>
      <c r="F34" s="7" t="inlineStr">
        <is>
          <t>READY</t>
        </is>
      </c>
      <c r="G34" s="7" t="inlineStr">
        <is>
          <t>Row Ratification</t>
        </is>
      </c>
      <c r="H34" s="7" t="inlineStr">
        <is>
          <t>RNR-H15</t>
        </is>
      </c>
      <c r="I34" s="7" t="inlineStr">
        <is>
          <t>A20:N20</t>
        </is>
      </c>
      <c r="J34" s="7" t="inlineStr">
        <is>
          <t>Ratify RNR-H15: Merciful</t>
        </is>
      </c>
      <c r="K34" s="7" t="inlineStr">
        <is>
          <t>Is this public/ministry wording accurate, appropriately scoped, and fair enough to approve?</t>
        </is>
      </c>
      <c r="L34" s="7" t="inlineStr">
        <is>
          <t>Corpus: Inherited 57
Family/domain: Love, mercy, grace &amp; glory
Public summary: Merciful
Current code/tier: A
Provenance: Count-constrained reconstruction
Source/pointer: See inherited source report / recovered institution ledgers
Locator/source note: Recurring Kataphatic Vocabulary table
Public scope caution: Shared mercy.
Research status: RECONSTRUCTED — source-level/master-family recertification remains publication-critical</t>
        </is>
      </c>
      <c r="M34" s="7" t="inlineStr">
        <is>
          <t>Author decision = PENDING.</t>
        </is>
      </c>
      <c r="N34" s="7" t="inlineStr">
        <is>
          <t>Blocks M1/M2 public row copy until the row is APPROVED, REVISED, or intentionally HELD.</t>
        </is>
      </c>
      <c r="O34" s="7" t="inlineStr">
        <is>
          <t>APPROVE AS WRITTEN</t>
        </is>
      </c>
      <c r="P34" s="7" t="inlineStr">
        <is>
          <t>REVISE — enter complete replacement wording/scope note in Custom Response</t>
        </is>
      </c>
      <c r="Q34" s="7" t="inlineStr">
        <is>
          <t>HOLD — research-code review required before wording approval</t>
        </is>
      </c>
      <c r="R34" s="7" t="inlineStr">
        <is>
          <t>HOLD — source/scope review required before wording approval</t>
        </is>
      </c>
      <c r="S34" s="7" t="inlineStr">
        <is>
          <t>OPTION 2</t>
        </is>
      </c>
      <c r="T34" s="17">
        <f>'Author Response Entry'!$D$34</f>
        <v/>
      </c>
      <c r="U34" s="18">
        <f>'Author Response Entry'!$E$34</f>
        <v/>
      </c>
      <c r="V34" s="18">
        <f>'Author Response Entry'!$F$34</f>
        <v/>
      </c>
      <c r="W34" s="18">
        <f>'Author Response Entry'!$G$34</f>
        <v/>
      </c>
      <c r="X34" s="19">
        <f>'Author Response Entry'!$H$34</f>
        <v/>
      </c>
      <c r="Y34" s="18">
        <f>IF(T34="","",IF(T34="CUSTOM RESPONSE",U34,IF(T34="HOLD — NEEDS RESEARCH",IF(U34&lt;&gt;"",U34,"HOLD — NEEDS RESEARCH"),IF(T34="DEFER — NOT YET",IF(U34&lt;&gt;"",U34,"DEFER — NOT YET"),IF(T34="OPTION 1",O34,IF(T34="OPTION 2",U34,IF(T34="OPTION 3",Q34,IF(T34="OPTION 4",R34,""))))))))</f>
        <v/>
      </c>
      <c r="Z34" s="18">
        <f>IF(T34="","OPEN",IF(T34="CUSTOM RESPONSE",IF(U34="","OPEN — CUSTOM TEXT REQUIRED",IF(W34="","RESOLVED — ADD INITIALS/DATE",IF(X34="","RESOLVED — ADD INITIALS/DATE","RESOLVED"))),IF(T34="HOLD — NEEDS RESEARCH",IF(W34="","HOLD — ADD INITIALS/DATE",IF(X34="","HOLD — ADD INITIALS/DATE","HOLD")),IF(T34="DEFER — NOT YET",IF(W34="","DEFERRED — ADD INITIALS/DATE",IF(X34="","DEFERRED — ADD INITIALS/DATE","DEFERRED")),IF(T34="OPTION 1",IF(W34="","RESOLVED — ADD INITIALS/DATE",IF(X34="","RESOLVED — ADD INITIALS/DATE","RESOLVED")),IF(T34="OPTION 2",IF(U34="","OPEN — CUSTOM TEXT REQUIRED",IF(W34="","RESOLVED — ADD INITIALS/DATE",IF(X34="","RESOLVED — ADD INITIALS/DATE","RESOLVED"))),IF(T34="OPTION 3",IF(W34="","HOLD — ADD INITIALS/DATE",IF(X34="","HOLD — ADD INITIALS/DATE","HOLD")),IF(T34="OPTION 4",IF(W34="","HOLD — ADD INITIALS/DATE",IF(X34="","HOLD — ADD INITIALS/DATE","HOLD")),IF(W34="","RESOLVED — ADD INITIALS/DATE",IF(X34="","RESOLVED — ADD INITIALS/DATE","RESOLVED"))))))))))</f>
        <v/>
      </c>
      <c r="AA34" s="18" t="inlineStr">
        <is>
          <t>YES</t>
        </is>
      </c>
      <c r="AB34" s="18" t="inlineStr">
        <is>
          <t>Next controlled merge propagates decision to Row Ratification K:N. A wording review must not silently recode A/Q/D or authority tier.</t>
        </is>
      </c>
      <c r="AC34" s="18" t="inlineStr">
        <is>
          <t>Inherited H01–H20 — identity &amp; positive attributes</t>
        </is>
      </c>
      <c r="AD34" s="18" t="n"/>
      <c r="AE34" s="18" t="inlineStr">
        <is>
          <t>Shared mercy.</t>
        </is>
      </c>
      <c r="AF34" s="18">
        <f>IF(F34&lt;&gt;"READY","NO",IF(Z34="OPEN","YES",IF(Z34="OPEN — CUSTOM TEXT REQUIRED","YES",IF(Z34="RESOLVED — ADD INITIALS/DATE","YES",IF(Z34="HOLD — ADD INITIALS/DATE","YES",IF(Z34="DEFERRED — ADD INITIALS/DATE","YES","NO"))))))</f>
        <v/>
      </c>
      <c r="AG34" s="18">
        <f>IF(AF34&lt;&gt;"YES","",IF(A34=IFERROR(MATCH("YES",$AF$2:$AF$105,0),0),"CURRENT",""))</f>
        <v/>
      </c>
      <c r="AH34" s="20">
        <f>IF(COUNTIF($B$2:$B$105,B34)&gt;1,"DUPLICATE","")</f>
        <v/>
      </c>
    </row>
    <row r="35" ht="15.75" customHeight="1" s="29">
      <c r="A35" s="7" t="n">
        <v>34</v>
      </c>
      <c r="B35" s="7" t="inlineStr">
        <is>
          <t>AUTH-RAT-RNR-H16</t>
        </is>
      </c>
      <c r="C35" s="7" t="inlineStr">
        <is>
          <t>G6 — Row Ratification</t>
        </is>
      </c>
      <c r="D35" s="7" t="inlineStr">
        <is>
          <t>Predicate/addition wording</t>
        </is>
      </c>
      <c r="E35" s="7" t="inlineStr">
        <is>
          <t>HIGH</t>
        </is>
      </c>
      <c r="F35" s="7" t="inlineStr">
        <is>
          <t>READY</t>
        </is>
      </c>
      <c r="G35" s="7" t="inlineStr">
        <is>
          <t>Row Ratification</t>
        </is>
      </c>
      <c r="H35" s="7" t="inlineStr">
        <is>
          <t>RNR-H16</t>
        </is>
      </c>
      <c r="I35" s="7" t="inlineStr">
        <is>
          <t>A21:N21</t>
        </is>
      </c>
      <c r="J35" s="7" t="inlineStr">
        <is>
          <t>Ratify RNR-H16: Gracious</t>
        </is>
      </c>
      <c r="K35" s="7" t="inlineStr">
        <is>
          <t>Is this public/ministry wording accurate, appropriately scoped, and fair enough to approve?</t>
        </is>
      </c>
      <c r="L35" s="7" t="inlineStr">
        <is>
          <t>Corpus: Inherited 57
Family/domain: Love, mercy, grace &amp; glory
Public summary: Gracious
Current code/tier: A
Provenance: Count-constrained reconstruction
Source/pointer: See inherited source report / recovered institution ledgers
Locator/source note: Recurring Kataphatic Vocabulary table
Public scope caution: Shared grace/gracious action.
Research status: RECONSTRUCTED — source-level/master-family recertification remains publication-critical</t>
        </is>
      </c>
      <c r="M35" s="7" t="inlineStr">
        <is>
          <t>Author decision = PENDING.</t>
        </is>
      </c>
      <c r="N35" s="7" t="inlineStr">
        <is>
          <t>Blocks M1/M2 public row copy until the row is APPROVED, REVISED, or intentionally HELD.</t>
        </is>
      </c>
      <c r="O35" s="7" t="inlineStr">
        <is>
          <t>APPROVE AS WRITTEN</t>
        </is>
      </c>
      <c r="P35" s="7" t="inlineStr">
        <is>
          <t>REVISE — enter complete replacement wording/scope note in Custom Response</t>
        </is>
      </c>
      <c r="Q35" s="7" t="inlineStr">
        <is>
          <t>HOLD — research-code review required before wording approval</t>
        </is>
      </c>
      <c r="R35" s="7" t="inlineStr">
        <is>
          <t>HOLD — source/scope review required before wording approval</t>
        </is>
      </c>
      <c r="S35" s="7" t="inlineStr">
        <is>
          <t>OPTION 2</t>
        </is>
      </c>
      <c r="T35" s="17">
        <f>'Author Response Entry'!$D$35</f>
        <v/>
      </c>
      <c r="U35" s="18">
        <f>'Author Response Entry'!$E$35</f>
        <v/>
      </c>
      <c r="V35" s="18">
        <f>'Author Response Entry'!$F$35</f>
        <v/>
      </c>
      <c r="W35" s="18">
        <f>'Author Response Entry'!$G$35</f>
        <v/>
      </c>
      <c r="X35" s="19">
        <f>'Author Response Entry'!$H$35</f>
        <v/>
      </c>
      <c r="Y35" s="18">
        <f>IF(T35="","",IF(T35="CUSTOM RESPONSE",U35,IF(T35="HOLD — NEEDS RESEARCH",IF(U35&lt;&gt;"",U35,"HOLD — NEEDS RESEARCH"),IF(T35="DEFER — NOT YET",IF(U35&lt;&gt;"",U35,"DEFER — NOT YET"),IF(T35="OPTION 1",O35,IF(T35="OPTION 2",U35,IF(T35="OPTION 3",Q35,IF(T35="OPTION 4",R35,""))))))))</f>
        <v/>
      </c>
      <c r="Z35" s="18">
        <f>IF(T35="","OPEN",IF(T35="CUSTOM RESPONSE",IF(U35="","OPEN — CUSTOM TEXT REQUIRED",IF(W35="","RESOLVED — ADD INITIALS/DATE",IF(X35="","RESOLVED — ADD INITIALS/DATE","RESOLVED"))),IF(T35="HOLD — NEEDS RESEARCH",IF(W35="","HOLD — ADD INITIALS/DATE",IF(X35="","HOLD — ADD INITIALS/DATE","HOLD")),IF(T35="DEFER — NOT YET",IF(W35="","DEFERRED — ADD INITIALS/DATE",IF(X35="","DEFERRED — ADD INITIALS/DATE","DEFERRED")),IF(T35="OPTION 1",IF(W35="","RESOLVED — ADD INITIALS/DATE",IF(X35="","RESOLVED — ADD INITIALS/DATE","RESOLVED")),IF(T35="OPTION 2",IF(U35="","OPEN — CUSTOM TEXT REQUIRED",IF(W35="","RESOLVED — ADD INITIALS/DATE",IF(X35="","RESOLVED — ADD INITIALS/DATE","RESOLVED"))),IF(T35="OPTION 3",IF(W35="","HOLD — ADD INITIALS/DATE",IF(X35="","HOLD — ADD INITIALS/DATE","HOLD")),IF(T35="OPTION 4",IF(W35="","HOLD — ADD INITIALS/DATE",IF(X35="","HOLD — ADD INITIALS/DATE","HOLD")),IF(W35="","RESOLVED — ADD INITIALS/DATE",IF(X35="","RESOLVED — ADD INITIALS/DATE","RESOLVED"))))))))))</f>
        <v/>
      </c>
      <c r="AA35" s="18" t="inlineStr">
        <is>
          <t>YES</t>
        </is>
      </c>
      <c r="AB35" s="18" t="inlineStr">
        <is>
          <t>Next controlled merge propagates decision to Row Ratification K:N. A wording review must not silently recode A/Q/D or authority tier.</t>
        </is>
      </c>
      <c r="AC35" s="18" t="inlineStr">
        <is>
          <t>Inherited H01–H20 — identity &amp; positive attributes</t>
        </is>
      </c>
      <c r="AD35" s="18" t="n"/>
      <c r="AE35" s="18" t="inlineStr">
        <is>
          <t>Shared grace/gracious action.</t>
        </is>
      </c>
      <c r="AF35" s="18">
        <f>IF(F35&lt;&gt;"READY","NO",IF(Z35="OPEN","YES",IF(Z35="OPEN — CUSTOM TEXT REQUIRED","YES",IF(Z35="RESOLVED — ADD INITIALS/DATE","YES",IF(Z35="HOLD — ADD INITIALS/DATE","YES",IF(Z35="DEFERRED — ADD INITIALS/DATE","YES","NO"))))))</f>
        <v/>
      </c>
      <c r="AG35" s="18">
        <f>IF(AF35&lt;&gt;"YES","",IF(A35=IFERROR(MATCH("YES",$AF$2:$AF$105,0),0),"CURRENT",""))</f>
        <v/>
      </c>
      <c r="AH35" s="20">
        <f>IF(COUNTIF($B$2:$B$105,B35)&gt;1,"DUPLICATE","")</f>
        <v/>
      </c>
    </row>
    <row r="36" ht="15.75" customHeight="1" s="29">
      <c r="A36" s="7" t="n">
        <v>35</v>
      </c>
      <c r="B36" s="7" t="inlineStr">
        <is>
          <t>AUTH-RAT-RNR-H17</t>
        </is>
      </c>
      <c r="C36" s="7" t="inlineStr">
        <is>
          <t>G6 — Row Ratification</t>
        </is>
      </c>
      <c r="D36" s="7" t="inlineStr">
        <is>
          <t>Predicate/addition wording</t>
        </is>
      </c>
      <c r="E36" s="7" t="inlineStr">
        <is>
          <t>HIGH</t>
        </is>
      </c>
      <c r="F36" s="7" t="inlineStr">
        <is>
          <t>READY</t>
        </is>
      </c>
      <c r="G36" s="7" t="inlineStr">
        <is>
          <t>Row Ratification</t>
        </is>
      </c>
      <c r="H36" s="7" t="inlineStr">
        <is>
          <t>RNR-H17</t>
        </is>
      </c>
      <c r="I36" s="7" t="inlineStr">
        <is>
          <t>A22:N22</t>
        </is>
      </c>
      <c r="J36" s="7" t="inlineStr">
        <is>
          <t>Ratify RNR-H17: Long-suffering / patient</t>
        </is>
      </c>
      <c r="K36" s="7" t="inlineStr">
        <is>
          <t>Is this public/ministry wording accurate, appropriately scoped, and fair enough to approve?</t>
        </is>
      </c>
      <c r="L36" s="7" t="inlineStr">
        <is>
          <t>Corpus: Inherited 57
Family/domain: Love, mercy, grace &amp; glory
Public summary: Long-suffering / patient
Current code/tier: A
Provenance: Count-constrained reconstruction
Source/pointer: See inherited source report / recovered institution ledgers
Locator/source note: Recurring Kataphatic Vocabulary table
Public scope caution: Shared divine patience/forbearance.
Research status: RECONSTRUCTED — source-level/master-family recertification remains publication-critical</t>
        </is>
      </c>
      <c r="M36" s="7" t="inlineStr">
        <is>
          <t>Author decision = PENDING.</t>
        </is>
      </c>
      <c r="N36" s="7" t="inlineStr">
        <is>
          <t>Blocks M1/M2 public row copy until the row is APPROVED, REVISED, or intentionally HELD.</t>
        </is>
      </c>
      <c r="O36" s="7" t="inlineStr">
        <is>
          <t>APPROVE AS WRITTEN</t>
        </is>
      </c>
      <c r="P36" s="7" t="inlineStr">
        <is>
          <t>REVISE — enter complete replacement wording/scope note in Custom Response</t>
        </is>
      </c>
      <c r="Q36" s="7" t="inlineStr">
        <is>
          <t>HOLD — research-code review required before wording approval</t>
        </is>
      </c>
      <c r="R36" s="7" t="inlineStr">
        <is>
          <t>HOLD — source/scope review required before wording approval</t>
        </is>
      </c>
      <c r="S36" s="7" t="inlineStr">
        <is>
          <t>OPTION 2</t>
        </is>
      </c>
      <c r="T36" s="17">
        <f>'Author Response Entry'!$D$36</f>
        <v/>
      </c>
      <c r="U36" s="18">
        <f>'Author Response Entry'!$E$36</f>
        <v/>
      </c>
      <c r="V36" s="18">
        <f>'Author Response Entry'!$F$36</f>
        <v/>
      </c>
      <c r="W36" s="18">
        <f>'Author Response Entry'!$G$36</f>
        <v/>
      </c>
      <c r="X36" s="19">
        <f>'Author Response Entry'!$H$36</f>
        <v/>
      </c>
      <c r="Y36" s="18">
        <f>IF(T36="","",IF(T36="CUSTOM RESPONSE",U36,IF(T36="HOLD — NEEDS RESEARCH",IF(U36&lt;&gt;"",U36,"HOLD — NEEDS RESEARCH"),IF(T36="DEFER — NOT YET",IF(U36&lt;&gt;"",U36,"DEFER — NOT YET"),IF(T36="OPTION 1",O36,IF(T36="OPTION 2",U36,IF(T36="OPTION 3",Q36,IF(T36="OPTION 4",R36,""))))))))</f>
        <v/>
      </c>
      <c r="Z36" s="18">
        <f>IF(T36="","OPEN",IF(T36="CUSTOM RESPONSE",IF(U36="","OPEN — CUSTOM TEXT REQUIRED",IF(W36="","RESOLVED — ADD INITIALS/DATE",IF(X36="","RESOLVED — ADD INITIALS/DATE","RESOLVED"))),IF(T36="HOLD — NEEDS RESEARCH",IF(W36="","HOLD — ADD INITIALS/DATE",IF(X36="","HOLD — ADD INITIALS/DATE","HOLD")),IF(T36="DEFER — NOT YET",IF(W36="","DEFERRED — ADD INITIALS/DATE",IF(X36="","DEFERRED — ADD INITIALS/DATE","DEFERRED")),IF(T36="OPTION 1",IF(W36="","RESOLVED — ADD INITIALS/DATE",IF(X36="","RESOLVED — ADD INITIALS/DATE","RESOLVED")),IF(T36="OPTION 2",IF(U36="","OPEN — CUSTOM TEXT REQUIRED",IF(W36="","RESOLVED — ADD INITIALS/DATE",IF(X36="","RESOLVED — ADD INITIALS/DATE","RESOLVED"))),IF(T36="OPTION 3",IF(W36="","HOLD — ADD INITIALS/DATE",IF(X36="","HOLD — ADD INITIALS/DATE","HOLD")),IF(T36="OPTION 4",IF(W36="","HOLD — ADD INITIALS/DATE",IF(X36="","HOLD — ADD INITIALS/DATE","HOLD")),IF(W36="","RESOLVED — ADD INITIALS/DATE",IF(X36="","RESOLVED — ADD INITIALS/DATE","RESOLVED"))))))))))</f>
        <v/>
      </c>
      <c r="AA36" s="18" t="inlineStr">
        <is>
          <t>YES</t>
        </is>
      </c>
      <c r="AB36" s="18" t="inlineStr">
        <is>
          <t>Next controlled merge propagates decision to Row Ratification K:N. A wording review must not silently recode A/Q/D or authority tier.</t>
        </is>
      </c>
      <c r="AC36" s="18" t="inlineStr">
        <is>
          <t>Inherited H01–H20 — identity &amp; positive attributes</t>
        </is>
      </c>
      <c r="AD36" s="18" t="n"/>
      <c r="AE36" s="18" t="inlineStr">
        <is>
          <t>Shared divine patience/forbearance.</t>
        </is>
      </c>
      <c r="AF36" s="18">
        <f>IF(F36&lt;&gt;"READY","NO",IF(Z36="OPEN","YES",IF(Z36="OPEN — CUSTOM TEXT REQUIRED","YES",IF(Z36="RESOLVED — ADD INITIALS/DATE","YES",IF(Z36="HOLD — ADD INITIALS/DATE","YES",IF(Z36="DEFERRED — ADD INITIALS/DATE","YES","NO"))))))</f>
        <v/>
      </c>
      <c r="AG36" s="18">
        <f>IF(AF36&lt;&gt;"YES","",IF(A36=IFERROR(MATCH("YES",$AF$2:$AF$105,0),0),"CURRENT",""))</f>
        <v/>
      </c>
      <c r="AH36" s="20">
        <f>IF(COUNTIF($B$2:$B$105,B36)&gt;1,"DUPLICATE","")</f>
        <v/>
      </c>
    </row>
    <row r="37" ht="15.75" customHeight="1" s="29">
      <c r="A37" s="7" t="n">
        <v>36</v>
      </c>
      <c r="B37" s="7" t="inlineStr">
        <is>
          <t>AUTH-RAT-RNR-H18</t>
        </is>
      </c>
      <c r="C37" s="7" t="inlineStr">
        <is>
          <t>G6 — Row Ratification</t>
        </is>
      </c>
      <c r="D37" s="7" t="inlineStr">
        <is>
          <t>Predicate/addition wording</t>
        </is>
      </c>
      <c r="E37" s="7" t="inlineStr">
        <is>
          <t>HIGH</t>
        </is>
      </c>
      <c r="F37" s="7" t="inlineStr">
        <is>
          <t>READY</t>
        </is>
      </c>
      <c r="G37" s="7" t="inlineStr">
        <is>
          <t>Row Ratification</t>
        </is>
      </c>
      <c r="H37" s="7" t="inlineStr">
        <is>
          <t>RNR-H18</t>
        </is>
      </c>
      <c r="I37" s="7" t="inlineStr">
        <is>
          <t>A23:N23</t>
        </is>
      </c>
      <c r="J37" s="7" t="inlineStr">
        <is>
          <t>Ratify RNR-H18: Forgiving</t>
        </is>
      </c>
      <c r="K37" s="7" t="inlineStr">
        <is>
          <t>Is this public/ministry wording accurate, appropriately scoped, and fair enough to approve?</t>
        </is>
      </c>
      <c r="L37" s="7" t="inlineStr">
        <is>
          <t>Corpus: Inherited 57
Family/domain: Love, mercy, grace &amp; glory
Public summary: Forgiving
Current code/tier: A
Provenance: Count-constrained reconstruction
Source/pointer: See inherited source report / recovered institution ledgers
Locator/source note: Recurring Kataphatic Vocabulary table
Public scope caution: Shared forgiving action.
Research status: RECONSTRUCTED — source-level/master-family recertification remains publication-critical</t>
        </is>
      </c>
      <c r="M37" s="7" t="inlineStr">
        <is>
          <t>Author decision = PENDING.</t>
        </is>
      </c>
      <c r="N37" s="7" t="inlineStr">
        <is>
          <t>Blocks M1/M2 public row copy until the row is APPROVED, REVISED, or intentionally HELD.</t>
        </is>
      </c>
      <c r="O37" s="7" t="inlineStr">
        <is>
          <t>APPROVE AS WRITTEN</t>
        </is>
      </c>
      <c r="P37" s="7" t="inlineStr">
        <is>
          <t>REVISE — enter complete replacement wording/scope note in Custom Response</t>
        </is>
      </c>
      <c r="Q37" s="7" t="inlineStr">
        <is>
          <t>HOLD — research-code review required before wording approval</t>
        </is>
      </c>
      <c r="R37" s="7" t="inlineStr">
        <is>
          <t>HOLD — source/scope review required before wording approval</t>
        </is>
      </c>
      <c r="S37" s="7" t="inlineStr">
        <is>
          <t>OPTION 2</t>
        </is>
      </c>
      <c r="T37" s="17">
        <f>'Author Response Entry'!$D$37</f>
        <v/>
      </c>
      <c r="U37" s="18">
        <f>'Author Response Entry'!$E$37</f>
        <v/>
      </c>
      <c r="V37" s="18">
        <f>'Author Response Entry'!$F$37</f>
        <v/>
      </c>
      <c r="W37" s="18">
        <f>'Author Response Entry'!$G$37</f>
        <v/>
      </c>
      <c r="X37" s="19">
        <f>'Author Response Entry'!$H$37</f>
        <v/>
      </c>
      <c r="Y37" s="18">
        <f>IF(T37="","",IF(T37="CUSTOM RESPONSE",U37,IF(T37="HOLD — NEEDS RESEARCH",IF(U37&lt;&gt;"",U37,"HOLD — NEEDS RESEARCH"),IF(T37="DEFER — NOT YET",IF(U37&lt;&gt;"",U37,"DEFER — NOT YET"),IF(T37="OPTION 1",O37,IF(T37="OPTION 2",U37,IF(T37="OPTION 3",Q37,IF(T37="OPTION 4",R37,""))))))))</f>
        <v/>
      </c>
      <c r="Z37" s="18">
        <f>IF(T37="","OPEN",IF(T37="CUSTOM RESPONSE",IF(U37="","OPEN — CUSTOM TEXT REQUIRED",IF(W37="","RESOLVED — ADD INITIALS/DATE",IF(X37="","RESOLVED — ADD INITIALS/DATE","RESOLVED"))),IF(T37="HOLD — NEEDS RESEARCH",IF(W37="","HOLD — ADD INITIALS/DATE",IF(X37="","HOLD — ADD INITIALS/DATE","HOLD")),IF(T37="DEFER — NOT YET",IF(W37="","DEFERRED — ADD INITIALS/DATE",IF(X37="","DEFERRED — ADD INITIALS/DATE","DEFERRED")),IF(T37="OPTION 1",IF(W37="","RESOLVED — ADD INITIALS/DATE",IF(X37="","RESOLVED — ADD INITIALS/DATE","RESOLVED")),IF(T37="OPTION 2",IF(U37="","OPEN — CUSTOM TEXT REQUIRED",IF(W37="","RESOLVED — ADD INITIALS/DATE",IF(X37="","RESOLVED — ADD INITIALS/DATE","RESOLVED"))),IF(T37="OPTION 3",IF(W37="","HOLD — ADD INITIALS/DATE",IF(X37="","HOLD — ADD INITIALS/DATE","HOLD")),IF(T37="OPTION 4",IF(W37="","HOLD — ADD INITIALS/DATE",IF(X37="","HOLD — ADD INITIALS/DATE","HOLD")),IF(W37="","RESOLVED — ADD INITIALS/DATE",IF(X37="","RESOLVED — ADD INITIALS/DATE","RESOLVED"))))))))))</f>
        <v/>
      </c>
      <c r="AA37" s="18" t="inlineStr">
        <is>
          <t>YES</t>
        </is>
      </c>
      <c r="AB37" s="18" t="inlineStr">
        <is>
          <t>Next controlled merge propagates decision to Row Ratification K:N. A wording review must not silently recode A/Q/D or authority tier.</t>
        </is>
      </c>
      <c r="AC37" s="18" t="inlineStr">
        <is>
          <t>Inherited H01–H20 — identity &amp; positive attributes</t>
        </is>
      </c>
      <c r="AD37" s="18" t="n"/>
      <c r="AE37" s="18" t="inlineStr">
        <is>
          <t>Shared forgiving action.</t>
        </is>
      </c>
      <c r="AF37" s="18">
        <f>IF(F37&lt;&gt;"READY","NO",IF(Z37="OPEN","YES",IF(Z37="OPEN — CUSTOM TEXT REQUIRED","YES",IF(Z37="RESOLVED — ADD INITIALS/DATE","YES",IF(Z37="HOLD — ADD INITIALS/DATE","YES",IF(Z37="DEFERRED — ADD INITIALS/DATE","YES","NO"))))))</f>
        <v/>
      </c>
      <c r="AG37" s="18">
        <f>IF(AF37&lt;&gt;"YES","",IF(A37=IFERROR(MATCH("YES",$AF$2:$AF$105,0),0),"CURRENT",""))</f>
        <v/>
      </c>
      <c r="AH37" s="20">
        <f>IF(COUNTIF($B$2:$B$105,B37)&gt;1,"DUPLICATE","")</f>
        <v/>
      </c>
    </row>
    <row r="38" ht="15.75" customHeight="1" s="29">
      <c r="A38" s="7" t="n">
        <v>37</v>
      </c>
      <c r="B38" s="7" t="inlineStr">
        <is>
          <t>AUTH-RAT-RNR-H19</t>
        </is>
      </c>
      <c r="C38" s="7" t="inlineStr">
        <is>
          <t>G6 — Row Ratification</t>
        </is>
      </c>
      <c r="D38" s="7" t="inlineStr">
        <is>
          <t>Predicate/addition wording</t>
        </is>
      </c>
      <c r="E38" s="7" t="inlineStr">
        <is>
          <t>HIGH</t>
        </is>
      </c>
      <c r="F38" s="7" t="inlineStr">
        <is>
          <t>READY</t>
        </is>
      </c>
      <c r="G38" s="7" t="inlineStr">
        <is>
          <t>Row Ratification</t>
        </is>
      </c>
      <c r="H38" s="7" t="inlineStr">
        <is>
          <t>RNR-H19</t>
        </is>
      </c>
      <c r="I38" s="7" t="inlineStr">
        <is>
          <t>A24:N24</t>
        </is>
      </c>
      <c r="J38" s="7" t="inlineStr">
        <is>
          <t>Ratify RNR-H19: Blessed</t>
        </is>
      </c>
      <c r="K38" s="7" t="inlineStr">
        <is>
          <t>Is this public/ministry wording accurate, appropriately scoped, and fair enough to approve?</t>
        </is>
      </c>
      <c r="L38" s="7" t="inlineStr">
        <is>
          <t>Corpus: Inherited 57
Family/domain: Love, mercy, grace &amp; glory
Public summary: Blessed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38" s="7" t="inlineStr">
        <is>
          <t>Author decision = PENDING.</t>
        </is>
      </c>
      <c r="N38" s="7" t="inlineStr">
        <is>
          <t>Blocks M1/M2 public row copy until the row is APPROVED, REVISED, or intentionally HELD.</t>
        </is>
      </c>
      <c r="O38" s="7" t="inlineStr">
        <is>
          <t>APPROVE AS WRITTEN</t>
        </is>
      </c>
      <c r="P38" s="7" t="inlineStr">
        <is>
          <t>REVISE — enter complete replacement wording/scope note in Custom Response</t>
        </is>
      </c>
      <c r="Q38" s="7" t="inlineStr">
        <is>
          <t>HOLD — research-code review required before wording approval</t>
        </is>
      </c>
      <c r="R38" s="7" t="inlineStr">
        <is>
          <t>HOLD — source/scope review required before wording approval</t>
        </is>
      </c>
      <c r="S38" s="7" t="inlineStr">
        <is>
          <t>OPTION 2</t>
        </is>
      </c>
      <c r="T38" s="17">
        <f>'Author Response Entry'!$D$38</f>
        <v/>
      </c>
      <c r="U38" s="18">
        <f>'Author Response Entry'!$E$38</f>
        <v/>
      </c>
      <c r="V38" s="18">
        <f>'Author Response Entry'!$F$38</f>
        <v/>
      </c>
      <c r="W38" s="18">
        <f>'Author Response Entry'!$G$38</f>
        <v/>
      </c>
      <c r="X38" s="19">
        <f>'Author Response Entry'!$H$38</f>
        <v/>
      </c>
      <c r="Y38" s="18">
        <f>IF(T38="","",IF(T38="CUSTOM RESPONSE",U38,IF(T38="HOLD — NEEDS RESEARCH",IF(U38&lt;&gt;"",U38,"HOLD — NEEDS RESEARCH"),IF(T38="DEFER — NOT YET",IF(U38&lt;&gt;"",U38,"DEFER — NOT YET"),IF(T38="OPTION 1",O38,IF(T38="OPTION 2",U38,IF(T38="OPTION 3",Q38,IF(T38="OPTION 4",R38,""))))))))</f>
        <v/>
      </c>
      <c r="Z38" s="18">
        <f>IF(T38="","OPEN",IF(T38="CUSTOM RESPONSE",IF(U38="","OPEN — CUSTOM TEXT REQUIRED",IF(W38="","RESOLVED — ADD INITIALS/DATE",IF(X38="","RESOLVED — ADD INITIALS/DATE","RESOLVED"))),IF(T38="HOLD — NEEDS RESEARCH",IF(W38="","HOLD — ADD INITIALS/DATE",IF(X38="","HOLD — ADD INITIALS/DATE","HOLD")),IF(T38="DEFER — NOT YET",IF(W38="","DEFERRED — ADD INITIALS/DATE",IF(X38="","DEFERRED — ADD INITIALS/DATE","DEFERRED")),IF(T38="OPTION 1",IF(W38="","RESOLVED — ADD INITIALS/DATE",IF(X38="","RESOLVED — ADD INITIALS/DATE","RESOLVED")),IF(T38="OPTION 2",IF(U38="","OPEN — CUSTOM TEXT REQUIRED",IF(W38="","RESOLVED — ADD INITIALS/DATE",IF(X38="","RESOLVED — ADD INITIALS/DATE","RESOLVED"))),IF(T38="OPTION 3",IF(W38="","HOLD — ADD INITIALS/DATE",IF(X38="","HOLD — ADD INITIALS/DATE","HOLD")),IF(T38="OPTION 4",IF(W38="","HOLD — ADD INITIALS/DATE",IF(X38="","HOLD — ADD INITIALS/DATE","HOLD")),IF(W38="","RESOLVED — ADD INITIALS/DATE",IF(X38="","RESOLVED — ADD INITIALS/DATE","RESOLVED"))))))))))</f>
        <v/>
      </c>
      <c r="AA38" s="18" t="inlineStr">
        <is>
          <t>YES</t>
        </is>
      </c>
      <c r="AB38" s="18" t="inlineStr">
        <is>
          <t>Next controlled merge propagates decision to Row Ratification K:N. A wording review must not silently recode A/Q/D or authority tier.</t>
        </is>
      </c>
      <c r="AC38" s="18" t="inlineStr">
        <is>
          <t>Inherited H01–H20 — identity &amp; positive attributes</t>
        </is>
      </c>
      <c r="AD38" s="18" t="n"/>
      <c r="AE38" s="18" t="inlineStr">
        <is>
          <t>No material conflict identified at the accepted floor.</t>
        </is>
      </c>
      <c r="AF38" s="18">
        <f>IF(F38&lt;&gt;"READY","NO",IF(Z38="OPEN","YES",IF(Z38="OPEN — CUSTOM TEXT REQUIRED","YES",IF(Z38="RESOLVED — ADD INITIALS/DATE","YES",IF(Z38="HOLD — ADD INITIALS/DATE","YES",IF(Z38="DEFERRED — ADD INITIALS/DATE","YES","NO"))))))</f>
        <v/>
      </c>
      <c r="AG38" s="18">
        <f>IF(AF38&lt;&gt;"YES","",IF(A38=IFERROR(MATCH("YES",$AF$2:$AF$105,0),0),"CURRENT",""))</f>
        <v/>
      </c>
      <c r="AH38" s="20">
        <f>IF(COUNTIF($B$2:$B$105,B38)&gt;1,"DUPLICATE","")</f>
        <v/>
      </c>
    </row>
    <row r="39" ht="15.75" customHeight="1" s="29">
      <c r="A39" s="7" t="n">
        <v>38</v>
      </c>
      <c r="B39" s="7" t="inlineStr">
        <is>
          <t>AUTH-RAT-RNR-H20</t>
        </is>
      </c>
      <c r="C39" s="7" t="inlineStr">
        <is>
          <t>G6 — Row Ratification</t>
        </is>
      </c>
      <c r="D39" s="7" t="inlineStr">
        <is>
          <t>Predicate/addition wording</t>
        </is>
      </c>
      <c r="E39" s="7" t="inlineStr">
        <is>
          <t>HIGH</t>
        </is>
      </c>
      <c r="F39" s="7" t="inlineStr">
        <is>
          <t>READY</t>
        </is>
      </c>
      <c r="G39" s="7" t="inlineStr">
        <is>
          <t>Row Ratification</t>
        </is>
      </c>
      <c r="H39" s="7" t="inlineStr">
        <is>
          <t>RNR-H20</t>
        </is>
      </c>
      <c r="I39" s="7" t="inlineStr">
        <is>
          <t>A25:N25</t>
        </is>
      </c>
      <c r="J39" s="7" t="inlineStr">
        <is>
          <t>Ratify RNR-H20: Glorious</t>
        </is>
      </c>
      <c r="K39" s="7" t="inlineStr">
        <is>
          <t>Is this public/ministry wording accurate, appropriately scoped, and fair enough to approve?</t>
        </is>
      </c>
      <c r="L39" s="7" t="inlineStr">
        <is>
          <t>Corpus: Inherited 57
Family/domain: Love, mercy, grace &amp; glory
Public summary: Glorious
Current code/tier: A
Provenance: Count-constrained reconstruction
Source/pointer: See inherited source report / recovered institution ledgers
Locator/source note: Recurring Kataphatic Vocabulary table
Public scope caution: Shared divine glory.
Research status: RECONSTRUCTED — source-level/master-family recertification remains publication-critical</t>
        </is>
      </c>
      <c r="M39" s="7" t="inlineStr">
        <is>
          <t>Author decision = PENDING.</t>
        </is>
      </c>
      <c r="N39" s="7" t="inlineStr">
        <is>
          <t>Blocks M1/M2 public row copy until the row is APPROVED, REVISED, or intentionally HELD.</t>
        </is>
      </c>
      <c r="O39" s="7" t="inlineStr">
        <is>
          <t>APPROVE AS WRITTEN</t>
        </is>
      </c>
      <c r="P39" s="7" t="inlineStr">
        <is>
          <t>REVISE — enter complete replacement wording/scope note in Custom Response</t>
        </is>
      </c>
      <c r="Q39" s="7" t="inlineStr">
        <is>
          <t>HOLD — research-code review required before wording approval</t>
        </is>
      </c>
      <c r="R39" s="7" t="inlineStr">
        <is>
          <t>HOLD — source/scope review required before wording approval</t>
        </is>
      </c>
      <c r="S39" s="7" t="inlineStr">
        <is>
          <t>OPTION 2</t>
        </is>
      </c>
      <c r="T39" s="17">
        <f>'Author Response Entry'!$D$39</f>
        <v/>
      </c>
      <c r="U39" s="18">
        <f>'Author Response Entry'!$E$39</f>
        <v/>
      </c>
      <c r="V39" s="18">
        <f>'Author Response Entry'!$F$39</f>
        <v/>
      </c>
      <c r="W39" s="18">
        <f>'Author Response Entry'!$G$39</f>
        <v/>
      </c>
      <c r="X39" s="19">
        <f>'Author Response Entry'!$H$39</f>
        <v/>
      </c>
      <c r="Y39" s="18">
        <f>IF(T39="","",IF(T39="CUSTOM RESPONSE",U39,IF(T39="HOLD — NEEDS RESEARCH",IF(U39&lt;&gt;"",U39,"HOLD — NEEDS RESEARCH"),IF(T39="DEFER — NOT YET",IF(U39&lt;&gt;"",U39,"DEFER — NOT YET"),IF(T39="OPTION 1",O39,IF(T39="OPTION 2",U39,IF(T39="OPTION 3",Q39,IF(T39="OPTION 4",R39,""))))))))</f>
        <v/>
      </c>
      <c r="Z39" s="18">
        <f>IF(T39="","OPEN",IF(T39="CUSTOM RESPONSE",IF(U39="","OPEN — CUSTOM TEXT REQUIRED",IF(W39="","RESOLVED — ADD INITIALS/DATE",IF(X39="","RESOLVED — ADD INITIALS/DATE","RESOLVED"))),IF(T39="HOLD — NEEDS RESEARCH",IF(W39="","HOLD — ADD INITIALS/DATE",IF(X39="","HOLD — ADD INITIALS/DATE","HOLD")),IF(T39="DEFER — NOT YET",IF(W39="","DEFERRED — ADD INITIALS/DATE",IF(X39="","DEFERRED — ADD INITIALS/DATE","DEFERRED")),IF(T39="OPTION 1",IF(W39="","RESOLVED — ADD INITIALS/DATE",IF(X39="","RESOLVED — ADD INITIALS/DATE","RESOLVED")),IF(T39="OPTION 2",IF(U39="","OPEN — CUSTOM TEXT REQUIRED",IF(W39="","RESOLVED — ADD INITIALS/DATE",IF(X39="","RESOLVED — ADD INITIALS/DATE","RESOLVED"))),IF(T39="OPTION 3",IF(W39="","HOLD — ADD INITIALS/DATE",IF(X39="","HOLD — ADD INITIALS/DATE","HOLD")),IF(T39="OPTION 4",IF(W39="","HOLD — ADD INITIALS/DATE",IF(X39="","HOLD — ADD INITIALS/DATE","HOLD")),IF(W39="","RESOLVED — ADD INITIALS/DATE",IF(X39="","RESOLVED — ADD INITIALS/DATE","RESOLVED"))))))))))</f>
        <v/>
      </c>
      <c r="AA39" s="18" t="inlineStr">
        <is>
          <t>YES</t>
        </is>
      </c>
      <c r="AB39" s="18" t="inlineStr">
        <is>
          <t>Next controlled merge propagates decision to Row Ratification K:N. A wording review must not silently recode A/Q/D or authority tier.</t>
        </is>
      </c>
      <c r="AC39" s="18" t="inlineStr">
        <is>
          <t>Inherited H01–H20 — identity &amp; positive attributes</t>
        </is>
      </c>
      <c r="AD39" s="18" t="n"/>
      <c r="AE39" s="18" t="inlineStr">
        <is>
          <t>Shared divine glory.</t>
        </is>
      </c>
      <c r="AF39" s="18">
        <f>IF(F39&lt;&gt;"READY","NO",IF(Z39="OPEN","YES",IF(Z39="OPEN — CUSTOM TEXT REQUIRED","YES",IF(Z39="RESOLVED — ADD INITIALS/DATE","YES",IF(Z39="HOLD — ADD INITIALS/DATE","YES",IF(Z39="DEFERRED — ADD INITIALS/DATE","YES","NO"))))))</f>
        <v/>
      </c>
      <c r="AG39" s="18">
        <f>IF(AF39&lt;&gt;"YES","",IF(A39=IFERROR(MATCH("YES",$AF$2:$AF$105,0),0),"CURRENT",""))</f>
        <v/>
      </c>
      <c r="AH39" s="20">
        <f>IF(COUNTIF($B$2:$B$105,B39)&gt;1,"DUPLICATE","")</f>
        <v/>
      </c>
    </row>
    <row r="40" ht="15.75" customHeight="1" s="29">
      <c r="A40" s="7" t="n">
        <v>39</v>
      </c>
      <c r="B40" s="7" t="inlineStr">
        <is>
          <t>AUTH-RAT-RNR-H21</t>
        </is>
      </c>
      <c r="C40" s="7" t="inlineStr">
        <is>
          <t>G6 — Row Ratification</t>
        </is>
      </c>
      <c r="D40" s="7" t="inlineStr">
        <is>
          <t>Predicate/addition wording</t>
        </is>
      </c>
      <c r="E40" s="7" t="inlineStr">
        <is>
          <t>HIGH</t>
        </is>
      </c>
      <c r="F40" s="7" t="inlineStr">
        <is>
          <t>READY</t>
        </is>
      </c>
      <c r="G40" s="7" t="inlineStr">
        <is>
          <t>Row Ratification</t>
        </is>
      </c>
      <c r="H40" s="7" t="inlineStr">
        <is>
          <t>RNR-H21</t>
        </is>
      </c>
      <c r="I40" s="7" t="inlineStr">
        <is>
          <t>A26:N26</t>
        </is>
      </c>
      <c r="J40" s="7" t="inlineStr">
        <is>
          <t>Ratify RNR-H21: Life-giving</t>
        </is>
      </c>
      <c r="K40" s="7" t="inlineStr">
        <is>
          <t>Is this public/ministry wording accurate, appropriately scoped, and fair enough to approve?</t>
        </is>
      </c>
      <c r="L40" s="7" t="inlineStr">
        <is>
          <t>Corpus: Inherited 57
Family/domain: Divine action, providence &amp; salvation
Public summary: Life-giving
Current code/tier: A
Provenance: Count-constrained reconstruction
Source/pointer: See inherited source report / recovered institution ledgers
Locator/source note: Recurring Kataphatic Vocabulary table
Public scope caution: Shared life-giving divine action.
Research status: RECONSTRUCTED — source-level/master-family recertification remains publication-critical</t>
        </is>
      </c>
      <c r="M40" s="7" t="inlineStr">
        <is>
          <t>Author decision = PENDING.</t>
        </is>
      </c>
      <c r="N40" s="7" t="inlineStr">
        <is>
          <t>Blocks M1/M2 public row copy until the row is APPROVED, REVISED, or intentionally HELD.</t>
        </is>
      </c>
      <c r="O40" s="7" t="inlineStr">
        <is>
          <t>APPROVE AS WRITTEN</t>
        </is>
      </c>
      <c r="P40" s="7" t="inlineStr">
        <is>
          <t>REVISE — enter complete replacement wording/scope note in Custom Response</t>
        </is>
      </c>
      <c r="Q40" s="7" t="inlineStr">
        <is>
          <t>HOLD — research-code review required before wording approval</t>
        </is>
      </c>
      <c r="R40" s="7" t="inlineStr">
        <is>
          <t>HOLD — source/scope review required before wording approval</t>
        </is>
      </c>
      <c r="S40" s="7" t="inlineStr">
        <is>
          <t>OPTION 2</t>
        </is>
      </c>
      <c r="T40" s="17">
        <f>'Author Response Entry'!$D$40</f>
        <v/>
      </c>
      <c r="U40" s="18">
        <f>'Author Response Entry'!$E$40</f>
        <v/>
      </c>
      <c r="V40" s="18">
        <f>'Author Response Entry'!$F$40</f>
        <v/>
      </c>
      <c r="W40" s="18">
        <f>'Author Response Entry'!$G$40</f>
        <v/>
      </c>
      <c r="X40" s="19">
        <f>'Author Response Entry'!$H$40</f>
        <v/>
      </c>
      <c r="Y40" s="18">
        <f>IF(T40="","",IF(T40="CUSTOM RESPONSE",U40,IF(T40="HOLD — NEEDS RESEARCH",IF(U40&lt;&gt;"",U40,"HOLD — NEEDS RESEARCH"),IF(T40="DEFER — NOT YET",IF(U40&lt;&gt;"",U40,"DEFER — NOT YET"),IF(T40="OPTION 1",O40,IF(T40="OPTION 2",U40,IF(T40="OPTION 3",Q40,IF(T40="OPTION 4",R40,""))))))))</f>
        <v/>
      </c>
      <c r="Z40" s="18">
        <f>IF(T40="","OPEN",IF(T40="CUSTOM RESPONSE",IF(U40="","OPEN — CUSTOM TEXT REQUIRED",IF(W40="","RESOLVED — ADD INITIALS/DATE",IF(X40="","RESOLVED — ADD INITIALS/DATE","RESOLVED"))),IF(T40="HOLD — NEEDS RESEARCH",IF(W40="","HOLD — ADD INITIALS/DATE",IF(X40="","HOLD — ADD INITIALS/DATE","HOLD")),IF(T40="DEFER — NOT YET",IF(W40="","DEFERRED — ADD INITIALS/DATE",IF(X40="","DEFERRED — ADD INITIALS/DATE","DEFERRED")),IF(T40="OPTION 1",IF(W40="","RESOLVED — ADD INITIALS/DATE",IF(X40="","RESOLVED — ADD INITIALS/DATE","RESOLVED")),IF(T40="OPTION 2",IF(U40="","OPEN — CUSTOM TEXT REQUIRED",IF(W40="","RESOLVED — ADD INITIALS/DATE",IF(X40="","RESOLVED — ADD INITIALS/DATE","RESOLVED"))),IF(T40="OPTION 3",IF(W40="","HOLD — ADD INITIALS/DATE",IF(X40="","HOLD — ADD INITIALS/DATE","HOLD")),IF(T40="OPTION 4",IF(W40="","HOLD — ADD INITIALS/DATE",IF(X40="","HOLD — ADD INITIALS/DATE","HOLD")),IF(W40="","RESOLVED — ADD INITIALS/DATE",IF(X40="","RESOLVED — ADD INITIALS/DATE","RESOLVED"))))))))))</f>
        <v/>
      </c>
      <c r="AA40" s="18" t="inlineStr">
        <is>
          <t>YES</t>
        </is>
      </c>
      <c r="AB40" s="18" t="inlineStr">
        <is>
          <t>Next controlled merge propagates decision to Row Ratification K:N. A wording review must not silently recode A/Q/D or authority tier.</t>
        </is>
      </c>
      <c r="AC40" s="18" t="inlineStr">
        <is>
          <t>Inherited H21–H35 — action &amp; Christ/Spirit titles</t>
        </is>
      </c>
      <c r="AD40" s="18" t="n"/>
      <c r="AE40" s="18" t="inlineStr">
        <is>
          <t>Shared life-giving divine action.</t>
        </is>
      </c>
      <c r="AF40" s="18">
        <f>IF(F40&lt;&gt;"READY","NO",IF(Z40="OPEN","YES",IF(Z40="OPEN — CUSTOM TEXT REQUIRED","YES",IF(Z40="RESOLVED — ADD INITIALS/DATE","YES",IF(Z40="HOLD — ADD INITIALS/DATE","YES",IF(Z40="DEFERRED — ADD INITIALS/DATE","YES","NO"))))))</f>
        <v/>
      </c>
      <c r="AG40" s="18">
        <f>IF(AF40&lt;&gt;"YES","",IF(A40=IFERROR(MATCH("YES",$AF$2:$AF$105,0),0),"CURRENT",""))</f>
        <v/>
      </c>
      <c r="AH40" s="20">
        <f>IF(COUNTIF($B$2:$B$105,B40)&gt;1,"DUPLICATE","")</f>
        <v/>
      </c>
    </row>
    <row r="41" ht="15.75" customHeight="1" s="29">
      <c r="A41" s="7" t="n">
        <v>40</v>
      </c>
      <c r="B41" s="7" t="inlineStr">
        <is>
          <t>AUTH-RAT-RNR-H22</t>
        </is>
      </c>
      <c r="C41" s="7" t="inlineStr">
        <is>
          <t>G6 — Row Ratification</t>
        </is>
      </c>
      <c r="D41" s="7" t="inlineStr">
        <is>
          <t>Predicate/addition wording</t>
        </is>
      </c>
      <c r="E41" s="7" t="inlineStr">
        <is>
          <t>MEDIUM</t>
        </is>
      </c>
      <c r="F41" s="7" t="inlineStr">
        <is>
          <t>READY</t>
        </is>
      </c>
      <c r="G41" s="7" t="inlineStr">
        <is>
          <t>Row Ratification</t>
        </is>
      </c>
      <c r="H41" s="7" t="inlineStr">
        <is>
          <t>RNR-H22</t>
        </is>
      </c>
      <c r="I41" s="7" t="inlineStr">
        <is>
          <t>A27:N27</t>
        </is>
      </c>
      <c r="J41" s="7" t="inlineStr">
        <is>
          <t>Ratify RNR-H22: Creator / Maker</t>
        </is>
      </c>
      <c r="K41" s="7" t="inlineStr">
        <is>
          <t>Is this public/ministry wording accurate, appropriately scoped, and fair enough to approve?</t>
        </is>
      </c>
      <c r="L41" s="7" t="inlineStr">
        <is>
          <t>Corpus: Inherited 57
Family/domain: Divine action, providence &amp; salvation
Public summary: Creator / Maker
Current code/tier: Q
Provenance: Explicit in master handoff
Source/pointer: See inherited source report / recovered institution ledgers
Locator/source note: Recurring Kataphatic Vocabulary table
Public scope caution: Creator/Maker confession is shared; creation ontology/mechanics are materially redefined around preexistent reality.
Research status: CONTROLLED INTERNAL — still requires public wording signoff</t>
        </is>
      </c>
      <c r="M41" s="7" t="inlineStr">
        <is>
          <t>Author decision = PENDING.</t>
        </is>
      </c>
      <c r="N41" s="7" t="inlineStr">
        <is>
          <t>Blocks M1/M2 public row copy until the row is APPROVED, REVISED, or intentionally HELD.</t>
        </is>
      </c>
      <c r="O41" s="7" t="inlineStr">
        <is>
          <t>APPROVE AS WRITTEN</t>
        </is>
      </c>
      <c r="P41" s="7" t="inlineStr">
        <is>
          <t>REVISE — enter complete replacement wording/scope note in Custom Response</t>
        </is>
      </c>
      <c r="Q41" s="7" t="inlineStr">
        <is>
          <t>HOLD — research-code review required before wording approval</t>
        </is>
      </c>
      <c r="R41" s="7" t="inlineStr">
        <is>
          <t>HOLD — source/scope review required before wording approval</t>
        </is>
      </c>
      <c r="S41" s="7" t="inlineStr">
        <is>
          <t>OPTION 2</t>
        </is>
      </c>
      <c r="T41" s="17">
        <f>'Author Response Entry'!$D$41</f>
        <v/>
      </c>
      <c r="U41" s="18">
        <f>'Author Response Entry'!$E$41</f>
        <v/>
      </c>
      <c r="V41" s="18">
        <f>'Author Response Entry'!$F$41</f>
        <v/>
      </c>
      <c r="W41" s="18">
        <f>'Author Response Entry'!$G$41</f>
        <v/>
      </c>
      <c r="X41" s="19">
        <f>'Author Response Entry'!$H$41</f>
        <v/>
      </c>
      <c r="Y41" s="18">
        <f>IF(T41="","",IF(T41="CUSTOM RESPONSE",U41,IF(T41="HOLD — NEEDS RESEARCH",IF(U41&lt;&gt;"",U41,"HOLD — NEEDS RESEARCH"),IF(T41="DEFER — NOT YET",IF(U41&lt;&gt;"",U41,"DEFER — NOT YET"),IF(T41="OPTION 1",O41,IF(T41="OPTION 2",U41,IF(T41="OPTION 3",Q41,IF(T41="OPTION 4",R41,""))))))))</f>
        <v/>
      </c>
      <c r="Z41" s="18">
        <f>IF(T41="","OPEN",IF(T41="CUSTOM RESPONSE",IF(U41="","OPEN — CUSTOM TEXT REQUIRED",IF(W41="","RESOLVED — ADD INITIALS/DATE",IF(X41="","RESOLVED — ADD INITIALS/DATE","RESOLVED"))),IF(T41="HOLD — NEEDS RESEARCH",IF(W41="","HOLD — ADD INITIALS/DATE",IF(X41="","HOLD — ADD INITIALS/DATE","HOLD")),IF(T41="DEFER — NOT YET",IF(W41="","DEFERRED — ADD INITIALS/DATE",IF(X41="","DEFERRED — ADD INITIALS/DATE","DEFERRED")),IF(T41="OPTION 1",IF(W41="","RESOLVED — ADD INITIALS/DATE",IF(X41="","RESOLVED — ADD INITIALS/DATE","RESOLVED")),IF(T41="OPTION 2",IF(U41="","OPEN — CUSTOM TEXT REQUIRED",IF(W41="","RESOLVED — ADD INITIALS/DATE",IF(X41="","RESOLVED — ADD INITIALS/DATE","RESOLVED"))),IF(T41="OPTION 3",IF(W41="","HOLD — ADD INITIALS/DATE",IF(X41="","HOLD — ADD INITIALS/DATE","HOLD")),IF(T41="OPTION 4",IF(W41="","HOLD — ADD INITIALS/DATE",IF(X41="","HOLD — ADD INITIALS/DATE","HOLD")),IF(W41="","RESOLVED — ADD INITIALS/DATE",IF(X41="","RESOLVED — ADD INITIALS/DATE","RESOLVED"))))))))))</f>
        <v/>
      </c>
      <c r="AA41" s="18" t="inlineStr">
        <is>
          <t>YES</t>
        </is>
      </c>
      <c r="AB41" s="18" t="inlineStr">
        <is>
          <t>Next controlled merge propagates decision to Row Ratification K:N. A wording review must not silently recode A/Q/D or authority tier.</t>
        </is>
      </c>
      <c r="AC41" s="18" t="inlineStr">
        <is>
          <t>Inherited H21–H35 — action &amp; Christ/Spirit titles</t>
        </is>
      </c>
      <c r="AD41" s="18" t="n"/>
      <c r="AE41" s="18" t="inlineStr">
        <is>
          <t>Creator/Maker confession is shared; creation ontology/mechanics are materially redefined around preexistent reality.</t>
        </is>
      </c>
      <c r="AF41" s="18">
        <f>IF(F41&lt;&gt;"READY","NO",IF(Z41="OPEN","YES",IF(Z41="OPEN — CUSTOM TEXT REQUIRED","YES",IF(Z41="RESOLVED — ADD INITIALS/DATE","YES",IF(Z41="HOLD — ADD INITIALS/DATE","YES",IF(Z41="DEFERRED — ADD INITIALS/DATE","YES","NO"))))))</f>
        <v/>
      </c>
      <c r="AG41" s="18">
        <f>IF(AF41&lt;&gt;"YES","",IF(A41=IFERROR(MATCH("YES",$AF$2:$AF$105,0),0),"CURRENT",""))</f>
        <v/>
      </c>
      <c r="AH41" s="20">
        <f>IF(COUNTIF($B$2:$B$105,B41)&gt;1,"DUPLICATE","")</f>
        <v/>
      </c>
    </row>
    <row r="42" ht="15.75" customHeight="1" s="29">
      <c r="A42" s="7" t="n">
        <v>41</v>
      </c>
      <c r="B42" s="7" t="inlineStr">
        <is>
          <t>AUTH-RAT-RNR-H23</t>
        </is>
      </c>
      <c r="C42" s="7" t="inlineStr">
        <is>
          <t>G6 — Row Ratification</t>
        </is>
      </c>
      <c r="D42" s="7" t="inlineStr">
        <is>
          <t>Predicate/addition wording</t>
        </is>
      </c>
      <c r="E42" s="7" t="inlineStr">
        <is>
          <t>HIGH</t>
        </is>
      </c>
      <c r="F42" s="7" t="inlineStr">
        <is>
          <t>READY</t>
        </is>
      </c>
      <c r="G42" s="7" t="inlineStr">
        <is>
          <t>Row Ratification</t>
        </is>
      </c>
      <c r="H42" s="7" t="inlineStr">
        <is>
          <t>RNR-H23</t>
        </is>
      </c>
      <c r="I42" s="7" t="inlineStr">
        <is>
          <t>A28:N28</t>
        </is>
      </c>
      <c r="J42" s="7" t="inlineStr">
        <is>
          <t>Ratify RNR-H23: Preserver / Sustainer</t>
        </is>
      </c>
      <c r="K42" s="7" t="inlineStr">
        <is>
          <t>Is this public/ministry wording accurate, appropriately scoped, and fair enough to approve?</t>
        </is>
      </c>
      <c r="L42" s="7" t="inlineStr">
        <is>
          <t>Corpus: Inherited 57
Family/domain: Divine action, providence &amp; salvation
Public summary: Preserver / Sustainer
Current code/tier: A
Provenance: Count-constrained reconstruction
Source/pointer: See inherited source report / recovered institution ledgers
Locator/source note: Recurring Kataphatic Vocabulary table
Public scope caution: Shared sustaining/preserving action; stronger continuous ontological-conservation theory remains a thick-layer issue.
Research status: RECONSTRUCTED — source-level/master-family recertification remains publication-critical</t>
        </is>
      </c>
      <c r="M42" s="7" t="inlineStr">
        <is>
          <t>Author decision = PENDING.</t>
        </is>
      </c>
      <c r="N42" s="7" t="inlineStr">
        <is>
          <t>Blocks M1/M2 public row copy until the row is APPROVED, REVISED, or intentionally HELD.</t>
        </is>
      </c>
      <c r="O42" s="7" t="inlineStr">
        <is>
          <t>APPROVE AS WRITTEN</t>
        </is>
      </c>
      <c r="P42" s="7" t="inlineStr">
        <is>
          <t>REVISE — enter complete replacement wording/scope note in Custom Response</t>
        </is>
      </c>
      <c r="Q42" s="7" t="inlineStr">
        <is>
          <t>HOLD — research-code review required before wording approval</t>
        </is>
      </c>
      <c r="R42" s="7" t="inlineStr">
        <is>
          <t>HOLD — source/scope review required before wording approval</t>
        </is>
      </c>
      <c r="S42" s="7" t="inlineStr">
        <is>
          <t>OPTION 2</t>
        </is>
      </c>
      <c r="T42" s="17">
        <f>'Author Response Entry'!$D$42</f>
        <v/>
      </c>
      <c r="U42" s="18">
        <f>'Author Response Entry'!$E$42</f>
        <v/>
      </c>
      <c r="V42" s="18">
        <f>'Author Response Entry'!$F$42</f>
        <v/>
      </c>
      <c r="W42" s="18">
        <f>'Author Response Entry'!$G$42</f>
        <v/>
      </c>
      <c r="X42" s="19">
        <f>'Author Response Entry'!$H$42</f>
        <v/>
      </c>
      <c r="Y42" s="18">
        <f>IF(T42="","",IF(T42="CUSTOM RESPONSE",U42,IF(T42="HOLD — NEEDS RESEARCH",IF(U42&lt;&gt;"",U42,"HOLD — NEEDS RESEARCH"),IF(T42="DEFER — NOT YET",IF(U42&lt;&gt;"",U42,"DEFER — NOT YET"),IF(T42="OPTION 1",O42,IF(T42="OPTION 2",U42,IF(T42="OPTION 3",Q42,IF(T42="OPTION 4",R42,""))))))))</f>
        <v/>
      </c>
      <c r="Z42" s="18">
        <f>IF(T42="","OPEN",IF(T42="CUSTOM RESPONSE",IF(U42="","OPEN — CUSTOM TEXT REQUIRED",IF(W42="","RESOLVED — ADD INITIALS/DATE",IF(X42="","RESOLVED — ADD INITIALS/DATE","RESOLVED"))),IF(T42="HOLD — NEEDS RESEARCH",IF(W42="","HOLD — ADD INITIALS/DATE",IF(X42="","HOLD — ADD INITIALS/DATE","HOLD")),IF(T42="DEFER — NOT YET",IF(W42="","DEFERRED — ADD INITIALS/DATE",IF(X42="","DEFERRED — ADD INITIALS/DATE","DEFERRED")),IF(T42="OPTION 1",IF(W42="","RESOLVED — ADD INITIALS/DATE",IF(X42="","RESOLVED — ADD INITIALS/DATE","RESOLVED")),IF(T42="OPTION 2",IF(U42="","OPEN — CUSTOM TEXT REQUIRED",IF(W42="","RESOLVED — ADD INITIALS/DATE",IF(X42="","RESOLVED — ADD INITIALS/DATE","RESOLVED"))),IF(T42="OPTION 3",IF(W42="","HOLD — ADD INITIALS/DATE",IF(X42="","HOLD — ADD INITIALS/DATE","HOLD")),IF(T42="OPTION 4",IF(W42="","HOLD — ADD INITIALS/DATE",IF(X42="","HOLD — ADD INITIALS/DATE","HOLD")),IF(W42="","RESOLVED — ADD INITIALS/DATE",IF(X42="","RESOLVED — ADD INITIALS/DATE","RESOLVED"))))))))))</f>
        <v/>
      </c>
      <c r="AA42" s="18" t="inlineStr">
        <is>
          <t>YES</t>
        </is>
      </c>
      <c r="AB42" s="18" t="inlineStr">
        <is>
          <t>Next controlled merge propagates decision to Row Ratification K:N. A wording review must not silently recode A/Q/D or authority tier.</t>
        </is>
      </c>
      <c r="AC42" s="18" t="inlineStr">
        <is>
          <t>Inherited H21–H35 — action &amp; Christ/Spirit titles</t>
        </is>
      </c>
      <c r="AD42" s="18" t="n"/>
      <c r="AE42" s="18" t="inlineStr">
        <is>
          <t>Shared sustaining/preserving action; stronger continuous ontological-conservation theory remains a thick-layer issue.</t>
        </is>
      </c>
      <c r="AF42" s="18">
        <f>IF(F42&lt;&gt;"READY","NO",IF(Z42="OPEN","YES",IF(Z42="OPEN — CUSTOM TEXT REQUIRED","YES",IF(Z42="RESOLVED — ADD INITIALS/DATE","YES",IF(Z42="HOLD — ADD INITIALS/DATE","YES",IF(Z42="DEFERRED — ADD INITIALS/DATE","YES","NO"))))))</f>
        <v/>
      </c>
      <c r="AG42" s="18">
        <f>IF(AF42&lt;&gt;"YES","",IF(A42=IFERROR(MATCH("YES",$AF$2:$AF$105,0),0),"CURRENT",""))</f>
        <v/>
      </c>
      <c r="AH42" s="20">
        <f>IF(COUNTIF($B$2:$B$105,B42)&gt;1,"DUPLICATE","")</f>
        <v/>
      </c>
    </row>
    <row r="43" ht="15.75" customHeight="1" s="29">
      <c r="A43" s="7" t="n">
        <v>42</v>
      </c>
      <c r="B43" s="7" t="inlineStr">
        <is>
          <t>AUTH-RAT-RNR-H24</t>
        </is>
      </c>
      <c r="C43" s="7" t="inlineStr">
        <is>
          <t>G6 — Row Ratification</t>
        </is>
      </c>
      <c r="D43" s="7" t="inlineStr">
        <is>
          <t>Predicate/addition wording</t>
        </is>
      </c>
      <c r="E43" s="7" t="inlineStr">
        <is>
          <t>HIGH</t>
        </is>
      </c>
      <c r="F43" s="7" t="inlineStr">
        <is>
          <t>READY</t>
        </is>
      </c>
      <c r="G43" s="7" t="inlineStr">
        <is>
          <t>Row Ratification</t>
        </is>
      </c>
      <c r="H43" s="7" t="inlineStr">
        <is>
          <t>RNR-H24</t>
        </is>
      </c>
      <c r="I43" s="7" t="inlineStr">
        <is>
          <t>A29:N29</t>
        </is>
      </c>
      <c r="J43" s="7" t="inlineStr">
        <is>
          <t>Ratify RNR-H24: Governor / Ruler</t>
        </is>
      </c>
      <c r="K43" s="7" t="inlineStr">
        <is>
          <t>Is this public/ministry wording accurate, appropriately scoped, and fair enough to approve?</t>
        </is>
      </c>
      <c r="L43" s="7" t="inlineStr">
        <is>
          <t>Corpus: Inherited 57
Family/domain: Divine action, providence &amp; salvation
Public summary: Governor / Ruler
Current code/tier: A
Provenance: Count-constrained reconstruction
Source/pointer: See inherited source report / recovered institution ledgers
Locator/source note: Recurring Kataphatic Vocabulary table
Public scope caution: Shared providential governance.
Research status: RECONSTRUCTED — source-level/master-family recertification remains publication-critical</t>
        </is>
      </c>
      <c r="M43" s="7" t="inlineStr">
        <is>
          <t>Author decision = PENDING.</t>
        </is>
      </c>
      <c r="N43" s="7" t="inlineStr">
        <is>
          <t>Blocks M1/M2 public row copy until the row is APPROVED, REVISED, or intentionally HELD.</t>
        </is>
      </c>
      <c r="O43" s="7" t="inlineStr">
        <is>
          <t>APPROVE AS WRITTEN</t>
        </is>
      </c>
      <c r="P43" s="7" t="inlineStr">
        <is>
          <t>REVISE — enter complete replacement wording/scope note in Custom Response</t>
        </is>
      </c>
      <c r="Q43" s="7" t="inlineStr">
        <is>
          <t>HOLD — research-code review required before wording approval</t>
        </is>
      </c>
      <c r="R43" s="7" t="inlineStr">
        <is>
          <t>HOLD — source/scope review required before wording approval</t>
        </is>
      </c>
      <c r="S43" s="7" t="inlineStr">
        <is>
          <t>OPTION 2</t>
        </is>
      </c>
      <c r="T43" s="17">
        <f>'Author Response Entry'!$D$43</f>
        <v/>
      </c>
      <c r="U43" s="18">
        <f>'Author Response Entry'!$E$43</f>
        <v/>
      </c>
      <c r="V43" s="18">
        <f>'Author Response Entry'!$F$43</f>
        <v/>
      </c>
      <c r="W43" s="18">
        <f>'Author Response Entry'!$G$43</f>
        <v/>
      </c>
      <c r="X43" s="19">
        <f>'Author Response Entry'!$H$43</f>
        <v/>
      </c>
      <c r="Y43" s="18">
        <f>IF(T43="","",IF(T43="CUSTOM RESPONSE",U43,IF(T43="HOLD — NEEDS RESEARCH",IF(U43&lt;&gt;"",U43,"HOLD — NEEDS RESEARCH"),IF(T43="DEFER — NOT YET",IF(U43&lt;&gt;"",U43,"DEFER — NOT YET"),IF(T43="OPTION 1",O43,IF(T43="OPTION 2",U43,IF(T43="OPTION 3",Q43,IF(T43="OPTION 4",R43,""))))))))</f>
        <v/>
      </c>
      <c r="Z43" s="18">
        <f>IF(T43="","OPEN",IF(T43="CUSTOM RESPONSE",IF(U43="","OPEN — CUSTOM TEXT REQUIRED",IF(W43="","RESOLVED — ADD INITIALS/DATE",IF(X43="","RESOLVED — ADD INITIALS/DATE","RESOLVED"))),IF(T43="HOLD — NEEDS RESEARCH",IF(W43="","HOLD — ADD INITIALS/DATE",IF(X43="","HOLD — ADD INITIALS/DATE","HOLD")),IF(T43="DEFER — NOT YET",IF(W43="","DEFERRED — ADD INITIALS/DATE",IF(X43="","DEFERRED — ADD INITIALS/DATE","DEFERRED")),IF(T43="OPTION 1",IF(W43="","RESOLVED — ADD INITIALS/DATE",IF(X43="","RESOLVED — ADD INITIALS/DATE","RESOLVED")),IF(T43="OPTION 2",IF(U43="","OPEN — CUSTOM TEXT REQUIRED",IF(W43="","RESOLVED — ADD INITIALS/DATE",IF(X43="","RESOLVED — ADD INITIALS/DATE","RESOLVED"))),IF(T43="OPTION 3",IF(W43="","HOLD — ADD INITIALS/DATE",IF(X43="","HOLD — ADD INITIALS/DATE","HOLD")),IF(T43="OPTION 4",IF(W43="","HOLD — ADD INITIALS/DATE",IF(X43="","HOLD — ADD INITIALS/DATE","HOLD")),IF(W43="","RESOLVED — ADD INITIALS/DATE",IF(X43="","RESOLVED — ADD INITIALS/DATE","RESOLVED"))))))))))</f>
        <v/>
      </c>
      <c r="AA43" s="18" t="inlineStr">
        <is>
          <t>YES</t>
        </is>
      </c>
      <c r="AB43" s="18" t="inlineStr">
        <is>
          <t>Next controlled merge propagates decision to Row Ratification K:N. A wording review must not silently recode A/Q/D or authority tier.</t>
        </is>
      </c>
      <c r="AC43" s="18" t="inlineStr">
        <is>
          <t>Inherited H21–H35 — action &amp; Christ/Spirit titles</t>
        </is>
      </c>
      <c r="AD43" s="18" t="n"/>
      <c r="AE43" s="18" t="inlineStr">
        <is>
          <t>Shared providential governance.</t>
        </is>
      </c>
      <c r="AF43" s="18">
        <f>IF(F43&lt;&gt;"READY","NO",IF(Z43="OPEN","YES",IF(Z43="OPEN — CUSTOM TEXT REQUIRED","YES",IF(Z43="RESOLVED — ADD INITIALS/DATE","YES",IF(Z43="HOLD — ADD INITIALS/DATE","YES",IF(Z43="DEFERRED — ADD INITIALS/DATE","YES","NO"))))))</f>
        <v/>
      </c>
      <c r="AG43" s="18">
        <f>IF(AF43&lt;&gt;"YES","",IF(A43=IFERROR(MATCH("YES",$AF$2:$AF$105,0),0),"CURRENT",""))</f>
        <v/>
      </c>
      <c r="AH43" s="20">
        <f>IF(COUNTIF($B$2:$B$105,B43)&gt;1,"DUPLICATE","")</f>
        <v/>
      </c>
    </row>
    <row r="44" ht="15.75" customHeight="1" s="29">
      <c r="A44" s="7" t="n">
        <v>43</v>
      </c>
      <c r="B44" s="7" t="inlineStr">
        <is>
          <t>AUTH-RAT-RNR-H25</t>
        </is>
      </c>
      <c r="C44" s="7" t="inlineStr">
        <is>
          <t>G6 — Row Ratification</t>
        </is>
      </c>
      <c r="D44" s="7" t="inlineStr">
        <is>
          <t>Predicate/addition wording</t>
        </is>
      </c>
      <c r="E44" s="7" t="inlineStr">
        <is>
          <t>HIGH</t>
        </is>
      </c>
      <c r="F44" s="7" t="inlineStr">
        <is>
          <t>READY</t>
        </is>
      </c>
      <c r="G44" s="7" t="inlineStr">
        <is>
          <t>Row Ratification</t>
        </is>
      </c>
      <c r="H44" s="7" t="inlineStr">
        <is>
          <t>RNR-H25</t>
        </is>
      </c>
      <c r="I44" s="7" t="inlineStr">
        <is>
          <t>A30:N30</t>
        </is>
      </c>
      <c r="J44" s="7" t="inlineStr">
        <is>
          <t>Ratify RNR-H25: Sovereign</t>
        </is>
      </c>
      <c r="K44" s="7" t="inlineStr">
        <is>
          <t>Is this public/ministry wording accurate, appropriately scoped, and fair enough to approve?</t>
        </is>
      </c>
      <c r="L44" s="7" t="inlineStr">
        <is>
          <t>Corpus: Inherited 57
Family/domain: Divine action, providence &amp; salvation
Public summary: Sovereign
Current code/tier: A
Provenance: Count-constrained reconstruction
Source/pointer: See inherited source report / recovered institution ledgers
Locator/source note: Recurring Kataphatic Vocabulary table
Public scope caution: Shared divine sovereignty.
Research status: RECONSTRUCTED — source-level/master-family recertification remains publication-critical</t>
        </is>
      </c>
      <c r="M44" s="7" t="inlineStr">
        <is>
          <t>Author decision = PENDING.</t>
        </is>
      </c>
      <c r="N44" s="7" t="inlineStr">
        <is>
          <t>Blocks M1/M2 public row copy until the row is APPROVED, REVISED, or intentionally HELD.</t>
        </is>
      </c>
      <c r="O44" s="7" t="inlineStr">
        <is>
          <t>APPROVE AS WRITTEN</t>
        </is>
      </c>
      <c r="P44" s="7" t="inlineStr">
        <is>
          <t>REVISE — enter complete replacement wording/scope note in Custom Response</t>
        </is>
      </c>
      <c r="Q44" s="7" t="inlineStr">
        <is>
          <t>HOLD — research-code review required before wording approval</t>
        </is>
      </c>
      <c r="R44" s="7" t="inlineStr">
        <is>
          <t>HOLD — source/scope review required before wording approval</t>
        </is>
      </c>
      <c r="S44" s="7" t="inlineStr">
        <is>
          <t>OPTION 2</t>
        </is>
      </c>
      <c r="T44" s="17">
        <f>'Author Response Entry'!$D$44</f>
        <v/>
      </c>
      <c r="U44" s="18">
        <f>'Author Response Entry'!$E$44</f>
        <v/>
      </c>
      <c r="V44" s="18">
        <f>'Author Response Entry'!$F$44</f>
        <v/>
      </c>
      <c r="W44" s="18">
        <f>'Author Response Entry'!$G$44</f>
        <v/>
      </c>
      <c r="X44" s="19">
        <f>'Author Response Entry'!$H$44</f>
        <v/>
      </c>
      <c r="Y44" s="18">
        <f>IF(T44="","",IF(T44="CUSTOM RESPONSE",U44,IF(T44="HOLD — NEEDS RESEARCH",IF(U44&lt;&gt;"",U44,"HOLD — NEEDS RESEARCH"),IF(T44="DEFER — NOT YET",IF(U44&lt;&gt;"",U44,"DEFER — NOT YET"),IF(T44="OPTION 1",O44,IF(T44="OPTION 2",U44,IF(T44="OPTION 3",Q44,IF(T44="OPTION 4",R44,""))))))))</f>
        <v/>
      </c>
      <c r="Z44" s="18">
        <f>IF(T44="","OPEN",IF(T44="CUSTOM RESPONSE",IF(U44="","OPEN — CUSTOM TEXT REQUIRED",IF(W44="","RESOLVED — ADD INITIALS/DATE",IF(X44="","RESOLVED — ADD INITIALS/DATE","RESOLVED"))),IF(T44="HOLD — NEEDS RESEARCH",IF(W44="","HOLD — ADD INITIALS/DATE",IF(X44="","HOLD — ADD INITIALS/DATE","HOLD")),IF(T44="DEFER — NOT YET",IF(W44="","DEFERRED — ADD INITIALS/DATE",IF(X44="","DEFERRED — ADD INITIALS/DATE","DEFERRED")),IF(T44="OPTION 1",IF(W44="","RESOLVED — ADD INITIALS/DATE",IF(X44="","RESOLVED — ADD INITIALS/DATE","RESOLVED")),IF(T44="OPTION 2",IF(U44="","OPEN — CUSTOM TEXT REQUIRED",IF(W44="","RESOLVED — ADD INITIALS/DATE",IF(X44="","RESOLVED — ADD INITIALS/DATE","RESOLVED"))),IF(T44="OPTION 3",IF(W44="","HOLD — ADD INITIALS/DATE",IF(X44="","HOLD — ADD INITIALS/DATE","HOLD")),IF(T44="OPTION 4",IF(W44="","HOLD — ADD INITIALS/DATE",IF(X44="","HOLD — ADD INITIALS/DATE","HOLD")),IF(W44="","RESOLVED — ADD INITIALS/DATE",IF(X44="","RESOLVED — ADD INITIALS/DATE","RESOLVED"))))))))))</f>
        <v/>
      </c>
      <c r="AA44" s="18" t="inlineStr">
        <is>
          <t>YES</t>
        </is>
      </c>
      <c r="AB44" s="18" t="inlineStr">
        <is>
          <t>Next controlled merge propagates decision to Row Ratification K:N. A wording review must not silently recode A/Q/D or authority tier.</t>
        </is>
      </c>
      <c r="AC44" s="18" t="inlineStr">
        <is>
          <t>Inherited H21–H35 — action &amp; Christ/Spirit titles</t>
        </is>
      </c>
      <c r="AD44" s="18" t="n"/>
      <c r="AE44" s="18" t="inlineStr">
        <is>
          <t>Shared divine sovereignty.</t>
        </is>
      </c>
      <c r="AF44" s="18">
        <f>IF(F44&lt;&gt;"READY","NO",IF(Z44="OPEN","YES",IF(Z44="OPEN — CUSTOM TEXT REQUIRED","YES",IF(Z44="RESOLVED — ADD INITIALS/DATE","YES",IF(Z44="HOLD — ADD INITIALS/DATE","YES",IF(Z44="DEFERRED — ADD INITIALS/DATE","YES","NO"))))))</f>
        <v/>
      </c>
      <c r="AG44" s="18">
        <f>IF(AF44&lt;&gt;"YES","",IF(A44=IFERROR(MATCH("YES",$AF$2:$AF$105,0),0),"CURRENT",""))</f>
        <v/>
      </c>
      <c r="AH44" s="20">
        <f>IF(COUNTIF($B$2:$B$105,B44)&gt;1,"DUPLICATE","")</f>
        <v/>
      </c>
    </row>
    <row r="45" ht="15.75" customHeight="1" s="29">
      <c r="A45" s="7" t="n">
        <v>44</v>
      </c>
      <c r="B45" s="7" t="inlineStr">
        <is>
          <t>AUTH-RAT-RNR-H26</t>
        </is>
      </c>
      <c r="C45" s="7" t="inlineStr">
        <is>
          <t>G6 — Row Ratification</t>
        </is>
      </c>
      <c r="D45" s="7" t="inlineStr">
        <is>
          <t>Predicate/addition wording</t>
        </is>
      </c>
      <c r="E45" s="7" t="inlineStr">
        <is>
          <t>HIGH</t>
        </is>
      </c>
      <c r="F45" s="7" t="inlineStr">
        <is>
          <t>READY</t>
        </is>
      </c>
      <c r="G45" s="7" t="inlineStr">
        <is>
          <t>Row Ratification</t>
        </is>
      </c>
      <c r="H45" s="7" t="inlineStr">
        <is>
          <t>RNR-H26</t>
        </is>
      </c>
      <c r="I45" s="7" t="inlineStr">
        <is>
          <t>A31:N31</t>
        </is>
      </c>
      <c r="J45" s="7" t="inlineStr">
        <is>
          <t>Ratify RNR-H26: Judge</t>
        </is>
      </c>
      <c r="K45" s="7" t="inlineStr">
        <is>
          <t>Is this public/ministry wording accurate, appropriately scoped, and fair enough to approve?</t>
        </is>
      </c>
      <c r="L45" s="7" t="inlineStr">
        <is>
          <t>Corpus: Inherited 57
Family/domain: Divine action, providence &amp; salvation
Public summary: Judge
Current code/tier: A
Provenance: Count-constrained reconstruction
Source/pointer: See inherited source report / recovered institution ledgers
Locator/source note: Recurring Kataphatic Vocabulary table
Public scope caution: Shared divine judgment.
Research status: RECONSTRUCTED — source-level/master-family recertification remains publication-critical</t>
        </is>
      </c>
      <c r="M45" s="7" t="inlineStr">
        <is>
          <t>Author decision = PENDING.</t>
        </is>
      </c>
      <c r="N45" s="7" t="inlineStr">
        <is>
          <t>Blocks M1/M2 public row copy until the row is APPROVED, REVISED, or intentionally HELD.</t>
        </is>
      </c>
      <c r="O45" s="7" t="inlineStr">
        <is>
          <t>APPROVE AS WRITTEN</t>
        </is>
      </c>
      <c r="P45" s="7" t="inlineStr">
        <is>
          <t>REVISE — enter complete replacement wording/scope note in Custom Response</t>
        </is>
      </c>
      <c r="Q45" s="7" t="inlineStr">
        <is>
          <t>HOLD — research-code review required before wording approval</t>
        </is>
      </c>
      <c r="R45" s="7" t="inlineStr">
        <is>
          <t>HOLD — source/scope review required before wording approval</t>
        </is>
      </c>
      <c r="S45" s="7" t="inlineStr">
        <is>
          <t>OPTION 2</t>
        </is>
      </c>
      <c r="T45" s="17">
        <f>'Author Response Entry'!$D$45</f>
        <v/>
      </c>
      <c r="U45" s="18">
        <f>'Author Response Entry'!$E$45</f>
        <v/>
      </c>
      <c r="V45" s="18">
        <f>'Author Response Entry'!$F$45</f>
        <v/>
      </c>
      <c r="W45" s="18">
        <f>'Author Response Entry'!$G$45</f>
        <v/>
      </c>
      <c r="X45" s="19">
        <f>'Author Response Entry'!$H$45</f>
        <v/>
      </c>
      <c r="Y45" s="18">
        <f>IF(T45="","",IF(T45="CUSTOM RESPONSE",U45,IF(T45="HOLD — NEEDS RESEARCH",IF(U45&lt;&gt;"",U45,"HOLD — NEEDS RESEARCH"),IF(T45="DEFER — NOT YET",IF(U45&lt;&gt;"",U45,"DEFER — NOT YET"),IF(T45="OPTION 1",O45,IF(T45="OPTION 2",U45,IF(T45="OPTION 3",Q45,IF(T45="OPTION 4",R45,""))))))))</f>
        <v/>
      </c>
      <c r="Z45" s="18">
        <f>IF(T45="","OPEN",IF(T45="CUSTOM RESPONSE",IF(U45="","OPEN — CUSTOM TEXT REQUIRED",IF(W45="","RESOLVED — ADD INITIALS/DATE",IF(X45="","RESOLVED — ADD INITIALS/DATE","RESOLVED"))),IF(T45="HOLD — NEEDS RESEARCH",IF(W45="","HOLD — ADD INITIALS/DATE",IF(X45="","HOLD — ADD INITIALS/DATE","HOLD")),IF(T45="DEFER — NOT YET",IF(W45="","DEFERRED — ADD INITIALS/DATE",IF(X45="","DEFERRED — ADD INITIALS/DATE","DEFERRED")),IF(T45="OPTION 1",IF(W45="","RESOLVED — ADD INITIALS/DATE",IF(X45="","RESOLVED — ADD INITIALS/DATE","RESOLVED")),IF(T45="OPTION 2",IF(U45="","OPEN — CUSTOM TEXT REQUIRED",IF(W45="","RESOLVED — ADD INITIALS/DATE",IF(X45="","RESOLVED — ADD INITIALS/DATE","RESOLVED"))),IF(T45="OPTION 3",IF(W45="","HOLD — ADD INITIALS/DATE",IF(X45="","HOLD — ADD INITIALS/DATE","HOLD")),IF(T45="OPTION 4",IF(W45="","HOLD — ADD INITIALS/DATE",IF(X45="","HOLD — ADD INITIALS/DATE","HOLD")),IF(W45="","RESOLVED — ADD INITIALS/DATE",IF(X45="","RESOLVED — ADD INITIALS/DATE","RESOLVED"))))))))))</f>
        <v/>
      </c>
      <c r="AA45" s="18" t="inlineStr">
        <is>
          <t>YES</t>
        </is>
      </c>
      <c r="AB45" s="18" t="inlineStr">
        <is>
          <t>Next controlled merge propagates decision to Row Ratification K:N. A wording review must not silently recode A/Q/D or authority tier.</t>
        </is>
      </c>
      <c r="AC45" s="18" t="inlineStr">
        <is>
          <t>Inherited H21–H35 — action &amp; Christ/Spirit titles</t>
        </is>
      </c>
      <c r="AD45" s="18" t="n"/>
      <c r="AE45" s="18" t="inlineStr">
        <is>
          <t>Shared divine judgment.</t>
        </is>
      </c>
      <c r="AF45" s="18">
        <f>IF(F45&lt;&gt;"READY","NO",IF(Z45="OPEN","YES",IF(Z45="OPEN — CUSTOM TEXT REQUIRED","YES",IF(Z45="RESOLVED — ADD INITIALS/DATE","YES",IF(Z45="HOLD — ADD INITIALS/DATE","YES",IF(Z45="DEFERRED — ADD INITIALS/DATE","YES","NO"))))))</f>
        <v/>
      </c>
      <c r="AG45" s="18">
        <f>IF(AF45&lt;&gt;"YES","",IF(A45=IFERROR(MATCH("YES",$AF$2:$AF$105,0),0),"CURRENT",""))</f>
        <v/>
      </c>
      <c r="AH45" s="20">
        <f>IF(COUNTIF($B$2:$B$105,B45)&gt;1,"DUPLICATE","")</f>
        <v/>
      </c>
    </row>
    <row r="46" ht="15.75" customHeight="1" s="29">
      <c r="A46" s="7" t="n">
        <v>45</v>
      </c>
      <c r="B46" s="7" t="inlineStr">
        <is>
          <t>AUTH-RAT-RNR-H27</t>
        </is>
      </c>
      <c r="C46" s="7" t="inlineStr">
        <is>
          <t>G6 — Row Ratification</t>
        </is>
      </c>
      <c r="D46" s="7" t="inlineStr">
        <is>
          <t>Predicate/addition wording</t>
        </is>
      </c>
      <c r="E46" s="7" t="inlineStr">
        <is>
          <t>HIGH</t>
        </is>
      </c>
      <c r="F46" s="7" t="inlineStr">
        <is>
          <t>READY</t>
        </is>
      </c>
      <c r="G46" s="7" t="inlineStr">
        <is>
          <t>Row Ratification</t>
        </is>
      </c>
      <c r="H46" s="7" t="inlineStr">
        <is>
          <t>RNR-H27</t>
        </is>
      </c>
      <c r="I46" s="7" t="inlineStr">
        <is>
          <t>A32:N32</t>
        </is>
      </c>
      <c r="J46" s="7" t="inlineStr">
        <is>
          <t>Ratify RNR-H27: Savior</t>
        </is>
      </c>
      <c r="K46" s="7" t="inlineStr">
        <is>
          <t>Is this public/ministry wording accurate, appropriately scoped, and fair enough to approve?</t>
        </is>
      </c>
      <c r="L46" s="7" t="inlineStr">
        <is>
          <t>Corpus: Inherited 57
Family/domain: Divine action, providence &amp; salvation
Public summary: Savior
Current code/tier: A
Provenance: Count-constrained reconstruction
Source/pointer: See inherited source report / recovered institution ledgers
Locator/source note: Recurring Kataphatic Vocabulary table
Public scope caution: Shared saving/redemptive action.
Research status: RECONSTRUCTED — source-level/master-family recertification remains publication-critical</t>
        </is>
      </c>
      <c r="M46" s="7" t="inlineStr">
        <is>
          <t>Author decision = PENDING.</t>
        </is>
      </c>
      <c r="N46" s="7" t="inlineStr">
        <is>
          <t>Blocks M1/M2 public row copy until the row is APPROVED, REVISED, or intentionally HELD.</t>
        </is>
      </c>
      <c r="O46" s="7" t="inlineStr">
        <is>
          <t>APPROVE AS WRITTEN</t>
        </is>
      </c>
      <c r="P46" s="7" t="inlineStr">
        <is>
          <t>REVISE — enter complete replacement wording/scope note in Custom Response</t>
        </is>
      </c>
      <c r="Q46" s="7" t="inlineStr">
        <is>
          <t>HOLD — research-code review required before wording approval</t>
        </is>
      </c>
      <c r="R46" s="7" t="inlineStr">
        <is>
          <t>HOLD — source/scope review required before wording approval</t>
        </is>
      </c>
      <c r="S46" s="7" t="inlineStr">
        <is>
          <t>OPTION 2</t>
        </is>
      </c>
      <c r="T46" s="17">
        <f>'Author Response Entry'!$D$46</f>
        <v/>
      </c>
      <c r="U46" s="18">
        <f>'Author Response Entry'!$E$46</f>
        <v/>
      </c>
      <c r="V46" s="18">
        <f>'Author Response Entry'!$F$46</f>
        <v/>
      </c>
      <c r="W46" s="18">
        <f>'Author Response Entry'!$G$46</f>
        <v/>
      </c>
      <c r="X46" s="19">
        <f>'Author Response Entry'!$H$46</f>
        <v/>
      </c>
      <c r="Y46" s="18">
        <f>IF(T46="","",IF(T46="CUSTOM RESPONSE",U46,IF(T46="HOLD — NEEDS RESEARCH",IF(U46&lt;&gt;"",U46,"HOLD — NEEDS RESEARCH"),IF(T46="DEFER — NOT YET",IF(U46&lt;&gt;"",U46,"DEFER — NOT YET"),IF(T46="OPTION 1",O46,IF(T46="OPTION 2",U46,IF(T46="OPTION 3",Q46,IF(T46="OPTION 4",R46,""))))))))</f>
        <v/>
      </c>
      <c r="Z46" s="18">
        <f>IF(T46="","OPEN",IF(T46="CUSTOM RESPONSE",IF(U46="","OPEN — CUSTOM TEXT REQUIRED",IF(W46="","RESOLVED — ADD INITIALS/DATE",IF(X46="","RESOLVED — ADD INITIALS/DATE","RESOLVED"))),IF(T46="HOLD — NEEDS RESEARCH",IF(W46="","HOLD — ADD INITIALS/DATE",IF(X46="","HOLD — ADD INITIALS/DATE","HOLD")),IF(T46="DEFER — NOT YET",IF(W46="","DEFERRED — ADD INITIALS/DATE",IF(X46="","DEFERRED — ADD INITIALS/DATE","DEFERRED")),IF(T46="OPTION 1",IF(W46="","RESOLVED — ADD INITIALS/DATE",IF(X46="","RESOLVED — ADD INITIALS/DATE","RESOLVED")),IF(T46="OPTION 2",IF(U46="","OPEN — CUSTOM TEXT REQUIRED",IF(W46="","RESOLVED — ADD INITIALS/DATE",IF(X46="","RESOLVED — ADD INITIALS/DATE","RESOLVED"))),IF(T46="OPTION 3",IF(W46="","HOLD — ADD INITIALS/DATE",IF(X46="","HOLD — ADD INITIALS/DATE","HOLD")),IF(T46="OPTION 4",IF(W46="","HOLD — ADD INITIALS/DATE",IF(X46="","HOLD — ADD INITIALS/DATE","HOLD")),IF(W46="","RESOLVED — ADD INITIALS/DATE",IF(X46="","RESOLVED — ADD INITIALS/DATE","RESOLVED"))))))))))</f>
        <v/>
      </c>
      <c r="AA46" s="18" t="inlineStr">
        <is>
          <t>YES</t>
        </is>
      </c>
      <c r="AB46" s="18" t="inlineStr">
        <is>
          <t>Next controlled merge propagates decision to Row Ratification K:N. A wording review must not silently recode A/Q/D or authority tier.</t>
        </is>
      </c>
      <c r="AC46" s="18" t="inlineStr">
        <is>
          <t>Inherited H21–H35 — action &amp; Christ/Spirit titles</t>
        </is>
      </c>
      <c r="AD46" s="18" t="n"/>
      <c r="AE46" s="18" t="inlineStr">
        <is>
          <t>Shared saving/redemptive action.</t>
        </is>
      </c>
      <c r="AF46" s="18">
        <f>IF(F46&lt;&gt;"READY","NO",IF(Z46="OPEN","YES",IF(Z46="OPEN — CUSTOM TEXT REQUIRED","YES",IF(Z46="RESOLVED — ADD INITIALS/DATE","YES",IF(Z46="HOLD — ADD INITIALS/DATE","YES",IF(Z46="DEFERRED — ADD INITIALS/DATE","YES","NO"))))))</f>
        <v/>
      </c>
      <c r="AG46" s="18">
        <f>IF(AF46&lt;&gt;"YES","",IF(A46=IFERROR(MATCH("YES",$AF$2:$AF$105,0),0),"CURRENT",""))</f>
        <v/>
      </c>
      <c r="AH46" s="20">
        <f>IF(COUNTIF($B$2:$B$105,B46)&gt;1,"DUPLICATE","")</f>
        <v/>
      </c>
    </row>
    <row r="47" ht="15.75" customHeight="1" s="29">
      <c r="A47" s="7" t="n">
        <v>46</v>
      </c>
      <c r="B47" s="7" t="inlineStr">
        <is>
          <t>AUTH-RAT-RNR-H28</t>
        </is>
      </c>
      <c r="C47" s="7" t="inlineStr">
        <is>
          <t>G6 — Row Ratification</t>
        </is>
      </c>
      <c r="D47" s="7" t="inlineStr">
        <is>
          <t>Predicate/addition wording</t>
        </is>
      </c>
      <c r="E47" s="7" t="inlineStr">
        <is>
          <t>HIGH</t>
        </is>
      </c>
      <c r="F47" s="7" t="inlineStr">
        <is>
          <t>READY</t>
        </is>
      </c>
      <c r="G47" s="7" t="inlineStr">
        <is>
          <t>Row Ratification</t>
        </is>
      </c>
      <c r="H47" s="7" t="inlineStr">
        <is>
          <t>RNR-H28</t>
        </is>
      </c>
      <c r="I47" s="7" t="inlineStr">
        <is>
          <t>A33:N33</t>
        </is>
      </c>
      <c r="J47" s="7" t="inlineStr">
        <is>
          <t>Ratify RNR-H28: Revealer</t>
        </is>
      </c>
      <c r="K47" s="7" t="inlineStr">
        <is>
          <t>Is this public/ministry wording accurate, appropriately scoped, and fair enough to approve?</t>
        </is>
      </c>
      <c r="L47" s="7" t="inlineStr">
        <is>
          <t>Corpus: Inherited 57
Family/domain: Divine action, providence &amp; salvation
Public summary: Revealer
Current code/tier: A
Provenance: Count-constrained reconstruction
Source/pointer: See inherited source report / recovered institution ledgers
Locator/source note: Recurring Kataphatic Vocabulary table
Public scope caution: Shared divine revelation/self-communication.
Research status: RECONSTRUCTED — source-level/master-family recertification remains publication-critical</t>
        </is>
      </c>
      <c r="M47" s="7" t="inlineStr">
        <is>
          <t>Author decision = PENDING.</t>
        </is>
      </c>
      <c r="N47" s="7" t="inlineStr">
        <is>
          <t>Blocks M1/M2 public row copy until the row is APPROVED, REVISED, or intentionally HELD.</t>
        </is>
      </c>
      <c r="O47" s="7" t="inlineStr">
        <is>
          <t>APPROVE AS WRITTEN</t>
        </is>
      </c>
      <c r="P47" s="7" t="inlineStr">
        <is>
          <t>REVISE — enter complete replacement wording/scope note in Custom Response</t>
        </is>
      </c>
      <c r="Q47" s="7" t="inlineStr">
        <is>
          <t>HOLD — research-code review required before wording approval</t>
        </is>
      </c>
      <c r="R47" s="7" t="inlineStr">
        <is>
          <t>HOLD — source/scope review required before wording approval</t>
        </is>
      </c>
      <c r="S47" s="7" t="inlineStr">
        <is>
          <t>OPTION 2</t>
        </is>
      </c>
      <c r="T47" s="17">
        <f>'Author Response Entry'!$D$47</f>
        <v/>
      </c>
      <c r="U47" s="18">
        <f>'Author Response Entry'!$E$47</f>
        <v/>
      </c>
      <c r="V47" s="18">
        <f>'Author Response Entry'!$F$47</f>
        <v/>
      </c>
      <c r="W47" s="18">
        <f>'Author Response Entry'!$G$47</f>
        <v/>
      </c>
      <c r="X47" s="19">
        <f>'Author Response Entry'!$H$47</f>
        <v/>
      </c>
      <c r="Y47" s="18">
        <f>IF(T47="","",IF(T47="CUSTOM RESPONSE",U47,IF(T47="HOLD — NEEDS RESEARCH",IF(U47&lt;&gt;"",U47,"HOLD — NEEDS RESEARCH"),IF(T47="DEFER — NOT YET",IF(U47&lt;&gt;"",U47,"DEFER — NOT YET"),IF(T47="OPTION 1",O47,IF(T47="OPTION 2",U47,IF(T47="OPTION 3",Q47,IF(T47="OPTION 4",R47,""))))))))</f>
        <v/>
      </c>
      <c r="Z47" s="18">
        <f>IF(T47="","OPEN",IF(T47="CUSTOM RESPONSE",IF(U47="","OPEN — CUSTOM TEXT REQUIRED",IF(W47="","RESOLVED — ADD INITIALS/DATE",IF(X47="","RESOLVED — ADD INITIALS/DATE","RESOLVED"))),IF(T47="HOLD — NEEDS RESEARCH",IF(W47="","HOLD — ADD INITIALS/DATE",IF(X47="","HOLD — ADD INITIALS/DATE","HOLD")),IF(T47="DEFER — NOT YET",IF(W47="","DEFERRED — ADD INITIALS/DATE",IF(X47="","DEFERRED — ADD INITIALS/DATE","DEFERRED")),IF(T47="OPTION 1",IF(W47="","RESOLVED — ADD INITIALS/DATE",IF(X47="","RESOLVED — ADD INITIALS/DATE","RESOLVED")),IF(T47="OPTION 2",IF(U47="","OPEN — CUSTOM TEXT REQUIRED",IF(W47="","RESOLVED — ADD INITIALS/DATE",IF(X47="","RESOLVED — ADD INITIALS/DATE","RESOLVED"))),IF(T47="OPTION 3",IF(W47="","HOLD — ADD INITIALS/DATE",IF(X47="","HOLD — ADD INITIALS/DATE","HOLD")),IF(T47="OPTION 4",IF(W47="","HOLD — ADD INITIALS/DATE",IF(X47="","HOLD — ADD INITIALS/DATE","HOLD")),IF(W47="","RESOLVED — ADD INITIALS/DATE",IF(X47="","RESOLVED — ADD INITIALS/DATE","RESOLVED"))))))))))</f>
        <v/>
      </c>
      <c r="AA47" s="18" t="inlineStr">
        <is>
          <t>YES</t>
        </is>
      </c>
      <c r="AB47" s="18" t="inlineStr">
        <is>
          <t>Next controlled merge propagates decision to Row Ratification K:N. A wording review must not silently recode A/Q/D or authority tier.</t>
        </is>
      </c>
      <c r="AC47" s="18" t="inlineStr">
        <is>
          <t>Inherited H21–H35 — action &amp; Christ/Spirit titles</t>
        </is>
      </c>
      <c r="AD47" s="18" t="n"/>
      <c r="AE47" s="18" t="inlineStr">
        <is>
          <t>Shared divine revelation/self-communication.</t>
        </is>
      </c>
      <c r="AF47" s="18">
        <f>IF(F47&lt;&gt;"READY","NO",IF(Z47="OPEN","YES",IF(Z47="OPEN — CUSTOM TEXT REQUIRED","YES",IF(Z47="RESOLVED — ADD INITIALS/DATE","YES",IF(Z47="HOLD — ADD INITIALS/DATE","YES",IF(Z47="DEFERRED — ADD INITIALS/DATE","YES","NO"))))))</f>
        <v/>
      </c>
      <c r="AG47" s="18">
        <f>IF(AF47&lt;&gt;"YES","",IF(A47=IFERROR(MATCH("YES",$AF$2:$AF$105,0),0),"CURRENT",""))</f>
        <v/>
      </c>
      <c r="AH47" s="20">
        <f>IF(COUNTIF($B$2:$B$105,B47)&gt;1,"DUPLICATE","")</f>
        <v/>
      </c>
    </row>
    <row r="48" ht="15.75" customHeight="1" s="29">
      <c r="A48" s="7" t="n">
        <v>47</v>
      </c>
      <c r="B48" s="7" t="inlineStr">
        <is>
          <t>AUTH-RAT-RNR-H29</t>
        </is>
      </c>
      <c r="C48" s="7" t="inlineStr">
        <is>
          <t>G6 — Row Ratification</t>
        </is>
      </c>
      <c r="D48" s="7" t="inlineStr">
        <is>
          <t>Predicate/addition wording</t>
        </is>
      </c>
      <c r="E48" s="7" t="inlineStr">
        <is>
          <t>HIGH</t>
        </is>
      </c>
      <c r="F48" s="7" t="inlineStr">
        <is>
          <t>READY</t>
        </is>
      </c>
      <c r="G48" s="7" t="inlineStr">
        <is>
          <t>Row Ratification</t>
        </is>
      </c>
      <c r="H48" s="7" t="inlineStr">
        <is>
          <t>RNR-H29</t>
        </is>
      </c>
      <c r="I48" s="7" t="inlineStr">
        <is>
          <t>A34:N34</t>
        </is>
      </c>
      <c r="J48" s="7" t="inlineStr">
        <is>
          <t>Ratify RNR-H29: Fountain of being</t>
        </is>
      </c>
      <c r="K48" s="7" t="inlineStr">
        <is>
          <t>Is this public/ministry wording accurate, appropriately scoped, and fair enough to approve?</t>
        </is>
      </c>
      <c r="L48" s="7" t="inlineStr">
        <is>
          <t>Corpus: Inherited 57
Family/domain: Divine action, providence &amp; salvation
Public summary: Fountain of being
Current code/tier: Q
Provenance: Count-constrained reconstruction
Source/pointer: See inherited source report / recovered institution ledgers
Locator/source note: Recurring Kataphatic Vocabulary table
Public scope caution: Qualified because Restoration ontology affirms coeternal intelligence and elements rather than an exhaustive creator-created binary.
Research status: RECONSTRUCTED — source-level/master-family recertification remains publication-critical</t>
        </is>
      </c>
      <c r="M48" s="7" t="inlineStr">
        <is>
          <t>Author decision = PENDING.</t>
        </is>
      </c>
      <c r="N48" s="7" t="inlineStr">
        <is>
          <t>Blocks M1/M2 public row copy until the row is APPROVED, REVISED, or intentionally HELD.</t>
        </is>
      </c>
      <c r="O48" s="7" t="inlineStr">
        <is>
          <t>APPROVE AS WRITTEN</t>
        </is>
      </c>
      <c r="P48" s="7" t="inlineStr">
        <is>
          <t>REVISE — enter complete replacement wording/scope note in Custom Response</t>
        </is>
      </c>
      <c r="Q48" s="7" t="inlineStr">
        <is>
          <t>HOLD — research-code review required before wording approval</t>
        </is>
      </c>
      <c r="R48" s="7" t="inlineStr">
        <is>
          <t>HOLD — source/scope review required before wording approval</t>
        </is>
      </c>
      <c r="S48" s="7" t="inlineStr">
        <is>
          <t>OPTION 2</t>
        </is>
      </c>
      <c r="T48" s="17">
        <f>'Author Response Entry'!$D$48</f>
        <v/>
      </c>
      <c r="U48" s="18">
        <f>'Author Response Entry'!$E$48</f>
        <v/>
      </c>
      <c r="V48" s="18">
        <f>'Author Response Entry'!$F$48</f>
        <v/>
      </c>
      <c r="W48" s="18">
        <f>'Author Response Entry'!$G$48</f>
        <v/>
      </c>
      <c r="X48" s="19">
        <f>'Author Response Entry'!$H$48</f>
        <v/>
      </c>
      <c r="Y48" s="18">
        <f>IF(T48="","",IF(T48="CUSTOM RESPONSE",U48,IF(T48="HOLD — NEEDS RESEARCH",IF(U48&lt;&gt;"",U48,"HOLD — NEEDS RESEARCH"),IF(T48="DEFER — NOT YET",IF(U48&lt;&gt;"",U48,"DEFER — NOT YET"),IF(T48="OPTION 1",O48,IF(T48="OPTION 2",U48,IF(T48="OPTION 3",Q48,IF(T48="OPTION 4",R48,""))))))))</f>
        <v/>
      </c>
      <c r="Z48" s="18">
        <f>IF(T48="","OPEN",IF(T48="CUSTOM RESPONSE",IF(U48="","OPEN — CUSTOM TEXT REQUIRED",IF(W48="","RESOLVED — ADD INITIALS/DATE",IF(X48="","RESOLVED — ADD INITIALS/DATE","RESOLVED"))),IF(T48="HOLD — NEEDS RESEARCH",IF(W48="","HOLD — ADD INITIALS/DATE",IF(X48="","HOLD — ADD INITIALS/DATE","HOLD")),IF(T48="DEFER — NOT YET",IF(W48="","DEFERRED — ADD INITIALS/DATE",IF(X48="","DEFERRED — ADD INITIALS/DATE","DEFERRED")),IF(T48="OPTION 1",IF(W48="","RESOLVED — ADD INITIALS/DATE",IF(X48="","RESOLVED — ADD INITIALS/DATE","RESOLVED")),IF(T48="OPTION 2",IF(U48="","OPEN — CUSTOM TEXT REQUIRED",IF(W48="","RESOLVED — ADD INITIALS/DATE",IF(X48="","RESOLVED — ADD INITIALS/DATE","RESOLVED"))),IF(T48="OPTION 3",IF(W48="","HOLD — ADD INITIALS/DATE",IF(X48="","HOLD — ADD INITIALS/DATE","HOLD")),IF(T48="OPTION 4",IF(W48="","HOLD — ADD INITIALS/DATE",IF(X48="","HOLD — ADD INITIALS/DATE","HOLD")),IF(W48="","RESOLVED — ADD INITIALS/DATE",IF(X48="","RESOLVED — ADD INITIALS/DATE","RESOLVED"))))))))))</f>
        <v/>
      </c>
      <c r="AA48" s="18" t="inlineStr">
        <is>
          <t>YES</t>
        </is>
      </c>
      <c r="AB48" s="18" t="inlineStr">
        <is>
          <t>Next controlled merge propagates decision to Row Ratification K:N. A wording review must not silently recode A/Q/D or authority tier.</t>
        </is>
      </c>
      <c r="AC48" s="18" t="inlineStr">
        <is>
          <t>Inherited H21–H35 — action &amp; Christ/Spirit titles</t>
        </is>
      </c>
      <c r="AD48" s="18" t="n"/>
      <c r="AE48" s="18" t="inlineStr">
        <is>
          <t>Qualified because Restoration ontology affirms coeternal intelligence and elements rather than an exhaustive creator-created binary.</t>
        </is>
      </c>
      <c r="AF48" s="18">
        <f>IF(F48&lt;&gt;"READY","NO",IF(Z48="OPEN","YES",IF(Z48="OPEN — CUSTOM TEXT REQUIRED","YES",IF(Z48="RESOLVED — ADD INITIALS/DATE","YES",IF(Z48="HOLD — ADD INITIALS/DATE","YES",IF(Z48="DEFERRED — ADD INITIALS/DATE","YES","NO"))))))</f>
        <v/>
      </c>
      <c r="AG48" s="18">
        <f>IF(AF48&lt;&gt;"YES","",IF(A48=IFERROR(MATCH("YES",$AF$2:$AF$105,0),0),"CURRENT",""))</f>
        <v/>
      </c>
      <c r="AH48" s="20">
        <f>IF(COUNTIF($B$2:$B$105,B48)&gt;1,"DUPLICATE","")</f>
        <v/>
      </c>
    </row>
    <row r="49" ht="15.75" customHeight="1" s="29">
      <c r="A49" s="7" t="n">
        <v>48</v>
      </c>
      <c r="B49" s="7" t="inlineStr">
        <is>
          <t>AUTH-RAT-RNR-H30</t>
        </is>
      </c>
      <c r="C49" s="7" t="inlineStr">
        <is>
          <t>G6 — Row Ratification</t>
        </is>
      </c>
      <c r="D49" s="7" t="inlineStr">
        <is>
          <t>Predicate/addition wording</t>
        </is>
      </c>
      <c r="E49" s="7" t="inlineStr">
        <is>
          <t>HIGH</t>
        </is>
      </c>
      <c r="F49" s="7" t="inlineStr">
        <is>
          <t>READY</t>
        </is>
      </c>
      <c r="G49" s="7" t="inlineStr">
        <is>
          <t>Row Ratification</t>
        </is>
      </c>
      <c r="H49" s="7" t="inlineStr">
        <is>
          <t>RNR-H30</t>
        </is>
      </c>
      <c r="I49" s="7" t="inlineStr">
        <is>
          <t>A35:N35</t>
        </is>
      </c>
      <c r="J49" s="7" t="inlineStr">
        <is>
          <t>Ratify RNR-H30: Word / Logos</t>
        </is>
      </c>
      <c r="K49" s="7" t="inlineStr">
        <is>
          <t>Is this public/ministry wording accurate, appropriately scoped, and fair enough to approve?</t>
        </is>
      </c>
      <c r="L49" s="7" t="inlineStr">
        <is>
          <t>Corpus: Inherited 57
Family/domain: Christ &amp; Spirit titles
Public summary: Word / Logos
Current code/tier: A
Provenance: Count-constrained reconstruction
Source/pointer: See inherited source report / recovered institution ledgers
Locator/source note: Recurring Kataphatic Vocabulary table
Public scope caution: Shared identification/title of Christ.
Research status: RECONSTRUCTED — source-level/master-family recertification remains publication-critical</t>
        </is>
      </c>
      <c r="M49" s="7" t="inlineStr">
        <is>
          <t>Author decision = PENDING.</t>
        </is>
      </c>
      <c r="N49" s="7" t="inlineStr">
        <is>
          <t>Blocks M1/M2 public row copy until the row is APPROVED, REVISED, or intentionally HELD.</t>
        </is>
      </c>
      <c r="O49" s="7" t="inlineStr">
        <is>
          <t>APPROVE AS WRITTEN</t>
        </is>
      </c>
      <c r="P49" s="7" t="inlineStr">
        <is>
          <t>REVISE — enter complete replacement wording/scope note in Custom Response</t>
        </is>
      </c>
      <c r="Q49" s="7" t="inlineStr">
        <is>
          <t>HOLD — research-code review required before wording approval</t>
        </is>
      </c>
      <c r="R49" s="7" t="inlineStr">
        <is>
          <t>HOLD — source/scope review required before wording approval</t>
        </is>
      </c>
      <c r="S49" s="7" t="inlineStr">
        <is>
          <t>OPTION 2</t>
        </is>
      </c>
      <c r="T49" s="17">
        <f>'Author Response Entry'!$D$49</f>
        <v/>
      </c>
      <c r="U49" s="18">
        <f>'Author Response Entry'!$E$49</f>
        <v/>
      </c>
      <c r="V49" s="18">
        <f>'Author Response Entry'!$F$49</f>
        <v/>
      </c>
      <c r="W49" s="18">
        <f>'Author Response Entry'!$G$49</f>
        <v/>
      </c>
      <c r="X49" s="19">
        <f>'Author Response Entry'!$H$49</f>
        <v/>
      </c>
      <c r="Y49" s="18">
        <f>IF(T49="","",IF(T49="CUSTOM RESPONSE",U49,IF(T49="HOLD — NEEDS RESEARCH",IF(U49&lt;&gt;"",U49,"HOLD — NEEDS RESEARCH"),IF(T49="DEFER — NOT YET",IF(U49&lt;&gt;"",U49,"DEFER — NOT YET"),IF(T49="OPTION 1",O49,IF(T49="OPTION 2",U49,IF(T49="OPTION 3",Q49,IF(T49="OPTION 4",R49,""))))))))</f>
        <v/>
      </c>
      <c r="Z49" s="18">
        <f>IF(T49="","OPEN",IF(T49="CUSTOM RESPONSE",IF(U49="","OPEN — CUSTOM TEXT REQUIRED",IF(W49="","RESOLVED — ADD INITIALS/DATE",IF(X49="","RESOLVED — ADD INITIALS/DATE","RESOLVED"))),IF(T49="HOLD — NEEDS RESEARCH",IF(W49="","HOLD — ADD INITIALS/DATE",IF(X49="","HOLD — ADD INITIALS/DATE","HOLD")),IF(T49="DEFER — NOT YET",IF(W49="","DEFERRED — ADD INITIALS/DATE",IF(X49="","DEFERRED — ADD INITIALS/DATE","DEFERRED")),IF(T49="OPTION 1",IF(W49="","RESOLVED — ADD INITIALS/DATE",IF(X49="","RESOLVED — ADD INITIALS/DATE","RESOLVED")),IF(T49="OPTION 2",IF(U49="","OPEN — CUSTOM TEXT REQUIRED",IF(W49="","RESOLVED — ADD INITIALS/DATE",IF(X49="","RESOLVED — ADD INITIALS/DATE","RESOLVED"))),IF(T49="OPTION 3",IF(W49="","HOLD — ADD INITIALS/DATE",IF(X49="","HOLD — ADD INITIALS/DATE","HOLD")),IF(T49="OPTION 4",IF(W49="","HOLD — ADD INITIALS/DATE",IF(X49="","HOLD — ADD INITIALS/DATE","HOLD")),IF(W49="","RESOLVED — ADD INITIALS/DATE",IF(X49="","RESOLVED — ADD INITIALS/DATE","RESOLVED"))))))))))</f>
        <v/>
      </c>
      <c r="AA49" s="18" t="inlineStr">
        <is>
          <t>YES</t>
        </is>
      </c>
      <c r="AB49" s="18" t="inlineStr">
        <is>
          <t>Next controlled merge propagates decision to Row Ratification K:N. A wording review must not silently recode A/Q/D or authority tier.</t>
        </is>
      </c>
      <c r="AC49" s="18" t="inlineStr">
        <is>
          <t>Inherited H21–H35 — action &amp; Christ/Spirit titles</t>
        </is>
      </c>
      <c r="AD49" s="18" t="n"/>
      <c r="AE49" s="18" t="inlineStr">
        <is>
          <t>Shared identification/title of Christ.</t>
        </is>
      </c>
      <c r="AF49" s="18">
        <f>IF(F49&lt;&gt;"READY","NO",IF(Z49="OPEN","YES",IF(Z49="OPEN — CUSTOM TEXT REQUIRED","YES",IF(Z49="RESOLVED — ADD INITIALS/DATE","YES",IF(Z49="HOLD — ADD INITIALS/DATE","YES",IF(Z49="DEFERRED — ADD INITIALS/DATE","YES","NO"))))))</f>
        <v/>
      </c>
      <c r="AG49" s="18">
        <f>IF(AF49&lt;&gt;"YES","",IF(A49=IFERROR(MATCH("YES",$AF$2:$AF$105,0),0),"CURRENT",""))</f>
        <v/>
      </c>
      <c r="AH49" s="20">
        <f>IF(COUNTIF($B$2:$B$105,B49)&gt;1,"DUPLICATE","")</f>
        <v/>
      </c>
    </row>
    <row r="50" ht="15.75" customHeight="1" s="29">
      <c r="A50" s="7" t="n">
        <v>49</v>
      </c>
      <c r="B50" s="7" t="inlineStr">
        <is>
          <t>AUTH-RAT-RNR-H31</t>
        </is>
      </c>
      <c r="C50" s="7" t="inlineStr">
        <is>
          <t>G6 — Row Ratification</t>
        </is>
      </c>
      <c r="D50" s="7" t="inlineStr">
        <is>
          <t>Predicate/addition wording</t>
        </is>
      </c>
      <c r="E50" s="7" t="inlineStr">
        <is>
          <t>HIGH</t>
        </is>
      </c>
      <c r="F50" s="7" t="inlineStr">
        <is>
          <t>READY</t>
        </is>
      </c>
      <c r="G50" s="7" t="inlineStr">
        <is>
          <t>Row Ratification</t>
        </is>
      </c>
      <c r="H50" s="7" t="inlineStr">
        <is>
          <t>RNR-H31</t>
        </is>
      </c>
      <c r="I50" s="7" t="inlineStr">
        <is>
          <t>A36:N36</t>
        </is>
      </c>
      <c r="J50" s="7" t="inlineStr">
        <is>
          <t>Ratify RNR-H31: Wisdom</t>
        </is>
      </c>
      <c r="K50" s="7" t="inlineStr">
        <is>
          <t>Is this public/ministry wording accurate, appropriately scoped, and fair enough to approve?</t>
        </is>
      </c>
      <c r="L50" s="7" t="inlineStr">
        <is>
          <t>Corpus: Inherited 57
Family/domain: Christ &amp; Spirit titles
Public summary: Wisdom
Current code/tier: A
Provenance: Count-constrained reconstruction
Source/pointer: See inherited source report / recovered institution ledgers
Locator/source note: Recurring Kataphatic Vocabulary table
Public scope caution: Shared christological title/metaphor at the accepted floor.
Research status: RECONSTRUCTED — source-level/master-family recertification remains publication-critical</t>
        </is>
      </c>
      <c r="M50" s="7" t="inlineStr">
        <is>
          <t>Author decision = PENDING.</t>
        </is>
      </c>
      <c r="N50" s="7" t="inlineStr">
        <is>
          <t>Blocks M1/M2 public row copy until the row is APPROVED, REVISED, or intentionally HELD.</t>
        </is>
      </c>
      <c r="O50" s="7" t="inlineStr">
        <is>
          <t>APPROVE AS WRITTEN</t>
        </is>
      </c>
      <c r="P50" s="7" t="inlineStr">
        <is>
          <t>REVISE — enter complete replacement wording/scope note in Custom Response</t>
        </is>
      </c>
      <c r="Q50" s="7" t="inlineStr">
        <is>
          <t>HOLD — research-code review required before wording approval</t>
        </is>
      </c>
      <c r="R50" s="7" t="inlineStr">
        <is>
          <t>HOLD — source/scope review required before wording approval</t>
        </is>
      </c>
      <c r="S50" s="7" t="inlineStr">
        <is>
          <t>OPTION 2</t>
        </is>
      </c>
      <c r="T50" s="17">
        <f>'Author Response Entry'!$D$50</f>
        <v/>
      </c>
      <c r="U50" s="18">
        <f>'Author Response Entry'!$E$50</f>
        <v/>
      </c>
      <c r="V50" s="18">
        <f>'Author Response Entry'!$F$50</f>
        <v/>
      </c>
      <c r="W50" s="18">
        <f>'Author Response Entry'!$G$50</f>
        <v/>
      </c>
      <c r="X50" s="19">
        <f>'Author Response Entry'!$H$50</f>
        <v/>
      </c>
      <c r="Y50" s="18">
        <f>IF(T50="","",IF(T50="CUSTOM RESPONSE",U50,IF(T50="HOLD — NEEDS RESEARCH",IF(U50&lt;&gt;"",U50,"HOLD — NEEDS RESEARCH"),IF(T50="DEFER — NOT YET",IF(U50&lt;&gt;"",U50,"DEFER — NOT YET"),IF(T50="OPTION 1",O50,IF(T50="OPTION 2",U50,IF(T50="OPTION 3",Q50,IF(T50="OPTION 4",R50,""))))))))</f>
        <v/>
      </c>
      <c r="Z50" s="18">
        <f>IF(T50="","OPEN",IF(T50="CUSTOM RESPONSE",IF(U50="","OPEN — CUSTOM TEXT REQUIRED",IF(W50="","RESOLVED — ADD INITIALS/DATE",IF(X50="","RESOLVED — ADD INITIALS/DATE","RESOLVED"))),IF(T50="HOLD — NEEDS RESEARCH",IF(W50="","HOLD — ADD INITIALS/DATE",IF(X50="","HOLD — ADD INITIALS/DATE","HOLD")),IF(T50="DEFER — NOT YET",IF(W50="","DEFERRED — ADD INITIALS/DATE",IF(X50="","DEFERRED — ADD INITIALS/DATE","DEFERRED")),IF(T50="OPTION 1",IF(W50="","RESOLVED — ADD INITIALS/DATE",IF(X50="","RESOLVED — ADD INITIALS/DATE","RESOLVED")),IF(T50="OPTION 2",IF(U50="","OPEN — CUSTOM TEXT REQUIRED",IF(W50="","RESOLVED — ADD INITIALS/DATE",IF(X50="","RESOLVED — ADD INITIALS/DATE","RESOLVED"))),IF(T50="OPTION 3",IF(W50="","HOLD — ADD INITIALS/DATE",IF(X50="","HOLD — ADD INITIALS/DATE","HOLD")),IF(T50="OPTION 4",IF(W50="","HOLD — ADD INITIALS/DATE",IF(X50="","HOLD — ADD INITIALS/DATE","HOLD")),IF(W50="","RESOLVED — ADD INITIALS/DATE",IF(X50="","RESOLVED — ADD INITIALS/DATE","RESOLVED"))))))))))</f>
        <v/>
      </c>
      <c r="AA50" s="18" t="inlineStr">
        <is>
          <t>YES</t>
        </is>
      </c>
      <c r="AB50" s="18" t="inlineStr">
        <is>
          <t>Next controlled merge propagates decision to Row Ratification K:N. A wording review must not silently recode A/Q/D or authority tier.</t>
        </is>
      </c>
      <c r="AC50" s="18" t="inlineStr">
        <is>
          <t>Inherited H21–H35 — action &amp; Christ/Spirit titles</t>
        </is>
      </c>
      <c r="AD50" s="18" t="n"/>
      <c r="AE50" s="18" t="inlineStr">
        <is>
          <t>Shared christological title/metaphor at the accepted floor.</t>
        </is>
      </c>
      <c r="AF50" s="18">
        <f>IF(F50&lt;&gt;"READY","NO",IF(Z50="OPEN","YES",IF(Z50="OPEN — CUSTOM TEXT REQUIRED","YES",IF(Z50="RESOLVED — ADD INITIALS/DATE","YES",IF(Z50="HOLD — ADD INITIALS/DATE","YES",IF(Z50="DEFERRED — ADD INITIALS/DATE","YES","NO"))))))</f>
        <v/>
      </c>
      <c r="AG50" s="18">
        <f>IF(AF50&lt;&gt;"YES","",IF(A50=IFERROR(MATCH("YES",$AF$2:$AF$105,0),0),"CURRENT",""))</f>
        <v/>
      </c>
      <c r="AH50" s="20">
        <f>IF(COUNTIF($B$2:$B$105,B50)&gt;1,"DUPLICATE","")</f>
        <v/>
      </c>
    </row>
    <row r="51" ht="15.75" customHeight="1" s="29">
      <c r="A51" s="7" t="n">
        <v>50</v>
      </c>
      <c r="B51" s="7" t="inlineStr">
        <is>
          <t>AUTH-RAT-RNR-H32</t>
        </is>
      </c>
      <c r="C51" s="7" t="inlineStr">
        <is>
          <t>G6 — Row Ratification</t>
        </is>
      </c>
      <c r="D51" s="7" t="inlineStr">
        <is>
          <t>Predicate/addition wording</t>
        </is>
      </c>
      <c r="E51" s="7" t="inlineStr">
        <is>
          <t>HIGH</t>
        </is>
      </c>
      <c r="F51" s="7" t="inlineStr">
        <is>
          <t>READY</t>
        </is>
      </c>
      <c r="G51" s="7" t="inlineStr">
        <is>
          <t>Row Ratification</t>
        </is>
      </c>
      <c r="H51" s="7" t="inlineStr">
        <is>
          <t>RNR-H32</t>
        </is>
      </c>
      <c r="I51" s="7" t="inlineStr">
        <is>
          <t>A37:N37</t>
        </is>
      </c>
      <c r="J51" s="7" t="inlineStr">
        <is>
          <t>Ratify RNR-H32: Light</t>
        </is>
      </c>
      <c r="K51" s="7" t="inlineStr">
        <is>
          <t>Is this public/ministry wording accurate, appropriately scoped, and fair enough to approve?</t>
        </is>
      </c>
      <c r="L51" s="7" t="inlineStr">
        <is>
          <t>Corpus: Inherited 57
Family/domain: Christ &amp; Spirit titles
Public summary: Light
Current code/tier: A
Provenance: Count-constrained reconstruction
Source/pointer: See inherited source report / recovered institution ledgers
Locator/source note: Recurring Kataphatic Vocabulary table
Public scope caution: Shared christological light language at the accepted floor.
Research status: RECONSTRUCTED — source-level/master-family recertification remains publication-critical</t>
        </is>
      </c>
      <c r="M51" s="7" t="inlineStr">
        <is>
          <t>Author decision = PENDING.</t>
        </is>
      </c>
      <c r="N51" s="7" t="inlineStr">
        <is>
          <t>Blocks M1/M2 public row copy until the row is APPROVED, REVISED, or intentionally HELD.</t>
        </is>
      </c>
      <c r="O51" s="7" t="inlineStr">
        <is>
          <t>APPROVE AS WRITTEN</t>
        </is>
      </c>
      <c r="P51" s="7" t="inlineStr">
        <is>
          <t>REVISE — enter complete replacement wording/scope note in Custom Response</t>
        </is>
      </c>
      <c r="Q51" s="7" t="inlineStr">
        <is>
          <t>HOLD — research-code review required before wording approval</t>
        </is>
      </c>
      <c r="R51" s="7" t="inlineStr">
        <is>
          <t>HOLD — source/scope review required before wording approval</t>
        </is>
      </c>
      <c r="S51" s="7" t="inlineStr">
        <is>
          <t>OPTION 2</t>
        </is>
      </c>
      <c r="T51" s="17">
        <f>'Author Response Entry'!$D$51</f>
        <v/>
      </c>
      <c r="U51" s="18">
        <f>'Author Response Entry'!$E$51</f>
        <v/>
      </c>
      <c r="V51" s="18">
        <f>'Author Response Entry'!$F$51</f>
        <v/>
      </c>
      <c r="W51" s="18">
        <f>'Author Response Entry'!$G$51</f>
        <v/>
      </c>
      <c r="X51" s="19">
        <f>'Author Response Entry'!$H$51</f>
        <v/>
      </c>
      <c r="Y51" s="18">
        <f>IF(T51="","",IF(T51="CUSTOM RESPONSE",U51,IF(T51="HOLD — NEEDS RESEARCH",IF(U51&lt;&gt;"",U51,"HOLD — NEEDS RESEARCH"),IF(T51="DEFER — NOT YET",IF(U51&lt;&gt;"",U51,"DEFER — NOT YET"),IF(T51="OPTION 1",O51,IF(T51="OPTION 2",U51,IF(T51="OPTION 3",Q51,IF(T51="OPTION 4",R51,""))))))))</f>
        <v/>
      </c>
      <c r="Z51" s="18">
        <f>IF(T51="","OPEN",IF(T51="CUSTOM RESPONSE",IF(U51="","OPEN — CUSTOM TEXT REQUIRED",IF(W51="","RESOLVED — ADD INITIALS/DATE",IF(X51="","RESOLVED — ADD INITIALS/DATE","RESOLVED"))),IF(T51="HOLD — NEEDS RESEARCH",IF(W51="","HOLD — ADD INITIALS/DATE",IF(X51="","HOLD — ADD INITIALS/DATE","HOLD")),IF(T51="DEFER — NOT YET",IF(W51="","DEFERRED — ADD INITIALS/DATE",IF(X51="","DEFERRED — ADD INITIALS/DATE","DEFERRED")),IF(T51="OPTION 1",IF(W51="","RESOLVED — ADD INITIALS/DATE",IF(X51="","RESOLVED — ADD INITIALS/DATE","RESOLVED")),IF(T51="OPTION 2",IF(U51="","OPEN — CUSTOM TEXT REQUIRED",IF(W51="","RESOLVED — ADD INITIALS/DATE",IF(X51="","RESOLVED — ADD INITIALS/DATE","RESOLVED"))),IF(T51="OPTION 3",IF(W51="","HOLD — ADD INITIALS/DATE",IF(X51="","HOLD — ADD INITIALS/DATE","HOLD")),IF(T51="OPTION 4",IF(W51="","HOLD — ADD INITIALS/DATE",IF(X51="","HOLD — ADD INITIALS/DATE","HOLD")),IF(W51="","RESOLVED — ADD INITIALS/DATE",IF(X51="","RESOLVED — ADD INITIALS/DATE","RESOLVED"))))))))))</f>
        <v/>
      </c>
      <c r="AA51" s="18" t="inlineStr">
        <is>
          <t>YES</t>
        </is>
      </c>
      <c r="AB51" s="18" t="inlineStr">
        <is>
          <t>Next controlled merge propagates decision to Row Ratification K:N. A wording review must not silently recode A/Q/D or authority tier.</t>
        </is>
      </c>
      <c r="AC51" s="18" t="inlineStr">
        <is>
          <t>Inherited H21–H35 — action &amp; Christ/Spirit titles</t>
        </is>
      </c>
      <c r="AD51" s="18" t="n"/>
      <c r="AE51" s="18" t="inlineStr">
        <is>
          <t>Shared christological light language at the accepted floor.</t>
        </is>
      </c>
      <c r="AF51" s="18">
        <f>IF(F51&lt;&gt;"READY","NO",IF(Z51="OPEN","YES",IF(Z51="OPEN — CUSTOM TEXT REQUIRED","YES",IF(Z51="RESOLVED — ADD INITIALS/DATE","YES",IF(Z51="HOLD — ADD INITIALS/DATE","YES",IF(Z51="DEFERRED — ADD INITIALS/DATE","YES","NO"))))))</f>
        <v/>
      </c>
      <c r="AG51" s="18">
        <f>IF(AF51&lt;&gt;"YES","",IF(A51=IFERROR(MATCH("YES",$AF$2:$AF$105,0),0),"CURRENT",""))</f>
        <v/>
      </c>
      <c r="AH51" s="20">
        <f>IF(COUNTIF($B$2:$B$105,B51)&gt;1,"DUPLICATE","")</f>
        <v/>
      </c>
    </row>
    <row r="52" ht="15.75" customHeight="1" s="29">
      <c r="A52" s="7" t="n">
        <v>51</v>
      </c>
      <c r="B52" s="7" t="inlineStr">
        <is>
          <t>AUTH-RAT-RNR-H33</t>
        </is>
      </c>
      <c r="C52" s="7" t="inlineStr">
        <is>
          <t>G6 — Row Ratification</t>
        </is>
      </c>
      <c r="D52" s="7" t="inlineStr">
        <is>
          <t>Predicate/addition wording</t>
        </is>
      </c>
      <c r="E52" s="7" t="inlineStr">
        <is>
          <t>HIGH</t>
        </is>
      </c>
      <c r="F52" s="7" t="inlineStr">
        <is>
          <t>READY</t>
        </is>
      </c>
      <c r="G52" s="7" t="inlineStr">
        <is>
          <t>Row Ratification</t>
        </is>
      </c>
      <c r="H52" s="7" t="inlineStr">
        <is>
          <t>RNR-H33</t>
        </is>
      </c>
      <c r="I52" s="7" t="inlineStr">
        <is>
          <t>A38:N38</t>
        </is>
      </c>
      <c r="J52" s="7" t="inlineStr">
        <is>
          <t>Ratify RNR-H33: Image of the Father</t>
        </is>
      </c>
      <c r="K52" s="7" t="inlineStr">
        <is>
          <t>Is this public/ministry wording accurate, appropriately scoped, and fair enough to approve?</t>
        </is>
      </c>
      <c r="L52" s="7" t="inlineStr">
        <is>
          <t>Corpus: Inherited 57
Family/domain: Christ &amp; Spirit titles
Public summary: Image of the Father
Current code/tier: A
Provenance: Count-constrained reconstruction
Source/pointer: See inherited source report / recovered institution ledgers
Locator/source note: Recurring Kataphatic Vocabulary table
Public scope caution: Shared image/manifestation language at the accepted floor.
Research status: RECONSTRUCTED — source-level/master-family recertification remains publication-critical</t>
        </is>
      </c>
      <c r="M52" s="7" t="inlineStr">
        <is>
          <t>Author decision = PENDING.</t>
        </is>
      </c>
      <c r="N52" s="7" t="inlineStr">
        <is>
          <t>Blocks M1/M2 public row copy until the row is APPROVED, REVISED, or intentionally HELD.</t>
        </is>
      </c>
      <c r="O52" s="7" t="inlineStr">
        <is>
          <t>APPROVE AS WRITTEN</t>
        </is>
      </c>
      <c r="P52" s="7" t="inlineStr">
        <is>
          <t>REVISE — enter complete replacement wording/scope note in Custom Response</t>
        </is>
      </c>
      <c r="Q52" s="7" t="inlineStr">
        <is>
          <t>HOLD — research-code review required before wording approval</t>
        </is>
      </c>
      <c r="R52" s="7" t="inlineStr">
        <is>
          <t>HOLD — source/scope review required before wording approval</t>
        </is>
      </c>
      <c r="S52" s="7" t="inlineStr">
        <is>
          <t>OPTION 2</t>
        </is>
      </c>
      <c r="T52" s="17">
        <f>'Author Response Entry'!$D$52</f>
        <v/>
      </c>
      <c r="U52" s="18">
        <f>'Author Response Entry'!$E$52</f>
        <v/>
      </c>
      <c r="V52" s="18">
        <f>'Author Response Entry'!$F$52</f>
        <v/>
      </c>
      <c r="W52" s="18">
        <f>'Author Response Entry'!$G$52</f>
        <v/>
      </c>
      <c r="X52" s="19">
        <f>'Author Response Entry'!$H$52</f>
        <v/>
      </c>
      <c r="Y52" s="18">
        <f>IF(T52="","",IF(T52="CUSTOM RESPONSE",U52,IF(T52="HOLD — NEEDS RESEARCH",IF(U52&lt;&gt;"",U52,"HOLD — NEEDS RESEARCH"),IF(T52="DEFER — NOT YET",IF(U52&lt;&gt;"",U52,"DEFER — NOT YET"),IF(T52="OPTION 1",O52,IF(T52="OPTION 2",U52,IF(T52="OPTION 3",Q52,IF(T52="OPTION 4",R52,""))))))))</f>
        <v/>
      </c>
      <c r="Z52" s="18">
        <f>IF(T52="","OPEN",IF(T52="CUSTOM RESPONSE",IF(U52="","OPEN — CUSTOM TEXT REQUIRED",IF(W52="","RESOLVED — ADD INITIALS/DATE",IF(X52="","RESOLVED — ADD INITIALS/DATE","RESOLVED"))),IF(T52="HOLD — NEEDS RESEARCH",IF(W52="","HOLD — ADD INITIALS/DATE",IF(X52="","HOLD — ADD INITIALS/DATE","HOLD")),IF(T52="DEFER — NOT YET",IF(W52="","DEFERRED — ADD INITIALS/DATE",IF(X52="","DEFERRED — ADD INITIALS/DATE","DEFERRED")),IF(T52="OPTION 1",IF(W52="","RESOLVED — ADD INITIALS/DATE",IF(X52="","RESOLVED — ADD INITIALS/DATE","RESOLVED")),IF(T52="OPTION 2",IF(U52="","OPEN — CUSTOM TEXT REQUIRED",IF(W52="","RESOLVED — ADD INITIALS/DATE",IF(X52="","RESOLVED — ADD INITIALS/DATE","RESOLVED"))),IF(T52="OPTION 3",IF(W52="","HOLD — ADD INITIALS/DATE",IF(X52="","HOLD — ADD INITIALS/DATE","HOLD")),IF(T52="OPTION 4",IF(W52="","HOLD — ADD INITIALS/DATE",IF(X52="","HOLD — ADD INITIALS/DATE","HOLD")),IF(W52="","RESOLVED — ADD INITIALS/DATE",IF(X52="","RESOLVED — ADD INITIALS/DATE","RESOLVED"))))))))))</f>
        <v/>
      </c>
      <c r="AA52" s="18" t="inlineStr">
        <is>
          <t>YES</t>
        </is>
      </c>
      <c r="AB52" s="18" t="inlineStr">
        <is>
          <t>Next controlled merge propagates decision to Row Ratification K:N. A wording review must not silently recode A/Q/D or authority tier.</t>
        </is>
      </c>
      <c r="AC52" s="18" t="inlineStr">
        <is>
          <t>Inherited H21–H35 — action &amp; Christ/Spirit titles</t>
        </is>
      </c>
      <c r="AD52" s="18" t="n"/>
      <c r="AE52" s="18" t="inlineStr">
        <is>
          <t>Shared image/manifestation language at the accepted floor.</t>
        </is>
      </c>
      <c r="AF52" s="18">
        <f>IF(F52&lt;&gt;"READY","NO",IF(Z52="OPEN","YES",IF(Z52="OPEN — CUSTOM TEXT REQUIRED","YES",IF(Z52="RESOLVED — ADD INITIALS/DATE","YES",IF(Z52="HOLD — ADD INITIALS/DATE","YES",IF(Z52="DEFERRED — ADD INITIALS/DATE","YES","NO"))))))</f>
        <v/>
      </c>
      <c r="AG52" s="18">
        <f>IF(AF52&lt;&gt;"YES","",IF(A52=IFERROR(MATCH("YES",$AF$2:$AF$105,0),0),"CURRENT",""))</f>
        <v/>
      </c>
      <c r="AH52" s="20">
        <f>IF(COUNTIF($B$2:$B$105,B52)&gt;1,"DUPLICATE","")</f>
        <v/>
      </c>
    </row>
    <row r="53" ht="15.75" customHeight="1" s="29">
      <c r="A53" s="7" t="n">
        <v>52</v>
      </c>
      <c r="B53" s="7" t="inlineStr">
        <is>
          <t>AUTH-RAT-RNR-H34</t>
        </is>
      </c>
      <c r="C53" s="7" t="inlineStr">
        <is>
          <t>G6 — Row Ratification</t>
        </is>
      </c>
      <c r="D53" s="7" t="inlineStr">
        <is>
          <t>Predicate/addition wording</t>
        </is>
      </c>
      <c r="E53" s="7" t="inlineStr">
        <is>
          <t>HIGH</t>
        </is>
      </c>
      <c r="F53" s="7" t="inlineStr">
        <is>
          <t>READY</t>
        </is>
      </c>
      <c r="G53" s="7" t="inlineStr">
        <is>
          <t>Row Ratification</t>
        </is>
      </c>
      <c r="H53" s="7" t="inlineStr">
        <is>
          <t>RNR-H34</t>
        </is>
      </c>
      <c r="I53" s="7" t="inlineStr">
        <is>
          <t>A39:N39</t>
        </is>
      </c>
      <c r="J53" s="7" t="inlineStr">
        <is>
          <t>Ratify RNR-H34: Giver of life</t>
        </is>
      </c>
      <c r="K53" s="7" t="inlineStr">
        <is>
          <t>Is this public/ministry wording accurate, appropriately scoped, and fair enough to approve?</t>
        </is>
      </c>
      <c r="L53" s="7" t="inlineStr">
        <is>
          <t>Corpus: Inherited 57
Family/domain: Christ &amp; Spirit titles
Public summary: Giver of life
Current code/tier: A
Provenance: Count-constrained reconstruction
Source/pointer: See inherited source report / recovered institution ledgers
Locator/source note: Recurring Kataphatic Vocabulary table
Public scope caution: Shared life-giving agency of the Spirit.
Research status: RECONSTRUCTED — source-level/master-family recertification remains publication-critical</t>
        </is>
      </c>
      <c r="M53" s="7" t="inlineStr">
        <is>
          <t>Author decision = PENDING.</t>
        </is>
      </c>
      <c r="N53" s="7" t="inlineStr">
        <is>
          <t>Blocks M1/M2 public row copy until the row is APPROVED, REVISED, or intentionally HELD.</t>
        </is>
      </c>
      <c r="O53" s="7" t="inlineStr">
        <is>
          <t>APPROVE AS WRITTEN</t>
        </is>
      </c>
      <c r="P53" s="7" t="inlineStr">
        <is>
          <t>REVISE — enter complete replacement wording/scope note in Custom Response</t>
        </is>
      </c>
      <c r="Q53" s="7" t="inlineStr">
        <is>
          <t>HOLD — research-code review required before wording approval</t>
        </is>
      </c>
      <c r="R53" s="7" t="inlineStr">
        <is>
          <t>HOLD — source/scope review required before wording approval</t>
        </is>
      </c>
      <c r="S53" s="7" t="inlineStr">
        <is>
          <t>OPTION 2</t>
        </is>
      </c>
      <c r="T53" s="17">
        <f>'Author Response Entry'!$D$53</f>
        <v/>
      </c>
      <c r="U53" s="18">
        <f>'Author Response Entry'!$E$53</f>
        <v/>
      </c>
      <c r="V53" s="18">
        <f>'Author Response Entry'!$F$53</f>
        <v/>
      </c>
      <c r="W53" s="18">
        <f>'Author Response Entry'!$G$53</f>
        <v/>
      </c>
      <c r="X53" s="19">
        <f>'Author Response Entry'!$H$53</f>
        <v/>
      </c>
      <c r="Y53" s="18">
        <f>IF(T53="","",IF(T53="CUSTOM RESPONSE",U53,IF(T53="HOLD — NEEDS RESEARCH",IF(U53&lt;&gt;"",U53,"HOLD — NEEDS RESEARCH"),IF(T53="DEFER — NOT YET",IF(U53&lt;&gt;"",U53,"DEFER — NOT YET"),IF(T53="OPTION 1",O53,IF(T53="OPTION 2",U53,IF(T53="OPTION 3",Q53,IF(T53="OPTION 4",R53,""))))))))</f>
        <v/>
      </c>
      <c r="Z53" s="18">
        <f>IF(T53="","OPEN",IF(T53="CUSTOM RESPONSE",IF(U53="","OPEN — CUSTOM TEXT REQUIRED",IF(W53="","RESOLVED — ADD INITIALS/DATE",IF(X53="","RESOLVED — ADD INITIALS/DATE","RESOLVED"))),IF(T53="HOLD — NEEDS RESEARCH",IF(W53="","HOLD — ADD INITIALS/DATE",IF(X53="","HOLD — ADD INITIALS/DATE","HOLD")),IF(T53="DEFER — NOT YET",IF(W53="","DEFERRED — ADD INITIALS/DATE",IF(X53="","DEFERRED — ADD INITIALS/DATE","DEFERRED")),IF(T53="OPTION 1",IF(W53="","RESOLVED — ADD INITIALS/DATE",IF(X53="","RESOLVED — ADD INITIALS/DATE","RESOLVED")),IF(T53="OPTION 2",IF(U53="","OPEN — CUSTOM TEXT REQUIRED",IF(W53="","RESOLVED — ADD INITIALS/DATE",IF(X53="","RESOLVED — ADD INITIALS/DATE","RESOLVED"))),IF(T53="OPTION 3",IF(W53="","HOLD — ADD INITIALS/DATE",IF(X53="","HOLD — ADD INITIALS/DATE","HOLD")),IF(T53="OPTION 4",IF(W53="","HOLD — ADD INITIALS/DATE",IF(X53="","HOLD — ADD INITIALS/DATE","HOLD")),IF(W53="","RESOLVED — ADD INITIALS/DATE",IF(X53="","RESOLVED — ADD INITIALS/DATE","RESOLVED"))))))))))</f>
        <v/>
      </c>
      <c r="AA53" s="18" t="inlineStr">
        <is>
          <t>YES</t>
        </is>
      </c>
      <c r="AB53" s="18" t="inlineStr">
        <is>
          <t>Next controlled merge propagates decision to Row Ratification K:N. A wording review must not silently recode A/Q/D or authority tier.</t>
        </is>
      </c>
      <c r="AC53" s="18" t="inlineStr">
        <is>
          <t>Inherited H21–H35 — action &amp; Christ/Spirit titles</t>
        </is>
      </c>
      <c r="AD53" s="18" t="n"/>
      <c r="AE53" s="18" t="inlineStr">
        <is>
          <t>Shared life-giving agency of the Spirit.</t>
        </is>
      </c>
      <c r="AF53" s="18">
        <f>IF(F53&lt;&gt;"READY","NO",IF(Z53="OPEN","YES",IF(Z53="OPEN — CUSTOM TEXT REQUIRED","YES",IF(Z53="RESOLVED — ADD INITIALS/DATE","YES",IF(Z53="HOLD — ADD INITIALS/DATE","YES",IF(Z53="DEFERRED — ADD INITIALS/DATE","YES","NO"))))))</f>
        <v/>
      </c>
      <c r="AG53" s="18">
        <f>IF(AF53&lt;&gt;"YES","",IF(A53=IFERROR(MATCH("YES",$AF$2:$AF$105,0),0),"CURRENT",""))</f>
        <v/>
      </c>
      <c r="AH53" s="20">
        <f>IF(COUNTIF($B$2:$B$105,B53)&gt;1,"DUPLICATE","")</f>
        <v/>
      </c>
    </row>
    <row r="54" ht="15.75" customHeight="1" s="29">
      <c r="A54" s="7" t="n">
        <v>53</v>
      </c>
      <c r="B54" s="7" t="inlineStr">
        <is>
          <t>AUTH-RAT-RNR-H35</t>
        </is>
      </c>
      <c r="C54" s="7" t="inlineStr">
        <is>
          <t>G6 — Row Ratification</t>
        </is>
      </c>
      <c r="D54" s="7" t="inlineStr">
        <is>
          <t>Predicate/addition wording</t>
        </is>
      </c>
      <c r="E54" s="7" t="inlineStr">
        <is>
          <t>HIGH</t>
        </is>
      </c>
      <c r="F54" s="7" t="inlineStr">
        <is>
          <t>READY</t>
        </is>
      </c>
      <c r="G54" s="7" t="inlineStr">
        <is>
          <t>Row Ratification</t>
        </is>
      </c>
      <c r="H54" s="7" t="inlineStr">
        <is>
          <t>RNR-H35</t>
        </is>
      </c>
      <c r="I54" s="7" t="inlineStr">
        <is>
          <t>A40:N40</t>
        </is>
      </c>
      <c r="J54" s="7" t="inlineStr">
        <is>
          <t>Ratify RNR-H35: Eternal power and might</t>
        </is>
      </c>
      <c r="K54" s="7" t="inlineStr">
        <is>
          <t>Is this public/ministry wording accurate, appropriately scoped, and fair enough to approve?</t>
        </is>
      </c>
      <c r="L54" s="7" t="inlineStr">
        <is>
          <t>Corpus: Inherited 57
Family/domain: Christ &amp; Spirit titles
Public summary: Eternal power and might
Current code/tier: A
Provenance: Count-constrained reconstruction
Source/pointer: See inherited source report / recovered institution ledgers
Locator/source note: Recurring Kataphatic Vocabulary table
Public scope caution: Shared divine power of the Spirit.
Research status: RECONSTRUCTED — source-level/master-family recertification remains publication-critical</t>
        </is>
      </c>
      <c r="M54" s="7" t="inlineStr">
        <is>
          <t>Author decision = PENDING.</t>
        </is>
      </c>
      <c r="N54" s="7" t="inlineStr">
        <is>
          <t>Blocks M1/M2 public row copy until the row is APPROVED, REVISED, or intentionally HELD.</t>
        </is>
      </c>
      <c r="O54" s="7" t="inlineStr">
        <is>
          <t>APPROVE AS WRITTEN</t>
        </is>
      </c>
      <c r="P54" s="7" t="inlineStr">
        <is>
          <t>REVISE — enter complete replacement wording/scope note in Custom Response</t>
        </is>
      </c>
      <c r="Q54" s="7" t="inlineStr">
        <is>
          <t>HOLD — research-code review required before wording approval</t>
        </is>
      </c>
      <c r="R54" s="7" t="inlineStr">
        <is>
          <t>HOLD — source/scope review required before wording approval</t>
        </is>
      </c>
      <c r="S54" s="7" t="inlineStr">
        <is>
          <t>OPTION 2</t>
        </is>
      </c>
      <c r="T54" s="17">
        <f>'Author Response Entry'!$D$54</f>
        <v/>
      </c>
      <c r="U54" s="18">
        <f>'Author Response Entry'!$E$54</f>
        <v/>
      </c>
      <c r="V54" s="18">
        <f>'Author Response Entry'!$F$54</f>
        <v/>
      </c>
      <c r="W54" s="18">
        <f>'Author Response Entry'!$G$54</f>
        <v/>
      </c>
      <c r="X54" s="19">
        <f>'Author Response Entry'!$H$54</f>
        <v/>
      </c>
      <c r="Y54" s="18">
        <f>IF(T54="","",IF(T54="CUSTOM RESPONSE",U54,IF(T54="HOLD — NEEDS RESEARCH",IF(U54&lt;&gt;"",U54,"HOLD — NEEDS RESEARCH"),IF(T54="DEFER — NOT YET",IF(U54&lt;&gt;"",U54,"DEFER — NOT YET"),IF(T54="OPTION 1",O54,IF(T54="OPTION 2",U54,IF(T54="OPTION 3",Q54,IF(T54="OPTION 4",R54,""))))))))</f>
        <v/>
      </c>
      <c r="Z54" s="18">
        <f>IF(T54="","OPEN",IF(T54="CUSTOM RESPONSE",IF(U54="","OPEN — CUSTOM TEXT REQUIRED",IF(W54="","RESOLVED — ADD INITIALS/DATE",IF(X54="","RESOLVED — ADD INITIALS/DATE","RESOLVED"))),IF(T54="HOLD — NEEDS RESEARCH",IF(W54="","HOLD — ADD INITIALS/DATE",IF(X54="","HOLD — ADD INITIALS/DATE","HOLD")),IF(T54="DEFER — NOT YET",IF(W54="","DEFERRED — ADD INITIALS/DATE",IF(X54="","DEFERRED — ADD INITIALS/DATE","DEFERRED")),IF(T54="OPTION 1",IF(W54="","RESOLVED — ADD INITIALS/DATE",IF(X54="","RESOLVED — ADD INITIALS/DATE","RESOLVED")),IF(T54="OPTION 2",IF(U54="","OPEN — CUSTOM TEXT REQUIRED",IF(W54="","RESOLVED — ADD INITIALS/DATE",IF(X54="","RESOLVED — ADD INITIALS/DATE","RESOLVED"))),IF(T54="OPTION 3",IF(W54="","HOLD — ADD INITIALS/DATE",IF(X54="","HOLD — ADD INITIALS/DATE","HOLD")),IF(T54="OPTION 4",IF(W54="","HOLD — ADD INITIALS/DATE",IF(X54="","HOLD — ADD INITIALS/DATE","HOLD")),IF(W54="","RESOLVED — ADD INITIALS/DATE",IF(X54="","RESOLVED — ADD INITIALS/DATE","RESOLVED"))))))))))</f>
        <v/>
      </c>
      <c r="AA54" s="18" t="inlineStr">
        <is>
          <t>YES</t>
        </is>
      </c>
      <c r="AB54" s="18" t="inlineStr">
        <is>
          <t>Next controlled merge propagates decision to Row Ratification K:N. A wording review must not silently recode A/Q/D or authority tier.</t>
        </is>
      </c>
      <c r="AC54" s="18" t="inlineStr">
        <is>
          <t>Inherited H21–H35 — action &amp; Christ/Spirit titles</t>
        </is>
      </c>
      <c r="AD54" s="18" t="n"/>
      <c r="AE54" s="18" t="inlineStr">
        <is>
          <t>Shared divine power of the Spirit.</t>
        </is>
      </c>
      <c r="AF54" s="18">
        <f>IF(F54&lt;&gt;"READY","NO",IF(Z54="OPEN","YES",IF(Z54="OPEN — CUSTOM TEXT REQUIRED","YES",IF(Z54="RESOLVED — ADD INITIALS/DATE","YES",IF(Z54="HOLD — ADD INITIALS/DATE","YES",IF(Z54="DEFERRED — ADD INITIALS/DATE","YES","NO"))))))</f>
        <v/>
      </c>
      <c r="AG54" s="18">
        <f>IF(AF54&lt;&gt;"YES","",IF(A54=IFERROR(MATCH("YES",$AF$2:$AF$105,0),0),"CURRENT",""))</f>
        <v/>
      </c>
      <c r="AH54" s="20">
        <f>IF(COUNTIF($B$2:$B$105,B54)&gt;1,"DUPLICATE","")</f>
        <v/>
      </c>
    </row>
    <row r="55" ht="15.75" customHeight="1" s="29">
      <c r="A55" s="7" t="n">
        <v>54</v>
      </c>
      <c r="B55" s="7" t="inlineStr">
        <is>
          <t>AUTH-RAT-RNR-H36</t>
        </is>
      </c>
      <c r="C55" s="7" t="inlineStr">
        <is>
          <t>G6 — Row Ratification</t>
        </is>
      </c>
      <c r="D55" s="7" t="inlineStr">
        <is>
          <t>Predicate/addition wording</t>
        </is>
      </c>
      <c r="E55" s="7" t="inlineStr">
        <is>
          <t>MEDIUM</t>
        </is>
      </c>
      <c r="F55" s="7" t="inlineStr">
        <is>
          <t>READY</t>
        </is>
      </c>
      <c r="G55" s="7" t="inlineStr">
        <is>
          <t>Row Ratification</t>
        </is>
      </c>
      <c r="H55" s="7" t="inlineStr">
        <is>
          <t>RNR-H36</t>
        </is>
      </c>
      <c r="I55" s="7" t="inlineStr">
        <is>
          <t>A41:N41</t>
        </is>
      </c>
      <c r="J55" s="7" t="inlineStr">
        <is>
          <t>Ratify RNR-H36: Uncreated</t>
        </is>
      </c>
      <c r="K55" s="7" t="inlineStr">
        <is>
          <t>Is this public/ministry wording accurate, appropriately scoped, and fair enough to approve?</t>
        </is>
      </c>
      <c r="L55" s="7" t="inlineStr">
        <is>
          <t>Corpus: Inherited 57
Family/domain: Beginninglessness &amp; non-finitude
Public summary: Uncreated
Current code/tier: Q
Provenance: Explicit in master handoff
Source/pointer: See inherited source report / recovered institution ledgers
Locator/source note: Recurring Apophatic Vocabulary table
Public scope caution: Beginningless divine reality is affirmed; the exhaustive God-versus-created-reality binary is rejected.
Research status: CONTROLLED INTERNAL — still requires public wording signoff</t>
        </is>
      </c>
      <c r="M55" s="7" t="inlineStr">
        <is>
          <t>Author decision = PENDING.</t>
        </is>
      </c>
      <c r="N55" s="7" t="inlineStr">
        <is>
          <t>Blocks M1/M2 public row copy until the row is APPROVED, REVISED, or intentionally HELD.</t>
        </is>
      </c>
      <c r="O55" s="7" t="inlineStr">
        <is>
          <t>APPROVE AS WRITTEN</t>
        </is>
      </c>
      <c r="P55" s="7" t="inlineStr">
        <is>
          <t>REVISE — enter complete replacement wording/scope note in Custom Response</t>
        </is>
      </c>
      <c r="Q55" s="7" t="inlineStr">
        <is>
          <t>HOLD — research-code review required before wording approval</t>
        </is>
      </c>
      <c r="R55" s="7" t="inlineStr">
        <is>
          <t>HOLD — source/scope review required before wording approval</t>
        </is>
      </c>
      <c r="S55" s="7" t="inlineStr">
        <is>
          <t>OPTION 2</t>
        </is>
      </c>
      <c r="T55" s="17">
        <f>'Author Response Entry'!$D$55</f>
        <v/>
      </c>
      <c r="U55" s="18">
        <f>'Author Response Entry'!$E$55</f>
        <v/>
      </c>
      <c r="V55" s="18">
        <f>'Author Response Entry'!$F$55</f>
        <v/>
      </c>
      <c r="W55" s="18">
        <f>'Author Response Entry'!$G$55</f>
        <v/>
      </c>
      <c r="X55" s="19">
        <f>'Author Response Entry'!$H$55</f>
        <v/>
      </c>
      <c r="Y55" s="18">
        <f>IF(T55="","",IF(T55="CUSTOM RESPONSE",U55,IF(T55="HOLD — NEEDS RESEARCH",IF(U55&lt;&gt;"",U55,"HOLD — NEEDS RESEARCH"),IF(T55="DEFER — NOT YET",IF(U55&lt;&gt;"",U55,"DEFER — NOT YET"),IF(T55="OPTION 1",O55,IF(T55="OPTION 2",U55,IF(T55="OPTION 3",Q55,IF(T55="OPTION 4",R55,""))))))))</f>
        <v/>
      </c>
      <c r="Z55" s="18">
        <f>IF(T55="","OPEN",IF(T55="CUSTOM RESPONSE",IF(U55="","OPEN — CUSTOM TEXT REQUIRED",IF(W55="","RESOLVED — ADD INITIALS/DATE",IF(X55="","RESOLVED — ADD INITIALS/DATE","RESOLVED"))),IF(T55="HOLD — NEEDS RESEARCH",IF(W55="","HOLD — ADD INITIALS/DATE",IF(X55="","HOLD — ADD INITIALS/DATE","HOLD")),IF(T55="DEFER — NOT YET",IF(W55="","DEFERRED — ADD INITIALS/DATE",IF(X55="","DEFERRED — ADD INITIALS/DATE","DEFERRED")),IF(T55="OPTION 1",IF(W55="","RESOLVED — ADD INITIALS/DATE",IF(X55="","RESOLVED — ADD INITIALS/DATE","RESOLVED")),IF(T55="OPTION 2",IF(U55="","OPEN — CUSTOM TEXT REQUIRED",IF(W55="","RESOLVED — ADD INITIALS/DATE",IF(X55="","RESOLVED — ADD INITIALS/DATE","RESOLVED"))),IF(T55="OPTION 3",IF(W55="","HOLD — ADD INITIALS/DATE",IF(X55="","HOLD — ADD INITIALS/DATE","HOLD")),IF(T55="OPTION 4",IF(W55="","HOLD — ADD INITIALS/DATE",IF(X55="","HOLD — ADD INITIALS/DATE","HOLD")),IF(W55="","RESOLVED — ADD INITIALS/DATE",IF(X55="","RESOLVED — ADD INITIALS/DATE","RESOLVED"))))))))))</f>
        <v/>
      </c>
      <c r="AA55" s="18" t="inlineStr">
        <is>
          <t>YES</t>
        </is>
      </c>
      <c r="AB55" s="18" t="inlineStr">
        <is>
          <t>Next controlled merge propagates decision to Row Ratification K:N. A wording review must not silently recode A/Q/D or authority tier.</t>
        </is>
      </c>
      <c r="AC55" s="18" t="inlineStr">
        <is>
          <t>Inherited H36–H51 — metaphysical/apophatic</t>
        </is>
      </c>
      <c r="AD55" s="18" t="n"/>
      <c r="AE55" s="18" t="inlineStr">
        <is>
          <t>Beginningless divine reality is affirmed; the exhaustive God-versus-created-reality binary is rejected.</t>
        </is>
      </c>
      <c r="AF55" s="18">
        <f>IF(F55&lt;&gt;"READY","NO",IF(Z55="OPEN","YES",IF(Z55="OPEN — CUSTOM TEXT REQUIRED","YES",IF(Z55="RESOLVED — ADD INITIALS/DATE","YES",IF(Z55="HOLD — ADD INITIALS/DATE","YES",IF(Z55="DEFERRED — ADD INITIALS/DATE","YES","NO"))))))</f>
        <v/>
      </c>
      <c r="AG55" s="18">
        <f>IF(AF55&lt;&gt;"YES","",IF(A55=IFERROR(MATCH("YES",$AF$2:$AF$105,0),0),"CURRENT",""))</f>
        <v/>
      </c>
      <c r="AH55" s="20">
        <f>IF(COUNTIF($B$2:$B$105,B55)&gt;1,"DUPLICATE","")</f>
        <v/>
      </c>
    </row>
    <row r="56" ht="15.75" customHeight="1" s="29">
      <c r="A56" s="7" t="n">
        <v>55</v>
      </c>
      <c r="B56" s="7" t="inlineStr">
        <is>
          <t>AUTH-RAT-RNR-H37</t>
        </is>
      </c>
      <c r="C56" s="7" t="inlineStr">
        <is>
          <t>G6 — Row Ratification</t>
        </is>
      </c>
      <c r="D56" s="7" t="inlineStr">
        <is>
          <t>Predicate/addition wording</t>
        </is>
      </c>
      <c r="E56" s="7" t="inlineStr">
        <is>
          <t>MEDIUM</t>
        </is>
      </c>
      <c r="F56" s="7" t="inlineStr">
        <is>
          <t>READY</t>
        </is>
      </c>
      <c r="G56" s="7" t="inlineStr">
        <is>
          <t>Row Ratification</t>
        </is>
      </c>
      <c r="H56" s="7" t="inlineStr">
        <is>
          <t>RNR-H37</t>
        </is>
      </c>
      <c r="I56" s="7" t="inlineStr">
        <is>
          <t>A42:N42</t>
        </is>
      </c>
      <c r="J56" s="7" t="inlineStr">
        <is>
          <t>Ratify RNR-H37: Unbegotten</t>
        </is>
      </c>
      <c r="K56" s="7" t="inlineStr">
        <is>
          <t>Is this public/ministry wording accurate, appropriately scoped, and fair enough to approve?</t>
        </is>
      </c>
      <c r="L56" s="7" t="inlineStr">
        <is>
          <t>Corpus: Inherited 57
Family/domain: Beginninglessness &amp; non-finitude
Public summary: Unbegotten
Current code/tier: Q
Provenance: Explicit in master handoff
Source/pointer: See inherited source report / recovered institution ledgers
Locator/source note: Recurring Apophatic Vocabulary table
Public scope caution: Beginninglessness/source-status concern is shared; absolute 'from none' versus antecedent divine lineage remains a material qualification.
Research status: CONTROLLED INTERNAL — still requires public wording signoff</t>
        </is>
      </c>
      <c r="M56" s="7" t="inlineStr">
        <is>
          <t>Author decision = PENDING.</t>
        </is>
      </c>
      <c r="N56" s="7" t="inlineStr">
        <is>
          <t>Blocks M1/M2 public row copy until the row is APPROVED, REVISED, or intentionally HELD.</t>
        </is>
      </c>
      <c r="O56" s="7" t="inlineStr">
        <is>
          <t>APPROVE AS WRITTEN</t>
        </is>
      </c>
      <c r="P56" s="7" t="inlineStr">
        <is>
          <t>REVISE — enter complete replacement wording/scope note in Custom Response</t>
        </is>
      </c>
      <c r="Q56" s="7" t="inlineStr">
        <is>
          <t>HOLD — research-code review required before wording approval</t>
        </is>
      </c>
      <c r="R56" s="7" t="inlineStr">
        <is>
          <t>HOLD — source/scope review required before wording approval</t>
        </is>
      </c>
      <c r="S56" s="7" t="inlineStr">
        <is>
          <t>OPTION 2</t>
        </is>
      </c>
      <c r="T56" s="17">
        <f>'Author Response Entry'!$D$56</f>
        <v/>
      </c>
      <c r="U56" s="18">
        <f>'Author Response Entry'!$E$56</f>
        <v/>
      </c>
      <c r="V56" s="18">
        <f>'Author Response Entry'!$F$56</f>
        <v/>
      </c>
      <c r="W56" s="18">
        <f>'Author Response Entry'!$G$56</f>
        <v/>
      </c>
      <c r="X56" s="19">
        <f>'Author Response Entry'!$H$56</f>
        <v/>
      </c>
      <c r="Y56" s="18">
        <f>IF(T56="","",IF(T56="CUSTOM RESPONSE",U56,IF(T56="HOLD — NEEDS RESEARCH",IF(U56&lt;&gt;"",U56,"HOLD — NEEDS RESEARCH"),IF(T56="DEFER — NOT YET",IF(U56&lt;&gt;"",U56,"DEFER — NOT YET"),IF(T56="OPTION 1",O56,IF(T56="OPTION 2",U56,IF(T56="OPTION 3",Q56,IF(T56="OPTION 4",R56,""))))))))</f>
        <v/>
      </c>
      <c r="Z56" s="18">
        <f>IF(T56="","OPEN",IF(T56="CUSTOM RESPONSE",IF(U56="","OPEN — CUSTOM TEXT REQUIRED",IF(W56="","RESOLVED — ADD INITIALS/DATE",IF(X56="","RESOLVED — ADD INITIALS/DATE","RESOLVED"))),IF(T56="HOLD — NEEDS RESEARCH",IF(W56="","HOLD — ADD INITIALS/DATE",IF(X56="","HOLD — ADD INITIALS/DATE","HOLD")),IF(T56="DEFER — NOT YET",IF(W56="","DEFERRED — ADD INITIALS/DATE",IF(X56="","DEFERRED — ADD INITIALS/DATE","DEFERRED")),IF(T56="OPTION 1",IF(W56="","RESOLVED — ADD INITIALS/DATE",IF(X56="","RESOLVED — ADD INITIALS/DATE","RESOLVED")),IF(T56="OPTION 2",IF(U56="","OPEN — CUSTOM TEXT REQUIRED",IF(W56="","RESOLVED — ADD INITIALS/DATE",IF(X56="","RESOLVED — ADD INITIALS/DATE","RESOLVED"))),IF(T56="OPTION 3",IF(W56="","HOLD — ADD INITIALS/DATE",IF(X56="","HOLD — ADD INITIALS/DATE","HOLD")),IF(T56="OPTION 4",IF(W56="","HOLD — ADD INITIALS/DATE",IF(X56="","HOLD — ADD INITIALS/DATE","HOLD")),IF(W56="","RESOLVED — ADD INITIALS/DATE",IF(X56="","RESOLVED — ADD INITIALS/DATE","RESOLVED"))))))))))</f>
        <v/>
      </c>
      <c r="AA56" s="18" t="inlineStr">
        <is>
          <t>YES</t>
        </is>
      </c>
      <c r="AB56" s="18" t="inlineStr">
        <is>
          <t>Next controlled merge propagates decision to Row Ratification K:N. A wording review must not silently recode A/Q/D or authority tier.</t>
        </is>
      </c>
      <c r="AC56" s="18" t="inlineStr">
        <is>
          <t>Inherited H36–H51 — metaphysical/apophatic</t>
        </is>
      </c>
      <c r="AD56" s="18" t="n"/>
      <c r="AE56" s="18" t="inlineStr">
        <is>
          <t>Beginninglessness/source-status concern is shared; absolute 'from none' versus antecedent divine lineage remains a material qualification.</t>
        </is>
      </c>
      <c r="AF56" s="18">
        <f>IF(F56&lt;&gt;"READY","NO",IF(Z56="OPEN","YES",IF(Z56="OPEN — CUSTOM TEXT REQUIRED","YES",IF(Z56="RESOLVED — ADD INITIALS/DATE","YES",IF(Z56="HOLD — ADD INITIALS/DATE","YES",IF(Z56="DEFERRED — ADD INITIALS/DATE","YES","NO"))))))</f>
        <v/>
      </c>
      <c r="AG56" s="18">
        <f>IF(AF56&lt;&gt;"YES","",IF(A56=IFERROR(MATCH("YES",$AF$2:$AF$105,0),0),"CURRENT",""))</f>
        <v/>
      </c>
      <c r="AH56" s="20">
        <f>IF(COUNTIF($B$2:$B$105,B56)&gt;1,"DUPLICATE","")</f>
        <v/>
      </c>
    </row>
    <row r="57" ht="15.75" customHeight="1" s="29">
      <c r="A57" s="7" t="n">
        <v>56</v>
      </c>
      <c r="B57" s="7" t="inlineStr">
        <is>
          <t>AUTH-RAT-RNR-H38</t>
        </is>
      </c>
      <c r="C57" s="7" t="inlineStr">
        <is>
          <t>G6 — Row Ratification</t>
        </is>
      </c>
      <c r="D57" s="7" t="inlineStr">
        <is>
          <t>Predicate/addition wording</t>
        </is>
      </c>
      <c r="E57" s="7" t="inlineStr">
        <is>
          <t>HIGH</t>
        </is>
      </c>
      <c r="F57" s="7" t="inlineStr">
        <is>
          <t>READY</t>
        </is>
      </c>
      <c r="G57" s="7" t="inlineStr">
        <is>
          <t>Row Ratification</t>
        </is>
      </c>
      <c r="H57" s="7" t="inlineStr">
        <is>
          <t>RNR-H38</t>
        </is>
      </c>
      <c r="I57" s="7" t="inlineStr">
        <is>
          <t>A43:N43</t>
        </is>
      </c>
      <c r="J57" s="7" t="inlineStr">
        <is>
          <t>Ratify RNR-H38: Not made</t>
        </is>
      </c>
      <c r="K57" s="7" t="inlineStr">
        <is>
          <t>Is this public/ministry wording accurate, appropriately scoped, and fair enough to approve?</t>
        </is>
      </c>
      <c r="L57" s="7" t="inlineStr">
        <is>
          <t>Corpus: Inherited 57
Family/domain: Beginninglessness &amp; non-finitude
Public summary: Not made
Current code/tier: Q
Provenance: Count-constrained reconstruction
Source/pointer: See inherited source report / recovered institution ledgers
Locator/source note: Recurring Apophatic Vocabulary table
Public scope caution: Qualified by Restoration distinctions among intelligence, spirit birth, embodiment, and creation.
Research status: RECONSTRUCTED — source-level/master-family recertification remains publication-critical</t>
        </is>
      </c>
      <c r="M57" s="7" t="inlineStr">
        <is>
          <t>Author decision = PENDING.</t>
        </is>
      </c>
      <c r="N57" s="7" t="inlineStr">
        <is>
          <t>Blocks M1/M2 public row copy until the row is APPROVED, REVISED, or intentionally HELD.</t>
        </is>
      </c>
      <c r="O57" s="7" t="inlineStr">
        <is>
          <t>APPROVE AS WRITTEN</t>
        </is>
      </c>
      <c r="P57" s="7" t="inlineStr">
        <is>
          <t>REVISE — enter complete replacement wording/scope note in Custom Response</t>
        </is>
      </c>
      <c r="Q57" s="7" t="inlineStr">
        <is>
          <t>HOLD — research-code review required before wording approval</t>
        </is>
      </c>
      <c r="R57" s="7" t="inlineStr">
        <is>
          <t>HOLD — source/scope review required before wording approval</t>
        </is>
      </c>
      <c r="S57" s="7" t="inlineStr">
        <is>
          <t>OPTION 2</t>
        </is>
      </c>
      <c r="T57" s="17">
        <f>'Author Response Entry'!$D$57</f>
        <v/>
      </c>
      <c r="U57" s="18">
        <f>'Author Response Entry'!$E$57</f>
        <v/>
      </c>
      <c r="V57" s="18">
        <f>'Author Response Entry'!$F$57</f>
        <v/>
      </c>
      <c r="W57" s="18">
        <f>'Author Response Entry'!$G$57</f>
        <v/>
      </c>
      <c r="X57" s="19">
        <f>'Author Response Entry'!$H$57</f>
        <v/>
      </c>
      <c r="Y57" s="18">
        <f>IF(T57="","",IF(T57="CUSTOM RESPONSE",U57,IF(T57="HOLD — NEEDS RESEARCH",IF(U57&lt;&gt;"",U57,"HOLD — NEEDS RESEARCH"),IF(T57="DEFER — NOT YET",IF(U57&lt;&gt;"",U57,"DEFER — NOT YET"),IF(T57="OPTION 1",O57,IF(T57="OPTION 2",U57,IF(T57="OPTION 3",Q57,IF(T57="OPTION 4",R57,""))))))))</f>
        <v/>
      </c>
      <c r="Z57" s="18">
        <f>IF(T57="","OPEN",IF(T57="CUSTOM RESPONSE",IF(U57="","OPEN — CUSTOM TEXT REQUIRED",IF(W57="","RESOLVED — ADD INITIALS/DATE",IF(X57="","RESOLVED — ADD INITIALS/DATE","RESOLVED"))),IF(T57="HOLD — NEEDS RESEARCH",IF(W57="","HOLD — ADD INITIALS/DATE",IF(X57="","HOLD — ADD INITIALS/DATE","HOLD")),IF(T57="DEFER — NOT YET",IF(W57="","DEFERRED — ADD INITIALS/DATE",IF(X57="","DEFERRED — ADD INITIALS/DATE","DEFERRED")),IF(T57="OPTION 1",IF(W57="","RESOLVED — ADD INITIALS/DATE",IF(X57="","RESOLVED — ADD INITIALS/DATE","RESOLVED")),IF(T57="OPTION 2",IF(U57="","OPEN — CUSTOM TEXT REQUIRED",IF(W57="","RESOLVED — ADD INITIALS/DATE",IF(X57="","RESOLVED — ADD INITIALS/DATE","RESOLVED"))),IF(T57="OPTION 3",IF(W57="","HOLD — ADD INITIALS/DATE",IF(X57="","HOLD — ADD INITIALS/DATE","HOLD")),IF(T57="OPTION 4",IF(W57="","HOLD — ADD INITIALS/DATE",IF(X57="","HOLD — ADD INITIALS/DATE","HOLD")),IF(W57="","RESOLVED — ADD INITIALS/DATE",IF(X57="","RESOLVED — ADD INITIALS/DATE","RESOLVED"))))))))))</f>
        <v/>
      </c>
      <c r="AA57" s="18" t="inlineStr">
        <is>
          <t>YES</t>
        </is>
      </c>
      <c r="AB57" s="18" t="inlineStr">
        <is>
          <t>Next controlled merge propagates decision to Row Ratification K:N. A wording review must not silently recode A/Q/D or authority tier.</t>
        </is>
      </c>
      <c r="AC57" s="18" t="inlineStr">
        <is>
          <t>Inherited H36–H51 — metaphysical/apophatic</t>
        </is>
      </c>
      <c r="AD57" s="18" t="n"/>
      <c r="AE57" s="18" t="inlineStr">
        <is>
          <t>Qualified by Restoration distinctions among intelligence, spirit birth, embodiment, and creation.</t>
        </is>
      </c>
      <c r="AF57" s="18">
        <f>IF(F57&lt;&gt;"READY","NO",IF(Z57="OPEN","YES",IF(Z57="OPEN — CUSTOM TEXT REQUIRED","YES",IF(Z57="RESOLVED — ADD INITIALS/DATE","YES",IF(Z57="HOLD — ADD INITIALS/DATE","YES",IF(Z57="DEFERRED — ADD INITIALS/DATE","YES","NO"))))))</f>
        <v/>
      </c>
      <c r="AG57" s="18">
        <f>IF(AF57&lt;&gt;"YES","",IF(A57=IFERROR(MATCH("YES",$AF$2:$AF$105,0),0),"CURRENT",""))</f>
        <v/>
      </c>
      <c r="AH57" s="20">
        <f>IF(COUNTIF($B$2:$B$105,B57)&gt;1,"DUPLICATE","")</f>
        <v/>
      </c>
    </row>
    <row r="58" ht="15.75" customHeight="1" s="29">
      <c r="A58" s="7" t="n">
        <v>57</v>
      </c>
      <c r="B58" s="7" t="inlineStr">
        <is>
          <t>AUTH-RAT-RNR-H39</t>
        </is>
      </c>
      <c r="C58" s="7" t="inlineStr">
        <is>
          <t>G6 — Row Ratification</t>
        </is>
      </c>
      <c r="D58" s="7" t="inlineStr">
        <is>
          <t>Predicate/addition wording</t>
        </is>
      </c>
      <c r="E58" s="7" t="inlineStr">
        <is>
          <t>MEDIUM</t>
        </is>
      </c>
      <c r="F58" s="7" t="inlineStr">
        <is>
          <t>READY</t>
        </is>
      </c>
      <c r="G58" s="7" t="inlineStr">
        <is>
          <t>Row Ratification</t>
        </is>
      </c>
      <c r="H58" s="7" t="inlineStr">
        <is>
          <t>RNR-H39</t>
        </is>
      </c>
      <c r="I58" s="7" t="inlineStr">
        <is>
          <t>A44:N44</t>
        </is>
      </c>
      <c r="J58" s="7" t="inlineStr">
        <is>
          <t>Ratify RNR-H39: Infinite</t>
        </is>
      </c>
      <c r="K58" s="7" t="inlineStr">
        <is>
          <t>Is this public/ministry wording accurate, appropriately scoped, and fair enough to approve?</t>
        </is>
      </c>
      <c r="L58" s="7" t="inlineStr">
        <is>
          <t>Corpus: Inherited 57
Family/domain: Beginninglessness &amp; non-finitude
Public summary: Infinite
Current code/tier: Q
Provenance: Author adjudication (Session 18A)
Source/pointer: See inherited source report / recovered institution ledgers
Locator/source note: Recurring Apophatic Vocabulary table
Public scope caution: Shared unlimited perfection/transcendence; blanket non-finitude is too thick where divine personal presence is embodied/determinate.
Research status: CONTROLLED INTERNAL — still requires public wording signoff</t>
        </is>
      </c>
      <c r="M58" s="7" t="inlineStr">
        <is>
          <t>Author decision = PENDING.</t>
        </is>
      </c>
      <c r="N58" s="7" t="inlineStr">
        <is>
          <t>Blocks M1/M2 public row copy until the row is APPROVED, REVISED, or intentionally HELD.</t>
        </is>
      </c>
      <c r="O58" s="7" t="inlineStr">
        <is>
          <t>APPROVE AS WRITTEN</t>
        </is>
      </c>
      <c r="P58" s="7" t="inlineStr">
        <is>
          <t>REVISE — enter complete replacement wording/scope note in Custom Response</t>
        </is>
      </c>
      <c r="Q58" s="7" t="inlineStr">
        <is>
          <t>HOLD — research-code review required before wording approval</t>
        </is>
      </c>
      <c r="R58" s="7" t="inlineStr">
        <is>
          <t>HOLD — source/scope review required before wording approval</t>
        </is>
      </c>
      <c r="S58" s="7" t="inlineStr">
        <is>
          <t>OPTION 2</t>
        </is>
      </c>
      <c r="T58" s="17">
        <f>'Author Response Entry'!$D$58</f>
        <v/>
      </c>
      <c r="U58" s="18">
        <f>'Author Response Entry'!$E$58</f>
        <v/>
      </c>
      <c r="V58" s="18">
        <f>'Author Response Entry'!$F$58</f>
        <v/>
      </c>
      <c r="W58" s="18">
        <f>'Author Response Entry'!$G$58</f>
        <v/>
      </c>
      <c r="X58" s="19">
        <f>'Author Response Entry'!$H$58</f>
        <v/>
      </c>
      <c r="Y58" s="18">
        <f>IF(T58="","",IF(T58="CUSTOM RESPONSE",U58,IF(T58="HOLD — NEEDS RESEARCH",IF(U58&lt;&gt;"",U58,"HOLD — NEEDS RESEARCH"),IF(T58="DEFER — NOT YET",IF(U58&lt;&gt;"",U58,"DEFER — NOT YET"),IF(T58="OPTION 1",O58,IF(T58="OPTION 2",U58,IF(T58="OPTION 3",Q58,IF(T58="OPTION 4",R58,""))))))))</f>
        <v/>
      </c>
      <c r="Z58" s="18">
        <f>IF(T58="","OPEN",IF(T58="CUSTOM RESPONSE",IF(U58="","OPEN — CUSTOM TEXT REQUIRED",IF(W58="","RESOLVED — ADD INITIALS/DATE",IF(X58="","RESOLVED — ADD INITIALS/DATE","RESOLVED"))),IF(T58="HOLD — NEEDS RESEARCH",IF(W58="","HOLD — ADD INITIALS/DATE",IF(X58="","HOLD — ADD INITIALS/DATE","HOLD")),IF(T58="DEFER — NOT YET",IF(W58="","DEFERRED — ADD INITIALS/DATE",IF(X58="","DEFERRED — ADD INITIALS/DATE","DEFERRED")),IF(T58="OPTION 1",IF(W58="","RESOLVED — ADD INITIALS/DATE",IF(X58="","RESOLVED — ADD INITIALS/DATE","RESOLVED")),IF(T58="OPTION 2",IF(U58="","OPEN — CUSTOM TEXT REQUIRED",IF(W58="","RESOLVED — ADD INITIALS/DATE",IF(X58="","RESOLVED — ADD INITIALS/DATE","RESOLVED"))),IF(T58="OPTION 3",IF(W58="","HOLD — ADD INITIALS/DATE",IF(X58="","HOLD — ADD INITIALS/DATE","HOLD")),IF(T58="OPTION 4",IF(W58="","HOLD — ADD INITIALS/DATE",IF(X58="","HOLD — ADD INITIALS/DATE","HOLD")),IF(W58="","RESOLVED — ADD INITIALS/DATE",IF(X58="","RESOLVED — ADD INITIALS/DATE","RESOLVED"))))))))))</f>
        <v/>
      </c>
      <c r="AA58" s="18" t="inlineStr">
        <is>
          <t>YES</t>
        </is>
      </c>
      <c r="AB58" s="18" t="inlineStr">
        <is>
          <t>Next controlled merge propagates decision to Row Ratification K:N. A wording review must not silently recode A/Q/D or authority tier.</t>
        </is>
      </c>
      <c r="AC58" s="18" t="inlineStr">
        <is>
          <t>Inherited H36–H51 — metaphysical/apophatic</t>
        </is>
      </c>
      <c r="AD58" s="18" t="n"/>
      <c r="AE58" s="18" t="inlineStr">
        <is>
          <t>Shared unlimited perfection/transcendence; blanket non-finitude is too thick where divine personal presence is embodied/determinate.</t>
        </is>
      </c>
      <c r="AF58" s="18">
        <f>IF(F58&lt;&gt;"READY","NO",IF(Z58="OPEN","YES",IF(Z58="OPEN — CUSTOM TEXT REQUIRED","YES",IF(Z58="RESOLVED — ADD INITIALS/DATE","YES",IF(Z58="HOLD — ADD INITIALS/DATE","YES",IF(Z58="DEFERRED — ADD INITIALS/DATE","YES","NO"))))))</f>
        <v/>
      </c>
      <c r="AG58" s="18">
        <f>IF(AF58&lt;&gt;"YES","",IF(A58=IFERROR(MATCH("YES",$AF$2:$AF$105,0),0),"CURRENT",""))</f>
        <v/>
      </c>
      <c r="AH58" s="20">
        <f>IF(COUNTIF($B$2:$B$105,B58)&gt;1,"DUPLICATE","")</f>
        <v/>
      </c>
    </row>
    <row r="59" ht="15.75" customHeight="1" s="29">
      <c r="A59" s="7" t="n">
        <v>58</v>
      </c>
      <c r="B59" s="7" t="inlineStr">
        <is>
          <t>AUTH-RAT-RNR-H40</t>
        </is>
      </c>
      <c r="C59" s="7" t="inlineStr">
        <is>
          <t>G6 — Row Ratification</t>
        </is>
      </c>
      <c r="D59" s="7" t="inlineStr">
        <is>
          <t>Predicate/addition wording</t>
        </is>
      </c>
      <c r="E59" s="7" t="inlineStr">
        <is>
          <t>MEDIUM</t>
        </is>
      </c>
      <c r="F59" s="7" t="inlineStr">
        <is>
          <t>READY</t>
        </is>
      </c>
      <c r="G59" s="7" t="inlineStr">
        <is>
          <t>Row Ratification</t>
        </is>
      </c>
      <c r="H59" s="7" t="inlineStr">
        <is>
          <t>RNR-H40</t>
        </is>
      </c>
      <c r="I59" s="7" t="inlineStr">
        <is>
          <t>A45:N45</t>
        </is>
      </c>
      <c r="J59" s="7" t="inlineStr">
        <is>
          <t>Ratify RNR-H40: Immense / immeasurable</t>
        </is>
      </c>
      <c r="K59" s="7" t="inlineStr">
        <is>
          <t>Is this public/ministry wording accurate, appropriately scoped, and fair enough to approve?</t>
        </is>
      </c>
      <c r="L59" s="7" t="inlineStr">
        <is>
          <t>Corpus: Inherited 57
Family/domain: Beginninglessness &amp; non-finitude
Public summary: Immense / immeasurable
Current code/tier: Q
Provenance: Explicit in master handoff
Source/pointer: See inherited source report / recovered institution ledgers
Locator/source note: Recurring Apophatic Vocabulary table
Public scope caution: Embodied personal presence is distinguished from universally operative light, knowledge, power, and governance.
Research status: CONTROLLED INTERNAL — still requires public wording signoff</t>
        </is>
      </c>
      <c r="M59" s="7" t="inlineStr">
        <is>
          <t>Author decision = PENDING.</t>
        </is>
      </c>
      <c r="N59" s="7" t="inlineStr">
        <is>
          <t>Blocks M1/M2 public row copy until the row is APPROVED, REVISED, or intentionally HELD.</t>
        </is>
      </c>
      <c r="O59" s="7" t="inlineStr">
        <is>
          <t>APPROVE AS WRITTEN</t>
        </is>
      </c>
      <c r="P59" s="7" t="inlineStr">
        <is>
          <t>REVISE — enter complete replacement wording/scope note in Custom Response</t>
        </is>
      </c>
      <c r="Q59" s="7" t="inlineStr">
        <is>
          <t>HOLD — research-code review required before wording approval</t>
        </is>
      </c>
      <c r="R59" s="7" t="inlineStr">
        <is>
          <t>HOLD — source/scope review required before wording approval</t>
        </is>
      </c>
      <c r="S59" s="7" t="inlineStr">
        <is>
          <t>OPTION 2</t>
        </is>
      </c>
      <c r="T59" s="17">
        <f>'Author Response Entry'!$D$59</f>
        <v/>
      </c>
      <c r="U59" s="18">
        <f>'Author Response Entry'!$E$59</f>
        <v/>
      </c>
      <c r="V59" s="18">
        <f>'Author Response Entry'!$F$59</f>
        <v/>
      </c>
      <c r="W59" s="18">
        <f>'Author Response Entry'!$G$59</f>
        <v/>
      </c>
      <c r="X59" s="19">
        <f>'Author Response Entry'!$H$59</f>
        <v/>
      </c>
      <c r="Y59" s="18">
        <f>IF(T59="","",IF(T59="CUSTOM RESPONSE",U59,IF(T59="HOLD — NEEDS RESEARCH",IF(U59&lt;&gt;"",U59,"HOLD — NEEDS RESEARCH"),IF(T59="DEFER — NOT YET",IF(U59&lt;&gt;"",U59,"DEFER — NOT YET"),IF(T59="OPTION 1",O59,IF(T59="OPTION 2",U59,IF(T59="OPTION 3",Q59,IF(T59="OPTION 4",R59,""))))))))</f>
        <v/>
      </c>
      <c r="Z59" s="18">
        <f>IF(T59="","OPEN",IF(T59="CUSTOM RESPONSE",IF(U59="","OPEN — CUSTOM TEXT REQUIRED",IF(W59="","RESOLVED — ADD INITIALS/DATE",IF(X59="","RESOLVED — ADD INITIALS/DATE","RESOLVED"))),IF(T59="HOLD — NEEDS RESEARCH",IF(W59="","HOLD — ADD INITIALS/DATE",IF(X59="","HOLD — ADD INITIALS/DATE","HOLD")),IF(T59="DEFER — NOT YET",IF(W59="","DEFERRED — ADD INITIALS/DATE",IF(X59="","DEFERRED — ADD INITIALS/DATE","DEFERRED")),IF(T59="OPTION 1",IF(W59="","RESOLVED — ADD INITIALS/DATE",IF(X59="","RESOLVED — ADD INITIALS/DATE","RESOLVED")),IF(T59="OPTION 2",IF(U59="","OPEN — CUSTOM TEXT REQUIRED",IF(W59="","RESOLVED — ADD INITIALS/DATE",IF(X59="","RESOLVED — ADD INITIALS/DATE","RESOLVED"))),IF(T59="OPTION 3",IF(W59="","HOLD — ADD INITIALS/DATE",IF(X59="","HOLD — ADD INITIALS/DATE","HOLD")),IF(T59="OPTION 4",IF(W59="","HOLD — ADD INITIALS/DATE",IF(X59="","HOLD — ADD INITIALS/DATE","HOLD")),IF(W59="","RESOLVED — ADD INITIALS/DATE",IF(X59="","RESOLVED — ADD INITIALS/DATE","RESOLVED"))))))))))</f>
        <v/>
      </c>
      <c r="AA59" s="18" t="inlineStr">
        <is>
          <t>YES</t>
        </is>
      </c>
      <c r="AB59" s="18" t="inlineStr">
        <is>
          <t>Next controlled merge propagates decision to Row Ratification K:N. A wording review must not silently recode A/Q/D or authority tier.</t>
        </is>
      </c>
      <c r="AC59" s="18" t="inlineStr">
        <is>
          <t>Inherited H36–H51 — metaphysical/apophatic</t>
        </is>
      </c>
      <c r="AD59" s="18" t="n"/>
      <c r="AE59" s="18" t="inlineStr">
        <is>
          <t>Embodied personal presence is distinguished from universally operative light, knowledge, power, and governance.</t>
        </is>
      </c>
      <c r="AF59" s="18">
        <f>IF(F59&lt;&gt;"READY","NO",IF(Z59="OPEN","YES",IF(Z59="OPEN — CUSTOM TEXT REQUIRED","YES",IF(Z59="RESOLVED — ADD INITIALS/DATE","YES",IF(Z59="HOLD — ADD INITIALS/DATE","YES",IF(Z59="DEFERRED — ADD INITIALS/DATE","YES","NO"))))))</f>
        <v/>
      </c>
      <c r="AG59" s="18">
        <f>IF(AF59&lt;&gt;"YES","",IF(A59=IFERROR(MATCH("YES",$AF$2:$AF$105,0),0),"CURRENT",""))</f>
        <v/>
      </c>
      <c r="AH59" s="20">
        <f>IF(COUNTIF($B$2:$B$105,B59)&gt;1,"DUPLICATE","")</f>
        <v/>
      </c>
    </row>
    <row r="60" ht="15.75" customHeight="1" s="29">
      <c r="A60" s="7" t="n">
        <v>59</v>
      </c>
      <c r="B60" s="7" t="inlineStr">
        <is>
          <t>AUTH-RAT-RNR-H41</t>
        </is>
      </c>
      <c r="C60" s="7" t="inlineStr">
        <is>
          <t>G6 — Row Ratification</t>
        </is>
      </c>
      <c r="D60" s="7" t="inlineStr">
        <is>
          <t>Predicate/addition wording</t>
        </is>
      </c>
      <c r="E60" s="7" t="inlineStr">
        <is>
          <t>MEDIUM</t>
        </is>
      </c>
      <c r="F60" s="7" t="inlineStr">
        <is>
          <t>READY</t>
        </is>
      </c>
      <c r="G60" s="7" t="inlineStr">
        <is>
          <t>Row Ratification</t>
        </is>
      </c>
      <c r="H60" s="7" t="inlineStr">
        <is>
          <t>RNR-H41</t>
        </is>
      </c>
      <c r="I60" s="7" t="inlineStr">
        <is>
          <t>A46:N46</t>
        </is>
      </c>
      <c r="J60" s="7" t="inlineStr">
        <is>
          <t>Ratify RNR-H41: Invisible</t>
        </is>
      </c>
      <c r="K60" s="7" t="inlineStr">
        <is>
          <t>Is this public/ministry wording accurate, appropriately scoped, and fair enough to approve?</t>
        </is>
      </c>
      <c r="L60" s="7" t="inlineStr">
        <is>
          <t>Corpus: Inherited 57
Family/domain: Embodiment &amp; classical divine metaphysics
Public summary: Invisible
Current code/tier: D
Provenance: Explicit in master handoff
Source/pointer: See inherited source report / recovered institution ledgers
Locator/source note: Recurring Apophatic Vocabulary table
Public scope caution: Direct divergence only when invisibility is treated as an intrinsic or absolute property of divine being.
Research status: CONTROLLED INTERNAL — still requires public wording signoff</t>
        </is>
      </c>
      <c r="M60" s="7" t="inlineStr">
        <is>
          <t>Author decision = PENDING.</t>
        </is>
      </c>
      <c r="N60" s="7" t="inlineStr">
        <is>
          <t>Blocks M1/M2 public row copy until the row is APPROVED, REVISED, or intentionally HELD.</t>
        </is>
      </c>
      <c r="O60" s="7" t="inlineStr">
        <is>
          <t>APPROVE AS WRITTEN</t>
        </is>
      </c>
      <c r="P60" s="7" t="inlineStr">
        <is>
          <t>REVISE — enter complete replacement wording/scope note in Custom Response</t>
        </is>
      </c>
      <c r="Q60" s="7" t="inlineStr">
        <is>
          <t>HOLD — research-code review required before wording approval</t>
        </is>
      </c>
      <c r="R60" s="7" t="inlineStr">
        <is>
          <t>HOLD — source/scope review required before wording approval</t>
        </is>
      </c>
      <c r="S60" s="7" t="inlineStr">
        <is>
          <t>OPTION 2</t>
        </is>
      </c>
      <c r="T60" s="17">
        <f>'Author Response Entry'!$D$60</f>
        <v/>
      </c>
      <c r="U60" s="18">
        <f>'Author Response Entry'!$E$60</f>
        <v/>
      </c>
      <c r="V60" s="18">
        <f>'Author Response Entry'!$F$60</f>
        <v/>
      </c>
      <c r="W60" s="18">
        <f>'Author Response Entry'!$G$60</f>
        <v/>
      </c>
      <c r="X60" s="19">
        <f>'Author Response Entry'!$H$60</f>
        <v/>
      </c>
      <c r="Y60" s="18">
        <f>IF(T60="","",IF(T60="CUSTOM RESPONSE",U60,IF(T60="HOLD — NEEDS RESEARCH",IF(U60&lt;&gt;"",U60,"HOLD — NEEDS RESEARCH"),IF(T60="DEFER — NOT YET",IF(U60&lt;&gt;"",U60,"DEFER — NOT YET"),IF(T60="OPTION 1",O60,IF(T60="OPTION 2",U60,IF(T60="OPTION 3",Q60,IF(T60="OPTION 4",R60,""))))))))</f>
        <v/>
      </c>
      <c r="Z60" s="18">
        <f>IF(T60="","OPEN",IF(T60="CUSTOM RESPONSE",IF(U60="","OPEN — CUSTOM TEXT REQUIRED",IF(W60="","RESOLVED — ADD INITIALS/DATE",IF(X60="","RESOLVED — ADD INITIALS/DATE","RESOLVED"))),IF(T60="HOLD — NEEDS RESEARCH",IF(W60="","HOLD — ADD INITIALS/DATE",IF(X60="","HOLD — ADD INITIALS/DATE","HOLD")),IF(T60="DEFER — NOT YET",IF(W60="","DEFERRED — ADD INITIALS/DATE",IF(X60="","DEFERRED — ADD INITIALS/DATE","DEFERRED")),IF(T60="OPTION 1",IF(W60="","RESOLVED — ADD INITIALS/DATE",IF(X60="","RESOLVED — ADD INITIALS/DATE","RESOLVED")),IF(T60="OPTION 2",IF(U60="","OPEN — CUSTOM TEXT REQUIRED",IF(W60="","RESOLVED — ADD INITIALS/DATE",IF(X60="","RESOLVED — ADD INITIALS/DATE","RESOLVED"))),IF(T60="OPTION 3",IF(W60="","HOLD — ADD INITIALS/DATE",IF(X60="","HOLD — ADD INITIALS/DATE","HOLD")),IF(T60="OPTION 4",IF(W60="","HOLD — ADD INITIALS/DATE",IF(X60="","HOLD — ADD INITIALS/DATE","HOLD")),IF(W60="","RESOLVED — ADD INITIALS/DATE",IF(X60="","RESOLVED — ADD INITIALS/DATE","RESOLVED"))))))))))</f>
        <v/>
      </c>
      <c r="AA60" s="18" t="inlineStr">
        <is>
          <t>YES</t>
        </is>
      </c>
      <c r="AB60" s="18" t="inlineStr">
        <is>
          <t>Next controlled merge propagates decision to Row Ratification K:N. A wording review must not silently recode A/Q/D or authority tier.</t>
        </is>
      </c>
      <c r="AC60" s="18" t="inlineStr">
        <is>
          <t>Inherited H36–H51 — metaphysical/apophatic</t>
        </is>
      </c>
      <c r="AD60" s="18" t="n"/>
      <c r="AE60" s="18" t="inlineStr">
        <is>
          <t>Direct divergence only when invisibility is treated as an intrinsic or absolute property of divine being.</t>
        </is>
      </c>
      <c r="AF60" s="18">
        <f>IF(F60&lt;&gt;"READY","NO",IF(Z60="OPEN","YES",IF(Z60="OPEN — CUSTOM TEXT REQUIRED","YES",IF(Z60="RESOLVED — ADD INITIALS/DATE","YES",IF(Z60="HOLD — ADD INITIALS/DATE","YES",IF(Z60="DEFERRED — ADD INITIALS/DATE","YES","NO"))))))</f>
        <v/>
      </c>
      <c r="AG60" s="18">
        <f>IF(AF60&lt;&gt;"YES","",IF(A60=IFERROR(MATCH("YES",$AF$2:$AF$105,0),0),"CURRENT",""))</f>
        <v/>
      </c>
      <c r="AH60" s="20">
        <f>IF(COUNTIF($B$2:$B$105,B60)&gt;1,"DUPLICATE","")</f>
        <v/>
      </c>
    </row>
    <row r="61" ht="15.75" customHeight="1" s="29">
      <c r="A61" s="7" t="n">
        <v>60</v>
      </c>
      <c r="B61" s="7" t="inlineStr">
        <is>
          <t>AUTH-RAT-RNR-H42</t>
        </is>
      </c>
      <c r="C61" s="7" t="inlineStr">
        <is>
          <t>G6 — Row Ratification</t>
        </is>
      </c>
      <c r="D61" s="7" t="inlineStr">
        <is>
          <t>Predicate/addition wording</t>
        </is>
      </c>
      <c r="E61" s="7" t="inlineStr">
        <is>
          <t>MEDIUM</t>
        </is>
      </c>
      <c r="F61" s="7" t="inlineStr">
        <is>
          <t>READY</t>
        </is>
      </c>
      <c r="G61" s="7" t="inlineStr">
        <is>
          <t>Row Ratification</t>
        </is>
      </c>
      <c r="H61" s="7" t="inlineStr">
        <is>
          <t>RNR-H42</t>
        </is>
      </c>
      <c r="I61" s="7" t="inlineStr">
        <is>
          <t>A47:N47</t>
        </is>
      </c>
      <c r="J61" s="7" t="inlineStr">
        <is>
          <t>Ratify RNR-H42: Incorporeal / without body</t>
        </is>
      </c>
      <c r="K61" s="7" t="inlineStr">
        <is>
          <t>Is this public/ministry wording accurate, appropriately scoped, and fair enough to approve?</t>
        </is>
      </c>
      <c r="L61" s="7" t="inlineStr">
        <is>
          <t>Corpus: Inherited 57
Family/domain: Embodiment &amp; classical divine metaphysics
Public summary: Incorporeal / without body
Current code/tier: D
Provenance: Explicit in master handoff
Source/pointer: See inherited source report / recovered institution ledgers
Locator/source note: Recurring Apophatic Vocabulary table
Public scope caution: Directly conflicts with the Father's tangible glorified body.
Research status: CONTROLLED INTERNAL — still requires public wording signoff</t>
        </is>
      </c>
      <c r="M61" s="7" t="inlineStr">
        <is>
          <t>Author decision = PENDING.</t>
        </is>
      </c>
      <c r="N61" s="7" t="inlineStr">
        <is>
          <t>Blocks M1/M2 public row copy until the row is APPROVED, REVISED, or intentionally HELD.</t>
        </is>
      </c>
      <c r="O61" s="7" t="inlineStr">
        <is>
          <t>APPROVE AS WRITTEN</t>
        </is>
      </c>
      <c r="P61" s="7" t="inlineStr">
        <is>
          <t>REVISE — enter complete replacement wording/scope note in Custom Response</t>
        </is>
      </c>
      <c r="Q61" s="7" t="inlineStr">
        <is>
          <t>HOLD — research-code review required before wording approval</t>
        </is>
      </c>
      <c r="R61" s="7" t="inlineStr">
        <is>
          <t>HOLD — source/scope review required before wording approval</t>
        </is>
      </c>
      <c r="S61" s="7" t="inlineStr">
        <is>
          <t>OPTION 2</t>
        </is>
      </c>
      <c r="T61" s="17">
        <f>'Author Response Entry'!$D$61</f>
        <v/>
      </c>
      <c r="U61" s="18">
        <f>'Author Response Entry'!$E$61</f>
        <v/>
      </c>
      <c r="V61" s="18">
        <f>'Author Response Entry'!$F$61</f>
        <v/>
      </c>
      <c r="W61" s="18">
        <f>'Author Response Entry'!$G$61</f>
        <v/>
      </c>
      <c r="X61" s="19">
        <f>'Author Response Entry'!$H$61</f>
        <v/>
      </c>
      <c r="Y61" s="18">
        <f>IF(T61="","",IF(T61="CUSTOM RESPONSE",U61,IF(T61="HOLD — NEEDS RESEARCH",IF(U61&lt;&gt;"",U61,"HOLD — NEEDS RESEARCH"),IF(T61="DEFER — NOT YET",IF(U61&lt;&gt;"",U61,"DEFER — NOT YET"),IF(T61="OPTION 1",O61,IF(T61="OPTION 2",U61,IF(T61="OPTION 3",Q61,IF(T61="OPTION 4",R61,""))))))))</f>
        <v/>
      </c>
      <c r="Z61" s="18">
        <f>IF(T61="","OPEN",IF(T61="CUSTOM RESPONSE",IF(U61="","OPEN — CUSTOM TEXT REQUIRED",IF(W61="","RESOLVED — ADD INITIALS/DATE",IF(X61="","RESOLVED — ADD INITIALS/DATE","RESOLVED"))),IF(T61="HOLD — NEEDS RESEARCH",IF(W61="","HOLD — ADD INITIALS/DATE",IF(X61="","HOLD — ADD INITIALS/DATE","HOLD")),IF(T61="DEFER — NOT YET",IF(W61="","DEFERRED — ADD INITIALS/DATE",IF(X61="","DEFERRED — ADD INITIALS/DATE","DEFERRED")),IF(T61="OPTION 1",IF(W61="","RESOLVED — ADD INITIALS/DATE",IF(X61="","RESOLVED — ADD INITIALS/DATE","RESOLVED")),IF(T61="OPTION 2",IF(U61="","OPEN — CUSTOM TEXT REQUIRED",IF(W61="","RESOLVED — ADD INITIALS/DATE",IF(X61="","RESOLVED — ADD INITIALS/DATE","RESOLVED"))),IF(T61="OPTION 3",IF(W61="","HOLD — ADD INITIALS/DATE",IF(X61="","HOLD — ADD INITIALS/DATE","HOLD")),IF(T61="OPTION 4",IF(W61="","HOLD — ADD INITIALS/DATE",IF(X61="","HOLD — ADD INITIALS/DATE","HOLD")),IF(W61="","RESOLVED — ADD INITIALS/DATE",IF(X61="","RESOLVED — ADD INITIALS/DATE","RESOLVED"))))))))))</f>
        <v/>
      </c>
      <c r="AA61" s="18" t="inlineStr">
        <is>
          <t>YES</t>
        </is>
      </c>
      <c r="AB61" s="18" t="inlineStr">
        <is>
          <t>Next controlled merge propagates decision to Row Ratification K:N. A wording review must not silently recode A/Q/D or authority tier.</t>
        </is>
      </c>
      <c r="AC61" s="18" t="inlineStr">
        <is>
          <t>Inherited H36–H51 — metaphysical/apophatic</t>
        </is>
      </c>
      <c r="AD61" s="18" t="n"/>
      <c r="AE61" s="18" t="inlineStr">
        <is>
          <t>Directly conflicts with the Father's tangible glorified body.</t>
        </is>
      </c>
      <c r="AF61" s="18">
        <f>IF(F61&lt;&gt;"READY","NO",IF(Z61="OPEN","YES",IF(Z61="OPEN — CUSTOM TEXT REQUIRED","YES",IF(Z61="RESOLVED — ADD INITIALS/DATE","YES",IF(Z61="HOLD — ADD INITIALS/DATE","YES",IF(Z61="DEFERRED — ADD INITIALS/DATE","YES","NO"))))))</f>
        <v/>
      </c>
      <c r="AG61" s="18">
        <f>IF(AF61&lt;&gt;"YES","",IF(A61=IFERROR(MATCH("YES",$AF$2:$AF$105,0),0),"CURRENT",""))</f>
        <v/>
      </c>
      <c r="AH61" s="20">
        <f>IF(COUNTIF($B$2:$B$105,B61)&gt;1,"DUPLICATE","")</f>
        <v/>
      </c>
    </row>
    <row r="62" ht="15.75" customHeight="1" s="29">
      <c r="A62" s="7" t="n">
        <v>61</v>
      </c>
      <c r="B62" s="7" t="inlineStr">
        <is>
          <t>AUTH-RAT-RNR-H43</t>
        </is>
      </c>
      <c r="C62" s="7" t="inlineStr">
        <is>
          <t>G6 — Row Ratification</t>
        </is>
      </c>
      <c r="D62" s="7" t="inlineStr">
        <is>
          <t>Predicate/addition wording</t>
        </is>
      </c>
      <c r="E62" s="7" t="inlineStr">
        <is>
          <t>MEDIUM</t>
        </is>
      </c>
      <c r="F62" s="7" t="inlineStr">
        <is>
          <t>READY</t>
        </is>
      </c>
      <c r="G62" s="7" t="inlineStr">
        <is>
          <t>Row Ratification</t>
        </is>
      </c>
      <c r="H62" s="7" t="inlineStr">
        <is>
          <t>RNR-H43</t>
        </is>
      </c>
      <c r="I62" s="7" t="inlineStr">
        <is>
          <t>A48:N48</t>
        </is>
      </c>
      <c r="J62" s="7" t="inlineStr">
        <is>
          <t>Ratify RNR-H43: Without parts / simple</t>
        </is>
      </c>
      <c r="K62" s="7" t="inlineStr">
        <is>
          <t>Is this public/ministry wording accurate, appropriately scoped, and fair enough to approve?</t>
        </is>
      </c>
      <c r="L62" s="7" t="inlineStr">
        <is>
          <t>Corpus: Inherited 57
Family/domain: Embodiment &amp; classical divine metaphysics
Public summary: Without parts / simple
Current code/tier: D
Provenance: Explicit in master handoff
Source/pointer: See inherited source report / recovered institution ledgers
Locator/source note: Recurring Apophatic Vocabulary table
Public scope caution: Direct divergence in the accepted classical sense of absolute divine simplicity.
Research status: CONTROLLED INTERNAL — still requires public wording signoff</t>
        </is>
      </c>
      <c r="M62" s="7" t="inlineStr">
        <is>
          <t>Author decision = PENDING.</t>
        </is>
      </c>
      <c r="N62" s="7" t="inlineStr">
        <is>
          <t>Blocks M1/M2 public row copy until the row is APPROVED, REVISED, or intentionally HELD.</t>
        </is>
      </c>
      <c r="O62" s="7" t="inlineStr">
        <is>
          <t>APPROVE AS WRITTEN</t>
        </is>
      </c>
      <c r="P62" s="7" t="inlineStr">
        <is>
          <t>REVISE — enter complete replacement wording/scope note in Custom Response</t>
        </is>
      </c>
      <c r="Q62" s="7" t="inlineStr">
        <is>
          <t>HOLD — research-code review required before wording approval</t>
        </is>
      </c>
      <c r="R62" s="7" t="inlineStr">
        <is>
          <t>HOLD — source/scope review required before wording approval</t>
        </is>
      </c>
      <c r="S62" s="7" t="inlineStr">
        <is>
          <t>OPTION 2</t>
        </is>
      </c>
      <c r="T62" s="17">
        <f>'Author Response Entry'!$D$62</f>
        <v/>
      </c>
      <c r="U62" s="18">
        <f>'Author Response Entry'!$E$62</f>
        <v/>
      </c>
      <c r="V62" s="18">
        <f>'Author Response Entry'!$F$62</f>
        <v/>
      </c>
      <c r="W62" s="18">
        <f>'Author Response Entry'!$G$62</f>
        <v/>
      </c>
      <c r="X62" s="19">
        <f>'Author Response Entry'!$H$62</f>
        <v/>
      </c>
      <c r="Y62" s="18">
        <f>IF(T62="","",IF(T62="CUSTOM RESPONSE",U62,IF(T62="HOLD — NEEDS RESEARCH",IF(U62&lt;&gt;"",U62,"HOLD — NEEDS RESEARCH"),IF(T62="DEFER — NOT YET",IF(U62&lt;&gt;"",U62,"DEFER — NOT YET"),IF(T62="OPTION 1",O62,IF(T62="OPTION 2",U62,IF(T62="OPTION 3",Q62,IF(T62="OPTION 4",R62,""))))))))</f>
        <v/>
      </c>
      <c r="Z62" s="18">
        <f>IF(T62="","OPEN",IF(T62="CUSTOM RESPONSE",IF(U62="","OPEN — CUSTOM TEXT REQUIRED",IF(W62="","RESOLVED — ADD INITIALS/DATE",IF(X62="","RESOLVED — ADD INITIALS/DATE","RESOLVED"))),IF(T62="HOLD — NEEDS RESEARCH",IF(W62="","HOLD — ADD INITIALS/DATE",IF(X62="","HOLD — ADD INITIALS/DATE","HOLD")),IF(T62="DEFER — NOT YET",IF(W62="","DEFERRED — ADD INITIALS/DATE",IF(X62="","DEFERRED — ADD INITIALS/DATE","DEFERRED")),IF(T62="OPTION 1",IF(W62="","RESOLVED — ADD INITIALS/DATE",IF(X62="","RESOLVED — ADD INITIALS/DATE","RESOLVED")),IF(T62="OPTION 2",IF(U62="","OPEN — CUSTOM TEXT REQUIRED",IF(W62="","RESOLVED — ADD INITIALS/DATE",IF(X62="","RESOLVED — ADD INITIALS/DATE","RESOLVED"))),IF(T62="OPTION 3",IF(W62="","HOLD — ADD INITIALS/DATE",IF(X62="","HOLD — ADD INITIALS/DATE","HOLD")),IF(T62="OPTION 4",IF(W62="","HOLD — ADD INITIALS/DATE",IF(X62="","HOLD — ADD INITIALS/DATE","HOLD")),IF(W62="","RESOLVED — ADD INITIALS/DATE",IF(X62="","RESOLVED — ADD INITIALS/DATE","RESOLVED"))))))))))</f>
        <v/>
      </c>
      <c r="AA62" s="18" t="inlineStr">
        <is>
          <t>YES</t>
        </is>
      </c>
      <c r="AB62" s="18" t="inlineStr">
        <is>
          <t>Next controlled merge propagates decision to Row Ratification K:N. A wording review must not silently recode A/Q/D or authority tier.</t>
        </is>
      </c>
      <c r="AC62" s="18" t="inlineStr">
        <is>
          <t>Inherited H36–H51 — metaphysical/apophatic</t>
        </is>
      </c>
      <c r="AD62" s="18" t="n"/>
      <c r="AE62" s="18" t="inlineStr">
        <is>
          <t>Direct divergence in the accepted classical sense of absolute divine simplicity.</t>
        </is>
      </c>
      <c r="AF62" s="18">
        <f>IF(F62&lt;&gt;"READY","NO",IF(Z62="OPEN","YES",IF(Z62="OPEN — CUSTOM TEXT REQUIRED","YES",IF(Z62="RESOLVED — ADD INITIALS/DATE","YES",IF(Z62="HOLD — ADD INITIALS/DATE","YES",IF(Z62="DEFERRED — ADD INITIALS/DATE","YES","NO"))))))</f>
        <v/>
      </c>
      <c r="AG62" s="18">
        <f>IF(AF62&lt;&gt;"YES","",IF(A62=IFERROR(MATCH("YES",$AF$2:$AF$105,0),0),"CURRENT",""))</f>
        <v/>
      </c>
      <c r="AH62" s="20">
        <f>IF(COUNTIF($B$2:$B$105,B62)&gt;1,"DUPLICATE","")</f>
        <v/>
      </c>
    </row>
    <row r="63" ht="15.75" customHeight="1" s="29">
      <c r="A63" s="7" t="n">
        <v>62</v>
      </c>
      <c r="B63" s="7" t="inlineStr">
        <is>
          <t>AUTH-RAT-RNR-H44</t>
        </is>
      </c>
      <c r="C63" s="7" t="inlineStr">
        <is>
          <t>G6 — Row Ratification</t>
        </is>
      </c>
      <c r="D63" s="7" t="inlineStr">
        <is>
          <t>Predicate/addition wording</t>
        </is>
      </c>
      <c r="E63" s="7" t="inlineStr">
        <is>
          <t>MEDIUM</t>
        </is>
      </c>
      <c r="F63" s="7" t="inlineStr">
        <is>
          <t>READY</t>
        </is>
      </c>
      <c r="G63" s="7" t="inlineStr">
        <is>
          <t>Row Ratification</t>
        </is>
      </c>
      <c r="H63" s="7" t="inlineStr">
        <is>
          <t>RNR-H44</t>
        </is>
      </c>
      <c r="I63" s="7" t="inlineStr">
        <is>
          <t>A49:N49</t>
        </is>
      </c>
      <c r="J63" s="7" t="inlineStr">
        <is>
          <t>Ratify RNR-H44: Without passions / impassible</t>
        </is>
      </c>
      <c r="K63" s="7" t="inlineStr">
        <is>
          <t>Is this public/ministry wording accurate, appropriately scoped, and fair enough to approve?</t>
        </is>
      </c>
      <c r="L63" s="7" t="inlineStr">
        <is>
          <t>Corpus: Inherited 57
Family/domain: Embodiment &amp; classical divine metaphysics
Public summary: Without passions / impassible
Current code/tier: D
Provenance: Explicit in master handoff
Source/pointer: See inherited source report / recovered institution ledgers
Locator/source note: Recurring Apophatic Vocabulary table
Public scope caution: Direct divergence from strong classical impassibility.
Research status: CONTROLLED INTERNAL — still requires public wording signoff</t>
        </is>
      </c>
      <c r="M63" s="7" t="inlineStr">
        <is>
          <t>Author decision = PENDING.</t>
        </is>
      </c>
      <c r="N63" s="7" t="inlineStr">
        <is>
          <t>Blocks M1/M2 public row copy until the row is APPROVED, REVISED, or intentionally HELD.</t>
        </is>
      </c>
      <c r="O63" s="7" t="inlineStr">
        <is>
          <t>APPROVE AS WRITTEN</t>
        </is>
      </c>
      <c r="P63" s="7" t="inlineStr">
        <is>
          <t>REVISE — enter complete replacement wording/scope note in Custom Response</t>
        </is>
      </c>
      <c r="Q63" s="7" t="inlineStr">
        <is>
          <t>HOLD — research-code review required before wording approval</t>
        </is>
      </c>
      <c r="R63" s="7" t="inlineStr">
        <is>
          <t>HOLD — source/scope review required before wording approval</t>
        </is>
      </c>
      <c r="S63" s="7" t="inlineStr">
        <is>
          <t>OPTION 2</t>
        </is>
      </c>
      <c r="T63" s="17">
        <f>'Author Response Entry'!$D$63</f>
        <v/>
      </c>
      <c r="U63" s="18">
        <f>'Author Response Entry'!$E$63</f>
        <v/>
      </c>
      <c r="V63" s="18">
        <f>'Author Response Entry'!$F$63</f>
        <v/>
      </c>
      <c r="W63" s="18">
        <f>'Author Response Entry'!$G$63</f>
        <v/>
      </c>
      <c r="X63" s="19">
        <f>'Author Response Entry'!$H$63</f>
        <v/>
      </c>
      <c r="Y63" s="18">
        <f>IF(T63="","",IF(T63="CUSTOM RESPONSE",U63,IF(T63="HOLD — NEEDS RESEARCH",IF(U63&lt;&gt;"",U63,"HOLD — NEEDS RESEARCH"),IF(T63="DEFER — NOT YET",IF(U63&lt;&gt;"",U63,"DEFER — NOT YET"),IF(T63="OPTION 1",O63,IF(T63="OPTION 2",U63,IF(T63="OPTION 3",Q63,IF(T63="OPTION 4",R63,""))))))))</f>
        <v/>
      </c>
      <c r="Z63" s="18">
        <f>IF(T63="","OPEN",IF(T63="CUSTOM RESPONSE",IF(U63="","OPEN — CUSTOM TEXT REQUIRED",IF(W63="","RESOLVED — ADD INITIALS/DATE",IF(X63="","RESOLVED — ADD INITIALS/DATE","RESOLVED"))),IF(T63="HOLD — NEEDS RESEARCH",IF(W63="","HOLD — ADD INITIALS/DATE",IF(X63="","HOLD — ADD INITIALS/DATE","HOLD")),IF(T63="DEFER — NOT YET",IF(W63="","DEFERRED — ADD INITIALS/DATE",IF(X63="","DEFERRED — ADD INITIALS/DATE","DEFERRED")),IF(T63="OPTION 1",IF(W63="","RESOLVED — ADD INITIALS/DATE",IF(X63="","RESOLVED — ADD INITIALS/DATE","RESOLVED")),IF(T63="OPTION 2",IF(U63="","OPEN — CUSTOM TEXT REQUIRED",IF(W63="","RESOLVED — ADD INITIALS/DATE",IF(X63="","RESOLVED — ADD INITIALS/DATE","RESOLVED"))),IF(T63="OPTION 3",IF(W63="","HOLD — ADD INITIALS/DATE",IF(X63="","HOLD — ADD INITIALS/DATE","HOLD")),IF(T63="OPTION 4",IF(W63="","HOLD — ADD INITIALS/DATE",IF(X63="","HOLD — ADD INITIALS/DATE","HOLD")),IF(W63="","RESOLVED — ADD INITIALS/DATE",IF(X63="","RESOLVED — ADD INITIALS/DATE","RESOLVED"))))))))))</f>
        <v/>
      </c>
      <c r="AA63" s="18" t="inlineStr">
        <is>
          <t>YES</t>
        </is>
      </c>
      <c r="AB63" s="18" t="inlineStr">
        <is>
          <t>Next controlled merge propagates decision to Row Ratification K:N. A wording review must not silently recode A/Q/D or authority tier.</t>
        </is>
      </c>
      <c r="AC63" s="18" t="inlineStr">
        <is>
          <t>Inherited H36–H51 — metaphysical/apophatic</t>
        </is>
      </c>
      <c r="AD63" s="18" t="n"/>
      <c r="AE63" s="18" t="inlineStr">
        <is>
          <t>Direct divergence from strong classical impassibility.</t>
        </is>
      </c>
      <c r="AF63" s="18">
        <f>IF(F63&lt;&gt;"READY","NO",IF(Z63="OPEN","YES",IF(Z63="OPEN — CUSTOM TEXT REQUIRED","YES",IF(Z63="RESOLVED — ADD INITIALS/DATE","YES",IF(Z63="HOLD — ADD INITIALS/DATE","YES",IF(Z63="DEFERRED — ADD INITIALS/DATE","YES","NO"))))))</f>
        <v/>
      </c>
      <c r="AG63" s="18">
        <f>IF(AF63&lt;&gt;"YES","",IF(A63=IFERROR(MATCH("YES",$AF$2:$AF$105,0),0),"CURRENT",""))</f>
        <v/>
      </c>
      <c r="AH63" s="20">
        <f>IF(COUNTIF($B$2:$B$105,B63)&gt;1,"DUPLICATE","")</f>
        <v/>
      </c>
    </row>
    <row r="64" ht="15.75" customHeight="1" s="29">
      <c r="A64" s="7" t="n">
        <v>63</v>
      </c>
      <c r="B64" s="7" t="inlineStr">
        <is>
          <t>AUTH-RAT-RNR-H45</t>
        </is>
      </c>
      <c r="C64" s="7" t="inlineStr">
        <is>
          <t>G6 — Row Ratification</t>
        </is>
      </c>
      <c r="D64" s="7" t="inlineStr">
        <is>
          <t>Predicate/addition wording</t>
        </is>
      </c>
      <c r="E64" s="7" t="inlineStr">
        <is>
          <t>MEDIUM</t>
        </is>
      </c>
      <c r="F64" s="7" t="inlineStr">
        <is>
          <t>READY</t>
        </is>
      </c>
      <c r="G64" s="7" t="inlineStr">
        <is>
          <t>Row Ratification</t>
        </is>
      </c>
      <c r="H64" s="7" t="inlineStr">
        <is>
          <t>RNR-H45</t>
        </is>
      </c>
      <c r="I64" s="7" t="inlineStr">
        <is>
          <t>A50:N50</t>
        </is>
      </c>
      <c r="J64" s="7" t="inlineStr">
        <is>
          <t>Ratify RNR-H45: Immutable / unchangeable</t>
        </is>
      </c>
      <c r="K64" s="7" t="inlineStr">
        <is>
          <t>Is this public/ministry wording accurate, appropriately scoped, and fair enough to approve?</t>
        </is>
      </c>
      <c r="L64" s="7" t="inlineStr">
        <is>
          <t>Corpus: Inherited 57
Family/domain: Embodiment &amp; classical divine metaphysics
Public summary: Immutable / unchangeable
Current code/tier: Q
Provenance: Author adjudication (Session 18A)
Source/pointer: See inherited source report / recovered institution ledgers
Locator/source note: Recurring Apophatic Vocabulary table
Public scope caution: Constancy of character, purpose, covenant faithfulness, and moral perfection is shared; strong metaphysical immutability is not imported.
Research status: CONTROLLED INTERNAL — still requires public wording signoff</t>
        </is>
      </c>
      <c r="M64" s="7" t="inlineStr">
        <is>
          <t>Author decision = PENDING.</t>
        </is>
      </c>
      <c r="N64" s="7" t="inlineStr">
        <is>
          <t>Blocks M1/M2 public row copy until the row is APPROVED, REVISED, or intentionally HELD.</t>
        </is>
      </c>
      <c r="O64" s="7" t="inlineStr">
        <is>
          <t>APPROVE AS WRITTEN</t>
        </is>
      </c>
      <c r="P64" s="7" t="inlineStr">
        <is>
          <t>REVISE — enter complete replacement wording/scope note in Custom Response</t>
        </is>
      </c>
      <c r="Q64" s="7" t="inlineStr">
        <is>
          <t>HOLD — research-code review required before wording approval</t>
        </is>
      </c>
      <c r="R64" s="7" t="inlineStr">
        <is>
          <t>HOLD — source/scope review required before wording approval</t>
        </is>
      </c>
      <c r="S64" s="7" t="inlineStr">
        <is>
          <t>OPTION 2</t>
        </is>
      </c>
      <c r="T64" s="17">
        <f>'Author Response Entry'!$D$64</f>
        <v/>
      </c>
      <c r="U64" s="18">
        <f>'Author Response Entry'!$E$64</f>
        <v/>
      </c>
      <c r="V64" s="18">
        <f>'Author Response Entry'!$F$64</f>
        <v/>
      </c>
      <c r="W64" s="18">
        <f>'Author Response Entry'!$G$64</f>
        <v/>
      </c>
      <c r="X64" s="19">
        <f>'Author Response Entry'!$H$64</f>
        <v/>
      </c>
      <c r="Y64" s="18">
        <f>IF(T64="","",IF(T64="CUSTOM RESPONSE",U64,IF(T64="HOLD — NEEDS RESEARCH",IF(U64&lt;&gt;"",U64,"HOLD — NEEDS RESEARCH"),IF(T64="DEFER — NOT YET",IF(U64&lt;&gt;"",U64,"DEFER — NOT YET"),IF(T64="OPTION 1",O64,IF(T64="OPTION 2",U64,IF(T64="OPTION 3",Q64,IF(T64="OPTION 4",R64,""))))))))</f>
        <v/>
      </c>
      <c r="Z64" s="18">
        <f>IF(T64="","OPEN",IF(T64="CUSTOM RESPONSE",IF(U64="","OPEN — CUSTOM TEXT REQUIRED",IF(W64="","RESOLVED — ADD INITIALS/DATE",IF(X64="","RESOLVED — ADD INITIALS/DATE","RESOLVED"))),IF(T64="HOLD — NEEDS RESEARCH",IF(W64="","HOLD — ADD INITIALS/DATE",IF(X64="","HOLD — ADD INITIALS/DATE","HOLD")),IF(T64="DEFER — NOT YET",IF(W64="","DEFERRED — ADD INITIALS/DATE",IF(X64="","DEFERRED — ADD INITIALS/DATE","DEFERRED")),IF(T64="OPTION 1",IF(W64="","RESOLVED — ADD INITIALS/DATE",IF(X64="","RESOLVED — ADD INITIALS/DATE","RESOLVED")),IF(T64="OPTION 2",IF(U64="","OPEN — CUSTOM TEXT REQUIRED",IF(W64="","RESOLVED — ADD INITIALS/DATE",IF(X64="","RESOLVED — ADD INITIALS/DATE","RESOLVED"))),IF(T64="OPTION 3",IF(W64="","HOLD — ADD INITIALS/DATE",IF(X64="","HOLD — ADD INITIALS/DATE","HOLD")),IF(T64="OPTION 4",IF(W64="","HOLD — ADD INITIALS/DATE",IF(X64="","HOLD — ADD INITIALS/DATE","HOLD")),IF(W64="","RESOLVED — ADD INITIALS/DATE",IF(X64="","RESOLVED — ADD INITIALS/DATE","RESOLVED"))))))))))</f>
        <v/>
      </c>
      <c r="AA64" s="18" t="inlineStr">
        <is>
          <t>YES</t>
        </is>
      </c>
      <c r="AB64" s="18" t="inlineStr">
        <is>
          <t>Next controlled merge propagates decision to Row Ratification K:N. A wording review must not silently recode A/Q/D or authority tier.</t>
        </is>
      </c>
      <c r="AC64" s="18" t="inlineStr">
        <is>
          <t>Inherited H36–H51 — metaphysical/apophatic</t>
        </is>
      </c>
      <c r="AD64" s="18" t="n"/>
      <c r="AE64" s="18" t="inlineStr">
        <is>
          <t>Constancy of character, purpose, covenant faithfulness, and moral perfection is shared; strong metaphysical immutability is not imported.</t>
        </is>
      </c>
      <c r="AF64" s="18">
        <f>IF(F64&lt;&gt;"READY","NO",IF(Z64="OPEN","YES",IF(Z64="OPEN — CUSTOM TEXT REQUIRED","YES",IF(Z64="RESOLVED — ADD INITIALS/DATE","YES",IF(Z64="HOLD — ADD INITIALS/DATE","YES",IF(Z64="DEFERRED — ADD INITIALS/DATE","YES","NO"))))))</f>
        <v/>
      </c>
      <c r="AG64" s="18">
        <f>IF(AF64&lt;&gt;"YES","",IF(A64=IFERROR(MATCH("YES",$AF$2:$AF$105,0),0),"CURRENT",""))</f>
        <v/>
      </c>
      <c r="AH64" s="20">
        <f>IF(COUNTIF($B$2:$B$105,B64)&gt;1,"DUPLICATE","")</f>
        <v/>
      </c>
    </row>
    <row r="65" ht="15.75" customHeight="1" s="29">
      <c r="A65" s="7" t="n">
        <v>64</v>
      </c>
      <c r="B65" s="7" t="inlineStr">
        <is>
          <t>AUTH-RAT-RNR-H46</t>
        </is>
      </c>
      <c r="C65" s="7" t="inlineStr">
        <is>
          <t>G6 — Row Ratification</t>
        </is>
      </c>
      <c r="D65" s="7" t="inlineStr">
        <is>
          <t>Predicate/addition wording</t>
        </is>
      </c>
      <c r="E65" s="7" t="inlineStr">
        <is>
          <t>MEDIUM</t>
        </is>
      </c>
      <c r="F65" s="7" t="inlineStr">
        <is>
          <t>READY</t>
        </is>
      </c>
      <c r="G65" s="7" t="inlineStr">
        <is>
          <t>Row Ratification</t>
        </is>
      </c>
      <c r="H65" s="7" t="inlineStr">
        <is>
          <t>RNR-H46</t>
        </is>
      </c>
      <c r="I65" s="7" t="inlineStr">
        <is>
          <t>A51:N51</t>
        </is>
      </c>
      <c r="J65" s="7" t="inlineStr">
        <is>
          <t>Ratify RNR-H46: Eternal</t>
        </is>
      </c>
      <c r="K65" s="7" t="inlineStr">
        <is>
          <t>Is this public/ministry wording accurate, appropriately scoped, and fair enough to approve?</t>
        </is>
      </c>
      <c r="L65" s="7" t="inlineStr">
        <is>
          <t>Corpus: Inherited 57
Family/domain: Eternity &amp; epistemic transcendence
Public summary: Eternal
Current code/tier: A
Provenance: Author adjudication retained A
Source/pointer: See inherited source report / recovered institution ledgers
Locator/source note: Recurring Apophatic Vocabulary table
Public scope caution: A controls only beginningless/endless divine existence or duration; timelessness/denial of temporal succession is excluded.
Research status: CONTROLLED INTERNAL — still requires public wording signoff</t>
        </is>
      </c>
      <c r="M65" s="7" t="inlineStr">
        <is>
          <t>Author decision = PENDING.</t>
        </is>
      </c>
      <c r="N65" s="7" t="inlineStr">
        <is>
          <t>Blocks M1/M2 public row copy until the row is APPROVED, REVISED, or intentionally HELD.</t>
        </is>
      </c>
      <c r="O65" s="7" t="inlineStr">
        <is>
          <t>APPROVE AS WRITTEN</t>
        </is>
      </c>
      <c r="P65" s="7" t="inlineStr">
        <is>
          <t>REVISE — enter complete replacement wording/scope note in Custom Response</t>
        </is>
      </c>
      <c r="Q65" s="7" t="inlineStr">
        <is>
          <t>HOLD — research-code review required before wording approval</t>
        </is>
      </c>
      <c r="R65" s="7" t="inlineStr">
        <is>
          <t>HOLD — source/scope review required before wording approval</t>
        </is>
      </c>
      <c r="S65" s="7" t="inlineStr">
        <is>
          <t>OPTION 2</t>
        </is>
      </c>
      <c r="T65" s="17">
        <f>'Author Response Entry'!$D$65</f>
        <v/>
      </c>
      <c r="U65" s="18">
        <f>'Author Response Entry'!$E$65</f>
        <v/>
      </c>
      <c r="V65" s="18">
        <f>'Author Response Entry'!$F$65</f>
        <v/>
      </c>
      <c r="W65" s="18">
        <f>'Author Response Entry'!$G$65</f>
        <v/>
      </c>
      <c r="X65" s="19">
        <f>'Author Response Entry'!$H$65</f>
        <v/>
      </c>
      <c r="Y65" s="18">
        <f>IF(T65="","",IF(T65="CUSTOM RESPONSE",U65,IF(T65="HOLD — NEEDS RESEARCH",IF(U65&lt;&gt;"",U65,"HOLD — NEEDS RESEARCH"),IF(T65="DEFER — NOT YET",IF(U65&lt;&gt;"",U65,"DEFER — NOT YET"),IF(T65="OPTION 1",O65,IF(T65="OPTION 2",U65,IF(T65="OPTION 3",Q65,IF(T65="OPTION 4",R65,""))))))))</f>
        <v/>
      </c>
      <c r="Z65" s="18">
        <f>IF(T65="","OPEN",IF(T65="CUSTOM RESPONSE",IF(U65="","OPEN — CUSTOM TEXT REQUIRED",IF(W65="","RESOLVED — ADD INITIALS/DATE",IF(X65="","RESOLVED — ADD INITIALS/DATE","RESOLVED"))),IF(T65="HOLD — NEEDS RESEARCH",IF(W65="","HOLD — ADD INITIALS/DATE",IF(X65="","HOLD — ADD INITIALS/DATE","HOLD")),IF(T65="DEFER — NOT YET",IF(W65="","DEFERRED — ADD INITIALS/DATE",IF(X65="","DEFERRED — ADD INITIALS/DATE","DEFERRED")),IF(T65="OPTION 1",IF(W65="","RESOLVED — ADD INITIALS/DATE",IF(X65="","RESOLVED — ADD INITIALS/DATE","RESOLVED")),IF(T65="OPTION 2",IF(U65="","OPEN — CUSTOM TEXT REQUIRED",IF(W65="","RESOLVED — ADD INITIALS/DATE",IF(X65="","RESOLVED — ADD INITIALS/DATE","RESOLVED"))),IF(T65="OPTION 3",IF(W65="","HOLD — ADD INITIALS/DATE",IF(X65="","HOLD — ADD INITIALS/DATE","HOLD")),IF(T65="OPTION 4",IF(W65="","HOLD — ADD INITIALS/DATE",IF(X65="","HOLD — ADD INITIALS/DATE","HOLD")),IF(W65="","RESOLVED — ADD INITIALS/DATE",IF(X65="","RESOLVED — ADD INITIALS/DATE","RESOLVED"))))))))))</f>
        <v/>
      </c>
      <c r="AA65" s="18" t="inlineStr">
        <is>
          <t>YES</t>
        </is>
      </c>
      <c r="AB65" s="18" t="inlineStr">
        <is>
          <t>Next controlled merge propagates decision to Row Ratification K:N. A wording review must not silently recode A/Q/D or authority tier.</t>
        </is>
      </c>
      <c r="AC65" s="18" t="inlineStr">
        <is>
          <t>Inherited H36–H51 — metaphysical/apophatic</t>
        </is>
      </c>
      <c r="AD65" s="18" t="n"/>
      <c r="AE65" s="18" t="inlineStr">
        <is>
          <t>A controls only beginningless/endless divine existence or duration; timelessness/denial of temporal succession is excluded.</t>
        </is>
      </c>
      <c r="AF65" s="18">
        <f>IF(F65&lt;&gt;"READY","NO",IF(Z65="OPEN","YES",IF(Z65="OPEN — CUSTOM TEXT REQUIRED","YES",IF(Z65="RESOLVED — ADD INITIALS/DATE","YES",IF(Z65="HOLD — ADD INITIALS/DATE","YES",IF(Z65="DEFERRED — ADD INITIALS/DATE","YES","NO"))))))</f>
        <v/>
      </c>
      <c r="AG65" s="18">
        <f>IF(AF65&lt;&gt;"YES","",IF(A65=IFERROR(MATCH("YES",$AF$2:$AF$105,0),0),"CURRENT",""))</f>
        <v/>
      </c>
      <c r="AH65" s="20">
        <f>IF(COUNTIF($B$2:$B$105,B65)&gt;1,"DUPLICATE","")</f>
        <v/>
      </c>
    </row>
    <row r="66" ht="15.75" customHeight="1" s="29">
      <c r="A66" s="7" t="n">
        <v>65</v>
      </c>
      <c r="B66" s="7" t="inlineStr">
        <is>
          <t>AUTH-RAT-RNR-H47</t>
        </is>
      </c>
      <c r="C66" s="7" t="inlineStr">
        <is>
          <t>G6 — Row Ratification</t>
        </is>
      </c>
      <c r="D66" s="7" t="inlineStr">
        <is>
          <t>Predicate/addition wording</t>
        </is>
      </c>
      <c r="E66" s="7" t="inlineStr">
        <is>
          <t>HIGH</t>
        </is>
      </c>
      <c r="F66" s="7" t="inlineStr">
        <is>
          <t>READY</t>
        </is>
      </c>
      <c r="G66" s="7" t="inlineStr">
        <is>
          <t>Row Ratification</t>
        </is>
      </c>
      <c r="H66" s="7" t="inlineStr">
        <is>
          <t>RNR-H47</t>
        </is>
      </c>
      <c r="I66" s="7" t="inlineStr">
        <is>
          <t>A52:N52</t>
        </is>
      </c>
      <c r="J66" s="7" t="inlineStr">
        <is>
          <t>Ratify RNR-H47: Incomprehensible</t>
        </is>
      </c>
      <c r="K66" s="7" t="inlineStr">
        <is>
          <t>Is this public/ministry wording accurate, appropriately scoped, and fair enough to approve?</t>
        </is>
      </c>
      <c r="L66" s="7" t="inlineStr">
        <is>
          <t>Corpus: Inherited 57
Family/domain: Eternity &amp; epistemic transcendence
Public summary: Incomprehensible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6" s="7" t="inlineStr">
        <is>
          <t>Author decision = PENDING.</t>
        </is>
      </c>
      <c r="N66" s="7" t="inlineStr">
        <is>
          <t>Blocks M1/M2 public row copy until the row is APPROVED, REVISED, or intentionally HELD.</t>
        </is>
      </c>
      <c r="O66" s="7" t="inlineStr">
        <is>
          <t>APPROVE AS WRITTEN</t>
        </is>
      </c>
      <c r="P66" s="7" t="inlineStr">
        <is>
          <t>REVISE — enter complete replacement wording/scope note in Custom Response</t>
        </is>
      </c>
      <c r="Q66" s="7" t="inlineStr">
        <is>
          <t>HOLD — research-code review required before wording approval</t>
        </is>
      </c>
      <c r="R66" s="7" t="inlineStr">
        <is>
          <t>HOLD — source/scope review required before wording approval</t>
        </is>
      </c>
      <c r="S66" s="7" t="inlineStr">
        <is>
          <t>OPTION 2</t>
        </is>
      </c>
      <c r="T66" s="17">
        <f>'Author Response Entry'!$D$66</f>
        <v/>
      </c>
      <c r="U66" s="18">
        <f>'Author Response Entry'!$E$66</f>
        <v/>
      </c>
      <c r="V66" s="18">
        <f>'Author Response Entry'!$F$66</f>
        <v/>
      </c>
      <c r="W66" s="18">
        <f>'Author Response Entry'!$G$66</f>
        <v/>
      </c>
      <c r="X66" s="19">
        <f>'Author Response Entry'!$H$66</f>
        <v/>
      </c>
      <c r="Y66" s="18">
        <f>IF(T66="","",IF(T66="CUSTOM RESPONSE",U66,IF(T66="HOLD — NEEDS RESEARCH",IF(U66&lt;&gt;"",U66,"HOLD — NEEDS RESEARCH"),IF(T66="DEFER — NOT YET",IF(U66&lt;&gt;"",U66,"DEFER — NOT YET"),IF(T66="OPTION 1",O66,IF(T66="OPTION 2",U66,IF(T66="OPTION 3",Q66,IF(T66="OPTION 4",R66,""))))))))</f>
        <v/>
      </c>
      <c r="Z66" s="18">
        <f>IF(T66="","OPEN",IF(T66="CUSTOM RESPONSE",IF(U66="","OPEN — CUSTOM TEXT REQUIRED",IF(W66="","RESOLVED — ADD INITIALS/DATE",IF(X66="","RESOLVED — ADD INITIALS/DATE","RESOLVED"))),IF(T66="HOLD — NEEDS RESEARCH",IF(W66="","HOLD — ADD INITIALS/DATE",IF(X66="","HOLD — ADD INITIALS/DATE","HOLD")),IF(T66="DEFER — NOT YET",IF(W66="","DEFERRED — ADD INITIALS/DATE",IF(X66="","DEFERRED — ADD INITIALS/DATE","DEFERRED")),IF(T66="OPTION 1",IF(W66="","RESOLVED — ADD INITIALS/DATE",IF(X66="","RESOLVED — ADD INITIALS/DATE","RESOLVED")),IF(T66="OPTION 2",IF(U66="","OPEN — CUSTOM TEXT REQUIRED",IF(W66="","RESOLVED — ADD INITIALS/DATE",IF(X66="","RESOLVED — ADD INITIALS/DATE","RESOLVED"))),IF(T66="OPTION 3",IF(W66="","HOLD — ADD INITIALS/DATE",IF(X66="","HOLD — ADD INITIALS/DATE","HOLD")),IF(T66="OPTION 4",IF(W66="","HOLD — ADD INITIALS/DATE",IF(X66="","HOLD — ADD INITIALS/DATE","HOLD")),IF(W66="","RESOLVED — ADD INITIALS/DATE",IF(X66="","RESOLVED — ADD INITIALS/DATE","RESOLVED"))))))))))</f>
        <v/>
      </c>
      <c r="AA66" s="18" t="inlineStr">
        <is>
          <t>YES</t>
        </is>
      </c>
      <c r="AB66" s="18" t="inlineStr">
        <is>
          <t>Next controlled merge propagates decision to Row Ratification K:N. A wording review must not silently recode A/Q/D or authority tier.</t>
        </is>
      </c>
      <c r="AC66" s="18" t="inlineStr">
        <is>
          <t>Inherited H36–H51 — metaphysical/apophatic</t>
        </is>
      </c>
      <c r="AD66" s="18" t="n"/>
      <c r="AE66" s="18" t="inlineStr">
        <is>
          <t>Compatible with Restoration epistemic humility.</t>
        </is>
      </c>
      <c r="AF66" s="18">
        <f>IF(F66&lt;&gt;"READY","NO",IF(Z66="OPEN","YES",IF(Z66="OPEN — CUSTOM TEXT REQUIRED","YES",IF(Z66="RESOLVED — ADD INITIALS/DATE","YES",IF(Z66="HOLD — ADD INITIALS/DATE","YES",IF(Z66="DEFERRED — ADD INITIALS/DATE","YES","NO"))))))</f>
        <v/>
      </c>
      <c r="AG66" s="18">
        <f>IF(AF66&lt;&gt;"YES","",IF(A66=IFERROR(MATCH("YES",$AF$2:$AF$105,0),0),"CURRENT",""))</f>
        <v/>
      </c>
      <c r="AH66" s="20">
        <f>IF(COUNTIF($B$2:$B$105,B66)&gt;1,"DUPLICATE","")</f>
        <v/>
      </c>
    </row>
    <row r="67" ht="15.75" customHeight="1" s="29">
      <c r="A67" s="7" t="n">
        <v>66</v>
      </c>
      <c r="B67" s="7" t="inlineStr">
        <is>
          <t>AUTH-RAT-RNR-H48</t>
        </is>
      </c>
      <c r="C67" s="7" t="inlineStr">
        <is>
          <t>G6 — Row Ratification</t>
        </is>
      </c>
      <c r="D67" s="7" t="inlineStr">
        <is>
          <t>Predicate/addition wording</t>
        </is>
      </c>
      <c r="E67" s="7" t="inlineStr">
        <is>
          <t>HIGH</t>
        </is>
      </c>
      <c r="F67" s="7" t="inlineStr">
        <is>
          <t>READY</t>
        </is>
      </c>
      <c r="G67" s="7" t="inlineStr">
        <is>
          <t>Row Ratification</t>
        </is>
      </c>
      <c r="H67" s="7" t="inlineStr">
        <is>
          <t>RNR-H48</t>
        </is>
      </c>
      <c r="I67" s="7" t="inlineStr">
        <is>
          <t>A53:N53</t>
        </is>
      </c>
      <c r="J67" s="7" t="inlineStr">
        <is>
          <t>Ratify RNR-H48: Ineffable</t>
        </is>
      </c>
      <c r="K67" s="7" t="inlineStr">
        <is>
          <t>Is this public/ministry wording accurate, appropriately scoped, and fair enough to approve?</t>
        </is>
      </c>
      <c r="L67" s="7" t="inlineStr">
        <is>
          <t>Corpus: Inherited 57
Family/domain: Eternity &amp; epistemic transcendence
Public summary: Ineffable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7" s="7" t="inlineStr">
        <is>
          <t>Author decision = PENDING.</t>
        </is>
      </c>
      <c r="N67" s="7" t="inlineStr">
        <is>
          <t>Blocks M1/M2 public row copy until the row is APPROVED, REVISED, or intentionally HELD.</t>
        </is>
      </c>
      <c r="O67" s="7" t="inlineStr">
        <is>
          <t>APPROVE AS WRITTEN</t>
        </is>
      </c>
      <c r="P67" s="7" t="inlineStr">
        <is>
          <t>REVISE — enter complete replacement wording/scope note in Custom Response</t>
        </is>
      </c>
      <c r="Q67" s="7" t="inlineStr">
        <is>
          <t>HOLD — research-code review required before wording approval</t>
        </is>
      </c>
      <c r="R67" s="7" t="inlineStr">
        <is>
          <t>HOLD — source/scope review required before wording approval</t>
        </is>
      </c>
      <c r="S67" s="7" t="inlineStr">
        <is>
          <t>OPTION 2</t>
        </is>
      </c>
      <c r="T67" s="17">
        <f>'Author Response Entry'!$D$67</f>
        <v/>
      </c>
      <c r="U67" s="18">
        <f>'Author Response Entry'!$E$67</f>
        <v/>
      </c>
      <c r="V67" s="18">
        <f>'Author Response Entry'!$F$67</f>
        <v/>
      </c>
      <c r="W67" s="18">
        <f>'Author Response Entry'!$G$67</f>
        <v/>
      </c>
      <c r="X67" s="19">
        <f>'Author Response Entry'!$H$67</f>
        <v/>
      </c>
      <c r="Y67" s="18">
        <f>IF(T67="","",IF(T67="CUSTOM RESPONSE",U67,IF(T67="HOLD — NEEDS RESEARCH",IF(U67&lt;&gt;"",U67,"HOLD — NEEDS RESEARCH"),IF(T67="DEFER — NOT YET",IF(U67&lt;&gt;"",U67,"DEFER — NOT YET"),IF(T67="OPTION 1",O67,IF(T67="OPTION 2",U67,IF(T67="OPTION 3",Q67,IF(T67="OPTION 4",R67,""))))))))</f>
        <v/>
      </c>
      <c r="Z67" s="18">
        <f>IF(T67="","OPEN",IF(T67="CUSTOM RESPONSE",IF(U67="","OPEN — CUSTOM TEXT REQUIRED",IF(W67="","RESOLVED — ADD INITIALS/DATE",IF(X67="","RESOLVED — ADD INITIALS/DATE","RESOLVED"))),IF(T67="HOLD — NEEDS RESEARCH",IF(W67="","HOLD — ADD INITIALS/DATE",IF(X67="","HOLD — ADD INITIALS/DATE","HOLD")),IF(T67="DEFER — NOT YET",IF(W67="","DEFERRED — ADD INITIALS/DATE",IF(X67="","DEFERRED — ADD INITIALS/DATE","DEFERRED")),IF(T67="OPTION 1",IF(W67="","RESOLVED — ADD INITIALS/DATE",IF(X67="","RESOLVED — ADD INITIALS/DATE","RESOLVED")),IF(T67="OPTION 2",IF(U67="","OPEN — CUSTOM TEXT REQUIRED",IF(W67="","RESOLVED — ADD INITIALS/DATE",IF(X67="","RESOLVED — ADD INITIALS/DATE","RESOLVED"))),IF(T67="OPTION 3",IF(W67="","HOLD — ADD INITIALS/DATE",IF(X67="","HOLD — ADD INITIALS/DATE","HOLD")),IF(T67="OPTION 4",IF(W67="","HOLD — ADD INITIALS/DATE",IF(X67="","HOLD — ADD INITIALS/DATE","HOLD")),IF(W67="","RESOLVED — ADD INITIALS/DATE",IF(X67="","RESOLVED — ADD INITIALS/DATE","RESOLVED"))))))))))</f>
        <v/>
      </c>
      <c r="AA67" s="18" t="inlineStr">
        <is>
          <t>YES</t>
        </is>
      </c>
      <c r="AB67" s="18" t="inlineStr">
        <is>
          <t>Next controlled merge propagates decision to Row Ratification K:N. A wording review must not silently recode A/Q/D or authority tier.</t>
        </is>
      </c>
      <c r="AC67" s="18" t="inlineStr">
        <is>
          <t>Inherited H36–H51 — metaphysical/apophatic</t>
        </is>
      </c>
      <c r="AD67" s="18" t="n"/>
      <c r="AE67" s="18" t="inlineStr">
        <is>
          <t>Compatible with Restoration epistemic humility.</t>
        </is>
      </c>
      <c r="AF67" s="18">
        <f>IF(F67&lt;&gt;"READY","NO",IF(Z67="OPEN","YES",IF(Z67="OPEN — CUSTOM TEXT REQUIRED","YES",IF(Z67="RESOLVED — ADD INITIALS/DATE","YES",IF(Z67="HOLD — ADD INITIALS/DATE","YES",IF(Z67="DEFERRED — ADD INITIALS/DATE","YES","NO"))))))</f>
        <v/>
      </c>
      <c r="AG67" s="18">
        <f>IF(AF67&lt;&gt;"YES","",IF(A67=IFERROR(MATCH("YES",$AF$2:$AF$105,0),0),"CURRENT",""))</f>
        <v/>
      </c>
      <c r="AH67" s="20">
        <f>IF(COUNTIF($B$2:$B$105,B67)&gt;1,"DUPLICATE","")</f>
        <v/>
      </c>
    </row>
    <row r="68" ht="15.75" customHeight="1" s="29">
      <c r="A68" s="7" t="n">
        <v>67</v>
      </c>
      <c r="B68" s="7" t="inlineStr">
        <is>
          <t>AUTH-RAT-RNR-H49</t>
        </is>
      </c>
      <c r="C68" s="7" t="inlineStr">
        <is>
          <t>G6 — Row Ratification</t>
        </is>
      </c>
      <c r="D68" s="7" t="inlineStr">
        <is>
          <t>Predicate/addition wording</t>
        </is>
      </c>
      <c r="E68" s="7" t="inlineStr">
        <is>
          <t>HIGH</t>
        </is>
      </c>
      <c r="F68" s="7" t="inlineStr">
        <is>
          <t>READY</t>
        </is>
      </c>
      <c r="G68" s="7" t="inlineStr">
        <is>
          <t>Row Ratification</t>
        </is>
      </c>
      <c r="H68" s="7" t="inlineStr">
        <is>
          <t>RNR-H49</t>
        </is>
      </c>
      <c r="I68" s="7" t="inlineStr">
        <is>
          <t>A54:N54</t>
        </is>
      </c>
      <c r="J68" s="7" t="inlineStr">
        <is>
          <t>Ratify RNR-H49: Inscrutable</t>
        </is>
      </c>
      <c r="K68" s="7" t="inlineStr">
        <is>
          <t>Is this public/ministry wording accurate, appropriately scoped, and fair enough to approve?</t>
        </is>
      </c>
      <c r="L68" s="7" t="inlineStr">
        <is>
          <t>Corpus: Inherited 57
Family/domain: Eternity &amp; epistemic transcendence
Public summary: Inscrutable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8" s="7" t="inlineStr">
        <is>
          <t>Author decision = PENDING.</t>
        </is>
      </c>
      <c r="N68" s="7" t="inlineStr">
        <is>
          <t>Blocks M1/M2 public row copy until the row is APPROVED, REVISED, or intentionally HELD.</t>
        </is>
      </c>
      <c r="O68" s="7" t="inlineStr">
        <is>
          <t>APPROVE AS WRITTEN</t>
        </is>
      </c>
      <c r="P68" s="7" t="inlineStr">
        <is>
          <t>REVISE — enter complete replacement wording/scope note in Custom Response</t>
        </is>
      </c>
      <c r="Q68" s="7" t="inlineStr">
        <is>
          <t>HOLD — research-code review required before wording approval</t>
        </is>
      </c>
      <c r="R68" s="7" t="inlineStr">
        <is>
          <t>HOLD — source/scope review required before wording approval</t>
        </is>
      </c>
      <c r="S68" s="7" t="inlineStr">
        <is>
          <t>OPTION 2</t>
        </is>
      </c>
      <c r="T68" s="17">
        <f>'Author Response Entry'!$D$68</f>
        <v/>
      </c>
      <c r="U68" s="18">
        <f>'Author Response Entry'!$E$68</f>
        <v/>
      </c>
      <c r="V68" s="18">
        <f>'Author Response Entry'!$F$68</f>
        <v/>
      </c>
      <c r="W68" s="18">
        <f>'Author Response Entry'!$G$68</f>
        <v/>
      </c>
      <c r="X68" s="19">
        <f>'Author Response Entry'!$H$68</f>
        <v/>
      </c>
      <c r="Y68" s="18">
        <f>IF(T68="","",IF(T68="CUSTOM RESPONSE",U68,IF(T68="HOLD — NEEDS RESEARCH",IF(U68&lt;&gt;"",U68,"HOLD — NEEDS RESEARCH"),IF(T68="DEFER — NOT YET",IF(U68&lt;&gt;"",U68,"DEFER — NOT YET"),IF(T68="OPTION 1",O68,IF(T68="OPTION 2",U68,IF(T68="OPTION 3",Q68,IF(T68="OPTION 4",R68,""))))))))</f>
        <v/>
      </c>
      <c r="Z68" s="18">
        <f>IF(T68="","OPEN",IF(T68="CUSTOM RESPONSE",IF(U68="","OPEN — CUSTOM TEXT REQUIRED",IF(W68="","RESOLVED — ADD INITIALS/DATE",IF(X68="","RESOLVED — ADD INITIALS/DATE","RESOLVED"))),IF(T68="HOLD — NEEDS RESEARCH",IF(W68="","HOLD — ADD INITIALS/DATE",IF(X68="","HOLD — ADD INITIALS/DATE","HOLD")),IF(T68="DEFER — NOT YET",IF(W68="","DEFERRED — ADD INITIALS/DATE",IF(X68="","DEFERRED — ADD INITIALS/DATE","DEFERRED")),IF(T68="OPTION 1",IF(W68="","RESOLVED — ADD INITIALS/DATE",IF(X68="","RESOLVED — ADD INITIALS/DATE","RESOLVED")),IF(T68="OPTION 2",IF(U68="","OPEN — CUSTOM TEXT REQUIRED",IF(W68="","RESOLVED — ADD INITIALS/DATE",IF(X68="","RESOLVED — ADD INITIALS/DATE","RESOLVED"))),IF(T68="OPTION 3",IF(W68="","HOLD — ADD INITIALS/DATE",IF(X68="","HOLD — ADD INITIALS/DATE","HOLD")),IF(T68="OPTION 4",IF(W68="","HOLD — ADD INITIALS/DATE",IF(X68="","HOLD — ADD INITIALS/DATE","HOLD")),IF(W68="","RESOLVED — ADD INITIALS/DATE",IF(X68="","RESOLVED — ADD INITIALS/DATE","RESOLVED"))))))))))</f>
        <v/>
      </c>
      <c r="AA68" s="18" t="inlineStr">
        <is>
          <t>YES</t>
        </is>
      </c>
      <c r="AB68" s="18" t="inlineStr">
        <is>
          <t>Next controlled merge propagates decision to Row Ratification K:N. A wording review must not silently recode A/Q/D or authority tier.</t>
        </is>
      </c>
      <c r="AC68" s="18" t="inlineStr">
        <is>
          <t>Inherited H36–H51 — metaphysical/apophatic</t>
        </is>
      </c>
      <c r="AD68" s="18" t="n"/>
      <c r="AE68" s="18" t="inlineStr">
        <is>
          <t>Compatible with Restoration epistemic humility.</t>
        </is>
      </c>
      <c r="AF68" s="18">
        <f>IF(F68&lt;&gt;"READY","NO",IF(Z68="OPEN","YES",IF(Z68="OPEN — CUSTOM TEXT REQUIRED","YES",IF(Z68="RESOLVED — ADD INITIALS/DATE","YES",IF(Z68="HOLD — ADD INITIALS/DATE","YES",IF(Z68="DEFERRED — ADD INITIALS/DATE","YES","NO"))))))</f>
        <v/>
      </c>
      <c r="AG68" s="18">
        <f>IF(AF68&lt;&gt;"YES","",IF(A68=IFERROR(MATCH("YES",$AF$2:$AF$105,0),0),"CURRENT",""))</f>
        <v/>
      </c>
      <c r="AH68" s="20">
        <f>IF(COUNTIF($B$2:$B$105,B68)&gt;1,"DUPLICATE","")</f>
        <v/>
      </c>
    </row>
    <row r="69" ht="15.75" customHeight="1" s="29">
      <c r="A69" s="7" t="n">
        <v>68</v>
      </c>
      <c r="B69" s="7" t="inlineStr">
        <is>
          <t>AUTH-RAT-RNR-H50</t>
        </is>
      </c>
      <c r="C69" s="7" t="inlineStr">
        <is>
          <t>G6 — Row Ratification</t>
        </is>
      </c>
      <c r="D69" s="7" t="inlineStr">
        <is>
          <t>Predicate/addition wording</t>
        </is>
      </c>
      <c r="E69" s="7" t="inlineStr">
        <is>
          <t>MEDIUM</t>
        </is>
      </c>
      <c r="F69" s="7" t="inlineStr">
        <is>
          <t>READY</t>
        </is>
      </c>
      <c r="G69" s="7" t="inlineStr">
        <is>
          <t>Row Ratification</t>
        </is>
      </c>
      <c r="H69" s="7" t="inlineStr">
        <is>
          <t>RNR-H50</t>
        </is>
      </c>
      <c r="I69" s="7" t="inlineStr">
        <is>
          <t>A55:N55</t>
        </is>
      </c>
      <c r="J69" s="7" t="inlineStr">
        <is>
          <t>Ratify RNR-H50: Not circumscribed / not contained</t>
        </is>
      </c>
      <c r="K69" s="7" t="inlineStr">
        <is>
          <t>Is this public/ministry wording accurate, appropriately scoped, and fair enough to approve?</t>
        </is>
      </c>
      <c r="L69" s="7" t="inlineStr">
        <is>
          <t>Corpus: Inherited 57
Family/domain: Eternity &amp; epistemic transcendence
Public summary: Not circumscribed / not contained
Current code/tier: Q
Provenance: Explicit in master handoff
Source/pointer: See inherited source report / recovered institution ledgers
Locator/source note: Recurring Apophatic Vocabulary table
Public scope caution: Universal divine operation/omnipresence concern is shared while determinate personal presence remains materially differentiated.
Research status: CONTROLLED INTERNAL — still requires public wording signoff</t>
        </is>
      </c>
      <c r="M69" s="7" t="inlineStr">
        <is>
          <t>Author decision = PENDING.</t>
        </is>
      </c>
      <c r="N69" s="7" t="inlineStr">
        <is>
          <t>Blocks M1/M2 public row copy until the row is APPROVED, REVISED, or intentionally HELD.</t>
        </is>
      </c>
      <c r="O69" s="7" t="inlineStr">
        <is>
          <t>APPROVE AS WRITTEN</t>
        </is>
      </c>
      <c r="P69" s="7" t="inlineStr">
        <is>
          <t>REVISE — enter complete replacement wording/scope note in Custom Response</t>
        </is>
      </c>
      <c r="Q69" s="7" t="inlineStr">
        <is>
          <t>HOLD — research-code review required before wording approval</t>
        </is>
      </c>
      <c r="R69" s="7" t="inlineStr">
        <is>
          <t>HOLD — source/scope review required before wording approval</t>
        </is>
      </c>
      <c r="S69" s="7" t="inlineStr">
        <is>
          <t>OPTION 2</t>
        </is>
      </c>
      <c r="T69" s="17">
        <f>'Author Response Entry'!$D$69</f>
        <v/>
      </c>
      <c r="U69" s="18">
        <f>'Author Response Entry'!$E$69</f>
        <v/>
      </c>
      <c r="V69" s="18">
        <f>'Author Response Entry'!$F$69</f>
        <v/>
      </c>
      <c r="W69" s="18">
        <f>'Author Response Entry'!$G$69</f>
        <v/>
      </c>
      <c r="X69" s="19">
        <f>'Author Response Entry'!$H$69</f>
        <v/>
      </c>
      <c r="Y69" s="18">
        <f>IF(T69="","",IF(T69="CUSTOM RESPONSE",U69,IF(T69="HOLD — NEEDS RESEARCH",IF(U69&lt;&gt;"",U69,"HOLD — NEEDS RESEARCH"),IF(T69="DEFER — NOT YET",IF(U69&lt;&gt;"",U69,"DEFER — NOT YET"),IF(T69="OPTION 1",O69,IF(T69="OPTION 2",U69,IF(T69="OPTION 3",Q69,IF(T69="OPTION 4",R69,""))))))))</f>
        <v/>
      </c>
      <c r="Z69" s="18">
        <f>IF(T69="","OPEN",IF(T69="CUSTOM RESPONSE",IF(U69="","OPEN — CUSTOM TEXT REQUIRED",IF(W69="","RESOLVED — ADD INITIALS/DATE",IF(X69="","RESOLVED — ADD INITIALS/DATE","RESOLVED"))),IF(T69="HOLD — NEEDS RESEARCH",IF(W69="","HOLD — ADD INITIALS/DATE",IF(X69="","HOLD — ADD INITIALS/DATE","HOLD")),IF(T69="DEFER — NOT YET",IF(W69="","DEFERRED — ADD INITIALS/DATE",IF(X69="","DEFERRED — ADD INITIALS/DATE","DEFERRED")),IF(T69="OPTION 1",IF(W69="","RESOLVED — ADD INITIALS/DATE",IF(X69="","RESOLVED — ADD INITIALS/DATE","RESOLVED")),IF(T69="OPTION 2",IF(U69="","OPEN — CUSTOM TEXT REQUIRED",IF(W69="","RESOLVED — ADD INITIALS/DATE",IF(X69="","RESOLVED — ADD INITIALS/DATE","RESOLVED"))),IF(T69="OPTION 3",IF(W69="","HOLD — ADD INITIALS/DATE",IF(X69="","HOLD — ADD INITIALS/DATE","HOLD")),IF(T69="OPTION 4",IF(W69="","HOLD — ADD INITIALS/DATE",IF(X69="","HOLD — ADD INITIALS/DATE","HOLD")),IF(W69="","RESOLVED — ADD INITIALS/DATE",IF(X69="","RESOLVED — ADD INITIALS/DATE","RESOLVED"))))))))))</f>
        <v/>
      </c>
      <c r="AA69" s="18" t="inlineStr">
        <is>
          <t>YES</t>
        </is>
      </c>
      <c r="AB69" s="18" t="inlineStr">
        <is>
          <t>Next controlled merge propagates decision to Row Ratification K:N. A wording review must not silently recode A/Q/D or authority tier.</t>
        </is>
      </c>
      <c r="AC69" s="18" t="inlineStr">
        <is>
          <t>Inherited H36–H51 — metaphysical/apophatic</t>
        </is>
      </c>
      <c r="AD69" s="18" t="n"/>
      <c r="AE69" s="18" t="inlineStr">
        <is>
          <t>Universal divine operation/omnipresence concern is shared while determinate personal presence remains materially differentiated.</t>
        </is>
      </c>
      <c r="AF69" s="18">
        <f>IF(F69&lt;&gt;"READY","NO",IF(Z69="OPEN","YES",IF(Z69="OPEN — CUSTOM TEXT REQUIRED","YES",IF(Z69="RESOLVED — ADD INITIALS/DATE","YES",IF(Z69="HOLD — ADD INITIALS/DATE","YES",IF(Z69="DEFERRED — ADD INITIALS/DATE","YES","NO"))))))</f>
        <v/>
      </c>
      <c r="AG69" s="18">
        <f>IF(AF69&lt;&gt;"YES","",IF(A69=IFERROR(MATCH("YES",$AF$2:$AF$105,0),0),"CURRENT",""))</f>
        <v/>
      </c>
      <c r="AH69" s="20">
        <f>IF(COUNTIF($B$2:$B$105,B69)&gt;1,"DUPLICATE","")</f>
        <v/>
      </c>
    </row>
    <row r="70" ht="15.75" customHeight="1" s="29">
      <c r="A70" s="7" t="n">
        <v>69</v>
      </c>
      <c r="B70" s="7" t="inlineStr">
        <is>
          <t>AUTH-RAT-RNR-H51</t>
        </is>
      </c>
      <c r="C70" s="7" t="inlineStr">
        <is>
          <t>G6 — Row Ratification</t>
        </is>
      </c>
      <c r="D70" s="7" t="inlineStr">
        <is>
          <t>Predicate/addition wording</t>
        </is>
      </c>
      <c r="E70" s="7" t="inlineStr">
        <is>
          <t>HIGH</t>
        </is>
      </c>
      <c r="F70" s="7" t="inlineStr">
        <is>
          <t>READY</t>
        </is>
      </c>
      <c r="G70" s="7" t="inlineStr">
        <is>
          <t>Row Ratification</t>
        </is>
      </c>
      <c r="H70" s="7" t="inlineStr">
        <is>
          <t>RNR-H51</t>
        </is>
      </c>
      <c r="I70" s="7" t="inlineStr">
        <is>
          <t>A56:N56</t>
        </is>
      </c>
      <c r="J70" s="7" t="inlineStr">
        <is>
          <t>Ratify RNR-H51: No adequate likeness or comparison</t>
        </is>
      </c>
      <c r="K70" s="7" t="inlineStr">
        <is>
          <t>Is this public/ministry wording accurate, appropriately scoped, and fair enough to approve?</t>
        </is>
      </c>
      <c r="L70" s="7" t="inlineStr">
        <is>
          <t>Corpus: Inherited 57
Family/domain: Eternity &amp; epistemic transcendence
Public summary: No adequate likeness or comparison
Current code/tier: Q
Provenance: Count-constrained reconstruction
Source/pointer: See inherited source report / recovered institution ledgers
Locator/source note: Recurring Apophatic Vocabulary table
Public scope caution: Epistemic restraint is shared, but literal divine-human kinship prevents an absolute denial of likeness.
Research status: RECONSTRUCTED — source-level/master-family recertification remains publication-critical</t>
        </is>
      </c>
      <c r="M70" s="7" t="inlineStr">
        <is>
          <t>Author decision = PENDING.</t>
        </is>
      </c>
      <c r="N70" s="7" t="inlineStr">
        <is>
          <t>Blocks M1/M2 public row copy until the row is APPROVED, REVISED, or intentionally HELD.</t>
        </is>
      </c>
      <c r="O70" s="7" t="inlineStr">
        <is>
          <t>APPROVE AS WRITTEN</t>
        </is>
      </c>
      <c r="P70" s="7" t="inlineStr">
        <is>
          <t>REVISE — enter complete replacement wording/scope note in Custom Response</t>
        </is>
      </c>
      <c r="Q70" s="7" t="inlineStr">
        <is>
          <t>HOLD — research-code review required before wording approval</t>
        </is>
      </c>
      <c r="R70" s="7" t="inlineStr">
        <is>
          <t>HOLD — source/scope review required before wording approval</t>
        </is>
      </c>
      <c r="S70" s="7" t="inlineStr">
        <is>
          <t>OPTION 2</t>
        </is>
      </c>
      <c r="T70" s="17">
        <f>'Author Response Entry'!$D$70</f>
        <v/>
      </c>
      <c r="U70" s="18">
        <f>'Author Response Entry'!$E$70</f>
        <v/>
      </c>
      <c r="V70" s="18">
        <f>'Author Response Entry'!$F$70</f>
        <v/>
      </c>
      <c r="W70" s="18">
        <f>'Author Response Entry'!$G$70</f>
        <v/>
      </c>
      <c r="X70" s="19">
        <f>'Author Response Entry'!$H$70</f>
        <v/>
      </c>
      <c r="Y70" s="18">
        <f>IF(T70="","",IF(T70="CUSTOM RESPONSE",U70,IF(T70="HOLD — NEEDS RESEARCH",IF(U70&lt;&gt;"",U70,"HOLD — NEEDS RESEARCH"),IF(T70="DEFER — NOT YET",IF(U70&lt;&gt;"",U70,"DEFER — NOT YET"),IF(T70="OPTION 1",O70,IF(T70="OPTION 2",U70,IF(T70="OPTION 3",Q70,IF(T70="OPTION 4",R70,""))))))))</f>
        <v/>
      </c>
      <c r="Z70" s="18">
        <f>IF(T70="","OPEN",IF(T70="CUSTOM RESPONSE",IF(U70="","OPEN — CUSTOM TEXT REQUIRED",IF(W70="","RESOLVED — ADD INITIALS/DATE",IF(X70="","RESOLVED — ADD INITIALS/DATE","RESOLVED"))),IF(T70="HOLD — NEEDS RESEARCH",IF(W70="","HOLD — ADD INITIALS/DATE",IF(X70="","HOLD — ADD INITIALS/DATE","HOLD")),IF(T70="DEFER — NOT YET",IF(W70="","DEFERRED — ADD INITIALS/DATE",IF(X70="","DEFERRED — ADD INITIALS/DATE","DEFERRED")),IF(T70="OPTION 1",IF(W70="","RESOLVED — ADD INITIALS/DATE",IF(X70="","RESOLVED — ADD INITIALS/DATE","RESOLVED")),IF(T70="OPTION 2",IF(U70="","OPEN — CUSTOM TEXT REQUIRED",IF(W70="","RESOLVED — ADD INITIALS/DATE",IF(X70="","RESOLVED — ADD INITIALS/DATE","RESOLVED"))),IF(T70="OPTION 3",IF(W70="","HOLD — ADD INITIALS/DATE",IF(X70="","HOLD — ADD INITIALS/DATE","HOLD")),IF(T70="OPTION 4",IF(W70="","HOLD — ADD INITIALS/DATE",IF(X70="","HOLD — ADD INITIALS/DATE","HOLD")),IF(W70="","RESOLVED — ADD INITIALS/DATE",IF(X70="","RESOLVED — ADD INITIALS/DATE","RESOLVED"))))))))))</f>
        <v/>
      </c>
      <c r="AA70" s="18" t="inlineStr">
        <is>
          <t>YES</t>
        </is>
      </c>
      <c r="AB70" s="18" t="inlineStr">
        <is>
          <t>Next controlled merge propagates decision to Row Ratification K:N. A wording review must not silently recode A/Q/D or authority tier.</t>
        </is>
      </c>
      <c r="AC70" s="18" t="inlineStr">
        <is>
          <t>Inherited H36–H51 — metaphysical/apophatic</t>
        </is>
      </c>
      <c r="AD70" s="18" t="n"/>
      <c r="AE70" s="18" t="inlineStr">
        <is>
          <t>Epistemic restraint is shared, but literal divine-human kinship prevents an absolute denial of likeness.</t>
        </is>
      </c>
      <c r="AF70" s="18">
        <f>IF(F70&lt;&gt;"READY","NO",IF(Z70="OPEN","YES",IF(Z70="OPEN — CUSTOM TEXT REQUIRED","YES",IF(Z70="RESOLVED — ADD INITIALS/DATE","YES",IF(Z70="HOLD — ADD INITIALS/DATE","YES",IF(Z70="DEFERRED — ADD INITIALS/DATE","YES","NO"))))))</f>
        <v/>
      </c>
      <c r="AG70" s="18">
        <f>IF(AF70&lt;&gt;"YES","",IF(A70=IFERROR(MATCH("YES",$AF$2:$AF$105,0),0),"CURRENT",""))</f>
        <v/>
      </c>
      <c r="AH70" s="20">
        <f>IF(COUNTIF($B$2:$B$105,B70)&gt;1,"DUPLICATE","")</f>
        <v/>
      </c>
    </row>
    <row r="71" ht="15.75" customHeight="1" s="29">
      <c r="A71" s="7" t="n">
        <v>70</v>
      </c>
      <c r="B71" s="7" t="inlineStr">
        <is>
          <t>AUTH-RAT-RNR-H52</t>
        </is>
      </c>
      <c r="C71" s="7" t="inlineStr">
        <is>
          <t>G6 — Row Ratification</t>
        </is>
      </c>
      <c r="D71" s="7" t="inlineStr">
        <is>
          <t>Predicate/addition wording</t>
        </is>
      </c>
      <c r="E71" s="7" t="inlineStr">
        <is>
          <t>MEDIUM</t>
        </is>
      </c>
      <c r="F71" s="7" t="inlineStr">
        <is>
          <t>READY</t>
        </is>
      </c>
      <c r="G71" s="7" t="inlineStr">
        <is>
          <t>Row Ratification</t>
        </is>
      </c>
      <c r="H71" s="7" t="inlineStr">
        <is>
          <t>RNR-H52</t>
        </is>
      </c>
      <c r="I71" s="7" t="inlineStr">
        <is>
          <t>A57:N57</t>
        </is>
      </c>
      <c r="J71" s="7" t="inlineStr">
        <is>
          <t>Ratify RNR-H52: Without confusion</t>
        </is>
      </c>
      <c r="K71" s="7" t="inlineStr">
        <is>
          <t>Is this public/ministry wording accurate, appropriately scoped, and fair enough to approve?</t>
        </is>
      </c>
      <c r="L71" s="7" t="inlineStr">
        <is>
          <t>Corpus: Inherited 57
Family/domain: Christological delimiters
Public summary: Without confusion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1" s="7" t="inlineStr">
        <is>
          <t>Author decision = PENDING.</t>
        </is>
      </c>
      <c r="N71" s="7" t="inlineStr">
        <is>
          <t>Blocks M1/M2 public row copy until the row is APPROVED, REVISED, or intentionally HELD.</t>
        </is>
      </c>
      <c r="O71" s="7" t="inlineStr">
        <is>
          <t>APPROVE AS WRITTEN</t>
        </is>
      </c>
      <c r="P71" s="7" t="inlineStr">
        <is>
          <t>REVISE — enter complete replacement wording/scope note in Custom Response</t>
        </is>
      </c>
      <c r="Q71" s="7" t="inlineStr">
        <is>
          <t>HOLD — research-code review required before wording approval</t>
        </is>
      </c>
      <c r="R71" s="7" t="inlineStr">
        <is>
          <t>HOLD — source/scope review required before wording approval</t>
        </is>
      </c>
      <c r="S71" s="7" t="inlineStr">
        <is>
          <t>OPTION 2</t>
        </is>
      </c>
      <c r="T71" s="17">
        <f>'Author Response Entry'!$D$71</f>
        <v/>
      </c>
      <c r="U71" s="18">
        <f>'Author Response Entry'!$E$71</f>
        <v/>
      </c>
      <c r="V71" s="18">
        <f>'Author Response Entry'!$F$71</f>
        <v/>
      </c>
      <c r="W71" s="18">
        <f>'Author Response Entry'!$G$71</f>
        <v/>
      </c>
      <c r="X71" s="19">
        <f>'Author Response Entry'!$H$71</f>
        <v/>
      </c>
      <c r="Y71" s="18">
        <f>IF(T71="","",IF(T71="CUSTOM RESPONSE",U71,IF(T71="HOLD — NEEDS RESEARCH",IF(U71&lt;&gt;"",U71,"HOLD — NEEDS RESEARCH"),IF(T71="DEFER — NOT YET",IF(U71&lt;&gt;"",U71,"DEFER — NOT YET"),IF(T71="OPTION 1",O71,IF(T71="OPTION 2",U71,IF(T71="OPTION 3",Q71,IF(T71="OPTION 4",R71,""))))))))</f>
        <v/>
      </c>
      <c r="Z71" s="18">
        <f>IF(T71="","OPEN",IF(T71="CUSTOM RESPONSE",IF(U71="","OPEN — CUSTOM TEXT REQUIRED",IF(W71="","RESOLVED — ADD INITIALS/DATE",IF(X71="","RESOLVED — ADD INITIALS/DATE","RESOLVED"))),IF(T71="HOLD — NEEDS RESEARCH",IF(W71="","HOLD — ADD INITIALS/DATE",IF(X71="","HOLD — ADD INITIALS/DATE","HOLD")),IF(T71="DEFER — NOT YET",IF(W71="","DEFERRED — ADD INITIALS/DATE",IF(X71="","DEFERRED — ADD INITIALS/DATE","DEFERRED")),IF(T71="OPTION 1",IF(W71="","RESOLVED — ADD INITIALS/DATE",IF(X71="","RESOLVED — ADD INITIALS/DATE","RESOLVED")),IF(T71="OPTION 2",IF(U71="","OPEN — CUSTOM TEXT REQUIRED",IF(W71="","RESOLVED — ADD INITIALS/DATE",IF(X71="","RESOLVED — ADD INITIALS/DATE","RESOLVED"))),IF(T71="OPTION 3",IF(W71="","HOLD — ADD INITIALS/DATE",IF(X71="","HOLD — ADD INITIALS/DATE","HOLD")),IF(T71="OPTION 4",IF(W71="","HOLD — ADD INITIALS/DATE",IF(X71="","HOLD — ADD INITIALS/DATE","HOLD")),IF(W71="","RESOLVED — ADD INITIALS/DATE",IF(X71="","RESOLVED — ADD INITIALS/DATE","RESOLVED"))))))))))</f>
        <v/>
      </c>
      <c r="AA71" s="18" t="inlineStr">
        <is>
          <t>YES</t>
        </is>
      </c>
      <c r="AB71" s="18" t="inlineStr">
        <is>
          <t>Next controlled merge propagates decision to Row Ratification K:N. A wording review must not silently recode A/Q/D or authority tier.</t>
        </is>
      </c>
      <c r="AC71" s="18" t="inlineStr">
        <is>
          <t>Inherited H52–H57 — Christological/Godhead delimiters</t>
        </is>
      </c>
      <c r="AD71" s="18" t="n"/>
      <c r="AE71" s="18" t="inlineStr">
        <is>
          <t>Underlying Christological concern is shared without adopting Chalcedonian two-natures metaphysics.</t>
        </is>
      </c>
      <c r="AF71" s="18">
        <f>IF(F71&lt;&gt;"READY","NO",IF(Z71="OPEN","YES",IF(Z71="OPEN — CUSTOM TEXT REQUIRED","YES",IF(Z71="RESOLVED — ADD INITIALS/DATE","YES",IF(Z71="HOLD — ADD INITIALS/DATE","YES",IF(Z71="DEFERRED — ADD INITIALS/DATE","YES","NO"))))))</f>
        <v/>
      </c>
      <c r="AG71" s="18">
        <f>IF(AF71&lt;&gt;"YES","",IF(A71=IFERROR(MATCH("YES",$AF$2:$AF$105,0),0),"CURRENT",""))</f>
        <v/>
      </c>
      <c r="AH71" s="20">
        <f>IF(COUNTIF($B$2:$B$105,B71)&gt;1,"DUPLICATE","")</f>
        <v/>
      </c>
    </row>
    <row r="72" ht="15.75" customHeight="1" s="29">
      <c r="A72" s="7" t="n">
        <v>71</v>
      </c>
      <c r="B72" s="7" t="inlineStr">
        <is>
          <t>AUTH-RAT-RNR-H53</t>
        </is>
      </c>
      <c r="C72" s="7" t="inlineStr">
        <is>
          <t>G6 — Row Ratification</t>
        </is>
      </c>
      <c r="D72" s="7" t="inlineStr">
        <is>
          <t>Predicate/addition wording</t>
        </is>
      </c>
      <c r="E72" s="7" t="inlineStr">
        <is>
          <t>MEDIUM</t>
        </is>
      </c>
      <c r="F72" s="7" t="inlineStr">
        <is>
          <t>READY</t>
        </is>
      </c>
      <c r="G72" s="7" t="inlineStr">
        <is>
          <t>Row Ratification</t>
        </is>
      </c>
      <c r="H72" s="7" t="inlineStr">
        <is>
          <t>RNR-H53</t>
        </is>
      </c>
      <c r="I72" s="7" t="inlineStr">
        <is>
          <t>A58:N58</t>
        </is>
      </c>
      <c r="J72" s="7" t="inlineStr">
        <is>
          <t>Ratify RNR-H53: Without change</t>
        </is>
      </c>
      <c r="K72" s="7" t="inlineStr">
        <is>
          <t>Is this public/ministry wording accurate, appropriately scoped, and fair enough to approve?</t>
        </is>
      </c>
      <c r="L72" s="7" t="inlineStr">
        <is>
          <t>Corpus: Inherited 57
Family/domain: Christological delimiters
Public summary: Without change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2" s="7" t="inlineStr">
        <is>
          <t>Author decision = PENDING.</t>
        </is>
      </c>
      <c r="N72" s="7" t="inlineStr">
        <is>
          <t>Blocks M1/M2 public row copy until the row is APPROVED, REVISED, or intentionally HELD.</t>
        </is>
      </c>
      <c r="O72" s="7" t="inlineStr">
        <is>
          <t>APPROVE AS WRITTEN</t>
        </is>
      </c>
      <c r="P72" s="7" t="inlineStr">
        <is>
          <t>REVISE — enter complete replacement wording/scope note in Custom Response</t>
        </is>
      </c>
      <c r="Q72" s="7" t="inlineStr">
        <is>
          <t>HOLD — research-code review required before wording approval</t>
        </is>
      </c>
      <c r="R72" s="7" t="inlineStr">
        <is>
          <t>HOLD — source/scope review required before wording approval</t>
        </is>
      </c>
      <c r="S72" s="7" t="inlineStr">
        <is>
          <t>OPTION 2</t>
        </is>
      </c>
      <c r="T72" s="17">
        <f>'Author Response Entry'!$D$72</f>
        <v/>
      </c>
      <c r="U72" s="18">
        <f>'Author Response Entry'!$E$72</f>
        <v/>
      </c>
      <c r="V72" s="18">
        <f>'Author Response Entry'!$F$72</f>
        <v/>
      </c>
      <c r="W72" s="18">
        <f>'Author Response Entry'!$G$72</f>
        <v/>
      </c>
      <c r="X72" s="19">
        <f>'Author Response Entry'!$H$72</f>
        <v/>
      </c>
      <c r="Y72" s="18">
        <f>IF(T72="","",IF(T72="CUSTOM RESPONSE",U72,IF(T72="HOLD — NEEDS RESEARCH",IF(U72&lt;&gt;"",U72,"HOLD — NEEDS RESEARCH"),IF(T72="DEFER — NOT YET",IF(U72&lt;&gt;"",U72,"DEFER — NOT YET"),IF(T72="OPTION 1",O72,IF(T72="OPTION 2",U72,IF(T72="OPTION 3",Q72,IF(T72="OPTION 4",R72,""))))))))</f>
        <v/>
      </c>
      <c r="Z72" s="18">
        <f>IF(T72="","OPEN",IF(T72="CUSTOM RESPONSE",IF(U72="","OPEN — CUSTOM TEXT REQUIRED",IF(W72="","RESOLVED — ADD INITIALS/DATE",IF(X72="","RESOLVED — ADD INITIALS/DATE","RESOLVED"))),IF(T72="HOLD — NEEDS RESEARCH",IF(W72="","HOLD — ADD INITIALS/DATE",IF(X72="","HOLD — ADD INITIALS/DATE","HOLD")),IF(T72="DEFER — NOT YET",IF(W72="","DEFERRED — ADD INITIALS/DATE",IF(X72="","DEFERRED — ADD INITIALS/DATE","DEFERRED")),IF(T72="OPTION 1",IF(W72="","RESOLVED — ADD INITIALS/DATE",IF(X72="","RESOLVED — ADD INITIALS/DATE","RESOLVED")),IF(T72="OPTION 2",IF(U72="","OPEN — CUSTOM TEXT REQUIRED",IF(W72="","RESOLVED — ADD INITIALS/DATE",IF(X72="","RESOLVED — ADD INITIALS/DATE","RESOLVED"))),IF(T72="OPTION 3",IF(W72="","HOLD — ADD INITIALS/DATE",IF(X72="","HOLD — ADD INITIALS/DATE","HOLD")),IF(T72="OPTION 4",IF(W72="","HOLD — ADD INITIALS/DATE",IF(X72="","HOLD — ADD INITIALS/DATE","HOLD")),IF(W72="","RESOLVED — ADD INITIALS/DATE",IF(X72="","RESOLVED — ADD INITIALS/DATE","RESOLVED"))))))))))</f>
        <v/>
      </c>
      <c r="AA72" s="18" t="inlineStr">
        <is>
          <t>YES</t>
        </is>
      </c>
      <c r="AB72" s="18" t="inlineStr">
        <is>
          <t>Next controlled merge propagates decision to Row Ratification K:N. A wording review must not silently recode A/Q/D or authority tier.</t>
        </is>
      </c>
      <c r="AC72" s="18" t="inlineStr">
        <is>
          <t>Inherited H52–H57 — Christological/Godhead delimiters</t>
        </is>
      </c>
      <c r="AD72" s="18" t="n"/>
      <c r="AE72" s="18" t="inlineStr">
        <is>
          <t>Underlying Christological concern is shared without adopting Chalcedonian two-natures metaphysics.</t>
        </is>
      </c>
      <c r="AF72" s="18">
        <f>IF(F72&lt;&gt;"READY","NO",IF(Z72="OPEN","YES",IF(Z72="OPEN — CUSTOM TEXT REQUIRED","YES",IF(Z72="RESOLVED — ADD INITIALS/DATE","YES",IF(Z72="HOLD — ADD INITIALS/DATE","YES",IF(Z72="DEFERRED — ADD INITIALS/DATE","YES","NO"))))))</f>
        <v/>
      </c>
      <c r="AG72" s="18">
        <f>IF(AF72&lt;&gt;"YES","",IF(A72=IFERROR(MATCH("YES",$AF$2:$AF$105,0),0),"CURRENT",""))</f>
        <v/>
      </c>
      <c r="AH72" s="20">
        <f>IF(COUNTIF($B$2:$B$105,B72)&gt;1,"DUPLICATE","")</f>
        <v/>
      </c>
    </row>
    <row r="73" ht="15.75" customHeight="1" s="29">
      <c r="A73" s="7" t="n">
        <v>72</v>
      </c>
      <c r="B73" s="7" t="inlineStr">
        <is>
          <t>AUTH-RAT-RNR-H54</t>
        </is>
      </c>
      <c r="C73" s="7" t="inlineStr">
        <is>
          <t>G6 — Row Ratification</t>
        </is>
      </c>
      <c r="D73" s="7" t="inlineStr">
        <is>
          <t>Predicate/addition wording</t>
        </is>
      </c>
      <c r="E73" s="7" t="inlineStr">
        <is>
          <t>MEDIUM</t>
        </is>
      </c>
      <c r="F73" s="7" t="inlineStr">
        <is>
          <t>READY</t>
        </is>
      </c>
      <c r="G73" s="7" t="inlineStr">
        <is>
          <t>Row Ratification</t>
        </is>
      </c>
      <c r="H73" s="7" t="inlineStr">
        <is>
          <t>RNR-H54</t>
        </is>
      </c>
      <c r="I73" s="7" t="inlineStr">
        <is>
          <t>A59:N59</t>
        </is>
      </c>
      <c r="J73" s="7" t="inlineStr">
        <is>
          <t>Ratify RNR-H54: Without division</t>
        </is>
      </c>
      <c r="K73" s="7" t="inlineStr">
        <is>
          <t>Is this public/ministry wording accurate, appropriately scoped, and fair enough to approve?</t>
        </is>
      </c>
      <c r="L73" s="7" t="inlineStr">
        <is>
          <t>Corpus: Inherited 57
Family/domain: Christological delimiters
Public summary: Without division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3" s="7" t="inlineStr">
        <is>
          <t>Author decision = PENDING.</t>
        </is>
      </c>
      <c r="N73" s="7" t="inlineStr">
        <is>
          <t>Blocks M1/M2 public row copy until the row is APPROVED, REVISED, or intentionally HELD.</t>
        </is>
      </c>
      <c r="O73" s="7" t="inlineStr">
        <is>
          <t>APPROVE AS WRITTEN</t>
        </is>
      </c>
      <c r="P73" s="7" t="inlineStr">
        <is>
          <t>REVISE — enter complete replacement wording/scope note in Custom Response</t>
        </is>
      </c>
      <c r="Q73" s="7" t="inlineStr">
        <is>
          <t>HOLD — research-code review required before wording approval</t>
        </is>
      </c>
      <c r="R73" s="7" t="inlineStr">
        <is>
          <t>HOLD — source/scope review required before wording approval</t>
        </is>
      </c>
      <c r="S73" s="7" t="inlineStr">
        <is>
          <t>OPTION 2</t>
        </is>
      </c>
      <c r="T73" s="17">
        <f>'Author Response Entry'!$D$73</f>
        <v/>
      </c>
      <c r="U73" s="18">
        <f>'Author Response Entry'!$E$73</f>
        <v/>
      </c>
      <c r="V73" s="18">
        <f>'Author Response Entry'!$F$73</f>
        <v/>
      </c>
      <c r="W73" s="18">
        <f>'Author Response Entry'!$G$73</f>
        <v/>
      </c>
      <c r="X73" s="19">
        <f>'Author Response Entry'!$H$73</f>
        <v/>
      </c>
      <c r="Y73" s="18">
        <f>IF(T73="","",IF(T73="CUSTOM RESPONSE",U73,IF(T73="HOLD — NEEDS RESEARCH",IF(U73&lt;&gt;"",U73,"HOLD — NEEDS RESEARCH"),IF(T73="DEFER — NOT YET",IF(U73&lt;&gt;"",U73,"DEFER — NOT YET"),IF(T73="OPTION 1",O73,IF(T73="OPTION 2",U73,IF(T73="OPTION 3",Q73,IF(T73="OPTION 4",R73,""))))))))</f>
        <v/>
      </c>
      <c r="Z73" s="18">
        <f>IF(T73="","OPEN",IF(T73="CUSTOM RESPONSE",IF(U73="","OPEN — CUSTOM TEXT REQUIRED",IF(W73="","RESOLVED — ADD INITIALS/DATE",IF(X73="","RESOLVED — ADD INITIALS/DATE","RESOLVED"))),IF(T73="HOLD — NEEDS RESEARCH",IF(W73="","HOLD — ADD INITIALS/DATE",IF(X73="","HOLD — ADD INITIALS/DATE","HOLD")),IF(T73="DEFER — NOT YET",IF(W73="","DEFERRED — ADD INITIALS/DATE",IF(X73="","DEFERRED — ADD INITIALS/DATE","DEFERRED")),IF(T73="OPTION 1",IF(W73="","RESOLVED — ADD INITIALS/DATE",IF(X73="","RESOLVED — ADD INITIALS/DATE","RESOLVED")),IF(T73="OPTION 2",IF(U73="","OPEN — CUSTOM TEXT REQUIRED",IF(W73="","RESOLVED — ADD INITIALS/DATE",IF(X73="","RESOLVED — ADD INITIALS/DATE","RESOLVED"))),IF(T73="OPTION 3",IF(W73="","HOLD — ADD INITIALS/DATE",IF(X73="","HOLD — ADD INITIALS/DATE","HOLD")),IF(T73="OPTION 4",IF(W73="","HOLD — ADD INITIALS/DATE",IF(X73="","HOLD — ADD INITIALS/DATE","HOLD")),IF(W73="","RESOLVED — ADD INITIALS/DATE",IF(X73="","RESOLVED — ADD INITIALS/DATE","RESOLVED"))))))))))</f>
        <v/>
      </c>
      <c r="AA73" s="18" t="inlineStr">
        <is>
          <t>YES</t>
        </is>
      </c>
      <c r="AB73" s="18" t="inlineStr">
        <is>
          <t>Next controlled merge propagates decision to Row Ratification K:N. A wording review must not silently recode A/Q/D or authority tier.</t>
        </is>
      </c>
      <c r="AC73" s="18" t="inlineStr">
        <is>
          <t>Inherited H52–H57 — Christological/Godhead delimiters</t>
        </is>
      </c>
      <c r="AD73" s="18" t="n"/>
      <c r="AE73" s="18" t="inlineStr">
        <is>
          <t>Underlying Christological concern is shared without adopting Chalcedonian two-natures metaphysics.</t>
        </is>
      </c>
      <c r="AF73" s="18">
        <f>IF(F73&lt;&gt;"READY","NO",IF(Z73="OPEN","YES",IF(Z73="OPEN — CUSTOM TEXT REQUIRED","YES",IF(Z73="RESOLVED — ADD INITIALS/DATE","YES",IF(Z73="HOLD — ADD INITIALS/DATE","YES",IF(Z73="DEFERRED — ADD INITIALS/DATE","YES","NO"))))))</f>
        <v/>
      </c>
      <c r="AG73" s="18">
        <f>IF(AF73&lt;&gt;"YES","",IF(A73=IFERROR(MATCH("YES",$AF$2:$AF$105,0),0),"CURRENT",""))</f>
        <v/>
      </c>
      <c r="AH73" s="20">
        <f>IF(COUNTIF($B$2:$B$105,B73)&gt;1,"DUPLICATE","")</f>
        <v/>
      </c>
    </row>
    <row r="74" ht="15.75" customHeight="1" s="29">
      <c r="A74" s="7" t="n">
        <v>73</v>
      </c>
      <c r="B74" s="7" t="inlineStr">
        <is>
          <t>AUTH-RAT-RNR-H55</t>
        </is>
      </c>
      <c r="C74" s="7" t="inlineStr">
        <is>
          <t>G6 — Row Ratification</t>
        </is>
      </c>
      <c r="D74" s="7" t="inlineStr">
        <is>
          <t>Predicate/addition wording</t>
        </is>
      </c>
      <c r="E74" s="7" t="inlineStr">
        <is>
          <t>MEDIUM</t>
        </is>
      </c>
      <c r="F74" s="7" t="inlineStr">
        <is>
          <t>READY</t>
        </is>
      </c>
      <c r="G74" s="7" t="inlineStr">
        <is>
          <t>Row Ratification</t>
        </is>
      </c>
      <c r="H74" s="7" t="inlineStr">
        <is>
          <t>RNR-H55</t>
        </is>
      </c>
      <c r="I74" s="7" t="inlineStr">
        <is>
          <t>A60:N60</t>
        </is>
      </c>
      <c r="J74" s="7" t="inlineStr">
        <is>
          <t>Ratify RNR-H55: Without separation</t>
        </is>
      </c>
      <c r="K74" s="7" t="inlineStr">
        <is>
          <t>Is this public/ministry wording accurate, appropriately scoped, and fair enough to approve?</t>
        </is>
      </c>
      <c r="L74" s="7" t="inlineStr">
        <is>
          <t>Corpus: Inherited 57
Family/domain: Christological delimiters
Public summary: Without separation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4" s="7" t="inlineStr">
        <is>
          <t>Author decision = PENDING.</t>
        </is>
      </c>
      <c r="N74" s="7" t="inlineStr">
        <is>
          <t>Blocks M1/M2 public row copy until the row is APPROVED, REVISED, or intentionally HELD.</t>
        </is>
      </c>
      <c r="O74" s="7" t="inlineStr">
        <is>
          <t>APPROVE AS WRITTEN</t>
        </is>
      </c>
      <c r="P74" s="7" t="inlineStr">
        <is>
          <t>REVISE — enter complete replacement wording/scope note in Custom Response</t>
        </is>
      </c>
      <c r="Q74" s="7" t="inlineStr">
        <is>
          <t>HOLD — research-code review required before wording approval</t>
        </is>
      </c>
      <c r="R74" s="7" t="inlineStr">
        <is>
          <t>HOLD — source/scope review required before wording approval</t>
        </is>
      </c>
      <c r="S74" s="7" t="inlineStr">
        <is>
          <t>OPTION 2</t>
        </is>
      </c>
      <c r="T74" s="17">
        <f>'Author Response Entry'!$D$74</f>
        <v/>
      </c>
      <c r="U74" s="18">
        <f>'Author Response Entry'!$E$74</f>
        <v/>
      </c>
      <c r="V74" s="18">
        <f>'Author Response Entry'!$F$74</f>
        <v/>
      </c>
      <c r="W74" s="18">
        <f>'Author Response Entry'!$G$74</f>
        <v/>
      </c>
      <c r="X74" s="19">
        <f>'Author Response Entry'!$H$74</f>
        <v/>
      </c>
      <c r="Y74" s="18">
        <f>IF(T74="","",IF(T74="CUSTOM RESPONSE",U74,IF(T74="HOLD — NEEDS RESEARCH",IF(U74&lt;&gt;"",U74,"HOLD — NEEDS RESEARCH"),IF(T74="DEFER — NOT YET",IF(U74&lt;&gt;"",U74,"DEFER — NOT YET"),IF(T74="OPTION 1",O74,IF(T74="OPTION 2",U74,IF(T74="OPTION 3",Q74,IF(T74="OPTION 4",R74,""))))))))</f>
        <v/>
      </c>
      <c r="Z74" s="18">
        <f>IF(T74="","OPEN",IF(T74="CUSTOM RESPONSE",IF(U74="","OPEN — CUSTOM TEXT REQUIRED",IF(W74="","RESOLVED — ADD INITIALS/DATE",IF(X74="","RESOLVED — ADD INITIALS/DATE","RESOLVED"))),IF(T74="HOLD — NEEDS RESEARCH",IF(W74="","HOLD — ADD INITIALS/DATE",IF(X74="","HOLD — ADD INITIALS/DATE","HOLD")),IF(T74="DEFER — NOT YET",IF(W74="","DEFERRED — ADD INITIALS/DATE",IF(X74="","DEFERRED — ADD INITIALS/DATE","DEFERRED")),IF(T74="OPTION 1",IF(W74="","RESOLVED — ADD INITIALS/DATE",IF(X74="","RESOLVED — ADD INITIALS/DATE","RESOLVED")),IF(T74="OPTION 2",IF(U74="","OPEN — CUSTOM TEXT REQUIRED",IF(W74="","RESOLVED — ADD INITIALS/DATE",IF(X74="","RESOLVED — ADD INITIALS/DATE","RESOLVED"))),IF(T74="OPTION 3",IF(W74="","HOLD — ADD INITIALS/DATE",IF(X74="","HOLD — ADD INITIALS/DATE","HOLD")),IF(T74="OPTION 4",IF(W74="","HOLD — ADD INITIALS/DATE",IF(X74="","HOLD — ADD INITIALS/DATE","HOLD")),IF(W74="","RESOLVED — ADD INITIALS/DATE",IF(X74="","RESOLVED — ADD INITIALS/DATE","RESOLVED"))))))))))</f>
        <v/>
      </c>
      <c r="AA74" s="18" t="inlineStr">
        <is>
          <t>YES</t>
        </is>
      </c>
      <c r="AB74" s="18" t="inlineStr">
        <is>
          <t>Next controlled merge propagates decision to Row Ratification K:N. A wording review must not silently recode A/Q/D or authority tier.</t>
        </is>
      </c>
      <c r="AC74" s="18" t="inlineStr">
        <is>
          <t>Inherited H52–H57 — Christological/Godhead delimiters</t>
        </is>
      </c>
      <c r="AD74" s="18" t="n"/>
      <c r="AE74" s="18" t="inlineStr">
        <is>
          <t>Underlying Christological concern is shared without adopting Chalcedonian two-natures metaphysics.</t>
        </is>
      </c>
      <c r="AF74" s="18">
        <f>IF(F74&lt;&gt;"READY","NO",IF(Z74="OPEN","YES",IF(Z74="OPEN — CUSTOM TEXT REQUIRED","YES",IF(Z74="RESOLVED — ADD INITIALS/DATE","YES",IF(Z74="HOLD — ADD INITIALS/DATE","YES",IF(Z74="DEFERRED — ADD INITIALS/DATE","YES","NO"))))))</f>
        <v/>
      </c>
      <c r="AG74" s="18">
        <f>IF(AF74&lt;&gt;"YES","",IF(A74=IFERROR(MATCH("YES",$AF$2:$AF$105,0),0),"CURRENT",""))</f>
        <v/>
      </c>
      <c r="AH74" s="20">
        <f>IF(COUNTIF($B$2:$B$105,B74)&gt;1,"DUPLICATE","")</f>
        <v/>
      </c>
    </row>
    <row r="75" ht="15.75" customHeight="1" s="29">
      <c r="A75" s="7" t="n">
        <v>74</v>
      </c>
      <c r="B75" s="7" t="inlineStr">
        <is>
          <t>AUTH-RAT-RNR-H56</t>
        </is>
      </c>
      <c r="C75" s="7" t="inlineStr">
        <is>
          <t>G6 — Row Ratification</t>
        </is>
      </c>
      <c r="D75" s="7" t="inlineStr">
        <is>
          <t>Predicate/addition wording</t>
        </is>
      </c>
      <c r="E75" s="7" t="inlineStr">
        <is>
          <t>HIGH</t>
        </is>
      </c>
      <c r="F75" s="7" t="inlineStr">
        <is>
          <t>READY</t>
        </is>
      </c>
      <c r="G75" s="7" t="inlineStr">
        <is>
          <t>Row Ratification</t>
        </is>
      </c>
      <c r="H75" s="7" t="inlineStr">
        <is>
          <t>RNR-H56</t>
        </is>
      </c>
      <c r="I75" s="7" t="inlineStr">
        <is>
          <t>A61:N61</t>
        </is>
      </c>
      <c r="J75" s="7" t="inlineStr">
        <is>
          <t>Ratify RNR-H56: Neither confounding nor dividing</t>
        </is>
      </c>
      <c r="K75" s="7" t="inlineStr">
        <is>
          <t>Is this public/ministry wording accurate, appropriately scoped, and fair enough to approve?</t>
        </is>
      </c>
      <c r="L75" s="7" t="inlineStr">
        <is>
          <t>Corpus: Inherited 57
Family/domain: Godhead unity &amp; distinction
Public summary: Neither confounding nor dividing
Current code/tier: Q
Provenance: Count-constrained reconstruction
Source/pointer: See inherited source report / recovered institution ledgers
Locator/source note: Recurring Apophatic Vocabulary table
Public scope caution: Shared concern for distinction and unity, with materially different Godhead ontology.
Research status: RECONSTRUCTED — source-level/master-family recertification remains publication-critical</t>
        </is>
      </c>
      <c r="M75" s="7" t="inlineStr">
        <is>
          <t>Author decision = PENDING.</t>
        </is>
      </c>
      <c r="N75" s="7" t="inlineStr">
        <is>
          <t>Blocks M1/M2 public row copy until the row is APPROVED, REVISED, or intentionally HELD.</t>
        </is>
      </c>
      <c r="O75" s="7" t="inlineStr">
        <is>
          <t>APPROVE AS WRITTEN</t>
        </is>
      </c>
      <c r="P75" s="7" t="inlineStr">
        <is>
          <t>REVISE — enter complete replacement wording/scope note in Custom Response</t>
        </is>
      </c>
      <c r="Q75" s="7" t="inlineStr">
        <is>
          <t>HOLD — research-code review required before wording approval</t>
        </is>
      </c>
      <c r="R75" s="7" t="inlineStr">
        <is>
          <t>HOLD — source/scope review required before wording approval</t>
        </is>
      </c>
      <c r="S75" s="7" t="inlineStr">
        <is>
          <t>OPTION 2</t>
        </is>
      </c>
      <c r="T75" s="17">
        <f>'Author Response Entry'!$D$75</f>
        <v/>
      </c>
      <c r="U75" s="18">
        <f>'Author Response Entry'!$E$75</f>
        <v/>
      </c>
      <c r="V75" s="18">
        <f>'Author Response Entry'!$F$75</f>
        <v/>
      </c>
      <c r="W75" s="18">
        <f>'Author Response Entry'!$G$75</f>
        <v/>
      </c>
      <c r="X75" s="19">
        <f>'Author Response Entry'!$H$75</f>
        <v/>
      </c>
      <c r="Y75" s="18">
        <f>IF(T75="","",IF(T75="CUSTOM RESPONSE",U75,IF(T75="HOLD — NEEDS RESEARCH",IF(U75&lt;&gt;"",U75,"HOLD — NEEDS RESEARCH"),IF(T75="DEFER — NOT YET",IF(U75&lt;&gt;"",U75,"DEFER — NOT YET"),IF(T75="OPTION 1",O75,IF(T75="OPTION 2",U75,IF(T75="OPTION 3",Q75,IF(T75="OPTION 4",R75,""))))))))</f>
        <v/>
      </c>
      <c r="Z75" s="18">
        <f>IF(T75="","OPEN",IF(T75="CUSTOM RESPONSE",IF(U75="","OPEN — CUSTOM TEXT REQUIRED",IF(W75="","RESOLVED — ADD INITIALS/DATE",IF(X75="","RESOLVED — ADD INITIALS/DATE","RESOLVED"))),IF(T75="HOLD — NEEDS RESEARCH",IF(W75="","HOLD — ADD INITIALS/DATE",IF(X75="","HOLD — ADD INITIALS/DATE","HOLD")),IF(T75="DEFER — NOT YET",IF(W75="","DEFERRED — ADD INITIALS/DATE",IF(X75="","DEFERRED — ADD INITIALS/DATE","DEFERRED")),IF(T75="OPTION 1",IF(W75="","RESOLVED — ADD INITIALS/DATE",IF(X75="","RESOLVED — ADD INITIALS/DATE","RESOLVED")),IF(T75="OPTION 2",IF(U75="","OPEN — CUSTOM TEXT REQUIRED",IF(W75="","RESOLVED — ADD INITIALS/DATE",IF(X75="","RESOLVED — ADD INITIALS/DATE","RESOLVED"))),IF(T75="OPTION 3",IF(W75="","HOLD — ADD INITIALS/DATE",IF(X75="","HOLD — ADD INITIALS/DATE","HOLD")),IF(T75="OPTION 4",IF(W75="","HOLD — ADD INITIALS/DATE",IF(X75="","HOLD — ADD INITIALS/DATE","HOLD")),IF(W75="","RESOLVED — ADD INITIALS/DATE",IF(X75="","RESOLVED — ADD INITIALS/DATE","RESOLVED"))))))))))</f>
        <v/>
      </c>
      <c r="AA75" s="18" t="inlineStr">
        <is>
          <t>YES</t>
        </is>
      </c>
      <c r="AB75" s="18" t="inlineStr">
        <is>
          <t>Next controlled merge propagates decision to Row Ratification K:N. A wording review must not silently recode A/Q/D or authority tier.</t>
        </is>
      </c>
      <c r="AC75" s="18" t="inlineStr">
        <is>
          <t>Inherited H52–H57 — Christological/Godhead delimiters</t>
        </is>
      </c>
      <c r="AD75" s="18" t="n"/>
      <c r="AE75" s="18" t="inlineStr">
        <is>
          <t>Shared concern for distinction and unity, with materially different Godhead ontology.</t>
        </is>
      </c>
      <c r="AF75" s="18">
        <f>IF(F75&lt;&gt;"READY","NO",IF(Z75="OPEN","YES",IF(Z75="OPEN — CUSTOM TEXT REQUIRED","YES",IF(Z75="RESOLVED — ADD INITIALS/DATE","YES",IF(Z75="HOLD — ADD INITIALS/DATE","YES",IF(Z75="DEFERRED — ADD INITIALS/DATE","YES","NO"))))))</f>
        <v/>
      </c>
      <c r="AG75" s="18">
        <f>IF(AF75&lt;&gt;"YES","",IF(A75=IFERROR(MATCH("YES",$AF$2:$AF$105,0),0),"CURRENT",""))</f>
        <v/>
      </c>
      <c r="AH75" s="20">
        <f>IF(COUNTIF($B$2:$B$105,B75)&gt;1,"DUPLICATE","")</f>
        <v/>
      </c>
    </row>
    <row r="76" ht="15.75" customHeight="1" s="29">
      <c r="A76" s="7" t="n">
        <v>75</v>
      </c>
      <c r="B76" s="7" t="inlineStr">
        <is>
          <t>AUTH-RAT-RNR-H57</t>
        </is>
      </c>
      <c r="C76" s="7" t="inlineStr">
        <is>
          <t>G6 — Row Ratification</t>
        </is>
      </c>
      <c r="D76" s="7" t="inlineStr">
        <is>
          <t>Predicate/addition wording</t>
        </is>
      </c>
      <c r="E76" s="7" t="inlineStr">
        <is>
          <t>MEDIUM</t>
        </is>
      </c>
      <c r="F76" s="7" t="inlineStr">
        <is>
          <t>READY</t>
        </is>
      </c>
      <c r="G76" s="7" t="inlineStr">
        <is>
          <t>Row Ratification</t>
        </is>
      </c>
      <c r="H76" s="7" t="inlineStr">
        <is>
          <t>RNR-H57</t>
        </is>
      </c>
      <c r="I76" s="7" t="inlineStr">
        <is>
          <t>A62:N62</t>
        </is>
      </c>
      <c r="J76" s="7" t="inlineStr">
        <is>
          <t>Ratify RNR-H57: Greater dissimilarity than similarity</t>
        </is>
      </c>
      <c r="K76" s="7" t="inlineStr">
        <is>
          <t>Is this public/ministry wording accurate, appropriately scoped, and fair enough to approve?</t>
        </is>
      </c>
      <c r="L76" s="7" t="inlineStr">
        <is>
          <t>Corpus: Inherited 57
Family/domain: Divine-human analogy &amp; kinship boundary
Public summary: Greater dissimilarity than similarity
Current code/tier: D
Provenance: Explicit in master handoff
Source/pointer: See inherited source report / recovered institution ledgers
Locator/source note: Recurring Apophatic Vocabulary table
Public scope caution: Direct divergence when the principle denies strong literal divine-human kinship and ontological continuity.
Research status: CONTROLLED INTERNAL — still requires public wording signoff</t>
        </is>
      </c>
      <c r="M76" s="7" t="inlineStr">
        <is>
          <t>Author decision = PENDING.</t>
        </is>
      </c>
      <c r="N76" s="7" t="inlineStr">
        <is>
          <t>Blocks M1/M2 public row copy until the row is APPROVED, REVISED, or intentionally HELD.</t>
        </is>
      </c>
      <c r="O76" s="7" t="inlineStr">
        <is>
          <t>APPROVE AS WRITTEN</t>
        </is>
      </c>
      <c r="P76" s="7" t="inlineStr">
        <is>
          <t>REVISE — enter complete replacement wording/scope note in Custom Response</t>
        </is>
      </c>
      <c r="Q76" s="7" t="inlineStr">
        <is>
          <t>HOLD — research-code review required before wording approval</t>
        </is>
      </c>
      <c r="R76" s="7" t="inlineStr">
        <is>
          <t>HOLD — source/scope review required before wording approval</t>
        </is>
      </c>
      <c r="S76" s="7" t="inlineStr">
        <is>
          <t>OPTION 2</t>
        </is>
      </c>
      <c r="T76" s="17">
        <f>'Author Response Entry'!$D$76</f>
        <v/>
      </c>
      <c r="U76" s="18">
        <f>'Author Response Entry'!$E$76</f>
        <v/>
      </c>
      <c r="V76" s="18">
        <f>'Author Response Entry'!$F$76</f>
        <v/>
      </c>
      <c r="W76" s="18">
        <f>'Author Response Entry'!$G$76</f>
        <v/>
      </c>
      <c r="X76" s="19">
        <f>'Author Response Entry'!$H$76</f>
        <v/>
      </c>
      <c r="Y76" s="18">
        <f>IF(T76="","",IF(T76="CUSTOM RESPONSE",U76,IF(T76="HOLD — NEEDS RESEARCH",IF(U76&lt;&gt;"",U76,"HOLD — NEEDS RESEARCH"),IF(T76="DEFER — NOT YET",IF(U76&lt;&gt;"",U76,"DEFER — NOT YET"),IF(T76="OPTION 1",O76,IF(T76="OPTION 2",U76,IF(T76="OPTION 3",Q76,IF(T76="OPTION 4",R76,""))))))))</f>
        <v/>
      </c>
      <c r="Z76" s="18">
        <f>IF(T76="","OPEN",IF(T76="CUSTOM RESPONSE",IF(U76="","OPEN — CUSTOM TEXT REQUIRED",IF(W76="","RESOLVED — ADD INITIALS/DATE",IF(X76="","RESOLVED — ADD INITIALS/DATE","RESOLVED"))),IF(T76="HOLD — NEEDS RESEARCH",IF(W76="","HOLD — ADD INITIALS/DATE",IF(X76="","HOLD — ADD INITIALS/DATE","HOLD")),IF(T76="DEFER — NOT YET",IF(W76="","DEFERRED — ADD INITIALS/DATE",IF(X76="","DEFERRED — ADD INITIALS/DATE","DEFERRED")),IF(T76="OPTION 1",IF(W76="","RESOLVED — ADD INITIALS/DATE",IF(X76="","RESOLVED — ADD INITIALS/DATE","RESOLVED")),IF(T76="OPTION 2",IF(U76="","OPEN — CUSTOM TEXT REQUIRED",IF(W76="","RESOLVED — ADD INITIALS/DATE",IF(X76="","RESOLVED — ADD INITIALS/DATE","RESOLVED"))),IF(T76="OPTION 3",IF(W76="","HOLD — ADD INITIALS/DATE",IF(X76="","HOLD — ADD INITIALS/DATE","HOLD")),IF(T76="OPTION 4",IF(W76="","HOLD — ADD INITIALS/DATE",IF(X76="","HOLD — ADD INITIALS/DATE","HOLD")),IF(W76="","RESOLVED — ADD INITIALS/DATE",IF(X76="","RESOLVED — ADD INITIALS/DATE","RESOLVED"))))))))))</f>
        <v/>
      </c>
      <c r="AA76" s="18" t="inlineStr">
        <is>
          <t>YES</t>
        </is>
      </c>
      <c r="AB76" s="18" t="inlineStr">
        <is>
          <t>Next controlled merge propagates decision to Row Ratification K:N. A wording review must not silently recode A/Q/D or authority tier.</t>
        </is>
      </c>
      <c r="AC76" s="18" t="inlineStr">
        <is>
          <t>Inherited H52–H57 — Christological/Godhead delimiters</t>
        </is>
      </c>
      <c r="AD76" s="18" t="n"/>
      <c r="AE76" s="18" t="inlineStr">
        <is>
          <t>Direct divergence when the principle denies strong literal divine-human kinship and ontological continuity.</t>
        </is>
      </c>
      <c r="AF76" s="18">
        <f>IF(F76&lt;&gt;"READY","NO",IF(Z76="OPEN","YES",IF(Z76="OPEN — CUSTOM TEXT REQUIRED","YES",IF(Z76="RESOLVED — ADD INITIALS/DATE","YES",IF(Z76="HOLD — ADD INITIALS/DATE","YES",IF(Z76="DEFERRED — ADD INITIALS/DATE","YES","NO"))))))</f>
        <v/>
      </c>
      <c r="AG76" s="18">
        <f>IF(AF76&lt;&gt;"YES","",IF(A76=IFERROR(MATCH("YES",$AF$2:$AF$105,0),0),"CURRENT",""))</f>
        <v/>
      </c>
      <c r="AH76" s="20">
        <f>IF(COUNTIF($B$2:$B$105,B76)&gt;1,"DUPLICATE","")</f>
        <v/>
      </c>
    </row>
    <row r="77" ht="15.75" customHeight="1" s="29">
      <c r="A77" s="7" t="n">
        <v>76</v>
      </c>
      <c r="B77" s="7" t="inlineStr">
        <is>
          <t>AUTH-RAT-RNR-A01</t>
        </is>
      </c>
      <c r="C77" s="7" t="inlineStr">
        <is>
          <t>G6 — Row Ratification</t>
        </is>
      </c>
      <c r="D77" s="7" t="inlineStr">
        <is>
          <t>Predicate/addition wording</t>
        </is>
      </c>
      <c r="E77" s="7" t="inlineStr">
        <is>
          <t>MEDIUM</t>
        </is>
      </c>
      <c r="F77" s="7" t="inlineStr">
        <is>
          <t>READY</t>
        </is>
      </c>
      <c r="G77" s="7" t="inlineStr">
        <is>
          <t>Row Ratification</t>
        </is>
      </c>
      <c r="H77" s="7" t="inlineStr">
        <is>
          <t>RNR-A01</t>
        </is>
      </c>
      <c r="I77" s="7" t="inlineStr">
        <is>
          <t>A63:N63</t>
        </is>
      </c>
      <c r="J77" s="7" t="inlineStr">
        <is>
          <t>Ratify RNR-A01: Father is an embodied, tangible, glorified person with genuinely humanlike form.</t>
        </is>
      </c>
      <c r="K77" s="7" t="inlineStr">
        <is>
          <t>Is this public/ministry wording accurate, appropriately scoped, and fair enough to approve?</t>
        </is>
      </c>
      <c r="L77" s="7" t="inlineStr">
        <is>
          <t>Corpus: Restoration 26
Family/domain: Deity / Godhead
Public summary: Father is an embodied, tangible, glorified person with genuinely humanlike form.
Current code/tier: Tier I
Provenance: Canonical scripture
Source/pointer: https://www.churchofjesuschrist.org/study/scriptures/dc-testament/dc/130?lang=eng
Locator/source note: D&amp;C 130:22
Public scope caution: Corpus-relative addition only; historical antecedence is a separate question.
Research status: CONTROLLED INTERNAL — addition authority/source wording should be author-ratified for public display</t>
        </is>
      </c>
      <c r="M77" s="7" t="inlineStr">
        <is>
          <t>Author decision = PENDING.</t>
        </is>
      </c>
      <c r="N77" s="7" t="inlineStr">
        <is>
          <t>Blocks M1/M2 public row copy until the row is APPROVED, REVISED, or intentionally HELD.</t>
        </is>
      </c>
      <c r="O77" s="7" t="inlineStr">
        <is>
          <t>APPROVE AS WRITTEN</t>
        </is>
      </c>
      <c r="P77" s="7" t="inlineStr">
        <is>
          <t>REVISE — enter complete replacement wording/scope note in Custom Response</t>
        </is>
      </c>
      <c r="Q77" s="7" t="inlineStr">
        <is>
          <t>HOLD — research-code review required before wording approval</t>
        </is>
      </c>
      <c r="R77" s="7" t="inlineStr">
        <is>
          <t>HOLD — source/scope review required before wording approval</t>
        </is>
      </c>
      <c r="S77" s="7" t="inlineStr">
        <is>
          <t>OPTION 2</t>
        </is>
      </c>
      <c r="T77" s="17">
        <f>'Author Response Entry'!$D$77</f>
        <v/>
      </c>
      <c r="U77" s="18">
        <f>'Author Response Entry'!$E$77</f>
        <v/>
      </c>
      <c r="V77" s="18">
        <f>'Author Response Entry'!$F$77</f>
        <v/>
      </c>
      <c r="W77" s="18">
        <f>'Author Response Entry'!$G$77</f>
        <v/>
      </c>
      <c r="X77" s="19">
        <f>'Author Response Entry'!$H$77</f>
        <v/>
      </c>
      <c r="Y77" s="18">
        <f>IF(T77="","",IF(T77="CUSTOM RESPONSE",U77,IF(T77="HOLD — NEEDS RESEARCH",IF(U77&lt;&gt;"",U77,"HOLD — NEEDS RESEARCH"),IF(T77="DEFER — NOT YET",IF(U77&lt;&gt;"",U77,"DEFER — NOT YET"),IF(T77="OPTION 1",O77,IF(T77="OPTION 2",U77,IF(T77="OPTION 3",Q77,IF(T77="OPTION 4",R77,""))))))))</f>
        <v/>
      </c>
      <c r="Z77" s="18">
        <f>IF(T77="","OPEN",IF(T77="CUSTOM RESPONSE",IF(U77="","OPEN — CUSTOM TEXT REQUIRED",IF(W77="","RESOLVED — ADD INITIALS/DATE",IF(X77="","RESOLVED — ADD INITIALS/DATE","RESOLVED"))),IF(T77="HOLD — NEEDS RESEARCH",IF(W77="","HOLD — ADD INITIALS/DATE",IF(X77="","HOLD — ADD INITIALS/DATE","HOLD")),IF(T77="DEFER — NOT YET",IF(W77="","DEFERRED — ADD INITIALS/DATE",IF(X77="","DEFERRED — ADD INITIALS/DATE","DEFERRED")),IF(T77="OPTION 1",IF(W77="","RESOLVED — ADD INITIALS/DATE",IF(X77="","RESOLVED — ADD INITIALS/DATE","RESOLVED")),IF(T77="OPTION 2",IF(U77="","OPEN — CUSTOM TEXT REQUIRED",IF(W77="","RESOLVED — ADD INITIALS/DATE",IF(X77="","RESOLVED — ADD INITIALS/DATE","RESOLVED"))),IF(T77="OPTION 3",IF(W77="","HOLD — ADD INITIALS/DATE",IF(X77="","HOLD — ADD INITIALS/DATE","HOLD")),IF(T77="OPTION 4",IF(W77="","HOLD — ADD INITIALS/DATE",IF(X77="","HOLD — ADD INITIALS/DATE","HOLD")),IF(W77="","RESOLVED — ADD INITIALS/DATE",IF(X77="","RESOLVED — ADD INITIALS/DATE","RESOLVED"))))))))))</f>
        <v/>
      </c>
      <c r="AA77" s="18" t="inlineStr">
        <is>
          <t>YES</t>
        </is>
      </c>
      <c r="AB77" s="18" t="inlineStr">
        <is>
          <t>Next controlled merge propagates decision to Row Ratification K:N. A wording review must not silently recode A/Q/D or authority tier.</t>
        </is>
      </c>
      <c r="AC77" s="18" t="inlineStr">
        <is>
          <t>Restoration A01–A05 — Deity/Godhead</t>
        </is>
      </c>
      <c r="AD77" s="18" t="inlineStr">
        <is>
          <t>https://www.churchofjesuschrist.org/study/scriptures/dc-testament/dc/130?lang=eng</t>
        </is>
      </c>
      <c r="AE77" s="18" t="inlineStr">
        <is>
          <t>Corpus-relative addition only; historical antecedence is a separate question.</t>
        </is>
      </c>
      <c r="AF77" s="18">
        <f>IF(F77&lt;&gt;"READY","NO",IF(Z77="OPEN","YES",IF(Z77="OPEN — CUSTOM TEXT REQUIRED","YES",IF(Z77="RESOLVED — ADD INITIALS/DATE","YES",IF(Z77="HOLD — ADD INITIALS/DATE","YES",IF(Z77="DEFERRED — ADD INITIALS/DATE","YES","NO"))))))</f>
        <v/>
      </c>
      <c r="AG77" s="18">
        <f>IF(AF77&lt;&gt;"YES","",IF(A77=IFERROR(MATCH("YES",$AF$2:$AF$105,0),0),"CURRENT",""))</f>
        <v/>
      </c>
      <c r="AH77" s="20">
        <f>IF(COUNTIF($B$2:$B$105,B77)&gt;1,"DUPLICATE","")</f>
        <v/>
      </c>
    </row>
    <row r="78" ht="15.75" customHeight="1" s="29">
      <c r="A78" s="7" t="n">
        <v>77</v>
      </c>
      <c r="B78" s="7" t="inlineStr">
        <is>
          <t>AUTH-RAT-RNR-A02</t>
        </is>
      </c>
      <c r="C78" s="7" t="inlineStr">
        <is>
          <t>G6 — Row Ratification</t>
        </is>
      </c>
      <c r="D78" s="7" t="inlineStr">
        <is>
          <t>Predicate/addition wording</t>
        </is>
      </c>
      <c r="E78" s="7" t="inlineStr">
        <is>
          <t>MEDIUM</t>
        </is>
      </c>
      <c r="F78" s="7" t="inlineStr">
        <is>
          <t>READY</t>
        </is>
      </c>
      <c r="G78" s="7" t="inlineStr">
        <is>
          <t>Row Ratification</t>
        </is>
      </c>
      <c r="H78" s="7" t="inlineStr">
        <is>
          <t>RNR-A02</t>
        </is>
      </c>
      <c r="I78" s="7" t="inlineStr">
        <is>
          <t>A64:N64</t>
        </is>
      </c>
      <c r="J78" s="7" t="inlineStr">
        <is>
          <t>Ratify RNR-A02: Father presides within the Godhead.</t>
        </is>
      </c>
      <c r="K78" s="7" t="inlineStr">
        <is>
          <t>Is this public/ministry wording accurate, appropriately scoped, and fair enough to approve?</t>
        </is>
      </c>
      <c r="L78" s="7" t="inlineStr">
        <is>
          <t>Corpus: Restoration 26
Family/domain: Deity / Godhead
Public summary: Father presides within the Godhead.
Current code/tier: Tier II
Provenance: Collective / strongly authoritative official doctrine
Source/pointer: https://www.churchofjesuschrist.org/study/manual/gospel-topics/godhead?lang=eng
Locator/source note: Gospel Topics: Godhead
Public scope caution: Corpus-relative addition only; historical antecedence is a separate question.
Research status: CONTROLLED INTERNAL — addition authority/source wording should be author-ratified for public display</t>
        </is>
      </c>
      <c r="M78" s="7" t="inlineStr">
        <is>
          <t>Author decision = PENDING.</t>
        </is>
      </c>
      <c r="N78" s="7" t="inlineStr">
        <is>
          <t>Blocks M1/M2 public row copy until the row is APPROVED, REVISED, or intentionally HELD.</t>
        </is>
      </c>
      <c r="O78" s="7" t="inlineStr">
        <is>
          <t>APPROVE AS WRITTEN</t>
        </is>
      </c>
      <c r="P78" s="7" t="inlineStr">
        <is>
          <t>REVISE — enter complete replacement wording/scope note in Custom Response</t>
        </is>
      </c>
      <c r="Q78" s="7" t="inlineStr">
        <is>
          <t>HOLD — research-code review required before wording approval</t>
        </is>
      </c>
      <c r="R78" s="7" t="inlineStr">
        <is>
          <t>HOLD — source/scope review required before wording approval</t>
        </is>
      </c>
      <c r="S78" s="7" t="inlineStr">
        <is>
          <t>OPTION 2</t>
        </is>
      </c>
      <c r="T78" s="17">
        <f>'Author Response Entry'!$D$78</f>
        <v/>
      </c>
      <c r="U78" s="18">
        <f>'Author Response Entry'!$E$78</f>
        <v/>
      </c>
      <c r="V78" s="18">
        <f>'Author Response Entry'!$F$78</f>
        <v/>
      </c>
      <c r="W78" s="18">
        <f>'Author Response Entry'!$G$78</f>
        <v/>
      </c>
      <c r="X78" s="19">
        <f>'Author Response Entry'!$H$78</f>
        <v/>
      </c>
      <c r="Y78" s="18">
        <f>IF(T78="","",IF(T78="CUSTOM RESPONSE",U78,IF(T78="HOLD — NEEDS RESEARCH",IF(U78&lt;&gt;"",U78,"HOLD — NEEDS RESEARCH"),IF(T78="DEFER — NOT YET",IF(U78&lt;&gt;"",U78,"DEFER — NOT YET"),IF(T78="OPTION 1",O78,IF(T78="OPTION 2",U78,IF(T78="OPTION 3",Q78,IF(T78="OPTION 4",R78,""))))))))</f>
        <v/>
      </c>
      <c r="Z78" s="18">
        <f>IF(T78="","OPEN",IF(T78="CUSTOM RESPONSE",IF(U78="","OPEN — CUSTOM TEXT REQUIRED",IF(W78="","RESOLVED — ADD INITIALS/DATE",IF(X78="","RESOLVED — ADD INITIALS/DATE","RESOLVED"))),IF(T78="HOLD — NEEDS RESEARCH",IF(W78="","HOLD — ADD INITIALS/DATE",IF(X78="","HOLD — ADD INITIALS/DATE","HOLD")),IF(T78="DEFER — NOT YET",IF(W78="","DEFERRED — ADD INITIALS/DATE",IF(X78="","DEFERRED — ADD INITIALS/DATE","DEFERRED")),IF(T78="OPTION 1",IF(W78="","RESOLVED — ADD INITIALS/DATE",IF(X78="","RESOLVED — ADD INITIALS/DATE","RESOLVED")),IF(T78="OPTION 2",IF(U78="","OPEN — CUSTOM TEXT REQUIRED",IF(W78="","RESOLVED — ADD INITIALS/DATE",IF(X78="","RESOLVED — ADD INITIALS/DATE","RESOLVED"))),IF(T78="OPTION 3",IF(W78="","HOLD — ADD INITIALS/DATE",IF(X78="","HOLD — ADD INITIALS/DATE","HOLD")),IF(T78="OPTION 4",IF(W78="","HOLD — ADD INITIALS/DATE",IF(X78="","HOLD — ADD INITIALS/DATE","HOLD")),IF(W78="","RESOLVED — ADD INITIALS/DATE",IF(X78="","RESOLVED — ADD INITIALS/DATE","RESOLVED"))))))))))</f>
        <v/>
      </c>
      <c r="AA78" s="18" t="inlineStr">
        <is>
          <t>YES</t>
        </is>
      </c>
      <c r="AB78" s="18" t="inlineStr">
        <is>
          <t>Next controlled merge propagates decision to Row Ratification K:N. A wording review must not silently recode A/Q/D or authority tier.</t>
        </is>
      </c>
      <c r="AC78" s="18" t="inlineStr">
        <is>
          <t>Restoration A01–A05 — Deity/Godhead</t>
        </is>
      </c>
      <c r="AD78" s="18" t="inlineStr">
        <is>
          <t>https://www.churchofjesuschrist.org/study/manual/gospel-topics/godhead?lang=eng</t>
        </is>
      </c>
      <c r="AE78" s="18" t="inlineStr">
        <is>
          <t>Corpus-relative addition only; historical antecedence is a separate question.</t>
        </is>
      </c>
      <c r="AF78" s="18">
        <f>IF(F78&lt;&gt;"READY","NO",IF(Z78="OPEN","YES",IF(Z78="OPEN — CUSTOM TEXT REQUIRED","YES",IF(Z78="RESOLVED — ADD INITIALS/DATE","YES",IF(Z78="HOLD — ADD INITIALS/DATE","YES",IF(Z78="DEFERRED — ADD INITIALS/DATE","YES","NO"))))))</f>
        <v/>
      </c>
      <c r="AG78" s="18">
        <f>IF(AF78&lt;&gt;"YES","",IF(A78=IFERROR(MATCH("YES",$AF$2:$AF$105,0),0),"CURRENT",""))</f>
        <v/>
      </c>
      <c r="AH78" s="20">
        <f>IF(COUNTIF($B$2:$B$105,B78)&gt;1,"DUPLICATE","")</f>
        <v/>
      </c>
    </row>
    <row r="79" ht="15.75" customHeight="1" s="29">
      <c r="A79" s="7" t="n">
        <v>78</v>
      </c>
      <c r="B79" s="7" t="inlineStr">
        <is>
          <t>AUTH-RAT-RNR-A03</t>
        </is>
      </c>
      <c r="C79" s="7" t="inlineStr">
        <is>
          <t>G6 — Row Ratification</t>
        </is>
      </c>
      <c r="D79" s="7" t="inlineStr">
        <is>
          <t>Predicate/addition wording</t>
        </is>
      </c>
      <c r="E79" s="7" t="inlineStr">
        <is>
          <t>MEDIUM</t>
        </is>
      </c>
      <c r="F79" s="7" t="inlineStr">
        <is>
          <t>READY</t>
        </is>
      </c>
      <c r="G79" s="7" t="inlineStr">
        <is>
          <t>Row Ratification</t>
        </is>
      </c>
      <c r="H79" s="7" t="inlineStr">
        <is>
          <t>RNR-A03</t>
        </is>
      </c>
      <c r="I79" s="7" t="inlineStr">
        <is>
          <t>A65:N65</t>
        </is>
      </c>
      <c r="J79" s="7" t="inlineStr">
        <is>
          <t>Ratify RNR-A03: God's determinate personal presence is distinguishable from His universally operative light, knowledge, power, and governance.</t>
        </is>
      </c>
      <c r="K79" s="7" t="inlineStr">
        <is>
          <t>Is this public/ministry wording accurate, appropriately scoped, and fair enough to approve?</t>
        </is>
      </c>
      <c r="L79" s="7" t="inlineStr">
        <is>
          <t>Corpus: Restoration 26
Family/domain: Deity / Godhead
Public summary: God's determinate personal presence is distinguishable from His universally operative light, knowledge, power, and governance.
Current code/tier: Tier I
Provenance: Canonical scripture
Source/pointer: https://www.churchofjesuschrist.org/study/scriptures/dc-testament/dc/88?lang=eng
Locator/source note: D&amp;C 88:6–13; 130:22
Public scope caution: Corpus-relative addition only; historical antecedence is a separate question.
Research status: CONTROLLED INTERNAL — addition authority/source wording should be author-ratified for public display</t>
        </is>
      </c>
      <c r="M79" s="7" t="inlineStr">
        <is>
          <t>Author decision = PENDING.</t>
        </is>
      </c>
      <c r="N79" s="7" t="inlineStr">
        <is>
          <t>Blocks M1/M2 public row copy until the row is APPROVED, REVISED, or intentionally HELD.</t>
        </is>
      </c>
      <c r="O79" s="7" t="inlineStr">
        <is>
          <t>APPROVE AS WRITTEN</t>
        </is>
      </c>
      <c r="P79" s="7" t="inlineStr">
        <is>
          <t>REVISE — enter complete replacement wording/scope note in Custom Response</t>
        </is>
      </c>
      <c r="Q79" s="7" t="inlineStr">
        <is>
          <t>HOLD — research-code review required before wording approval</t>
        </is>
      </c>
      <c r="R79" s="7" t="inlineStr">
        <is>
          <t>HOLD — source/scope review required before wording approval</t>
        </is>
      </c>
      <c r="S79" s="7" t="inlineStr">
        <is>
          <t>OPTION 2</t>
        </is>
      </c>
      <c r="T79" s="17">
        <f>'Author Response Entry'!$D$79</f>
        <v/>
      </c>
      <c r="U79" s="18">
        <f>'Author Response Entry'!$E$79</f>
        <v/>
      </c>
      <c r="V79" s="18">
        <f>'Author Response Entry'!$F$79</f>
        <v/>
      </c>
      <c r="W79" s="18">
        <f>'Author Response Entry'!$G$79</f>
        <v/>
      </c>
      <c r="X79" s="19">
        <f>'Author Response Entry'!$H$79</f>
        <v/>
      </c>
      <c r="Y79" s="18">
        <f>IF(T79="","",IF(T79="CUSTOM RESPONSE",U79,IF(T79="HOLD — NEEDS RESEARCH",IF(U79&lt;&gt;"",U79,"HOLD — NEEDS RESEARCH"),IF(T79="DEFER — NOT YET",IF(U79&lt;&gt;"",U79,"DEFER — NOT YET"),IF(T79="OPTION 1",O79,IF(T79="OPTION 2",U79,IF(T79="OPTION 3",Q79,IF(T79="OPTION 4",R79,""))))))))</f>
        <v/>
      </c>
      <c r="Z79" s="18">
        <f>IF(T79="","OPEN",IF(T79="CUSTOM RESPONSE",IF(U79="","OPEN — CUSTOM TEXT REQUIRED",IF(W79="","RESOLVED — ADD INITIALS/DATE",IF(X79="","RESOLVED — ADD INITIALS/DATE","RESOLVED"))),IF(T79="HOLD — NEEDS RESEARCH",IF(W79="","HOLD — ADD INITIALS/DATE",IF(X79="","HOLD — ADD INITIALS/DATE","HOLD")),IF(T79="DEFER — NOT YET",IF(W79="","DEFERRED — ADD INITIALS/DATE",IF(X79="","DEFERRED — ADD INITIALS/DATE","DEFERRED")),IF(T79="OPTION 1",IF(W79="","RESOLVED — ADD INITIALS/DATE",IF(X79="","RESOLVED — ADD INITIALS/DATE","RESOLVED")),IF(T79="OPTION 2",IF(U79="","OPEN — CUSTOM TEXT REQUIRED",IF(W79="","RESOLVED — ADD INITIALS/DATE",IF(X79="","RESOLVED — ADD INITIALS/DATE","RESOLVED"))),IF(T79="OPTION 3",IF(W79="","HOLD — ADD INITIALS/DATE",IF(X79="","HOLD — ADD INITIALS/DATE","HOLD")),IF(T79="OPTION 4",IF(W79="","HOLD — ADD INITIALS/DATE",IF(X79="","HOLD — ADD INITIALS/DATE","HOLD")),IF(W79="","RESOLVED — ADD INITIALS/DATE",IF(X79="","RESOLVED — ADD INITIALS/DATE","RESOLVED"))))))))))</f>
        <v/>
      </c>
      <c r="AA79" s="18" t="inlineStr">
        <is>
          <t>YES</t>
        </is>
      </c>
      <c r="AB79" s="18" t="inlineStr">
        <is>
          <t>Next controlled merge propagates decision to Row Ratification K:N. A wording review must not silently recode A/Q/D or authority tier.</t>
        </is>
      </c>
      <c r="AC79" s="18" t="inlineStr">
        <is>
          <t>Restoration A01–A05 — Deity/Godhead</t>
        </is>
      </c>
      <c r="AD79" s="18" t="inlineStr">
        <is>
          <t>https://www.churchofjesuschrist.org/study/scriptures/dc-testament/dc/88?lang=eng</t>
        </is>
      </c>
      <c r="AE79" s="18" t="inlineStr">
        <is>
          <t>Corpus-relative addition only; historical antecedence is a separate question.</t>
        </is>
      </c>
      <c r="AF79" s="18">
        <f>IF(F79&lt;&gt;"READY","NO",IF(Z79="OPEN","YES",IF(Z79="OPEN — CUSTOM TEXT REQUIRED","YES",IF(Z79="RESOLVED — ADD INITIALS/DATE","YES",IF(Z79="HOLD — ADD INITIALS/DATE","YES",IF(Z79="DEFERRED — ADD INITIALS/DATE","YES","NO"))))))</f>
        <v/>
      </c>
      <c r="AG79" s="18">
        <f>IF(AF79&lt;&gt;"YES","",IF(A79=IFERROR(MATCH("YES",$AF$2:$AF$105,0),0),"CURRENT",""))</f>
        <v/>
      </c>
      <c r="AH79" s="20">
        <f>IF(COUNTIF($B$2:$B$105,B79)&gt;1,"DUPLICATE","")</f>
        <v/>
      </c>
    </row>
    <row r="80" ht="15.75" customHeight="1" s="29">
      <c r="A80" s="7" t="n">
        <v>79</v>
      </c>
      <c r="B80" s="7" t="inlineStr">
        <is>
          <t>AUTH-RAT-RNR-A04</t>
        </is>
      </c>
      <c r="C80" s="7" t="inlineStr">
        <is>
          <t>G6 — Row Ratification</t>
        </is>
      </c>
      <c r="D80" s="7" t="inlineStr">
        <is>
          <t>Predicate/addition wording</t>
        </is>
      </c>
      <c r="E80" s="7" t="inlineStr">
        <is>
          <t>HIGH</t>
        </is>
      </c>
      <c r="F80" s="7" t="inlineStr">
        <is>
          <t>READY</t>
        </is>
      </c>
      <c r="G80" s="7" t="inlineStr">
        <is>
          <t>Row Ratification</t>
        </is>
      </c>
      <c r="H80" s="7" t="inlineStr">
        <is>
          <t>RNR-A04</t>
        </is>
      </c>
      <c r="I80" s="7" t="inlineStr">
        <is>
          <t>A66:N66</t>
        </is>
      </c>
      <c r="J80" s="7" t="inlineStr">
        <is>
          <t>Ratify RNR-A04: God the Father was once as humanity now is and is an exalted man.</t>
        </is>
      </c>
      <c r="K80" s="7" t="inlineStr">
        <is>
          <t>Is this public/ministry wording accurate, appropriately scoped, and fair enough to approve?</t>
        </is>
      </c>
      <c r="L80" s="7" t="inlineStr">
        <is>
          <t>Corpus: Restoration 26
Family/domain: Deity / Godhead
Public summary: God the Father was once as humanity now is and is an exalted man.
Current code/tier: Tier III
Provenance: Attributable prophetic / apostolic exposition
Source/pointer: https://www.churchofjesuschrist.org/study/manual/doctrines-of-the-gospel/chapter-3?lang=eng
Locator/source note: Joseph Smith, King Follett discourse; Doctrines of the Gospel ch. 3
Public scope caution: Corpus-relative addition only; historical antecedence is a separate question.
Research status: CONTROLLED INTERNAL — addition authority/source wording should be author-ratified for public display</t>
        </is>
      </c>
      <c r="M80" s="7" t="inlineStr">
        <is>
          <t>Author decision = PENDING.</t>
        </is>
      </c>
      <c r="N80" s="7" t="inlineStr">
        <is>
          <t>Blocks M1/M2 public row copy until the row is APPROVED, REVISED, or intentionally HELD.</t>
        </is>
      </c>
      <c r="O80" s="7" t="inlineStr">
        <is>
          <t>APPROVE AS WRITTEN</t>
        </is>
      </c>
      <c r="P80" s="7" t="inlineStr">
        <is>
          <t>REVISE — enter complete replacement wording/scope note in Custom Response</t>
        </is>
      </c>
      <c r="Q80" s="7" t="inlineStr">
        <is>
          <t>HOLD — research-code review required before wording approval</t>
        </is>
      </c>
      <c r="R80" s="7" t="inlineStr">
        <is>
          <t>HOLD — source/scope review required before wording approval</t>
        </is>
      </c>
      <c r="S80" s="7" t="inlineStr">
        <is>
          <t>OPTION 2</t>
        </is>
      </c>
      <c r="T80" s="17">
        <f>'Author Response Entry'!$D$80</f>
        <v/>
      </c>
      <c r="U80" s="18">
        <f>'Author Response Entry'!$E$80</f>
        <v/>
      </c>
      <c r="V80" s="18">
        <f>'Author Response Entry'!$F$80</f>
        <v/>
      </c>
      <c r="W80" s="18">
        <f>'Author Response Entry'!$G$80</f>
        <v/>
      </c>
      <c r="X80" s="19">
        <f>'Author Response Entry'!$H$80</f>
        <v/>
      </c>
      <c r="Y80" s="18">
        <f>IF(T80="","",IF(T80="CUSTOM RESPONSE",U80,IF(T80="HOLD — NEEDS RESEARCH",IF(U80&lt;&gt;"",U80,"HOLD — NEEDS RESEARCH"),IF(T80="DEFER — NOT YET",IF(U80&lt;&gt;"",U80,"DEFER — NOT YET"),IF(T80="OPTION 1",O80,IF(T80="OPTION 2",U80,IF(T80="OPTION 3",Q80,IF(T80="OPTION 4",R80,""))))))))</f>
        <v/>
      </c>
      <c r="Z80" s="18">
        <f>IF(T80="","OPEN",IF(T80="CUSTOM RESPONSE",IF(U80="","OPEN — CUSTOM TEXT REQUIRED",IF(W80="","RESOLVED — ADD INITIALS/DATE",IF(X80="","RESOLVED — ADD INITIALS/DATE","RESOLVED"))),IF(T80="HOLD — NEEDS RESEARCH",IF(W80="","HOLD — ADD INITIALS/DATE",IF(X80="","HOLD — ADD INITIALS/DATE","HOLD")),IF(T80="DEFER — NOT YET",IF(W80="","DEFERRED — ADD INITIALS/DATE",IF(X80="","DEFERRED — ADD INITIALS/DATE","DEFERRED")),IF(T80="OPTION 1",IF(W80="","RESOLVED — ADD INITIALS/DATE",IF(X80="","RESOLVED — ADD INITIALS/DATE","RESOLVED")),IF(T80="OPTION 2",IF(U80="","OPEN — CUSTOM TEXT REQUIRED",IF(W80="","RESOLVED — ADD INITIALS/DATE",IF(X80="","RESOLVED — ADD INITIALS/DATE","RESOLVED"))),IF(T80="OPTION 3",IF(W80="","HOLD — ADD INITIALS/DATE",IF(X80="","HOLD — ADD INITIALS/DATE","HOLD")),IF(T80="OPTION 4",IF(W80="","HOLD — ADD INITIALS/DATE",IF(X80="","HOLD — ADD INITIALS/DATE","HOLD")),IF(W80="","RESOLVED — ADD INITIALS/DATE",IF(X80="","RESOLVED — ADD INITIALS/DATE","RESOLVED"))))))))))</f>
        <v/>
      </c>
      <c r="AA80" s="18" t="inlineStr">
        <is>
          <t>YES</t>
        </is>
      </c>
      <c r="AB80" s="18" t="inlineStr">
        <is>
          <t>Next controlled merge propagates decision to Row Ratification K:N. A wording review must not silently recode A/Q/D or authority tier.</t>
        </is>
      </c>
      <c r="AC80" s="18" t="inlineStr">
        <is>
          <t>Restoration A01–A05 — Deity/Godhead</t>
        </is>
      </c>
      <c r="AD80" s="18" t="inlineStr">
        <is>
          <t>https://www.churchofjesuschrist.org/study/manual/doctrines-of-the-gospel/chapter-3?lang=eng</t>
        </is>
      </c>
      <c r="AE80" s="18" t="inlineStr">
        <is>
          <t>Corpus-relative addition only; historical antecedence is a separate question.</t>
        </is>
      </c>
      <c r="AF80" s="18">
        <f>IF(F80&lt;&gt;"READY","NO",IF(Z80="OPEN","YES",IF(Z80="OPEN — CUSTOM TEXT REQUIRED","YES",IF(Z80="RESOLVED — ADD INITIALS/DATE","YES",IF(Z80="HOLD — ADD INITIALS/DATE","YES",IF(Z80="DEFERRED — ADD INITIALS/DATE","YES","NO"))))))</f>
        <v/>
      </c>
      <c r="AG80" s="18">
        <f>IF(AF80&lt;&gt;"YES","",IF(A80=IFERROR(MATCH("YES",$AF$2:$AF$105,0),0),"CURRENT",""))</f>
        <v/>
      </c>
      <c r="AH80" s="20">
        <f>IF(COUNTIF($B$2:$B$105,B80)&gt;1,"DUPLICATE","")</f>
        <v/>
      </c>
    </row>
    <row r="81" ht="15.75" customHeight="1" s="29">
      <c r="A81" s="7" t="n">
        <v>80</v>
      </c>
      <c r="B81" s="7" t="inlineStr">
        <is>
          <t>AUTH-RAT-RNR-A05</t>
        </is>
      </c>
      <c r="C81" s="7" t="inlineStr">
        <is>
          <t>G6 — Row Ratification</t>
        </is>
      </c>
      <c r="D81" s="7" t="inlineStr">
        <is>
          <t>Predicate/addition wording</t>
        </is>
      </c>
      <c r="E81" s="7" t="inlineStr">
        <is>
          <t>HIGH</t>
        </is>
      </c>
      <c r="F81" s="7" t="inlineStr">
        <is>
          <t>READY</t>
        </is>
      </c>
      <c r="G81" s="7" t="inlineStr">
        <is>
          <t>Row Ratification</t>
        </is>
      </c>
      <c r="H81" s="7" t="inlineStr">
        <is>
          <t>RNR-A05</t>
        </is>
      </c>
      <c r="I81" s="7" t="inlineStr">
        <is>
          <t>A67:N67</t>
        </is>
      </c>
      <c r="J81" s="7" t="inlineStr">
        <is>
          <t>Ratify RNR-A05: God the Father had a Father, implying antecedent divine lineage while leaving the mechanics unrevealed.</t>
        </is>
      </c>
      <c r="K81" s="7" t="inlineStr">
        <is>
          <t>Is this public/ministry wording accurate, appropriately scoped, and fair enough to approve?</t>
        </is>
      </c>
      <c r="L81" s="7" t="inlineStr">
        <is>
          <t>Corpus: Restoration 26
Family/domain: Deity / Godhead
Public summary: God the Father had a Father, implying antecedent divine lineage while leaving the mechanics unrevealed.
Current code/tier: Tier III
Provenance: Attributable prophetic / apostolic exposition
Source/pointer: https://www.josephsmithpapers.org/paper-summary/history-1838-1856-volume-f-1-1-may-1844-8-august-1844/109
Locator/source note: Joseph Smith, Sermon in the Grove, 16 June 1844
Public scope caution: Corpus-relative addition only; historical antecedence is a separate question.
Research status: CONTROLLED INTERNAL — addition authority/source wording should be author-ratified for public display</t>
        </is>
      </c>
      <c r="M81" s="7" t="inlineStr">
        <is>
          <t>Author decision = PENDING.</t>
        </is>
      </c>
      <c r="N81" s="7" t="inlineStr">
        <is>
          <t>Blocks M1/M2 public row copy until the row is APPROVED, REVISED, or intentionally HELD.</t>
        </is>
      </c>
      <c r="O81" s="7" t="inlineStr">
        <is>
          <t>APPROVE AS WRITTEN</t>
        </is>
      </c>
      <c r="P81" s="7" t="inlineStr">
        <is>
          <t>REVISE — enter complete replacement wording/scope note in Custom Response</t>
        </is>
      </c>
      <c r="Q81" s="7" t="inlineStr">
        <is>
          <t>HOLD — research-code review required before wording approval</t>
        </is>
      </c>
      <c r="R81" s="7" t="inlineStr">
        <is>
          <t>HOLD — source/scope review required before wording approval</t>
        </is>
      </c>
      <c r="S81" s="7" t="inlineStr">
        <is>
          <t>OPTION 2</t>
        </is>
      </c>
      <c r="T81" s="17">
        <f>'Author Response Entry'!$D$81</f>
        <v/>
      </c>
      <c r="U81" s="18">
        <f>'Author Response Entry'!$E$81</f>
        <v/>
      </c>
      <c r="V81" s="18">
        <f>'Author Response Entry'!$F$81</f>
        <v/>
      </c>
      <c r="W81" s="18">
        <f>'Author Response Entry'!$G$81</f>
        <v/>
      </c>
      <c r="X81" s="19">
        <f>'Author Response Entry'!$H$81</f>
        <v/>
      </c>
      <c r="Y81" s="18">
        <f>IF(T81="","",IF(T81="CUSTOM RESPONSE",U81,IF(T81="HOLD — NEEDS RESEARCH",IF(U81&lt;&gt;"",U81,"HOLD — NEEDS RESEARCH"),IF(T81="DEFER — NOT YET",IF(U81&lt;&gt;"",U81,"DEFER — NOT YET"),IF(T81="OPTION 1",O81,IF(T81="OPTION 2",U81,IF(T81="OPTION 3",Q81,IF(T81="OPTION 4",R81,""))))))))</f>
        <v/>
      </c>
      <c r="Z81" s="18">
        <f>IF(T81="","OPEN",IF(T81="CUSTOM RESPONSE",IF(U81="","OPEN — CUSTOM TEXT REQUIRED",IF(W81="","RESOLVED — ADD INITIALS/DATE",IF(X81="","RESOLVED — ADD INITIALS/DATE","RESOLVED"))),IF(T81="HOLD — NEEDS RESEARCH",IF(W81="","HOLD — ADD INITIALS/DATE",IF(X81="","HOLD — ADD INITIALS/DATE","HOLD")),IF(T81="DEFER — NOT YET",IF(W81="","DEFERRED — ADD INITIALS/DATE",IF(X81="","DEFERRED — ADD INITIALS/DATE","DEFERRED")),IF(T81="OPTION 1",IF(W81="","RESOLVED — ADD INITIALS/DATE",IF(X81="","RESOLVED — ADD INITIALS/DATE","RESOLVED")),IF(T81="OPTION 2",IF(U81="","OPEN — CUSTOM TEXT REQUIRED",IF(W81="","RESOLVED — ADD INITIALS/DATE",IF(X81="","RESOLVED — ADD INITIALS/DATE","RESOLVED"))),IF(T81="OPTION 3",IF(W81="","HOLD — ADD INITIALS/DATE",IF(X81="","HOLD — ADD INITIALS/DATE","HOLD")),IF(T81="OPTION 4",IF(W81="","HOLD — ADD INITIALS/DATE",IF(X81="","HOLD — ADD INITIALS/DATE","HOLD")),IF(W81="","RESOLVED — ADD INITIALS/DATE",IF(X81="","RESOLVED — ADD INITIALS/DATE","RESOLVED"))))))))))</f>
        <v/>
      </c>
      <c r="AA81" s="18" t="inlineStr">
        <is>
          <t>YES</t>
        </is>
      </c>
      <c r="AB81" s="18" t="inlineStr">
        <is>
          <t>Next controlled merge propagates decision to Row Ratification K:N. A wording review must not silently recode A/Q/D or authority tier.</t>
        </is>
      </c>
      <c r="AC81" s="18" t="inlineStr">
        <is>
          <t>Restoration A01–A05 — Deity/Godhead</t>
        </is>
      </c>
      <c r="AD81" s="18" t="inlineStr">
        <is>
          <t>https://www.josephsmithpapers.org/paper-summary/history-1838-1856-volume-f-1-1-may-1844-8-august-1844/109</t>
        </is>
      </c>
      <c r="AE81" s="18" t="inlineStr">
        <is>
          <t>Corpus-relative addition only; historical antecedence is a separate question.</t>
        </is>
      </c>
      <c r="AF81" s="18">
        <f>IF(F81&lt;&gt;"READY","NO",IF(Z81="OPEN","YES",IF(Z81="OPEN — CUSTOM TEXT REQUIRED","YES",IF(Z81="RESOLVED — ADD INITIALS/DATE","YES",IF(Z81="HOLD — ADD INITIALS/DATE","YES",IF(Z81="DEFERRED — ADD INITIALS/DATE","YES","NO"))))))</f>
        <v/>
      </c>
      <c r="AG81" s="18">
        <f>IF(AF81&lt;&gt;"YES","",IF(A81=IFERROR(MATCH("YES",$AF$2:$AF$105,0),0),"CURRENT",""))</f>
        <v/>
      </c>
      <c r="AH81" s="20">
        <f>IF(COUNTIF($B$2:$B$105,B81)&gt;1,"DUPLICATE","")</f>
        <v/>
      </c>
    </row>
    <row r="82" ht="15.75" customHeight="1" s="29">
      <c r="A82" s="7" t="n">
        <v>81</v>
      </c>
      <c r="B82" s="7" t="inlineStr">
        <is>
          <t>AUTH-RAT-RNR-A06</t>
        </is>
      </c>
      <c r="C82" s="7" t="inlineStr">
        <is>
          <t>G6 — Row Ratification</t>
        </is>
      </c>
      <c r="D82" s="7" t="inlineStr">
        <is>
          <t>Predicate/addition wording</t>
        </is>
      </c>
      <c r="E82" s="7" t="inlineStr">
        <is>
          <t>MEDIUM</t>
        </is>
      </c>
      <c r="F82" s="7" t="inlineStr">
        <is>
          <t>READY</t>
        </is>
      </c>
      <c r="G82" s="7" t="inlineStr">
        <is>
          <t>Row Ratification</t>
        </is>
      </c>
      <c r="H82" s="7" t="inlineStr">
        <is>
          <t>RNR-A06</t>
        </is>
      </c>
      <c r="I82" s="7" t="inlineStr">
        <is>
          <t>A68:N68</t>
        </is>
      </c>
      <c r="J82" s="7" t="inlineStr">
        <is>
          <t>Ratify RNR-A06: Humans are literal spirit children of Heavenly Parents.</t>
        </is>
      </c>
      <c r="K82" s="7" t="inlineStr">
        <is>
          <t>Is this public/ministry wording accurate, appropriately scoped, and fair enough to approve?</t>
        </is>
      </c>
      <c r="L82" s="7" t="inlineStr">
        <is>
          <t>Corpus: Restoration 26
Family/domain: Divine-human kinship / premortality
Public summary: Humans are literal spirit children of Heavenly Parents.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2" s="7" t="inlineStr">
        <is>
          <t>Author decision = PENDING.</t>
        </is>
      </c>
      <c r="N82" s="7" t="inlineStr">
        <is>
          <t>Blocks M1/M2 public row copy until the row is APPROVED, REVISED, or intentionally HELD.</t>
        </is>
      </c>
      <c r="O82" s="7" t="inlineStr">
        <is>
          <t>APPROVE AS WRITTEN</t>
        </is>
      </c>
      <c r="P82" s="7" t="inlineStr">
        <is>
          <t>REVISE — enter complete replacement wording/scope note in Custom Response</t>
        </is>
      </c>
      <c r="Q82" s="7" t="inlineStr">
        <is>
          <t>HOLD — research-code review required before wording approval</t>
        </is>
      </c>
      <c r="R82" s="7" t="inlineStr">
        <is>
          <t>HOLD — source/scope review required before wording approval</t>
        </is>
      </c>
      <c r="S82" s="7" t="inlineStr">
        <is>
          <t>OPTION 2</t>
        </is>
      </c>
      <c r="T82" s="17">
        <f>'Author Response Entry'!$D$82</f>
        <v/>
      </c>
      <c r="U82" s="18">
        <f>'Author Response Entry'!$E$82</f>
        <v/>
      </c>
      <c r="V82" s="18">
        <f>'Author Response Entry'!$F$82</f>
        <v/>
      </c>
      <c r="W82" s="18">
        <f>'Author Response Entry'!$G$82</f>
        <v/>
      </c>
      <c r="X82" s="19">
        <f>'Author Response Entry'!$H$82</f>
        <v/>
      </c>
      <c r="Y82" s="18">
        <f>IF(T82="","",IF(T82="CUSTOM RESPONSE",U82,IF(T82="HOLD — NEEDS RESEARCH",IF(U82&lt;&gt;"",U82,"HOLD — NEEDS RESEARCH"),IF(T82="DEFER — NOT YET",IF(U82&lt;&gt;"",U82,"DEFER — NOT YET"),IF(T82="OPTION 1",O82,IF(T82="OPTION 2",U82,IF(T82="OPTION 3",Q82,IF(T82="OPTION 4",R82,""))))))))</f>
        <v/>
      </c>
      <c r="Z82" s="18">
        <f>IF(T82="","OPEN",IF(T82="CUSTOM RESPONSE",IF(U82="","OPEN — CUSTOM TEXT REQUIRED",IF(W82="","RESOLVED — ADD INITIALS/DATE",IF(X82="","RESOLVED — ADD INITIALS/DATE","RESOLVED"))),IF(T82="HOLD — NEEDS RESEARCH",IF(W82="","HOLD — ADD INITIALS/DATE",IF(X82="","HOLD — ADD INITIALS/DATE","HOLD")),IF(T82="DEFER — NOT YET",IF(W82="","DEFERRED — ADD INITIALS/DATE",IF(X82="","DEFERRED — ADD INITIALS/DATE","DEFERRED")),IF(T82="OPTION 1",IF(W82="","RESOLVED — ADD INITIALS/DATE",IF(X82="","RESOLVED — ADD INITIALS/DATE","RESOLVED")),IF(T82="OPTION 2",IF(U82="","OPEN — CUSTOM TEXT REQUIRED",IF(W82="","RESOLVED — ADD INITIALS/DATE",IF(X82="","RESOLVED — ADD INITIALS/DATE","RESOLVED"))),IF(T82="OPTION 3",IF(W82="","HOLD — ADD INITIALS/DATE",IF(X82="","HOLD — ADD INITIALS/DATE","HOLD")),IF(T82="OPTION 4",IF(W82="","HOLD — ADD INITIALS/DATE",IF(X82="","HOLD — ADD INITIALS/DATE","HOLD")),IF(W82="","RESOLVED — ADD INITIALS/DATE",IF(X82="","RESOLVED — ADD INITIALS/DATE","RESOLVED"))))))))))</f>
        <v/>
      </c>
      <c r="AA82" s="18" t="inlineStr">
        <is>
          <t>YES</t>
        </is>
      </c>
      <c r="AB82" s="18" t="inlineStr">
        <is>
          <t>Next controlled merge propagates decision to Row Ratification K:N. A wording review must not silently recode A/Q/D or authority tier.</t>
        </is>
      </c>
      <c r="AC82" s="18" t="inlineStr">
        <is>
          <t>Restoration A06–A12 — kinship/premortality</t>
        </is>
      </c>
      <c r="AD82" s="18" t="inlineStr">
        <is>
          <t>https://www.churchofjesuschrist.org/study/manual/eternal-marriage-student-manual/the-family-a-proclamation?lang=eng</t>
        </is>
      </c>
      <c r="AE82" s="18" t="inlineStr">
        <is>
          <t>Corpus-relative addition only; historical antecedence is a separate question.</t>
        </is>
      </c>
      <c r="AF82" s="18">
        <f>IF(F82&lt;&gt;"READY","NO",IF(Z82="OPEN","YES",IF(Z82="OPEN — CUSTOM TEXT REQUIRED","YES",IF(Z82="RESOLVED — ADD INITIALS/DATE","YES",IF(Z82="HOLD — ADD INITIALS/DATE","YES",IF(Z82="DEFERRED — ADD INITIALS/DATE","YES","NO"))))))</f>
        <v/>
      </c>
      <c r="AG82" s="18">
        <f>IF(AF82&lt;&gt;"YES","",IF(A82=IFERROR(MATCH("YES",$AF$2:$AF$105,0),0),"CURRENT",""))</f>
        <v/>
      </c>
      <c r="AH82" s="20">
        <f>IF(COUNTIF($B$2:$B$105,B82)&gt;1,"DUPLICATE","")</f>
        <v/>
      </c>
    </row>
    <row r="83" ht="15.75" customHeight="1" s="29">
      <c r="A83" s="7" t="n">
        <v>82</v>
      </c>
      <c r="B83" s="7" t="inlineStr">
        <is>
          <t>AUTH-RAT-RNR-A07</t>
        </is>
      </c>
      <c r="C83" s="7" t="inlineStr">
        <is>
          <t>G6 — Row Ratification</t>
        </is>
      </c>
      <c r="D83" s="7" t="inlineStr">
        <is>
          <t>Predicate/addition wording</t>
        </is>
      </c>
      <c r="E83" s="7" t="inlineStr">
        <is>
          <t>MEDIUM</t>
        </is>
      </c>
      <c r="F83" s="7" t="inlineStr">
        <is>
          <t>READY</t>
        </is>
      </c>
      <c r="G83" s="7" t="inlineStr">
        <is>
          <t>Row Ratification</t>
        </is>
      </c>
      <c r="H83" s="7" t="inlineStr">
        <is>
          <t>RNR-A07</t>
        </is>
      </c>
      <c r="I83" s="7" t="inlineStr">
        <is>
          <t>A69:N69</t>
        </is>
      </c>
      <c r="J83" s="7" t="inlineStr">
        <is>
          <t>Ratify RNR-A07: Heavenly Mother exists as a divine parent.</t>
        </is>
      </c>
      <c r="K83" s="7" t="inlineStr">
        <is>
          <t>Is this public/ministry wording accurate, appropriately scoped, and fair enough to approve?</t>
        </is>
      </c>
      <c r="L83" s="7" t="inlineStr">
        <is>
          <t>Corpus: Restoration 26
Family/domain: Divine-human kinship / premortality
Public summary: Heavenly Mother exists as a divine parent.
Current code/tier: Tier II
Provenance: Collective / strongly authoritative official doctrine
Source/pointer: https://www.churchofjesuschrist.org/study/manual/gospel-topics-essays/mother-in-heaven?lang=eng
Locator/source note: Gospel Topics Essay: Mother in Heaven
Public scope caution: Early feminine/maternal Spirit language is only remote divine-maternal imagery, not a close Heavenly Mother/divine co-parent analogue.
Research status: CONTROLLED INTERNAL — addition authority/source wording should be author-ratified for public display</t>
        </is>
      </c>
      <c r="M83" s="7" t="inlineStr">
        <is>
          <t>Author decision = PENDING.</t>
        </is>
      </c>
      <c r="N83" s="7" t="inlineStr">
        <is>
          <t>Blocks M1/M2 public row copy until the row is APPROVED, REVISED, or intentionally HELD.</t>
        </is>
      </c>
      <c r="O83" s="7" t="inlineStr">
        <is>
          <t>APPROVE AS WRITTEN</t>
        </is>
      </c>
      <c r="P83" s="7" t="inlineStr">
        <is>
          <t>REVISE — enter complete replacement wording/scope note in Custom Response</t>
        </is>
      </c>
      <c r="Q83" s="7" t="inlineStr">
        <is>
          <t>HOLD — research-code review required before wording approval</t>
        </is>
      </c>
      <c r="R83" s="7" t="inlineStr">
        <is>
          <t>HOLD — source/scope review required before wording approval</t>
        </is>
      </c>
      <c r="S83" s="7" t="inlineStr">
        <is>
          <t>OPTION 2</t>
        </is>
      </c>
      <c r="T83" s="17">
        <f>'Author Response Entry'!$D$83</f>
        <v/>
      </c>
      <c r="U83" s="18">
        <f>'Author Response Entry'!$E$83</f>
        <v/>
      </c>
      <c r="V83" s="18">
        <f>'Author Response Entry'!$F$83</f>
        <v/>
      </c>
      <c r="W83" s="18">
        <f>'Author Response Entry'!$G$83</f>
        <v/>
      </c>
      <c r="X83" s="19">
        <f>'Author Response Entry'!$H$83</f>
        <v/>
      </c>
      <c r="Y83" s="18">
        <f>IF(T83="","",IF(T83="CUSTOM RESPONSE",U83,IF(T83="HOLD — NEEDS RESEARCH",IF(U83&lt;&gt;"",U83,"HOLD — NEEDS RESEARCH"),IF(T83="DEFER — NOT YET",IF(U83&lt;&gt;"",U83,"DEFER — NOT YET"),IF(T83="OPTION 1",O83,IF(T83="OPTION 2",U83,IF(T83="OPTION 3",Q83,IF(T83="OPTION 4",R83,""))))))))</f>
        <v/>
      </c>
      <c r="Z83" s="18">
        <f>IF(T83="","OPEN",IF(T83="CUSTOM RESPONSE",IF(U83="","OPEN — CUSTOM TEXT REQUIRED",IF(W83="","RESOLVED — ADD INITIALS/DATE",IF(X83="","RESOLVED — ADD INITIALS/DATE","RESOLVED"))),IF(T83="HOLD — NEEDS RESEARCH",IF(W83="","HOLD — ADD INITIALS/DATE",IF(X83="","HOLD — ADD INITIALS/DATE","HOLD")),IF(T83="DEFER — NOT YET",IF(W83="","DEFERRED — ADD INITIALS/DATE",IF(X83="","DEFERRED — ADD INITIALS/DATE","DEFERRED")),IF(T83="OPTION 1",IF(W83="","RESOLVED — ADD INITIALS/DATE",IF(X83="","RESOLVED — ADD INITIALS/DATE","RESOLVED")),IF(T83="OPTION 2",IF(U83="","OPEN — CUSTOM TEXT REQUIRED",IF(W83="","RESOLVED — ADD INITIALS/DATE",IF(X83="","RESOLVED — ADD INITIALS/DATE","RESOLVED"))),IF(T83="OPTION 3",IF(W83="","HOLD — ADD INITIALS/DATE",IF(X83="","HOLD — ADD INITIALS/DATE","HOLD")),IF(T83="OPTION 4",IF(W83="","HOLD — ADD INITIALS/DATE",IF(X83="","HOLD — ADD INITIALS/DATE","HOLD")),IF(W83="","RESOLVED — ADD INITIALS/DATE",IF(X83="","RESOLVED — ADD INITIALS/DATE","RESOLVED"))))))))))</f>
        <v/>
      </c>
      <c r="AA83" s="18" t="inlineStr">
        <is>
          <t>YES</t>
        </is>
      </c>
      <c r="AB83" s="18" t="inlineStr">
        <is>
          <t>Next controlled merge propagates decision to Row Ratification K:N. A wording review must not silently recode A/Q/D or authority tier.</t>
        </is>
      </c>
      <c r="AC83" s="18" t="inlineStr">
        <is>
          <t>Restoration A06–A12 — kinship/premortality</t>
        </is>
      </c>
      <c r="AD83" s="18" t="inlineStr">
        <is>
          <t>https://www.churchofjesuschrist.org/study/manual/gospel-topics-essays/mother-in-heaven?lang=eng</t>
        </is>
      </c>
      <c r="AE83" s="18" t="inlineStr">
        <is>
          <t>Early feminine/maternal Spirit language is only remote divine-maternal imagery, not a close Heavenly Mother/divine co-parent analogue.</t>
        </is>
      </c>
      <c r="AF83" s="18">
        <f>IF(F83&lt;&gt;"READY","NO",IF(Z83="OPEN","YES",IF(Z83="OPEN — CUSTOM TEXT REQUIRED","YES",IF(Z83="RESOLVED — ADD INITIALS/DATE","YES",IF(Z83="HOLD — ADD INITIALS/DATE","YES",IF(Z83="DEFERRED — ADD INITIALS/DATE","YES","NO"))))))</f>
        <v/>
      </c>
      <c r="AG83" s="18">
        <f>IF(AF83&lt;&gt;"YES","",IF(A83=IFERROR(MATCH("YES",$AF$2:$AF$105,0),0),"CURRENT",""))</f>
        <v/>
      </c>
      <c r="AH83" s="20">
        <f>IF(COUNTIF($B$2:$B$105,B83)&gt;1,"DUPLICATE","")</f>
        <v/>
      </c>
    </row>
    <row r="84" ht="15.75" customHeight="1" s="29">
      <c r="A84" s="7" t="n">
        <v>83</v>
      </c>
      <c r="B84" s="7" t="inlineStr">
        <is>
          <t>AUTH-RAT-RNR-A08</t>
        </is>
      </c>
      <c r="C84" s="7" t="inlineStr">
        <is>
          <t>G6 — Row Ratification</t>
        </is>
      </c>
      <c r="D84" s="7" t="inlineStr">
        <is>
          <t>Predicate/addition wording</t>
        </is>
      </c>
      <c r="E84" s="7" t="inlineStr">
        <is>
          <t>MEDIUM</t>
        </is>
      </c>
      <c r="F84" s="7" t="inlineStr">
        <is>
          <t>READY</t>
        </is>
      </c>
      <c r="G84" s="7" t="inlineStr">
        <is>
          <t>Row Ratification</t>
        </is>
      </c>
      <c r="H84" s="7" t="inlineStr">
        <is>
          <t>RNR-A08</t>
        </is>
      </c>
      <c r="I84" s="7" t="inlineStr">
        <is>
          <t>A70:N70</t>
        </is>
      </c>
      <c r="J84" s="7" t="inlineStr">
        <is>
          <t>Ratify RNR-A08: Human beings possessed personal premortal existence.</t>
        </is>
      </c>
      <c r="K84" s="7" t="inlineStr">
        <is>
          <t>Is this public/ministry wording accurate, appropriately scoped, and fair enough to approve?</t>
        </is>
      </c>
      <c r="L84" s="7" t="inlineStr">
        <is>
          <t>Corpus: Restoration 26
Family/domain: Divine-human kinship / premortality
Public summary: Human beings possessed personal premortal existence.
Current code/tier: Tier I
Provenance: Canonical scripture
Source/pointer: https://www.churchofjesuschrist.org/study/scriptures/pgp/abr/3?lang=eng
Locator/source note: Abraham 3:22–28; D&amp;C 138:56
Public scope caution: Corpus-relative addition only; historical antecedence is a separate question.
Research status: CONTROLLED INTERNAL — addition authority/source wording should be author-ratified for public display</t>
        </is>
      </c>
      <c r="M84" s="7" t="inlineStr">
        <is>
          <t>Author decision = PENDING.</t>
        </is>
      </c>
      <c r="N84" s="7" t="inlineStr">
        <is>
          <t>Blocks M1/M2 public row copy until the row is APPROVED, REVISED, or intentionally HELD.</t>
        </is>
      </c>
      <c r="O84" s="7" t="inlineStr">
        <is>
          <t>APPROVE AS WRITTEN</t>
        </is>
      </c>
      <c r="P84" s="7" t="inlineStr">
        <is>
          <t>REVISE — enter complete replacement wording/scope note in Custom Response</t>
        </is>
      </c>
      <c r="Q84" s="7" t="inlineStr">
        <is>
          <t>HOLD — research-code review required before wording approval</t>
        </is>
      </c>
      <c r="R84" s="7" t="inlineStr">
        <is>
          <t>HOLD — source/scope review required before wording approval</t>
        </is>
      </c>
      <c r="S84" s="7" t="inlineStr">
        <is>
          <t>OPTION 2</t>
        </is>
      </c>
      <c r="T84" s="17">
        <f>'Author Response Entry'!$D$84</f>
        <v/>
      </c>
      <c r="U84" s="18">
        <f>'Author Response Entry'!$E$84</f>
        <v/>
      </c>
      <c r="V84" s="18">
        <f>'Author Response Entry'!$F$84</f>
        <v/>
      </c>
      <c r="W84" s="18">
        <f>'Author Response Entry'!$G$84</f>
        <v/>
      </c>
      <c r="X84" s="19">
        <f>'Author Response Entry'!$H$84</f>
        <v/>
      </c>
      <c r="Y84" s="18">
        <f>IF(T84="","",IF(T84="CUSTOM RESPONSE",U84,IF(T84="HOLD — NEEDS RESEARCH",IF(U84&lt;&gt;"",U84,"HOLD — NEEDS RESEARCH"),IF(T84="DEFER — NOT YET",IF(U84&lt;&gt;"",U84,"DEFER — NOT YET"),IF(T84="OPTION 1",O84,IF(T84="OPTION 2",U84,IF(T84="OPTION 3",Q84,IF(T84="OPTION 4",R84,""))))))))</f>
        <v/>
      </c>
      <c r="Z84" s="18">
        <f>IF(T84="","OPEN",IF(T84="CUSTOM RESPONSE",IF(U84="","OPEN — CUSTOM TEXT REQUIRED",IF(W84="","RESOLVED — ADD INITIALS/DATE",IF(X84="","RESOLVED — ADD INITIALS/DATE","RESOLVED"))),IF(T84="HOLD — NEEDS RESEARCH",IF(W84="","HOLD — ADD INITIALS/DATE",IF(X84="","HOLD — ADD INITIALS/DATE","HOLD")),IF(T84="DEFER — NOT YET",IF(W84="","DEFERRED — ADD INITIALS/DATE",IF(X84="","DEFERRED — ADD INITIALS/DATE","DEFERRED")),IF(T84="OPTION 1",IF(W84="","RESOLVED — ADD INITIALS/DATE",IF(X84="","RESOLVED — ADD INITIALS/DATE","RESOLVED")),IF(T84="OPTION 2",IF(U84="","OPEN — CUSTOM TEXT REQUIRED",IF(W84="","RESOLVED — ADD INITIALS/DATE",IF(X84="","RESOLVED — ADD INITIALS/DATE","RESOLVED"))),IF(T84="OPTION 3",IF(W84="","HOLD — ADD INITIALS/DATE",IF(X84="","HOLD — ADD INITIALS/DATE","HOLD")),IF(T84="OPTION 4",IF(W84="","HOLD — ADD INITIALS/DATE",IF(X84="","HOLD — ADD INITIALS/DATE","HOLD")),IF(W84="","RESOLVED — ADD INITIALS/DATE",IF(X84="","RESOLVED — ADD INITIALS/DATE","RESOLVED"))))))))))</f>
        <v/>
      </c>
      <c r="AA84" s="18" t="inlineStr">
        <is>
          <t>YES</t>
        </is>
      </c>
      <c r="AB84" s="18" t="inlineStr">
        <is>
          <t>Next controlled merge propagates decision to Row Ratification K:N. A wording review must not silently recode A/Q/D or authority tier.</t>
        </is>
      </c>
      <c r="AC84" s="18" t="inlineStr">
        <is>
          <t>Restoration A06–A12 — kinship/premortality</t>
        </is>
      </c>
      <c r="AD84" s="18" t="inlineStr">
        <is>
          <t>https://www.churchofjesuschrist.org/study/scriptures/pgp/abr/3?lang=eng</t>
        </is>
      </c>
      <c r="AE84" s="18" t="inlineStr">
        <is>
          <t>Corpus-relative addition only; historical antecedence is a separate question.</t>
        </is>
      </c>
      <c r="AF84" s="18">
        <f>IF(F84&lt;&gt;"READY","NO",IF(Z84="OPEN","YES",IF(Z84="OPEN — CUSTOM TEXT REQUIRED","YES",IF(Z84="RESOLVED — ADD INITIALS/DATE","YES",IF(Z84="HOLD — ADD INITIALS/DATE","YES",IF(Z84="DEFERRED — ADD INITIALS/DATE","YES","NO"))))))</f>
        <v/>
      </c>
      <c r="AG84" s="18">
        <f>IF(AF84&lt;&gt;"YES","",IF(A84=IFERROR(MATCH("YES",$AF$2:$AF$105,0),0),"CURRENT",""))</f>
        <v/>
      </c>
      <c r="AH84" s="20">
        <f>IF(COUNTIF($B$2:$B$105,B84)&gt;1,"DUPLICATE","")</f>
        <v/>
      </c>
    </row>
    <row r="85" ht="15.75" customHeight="1" s="29">
      <c r="A85" s="7" t="n">
        <v>84</v>
      </c>
      <c r="B85" s="7" t="inlineStr">
        <is>
          <t>AUTH-RAT-RNR-A09</t>
        </is>
      </c>
      <c r="C85" s="7" t="inlineStr">
        <is>
          <t>G6 — Row Ratification</t>
        </is>
      </c>
      <c r="D85" s="7" t="inlineStr">
        <is>
          <t>Predicate/addition wording</t>
        </is>
      </c>
      <c r="E85" s="7" t="inlineStr">
        <is>
          <t>MEDIUM</t>
        </is>
      </c>
      <c r="F85" s="7" t="inlineStr">
        <is>
          <t>READY</t>
        </is>
      </c>
      <c r="G85" s="7" t="inlineStr">
        <is>
          <t>Row Ratification</t>
        </is>
      </c>
      <c r="H85" s="7" t="inlineStr">
        <is>
          <t>RNR-A09</t>
        </is>
      </c>
      <c r="I85" s="7" t="inlineStr">
        <is>
          <t>A71:N71</t>
        </is>
      </c>
      <c r="J85" s="7" t="inlineStr">
        <is>
          <t>Ratify RNR-A09: Gender is an essential characteristic of premortal, mortal, and eternal identity.</t>
        </is>
      </c>
      <c r="K85" s="7" t="inlineStr">
        <is>
          <t>Is this public/ministry wording accurate, appropriately scoped, and fair enough to approve?</t>
        </is>
      </c>
      <c r="L85" s="7" t="inlineStr">
        <is>
          <t>Corpus: Restoration 26
Family/domain: Divine-human kinship / premortality
Public summary: Gender is an essential characteristic of premortal, mortal, and eternal identity.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5" s="7" t="inlineStr">
        <is>
          <t>Author decision = PENDING.</t>
        </is>
      </c>
      <c r="N85" s="7" t="inlineStr">
        <is>
          <t>Blocks M1/M2 public row copy until the row is APPROVED, REVISED, or intentionally HELD.</t>
        </is>
      </c>
      <c r="O85" s="7" t="inlineStr">
        <is>
          <t>APPROVE AS WRITTEN</t>
        </is>
      </c>
      <c r="P85" s="7" t="inlineStr">
        <is>
          <t>REVISE — enter complete replacement wording/scope note in Custom Response</t>
        </is>
      </c>
      <c r="Q85" s="7" t="inlineStr">
        <is>
          <t>HOLD — research-code review required before wording approval</t>
        </is>
      </c>
      <c r="R85" s="7" t="inlineStr">
        <is>
          <t>HOLD — source/scope review required before wording approval</t>
        </is>
      </c>
      <c r="S85" s="7" t="inlineStr">
        <is>
          <t>OPTION 2</t>
        </is>
      </c>
      <c r="T85" s="17">
        <f>'Author Response Entry'!$D$85</f>
        <v/>
      </c>
      <c r="U85" s="18">
        <f>'Author Response Entry'!$E$85</f>
        <v/>
      </c>
      <c r="V85" s="18">
        <f>'Author Response Entry'!$F$85</f>
        <v/>
      </c>
      <c r="W85" s="18">
        <f>'Author Response Entry'!$G$85</f>
        <v/>
      </c>
      <c r="X85" s="19">
        <f>'Author Response Entry'!$H$85</f>
        <v/>
      </c>
      <c r="Y85" s="18">
        <f>IF(T85="","",IF(T85="CUSTOM RESPONSE",U85,IF(T85="HOLD — NEEDS RESEARCH",IF(U85&lt;&gt;"",U85,"HOLD — NEEDS RESEARCH"),IF(T85="DEFER — NOT YET",IF(U85&lt;&gt;"",U85,"DEFER — NOT YET"),IF(T85="OPTION 1",O85,IF(T85="OPTION 2",U85,IF(T85="OPTION 3",Q85,IF(T85="OPTION 4",R85,""))))))))</f>
        <v/>
      </c>
      <c r="Z85" s="18">
        <f>IF(T85="","OPEN",IF(T85="CUSTOM RESPONSE",IF(U85="","OPEN — CUSTOM TEXT REQUIRED",IF(W85="","RESOLVED — ADD INITIALS/DATE",IF(X85="","RESOLVED — ADD INITIALS/DATE","RESOLVED"))),IF(T85="HOLD — NEEDS RESEARCH",IF(W85="","HOLD — ADD INITIALS/DATE",IF(X85="","HOLD — ADD INITIALS/DATE","HOLD")),IF(T85="DEFER — NOT YET",IF(W85="","DEFERRED — ADD INITIALS/DATE",IF(X85="","DEFERRED — ADD INITIALS/DATE","DEFERRED")),IF(T85="OPTION 1",IF(W85="","RESOLVED — ADD INITIALS/DATE",IF(X85="","RESOLVED — ADD INITIALS/DATE","RESOLVED")),IF(T85="OPTION 2",IF(U85="","OPEN — CUSTOM TEXT REQUIRED",IF(W85="","RESOLVED — ADD INITIALS/DATE",IF(X85="","RESOLVED — ADD INITIALS/DATE","RESOLVED"))),IF(T85="OPTION 3",IF(W85="","HOLD — ADD INITIALS/DATE",IF(X85="","HOLD — ADD INITIALS/DATE","HOLD")),IF(T85="OPTION 4",IF(W85="","HOLD — ADD INITIALS/DATE",IF(X85="","HOLD — ADD INITIALS/DATE","HOLD")),IF(W85="","RESOLVED — ADD INITIALS/DATE",IF(X85="","RESOLVED — ADD INITIALS/DATE","RESOLVED"))))))))))</f>
        <v/>
      </c>
      <c r="AA85" s="18" t="inlineStr">
        <is>
          <t>YES</t>
        </is>
      </c>
      <c r="AB85" s="18" t="inlineStr">
        <is>
          <t>Next controlled merge propagates decision to Row Ratification K:N. A wording review must not silently recode A/Q/D or authority tier.</t>
        </is>
      </c>
      <c r="AC85" s="18" t="inlineStr">
        <is>
          <t>Restoration A06–A12 — kinship/premortality</t>
        </is>
      </c>
      <c r="AD85" s="18" t="inlineStr">
        <is>
          <t>https://www.churchofjesuschrist.org/study/manual/eternal-marriage-student-manual/the-family-a-proclamation?lang=eng</t>
        </is>
      </c>
      <c r="AE85" s="18" t="inlineStr">
        <is>
          <t>Corpus-relative addition only; historical antecedence is a separate question.</t>
        </is>
      </c>
      <c r="AF85" s="18">
        <f>IF(F85&lt;&gt;"READY","NO",IF(Z85="OPEN","YES",IF(Z85="OPEN — CUSTOM TEXT REQUIRED","YES",IF(Z85="RESOLVED — ADD INITIALS/DATE","YES",IF(Z85="HOLD — ADD INITIALS/DATE","YES",IF(Z85="DEFERRED — ADD INITIALS/DATE","YES","NO"))))))</f>
        <v/>
      </c>
      <c r="AG85" s="18">
        <f>IF(AF85&lt;&gt;"YES","",IF(A85=IFERROR(MATCH("YES",$AF$2:$AF$105,0),0),"CURRENT",""))</f>
        <v/>
      </c>
      <c r="AH85" s="20">
        <f>IF(COUNTIF($B$2:$B$105,B85)&gt;1,"DUPLICATE","")</f>
        <v/>
      </c>
    </row>
    <row r="86" ht="15.75" customHeight="1" s="29">
      <c r="A86" s="7" t="n">
        <v>85</v>
      </c>
      <c r="B86" s="7" t="inlineStr">
        <is>
          <t>AUTH-RAT-RNR-A10</t>
        </is>
      </c>
      <c r="C86" s="7" t="inlineStr">
        <is>
          <t>G6 — Row Ratification</t>
        </is>
      </c>
      <c r="D86" s="7" t="inlineStr">
        <is>
          <t>Predicate/addition wording</t>
        </is>
      </c>
      <c r="E86" s="7" t="inlineStr">
        <is>
          <t>MEDIUM</t>
        </is>
      </c>
      <c r="F86" s="7" t="inlineStr">
        <is>
          <t>READY</t>
        </is>
      </c>
      <c r="G86" s="7" t="inlineStr">
        <is>
          <t>Row Ratification</t>
        </is>
      </c>
      <c r="H86" s="7" t="inlineStr">
        <is>
          <t>RNR-A10</t>
        </is>
      </c>
      <c r="I86" s="7" t="inlineStr">
        <is>
          <t>A72:N72</t>
        </is>
      </c>
      <c r="J86" s="7" t="inlineStr">
        <is>
          <t>Ratify RNR-A10: Human intelligence is uncreated/unmade and beginningless in a fundamental sense.</t>
        </is>
      </c>
      <c r="K86" s="7" t="inlineStr">
        <is>
          <t>Is this public/ministry wording accurate, appropriately scoped, and fair enough to approve?</t>
        </is>
      </c>
      <c r="L86" s="7" t="inlineStr">
        <is>
          <t>Corpus: Restoration 26
Family/domain: Divine-human kinship / premortality
Public summary: Human intelligence is uncreated/unmade and beginningless in a fundamental sense.
Current code/tier: Tier I
Provenance: Canonical scripture
Source/pointer: https://www.churchofjesuschrist.org/study/scriptures/dc-testament/dc/93?lang=eng
Locator/source note: D&amp;C 93:29–30
Public scope caution: Corpus-relative addition only; historical antecedence is a separate question.
Research status: CONTROLLED INTERNAL — addition authority/source wording should be author-ratified for public display</t>
        </is>
      </c>
      <c r="M86" s="7" t="inlineStr">
        <is>
          <t>Author decision = PENDING.</t>
        </is>
      </c>
      <c r="N86" s="7" t="inlineStr">
        <is>
          <t>Blocks M1/M2 public row copy until the row is APPROVED, REVISED, or intentionally HELD.</t>
        </is>
      </c>
      <c r="O86" s="7" t="inlineStr">
        <is>
          <t>APPROVE AS WRITTEN</t>
        </is>
      </c>
      <c r="P86" s="7" t="inlineStr">
        <is>
          <t>REVISE — enter complete replacement wording/scope note in Custom Response</t>
        </is>
      </c>
      <c r="Q86" s="7" t="inlineStr">
        <is>
          <t>HOLD — research-code review required before wording approval</t>
        </is>
      </c>
      <c r="R86" s="7" t="inlineStr">
        <is>
          <t>HOLD — source/scope review required before wording approval</t>
        </is>
      </c>
      <c r="S86" s="7" t="inlineStr">
        <is>
          <t>OPTION 2</t>
        </is>
      </c>
      <c r="T86" s="17">
        <f>'Author Response Entry'!$D$86</f>
        <v/>
      </c>
      <c r="U86" s="18">
        <f>'Author Response Entry'!$E$86</f>
        <v/>
      </c>
      <c r="V86" s="18">
        <f>'Author Response Entry'!$F$86</f>
        <v/>
      </c>
      <c r="W86" s="18">
        <f>'Author Response Entry'!$G$86</f>
        <v/>
      </c>
      <c r="X86" s="19">
        <f>'Author Response Entry'!$H$86</f>
        <v/>
      </c>
      <c r="Y86" s="18">
        <f>IF(T86="","",IF(T86="CUSTOM RESPONSE",U86,IF(T86="HOLD — NEEDS RESEARCH",IF(U86&lt;&gt;"",U86,"HOLD — NEEDS RESEARCH"),IF(T86="DEFER — NOT YET",IF(U86&lt;&gt;"",U86,"DEFER — NOT YET"),IF(T86="OPTION 1",O86,IF(T86="OPTION 2",U86,IF(T86="OPTION 3",Q86,IF(T86="OPTION 4",R86,""))))))))</f>
        <v/>
      </c>
      <c r="Z86" s="18">
        <f>IF(T86="","OPEN",IF(T86="CUSTOM RESPONSE",IF(U86="","OPEN — CUSTOM TEXT REQUIRED",IF(W86="","RESOLVED — ADD INITIALS/DATE",IF(X86="","RESOLVED — ADD INITIALS/DATE","RESOLVED"))),IF(T86="HOLD — NEEDS RESEARCH",IF(W86="","HOLD — ADD INITIALS/DATE",IF(X86="","HOLD — ADD INITIALS/DATE","HOLD")),IF(T86="DEFER — NOT YET",IF(W86="","DEFERRED — ADD INITIALS/DATE",IF(X86="","DEFERRED — ADD INITIALS/DATE","DEFERRED")),IF(T86="OPTION 1",IF(W86="","RESOLVED — ADD INITIALS/DATE",IF(X86="","RESOLVED — ADD INITIALS/DATE","RESOLVED")),IF(T86="OPTION 2",IF(U86="","OPEN — CUSTOM TEXT REQUIRED",IF(W86="","RESOLVED — ADD INITIALS/DATE",IF(X86="","RESOLVED — ADD INITIALS/DATE","RESOLVED"))),IF(T86="OPTION 3",IF(W86="","HOLD — ADD INITIALS/DATE",IF(X86="","HOLD — ADD INITIALS/DATE","HOLD")),IF(T86="OPTION 4",IF(W86="","HOLD — ADD INITIALS/DATE",IF(X86="","HOLD — ADD INITIALS/DATE","HOLD")),IF(W86="","RESOLVED — ADD INITIALS/DATE",IF(X86="","RESOLVED — ADD INITIALS/DATE","RESOLVED"))))))))))</f>
        <v/>
      </c>
      <c r="AA86" s="18" t="inlineStr">
        <is>
          <t>YES</t>
        </is>
      </c>
      <c r="AB86" s="18" t="inlineStr">
        <is>
          <t>Next controlled merge propagates decision to Row Ratification K:N. A wording review must not silently recode A/Q/D or authority tier.</t>
        </is>
      </c>
      <c r="AC86" s="18" t="inlineStr">
        <is>
          <t>Restoration A06–A12 — kinship/premortality</t>
        </is>
      </c>
      <c r="AD86" s="18" t="inlineStr">
        <is>
          <t>https://www.churchofjesuschrist.org/study/scriptures/dc-testament/dc/93?lang=eng</t>
        </is>
      </c>
      <c r="AE86" s="18" t="inlineStr">
        <is>
          <t>Corpus-relative addition only; historical antecedence is a separate question.</t>
        </is>
      </c>
      <c r="AF86" s="18">
        <f>IF(F86&lt;&gt;"READY","NO",IF(Z86="OPEN","YES",IF(Z86="OPEN — CUSTOM TEXT REQUIRED","YES",IF(Z86="RESOLVED — ADD INITIALS/DATE","YES",IF(Z86="HOLD — ADD INITIALS/DATE","YES",IF(Z86="DEFERRED — ADD INITIALS/DATE","YES","NO"))))))</f>
        <v/>
      </c>
      <c r="AG86" s="18">
        <f>IF(AF86&lt;&gt;"YES","",IF(A86=IFERROR(MATCH("YES",$AF$2:$AF$105,0),0),"CURRENT",""))</f>
        <v/>
      </c>
      <c r="AH86" s="20">
        <f>IF(COUNTIF($B$2:$B$105,B86)&gt;1,"DUPLICATE","")</f>
        <v/>
      </c>
    </row>
    <row r="87" ht="15.75" customHeight="1" s="29">
      <c r="A87" s="7" t="n">
        <v>86</v>
      </c>
      <c r="B87" s="7" t="inlineStr">
        <is>
          <t>AUTH-RAT-RNR-A11</t>
        </is>
      </c>
      <c r="C87" s="7" t="inlineStr">
        <is>
          <t>G6 — Row Ratification</t>
        </is>
      </c>
      <c r="D87" s="7" t="inlineStr">
        <is>
          <t>Predicate/addition wording</t>
        </is>
      </c>
      <c r="E87" s="7" t="inlineStr">
        <is>
          <t>MEDIUM</t>
        </is>
      </c>
      <c r="F87" s="7" t="inlineStr">
        <is>
          <t>READY</t>
        </is>
      </c>
      <c r="G87" s="7" t="inlineStr">
        <is>
          <t>Row Ratification</t>
        </is>
      </c>
      <c r="H87" s="7" t="inlineStr">
        <is>
          <t>RNR-A11</t>
        </is>
      </c>
      <c r="I87" s="7" t="inlineStr">
        <is>
          <t>A73:N73</t>
        </is>
      </c>
      <c r="J87" s="7" t="inlineStr">
        <is>
          <t>Ratify RNR-A11: Human divine nature and potential arise from literal heavenly parentage.</t>
        </is>
      </c>
      <c r="K87" s="7" t="inlineStr">
        <is>
          <t>Is this public/ministry wording accurate, appropriately scoped, and fair enough to approve?</t>
        </is>
      </c>
      <c r="L87" s="7" t="inlineStr">
        <is>
          <t>Corpus: Restoration 26
Family/domain: Divine-human kinship / premortality
Public summary: Human divine nature and potential arise from literal heavenly parentage.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7" s="7" t="inlineStr">
        <is>
          <t>Author decision = PENDING.</t>
        </is>
      </c>
      <c r="N87" s="7" t="inlineStr">
        <is>
          <t>Blocks M1/M2 public row copy until the row is APPROVED, REVISED, or intentionally HELD.</t>
        </is>
      </c>
      <c r="O87" s="7" t="inlineStr">
        <is>
          <t>APPROVE AS WRITTEN</t>
        </is>
      </c>
      <c r="P87" s="7" t="inlineStr">
        <is>
          <t>REVISE — enter complete replacement wording/scope note in Custom Response</t>
        </is>
      </c>
      <c r="Q87" s="7" t="inlineStr">
        <is>
          <t>HOLD — research-code review required before wording approval</t>
        </is>
      </c>
      <c r="R87" s="7" t="inlineStr">
        <is>
          <t>HOLD — source/scope review required before wording approval</t>
        </is>
      </c>
      <c r="S87" s="7" t="inlineStr">
        <is>
          <t>OPTION 2</t>
        </is>
      </c>
      <c r="T87" s="17">
        <f>'Author Response Entry'!$D$87</f>
        <v/>
      </c>
      <c r="U87" s="18">
        <f>'Author Response Entry'!$E$87</f>
        <v/>
      </c>
      <c r="V87" s="18">
        <f>'Author Response Entry'!$F$87</f>
        <v/>
      </c>
      <c r="W87" s="18">
        <f>'Author Response Entry'!$G$87</f>
        <v/>
      </c>
      <c r="X87" s="19">
        <f>'Author Response Entry'!$H$87</f>
        <v/>
      </c>
      <c r="Y87" s="18">
        <f>IF(T87="","",IF(T87="CUSTOM RESPONSE",U87,IF(T87="HOLD — NEEDS RESEARCH",IF(U87&lt;&gt;"",U87,"HOLD — NEEDS RESEARCH"),IF(T87="DEFER — NOT YET",IF(U87&lt;&gt;"",U87,"DEFER — NOT YET"),IF(T87="OPTION 1",O87,IF(T87="OPTION 2",U87,IF(T87="OPTION 3",Q87,IF(T87="OPTION 4",R87,""))))))))</f>
        <v/>
      </c>
      <c r="Z87" s="18">
        <f>IF(T87="","OPEN",IF(T87="CUSTOM RESPONSE",IF(U87="","OPEN — CUSTOM TEXT REQUIRED",IF(W87="","RESOLVED — ADD INITIALS/DATE",IF(X87="","RESOLVED — ADD INITIALS/DATE","RESOLVED"))),IF(T87="HOLD — NEEDS RESEARCH",IF(W87="","HOLD — ADD INITIALS/DATE",IF(X87="","HOLD — ADD INITIALS/DATE","HOLD")),IF(T87="DEFER — NOT YET",IF(W87="","DEFERRED — ADD INITIALS/DATE",IF(X87="","DEFERRED — ADD INITIALS/DATE","DEFERRED")),IF(T87="OPTION 1",IF(W87="","RESOLVED — ADD INITIALS/DATE",IF(X87="","RESOLVED — ADD INITIALS/DATE","RESOLVED")),IF(T87="OPTION 2",IF(U87="","OPEN — CUSTOM TEXT REQUIRED",IF(W87="","RESOLVED — ADD INITIALS/DATE",IF(X87="","RESOLVED — ADD INITIALS/DATE","RESOLVED"))),IF(T87="OPTION 3",IF(W87="","HOLD — ADD INITIALS/DATE",IF(X87="","HOLD — ADD INITIALS/DATE","HOLD")),IF(T87="OPTION 4",IF(W87="","HOLD — ADD INITIALS/DATE",IF(X87="","HOLD — ADD INITIALS/DATE","HOLD")),IF(W87="","RESOLVED — ADD INITIALS/DATE",IF(X87="","RESOLVED — ADD INITIALS/DATE","RESOLVED"))))))))))</f>
        <v/>
      </c>
      <c r="AA87" s="18" t="inlineStr">
        <is>
          <t>YES</t>
        </is>
      </c>
      <c r="AB87" s="18" t="inlineStr">
        <is>
          <t>Next controlled merge propagates decision to Row Ratification K:N. A wording review must not silently recode A/Q/D or authority tier.</t>
        </is>
      </c>
      <c r="AC87" s="18" t="inlineStr">
        <is>
          <t>Restoration A06–A12 — kinship/premortality</t>
        </is>
      </c>
      <c r="AD87" s="18" t="inlineStr">
        <is>
          <t>https://www.churchofjesuschrist.org/study/manual/eternal-marriage-student-manual/the-family-a-proclamation?lang=eng</t>
        </is>
      </c>
      <c r="AE87" s="18" t="inlineStr">
        <is>
          <t>Corpus-relative addition only; historical antecedence is a separate question.</t>
        </is>
      </c>
      <c r="AF87" s="18">
        <f>IF(F87&lt;&gt;"READY","NO",IF(Z87="OPEN","YES",IF(Z87="OPEN — CUSTOM TEXT REQUIRED","YES",IF(Z87="RESOLVED — ADD INITIALS/DATE","YES",IF(Z87="HOLD — ADD INITIALS/DATE","YES",IF(Z87="DEFERRED — ADD INITIALS/DATE","YES","NO"))))))</f>
        <v/>
      </c>
      <c r="AG87" s="18">
        <f>IF(AF87&lt;&gt;"YES","",IF(A87=IFERROR(MATCH("YES",$AF$2:$AF$105,0),0),"CURRENT",""))</f>
        <v/>
      </c>
      <c r="AH87" s="20">
        <f>IF(COUNTIF($B$2:$B$105,B87)&gt;1,"DUPLICATE","")</f>
        <v/>
      </c>
    </row>
    <row r="88" ht="15.75" customHeight="1" s="29">
      <c r="A88" s="7" t="n">
        <v>87</v>
      </c>
      <c r="B88" s="7" t="inlineStr">
        <is>
          <t>AUTH-RAT-RNR-A12</t>
        </is>
      </c>
      <c r="C88" s="7" t="inlineStr">
        <is>
          <t>G6 — Row Ratification</t>
        </is>
      </c>
      <c r="D88" s="7" t="inlineStr">
        <is>
          <t>Predicate/addition wording</t>
        </is>
      </c>
      <c r="E88" s="7" t="inlineStr">
        <is>
          <t>MEDIUM</t>
        </is>
      </c>
      <c r="F88" s="7" t="inlineStr">
        <is>
          <t>READY</t>
        </is>
      </c>
      <c r="G88" s="7" t="inlineStr">
        <is>
          <t>Row Ratification</t>
        </is>
      </c>
      <c r="H88" s="7" t="inlineStr">
        <is>
          <t>RNR-A12</t>
        </is>
      </c>
      <c r="I88" s="7" t="inlineStr">
        <is>
          <t>A74:N74</t>
        </is>
      </c>
      <c r="J88" s="7" t="inlineStr">
        <is>
          <t>Ratify RNR-A12: Christ is the Firstborn spirit Son and stands in genuine familial relation to the Father's other spirit children while remaining uniquely Savior and Redeemer.</t>
        </is>
      </c>
      <c r="K88" s="7" t="inlineStr">
        <is>
          <t>Is this public/ministry wording accurate, appropriately scoped, and fair enough to approve?</t>
        </is>
      </c>
      <c r="L88" s="7" t="inlineStr">
        <is>
          <t>Corpus: Restoration 26
Family/domain: Divine-human kinship / premortality
Public summary: Christ is the Firstborn spirit Son and stands in genuine familial relation to the Father's other spirit children while remaining uniquely Savior and Redeemer.
Current code/tier: Tier II
Provenance: Collective / strongly authoritative official doctrine
Source/pointer: https://www.churchofjesuschrist.org/study/manual/eternal-marriage-student-manual/jesus-christ?lang=eng
Locator/source note: The Living Christ; D&amp;C 93:21; official doctrinal manuals
Public scope caution: Corpus-relative addition only; historical antecedence is a separate question.
Research status: CONTROLLED INTERNAL — addition authority/source wording should be author-ratified for public display</t>
        </is>
      </c>
      <c r="M88" s="7" t="inlineStr">
        <is>
          <t>Author decision = PENDING.</t>
        </is>
      </c>
      <c r="N88" s="7" t="inlineStr">
        <is>
          <t>Blocks M1/M2 public row copy until the row is APPROVED, REVISED, or intentionally HELD.</t>
        </is>
      </c>
      <c r="O88" s="7" t="inlineStr">
        <is>
          <t>APPROVE AS WRITTEN</t>
        </is>
      </c>
      <c r="P88" s="7" t="inlineStr">
        <is>
          <t>REVISE — enter complete replacement wording/scope note in Custom Response</t>
        </is>
      </c>
      <c r="Q88" s="7" t="inlineStr">
        <is>
          <t>HOLD — research-code review required before wording approval</t>
        </is>
      </c>
      <c r="R88" s="7" t="inlineStr">
        <is>
          <t>HOLD — source/scope review required before wording approval</t>
        </is>
      </c>
      <c r="S88" s="7" t="inlineStr">
        <is>
          <t>OPTION 2</t>
        </is>
      </c>
      <c r="T88" s="17">
        <f>'Author Response Entry'!$D$88</f>
        <v/>
      </c>
      <c r="U88" s="18">
        <f>'Author Response Entry'!$E$88</f>
        <v/>
      </c>
      <c r="V88" s="18">
        <f>'Author Response Entry'!$F$88</f>
        <v/>
      </c>
      <c r="W88" s="18">
        <f>'Author Response Entry'!$G$88</f>
        <v/>
      </c>
      <c r="X88" s="19">
        <f>'Author Response Entry'!$H$88</f>
        <v/>
      </c>
      <c r="Y88" s="18">
        <f>IF(T88="","",IF(T88="CUSTOM RESPONSE",U88,IF(T88="HOLD — NEEDS RESEARCH",IF(U88&lt;&gt;"",U88,"HOLD — NEEDS RESEARCH"),IF(T88="DEFER — NOT YET",IF(U88&lt;&gt;"",U88,"DEFER — NOT YET"),IF(T88="OPTION 1",O88,IF(T88="OPTION 2",U88,IF(T88="OPTION 3",Q88,IF(T88="OPTION 4",R88,""))))))))</f>
        <v/>
      </c>
      <c r="Z88" s="18">
        <f>IF(T88="","OPEN",IF(T88="CUSTOM RESPONSE",IF(U88="","OPEN — CUSTOM TEXT REQUIRED",IF(W88="","RESOLVED — ADD INITIALS/DATE",IF(X88="","RESOLVED — ADD INITIALS/DATE","RESOLVED"))),IF(T88="HOLD — NEEDS RESEARCH",IF(W88="","HOLD — ADD INITIALS/DATE",IF(X88="","HOLD — ADD INITIALS/DATE","HOLD")),IF(T88="DEFER — NOT YET",IF(W88="","DEFERRED — ADD INITIALS/DATE",IF(X88="","DEFERRED — ADD INITIALS/DATE","DEFERRED")),IF(T88="OPTION 1",IF(W88="","RESOLVED — ADD INITIALS/DATE",IF(X88="","RESOLVED — ADD INITIALS/DATE","RESOLVED")),IF(T88="OPTION 2",IF(U88="","OPEN — CUSTOM TEXT REQUIRED",IF(W88="","RESOLVED — ADD INITIALS/DATE",IF(X88="","RESOLVED — ADD INITIALS/DATE","RESOLVED"))),IF(T88="OPTION 3",IF(W88="","HOLD — ADD INITIALS/DATE",IF(X88="","HOLD — ADD INITIALS/DATE","HOLD")),IF(T88="OPTION 4",IF(W88="","HOLD — ADD INITIALS/DATE",IF(X88="","HOLD — ADD INITIALS/DATE","HOLD")),IF(W88="","RESOLVED — ADD INITIALS/DATE",IF(X88="","RESOLVED — ADD INITIALS/DATE","RESOLVED"))))))))))</f>
        <v/>
      </c>
      <c r="AA88" s="18" t="inlineStr">
        <is>
          <t>YES</t>
        </is>
      </c>
      <c r="AB88" s="18" t="inlineStr">
        <is>
          <t>Next controlled merge propagates decision to Row Ratification K:N. A wording review must not silently recode A/Q/D or authority tier.</t>
        </is>
      </c>
      <c r="AC88" s="18" t="inlineStr">
        <is>
          <t>Restoration A06–A12 — kinship/premortality</t>
        </is>
      </c>
      <c r="AD88" s="18" t="inlineStr">
        <is>
          <t>https://www.churchofjesuschrist.org/study/manual/eternal-marriage-student-manual/jesus-christ?lang=eng</t>
        </is>
      </c>
      <c r="AE88" s="18" t="inlineStr">
        <is>
          <t>Corpus-relative addition only; historical antecedence is a separate question.</t>
        </is>
      </c>
      <c r="AF88" s="18">
        <f>IF(F88&lt;&gt;"READY","NO",IF(Z88="OPEN","YES",IF(Z88="OPEN — CUSTOM TEXT REQUIRED","YES",IF(Z88="RESOLVED — ADD INITIALS/DATE","YES",IF(Z88="HOLD — ADD INITIALS/DATE","YES",IF(Z88="DEFERRED — ADD INITIALS/DATE","YES","NO"))))))</f>
        <v/>
      </c>
      <c r="AG88" s="18">
        <f>IF(AF88&lt;&gt;"YES","",IF(A88=IFERROR(MATCH("YES",$AF$2:$AF$105,0),0),"CURRENT",""))</f>
        <v/>
      </c>
      <c r="AH88" s="20">
        <f>IF(COUNTIF($B$2:$B$105,B88)&gt;1,"DUPLICATE","")</f>
        <v/>
      </c>
    </row>
    <row r="89" ht="15.75" customHeight="1" s="29">
      <c r="A89" s="7" t="n">
        <v>88</v>
      </c>
      <c r="B89" s="7" t="inlineStr">
        <is>
          <t>AUTH-RAT-RNR-A13</t>
        </is>
      </c>
      <c r="C89" s="7" t="inlineStr">
        <is>
          <t>G6 — Row Ratification</t>
        </is>
      </c>
      <c r="D89" s="7" t="inlineStr">
        <is>
          <t>Predicate/addition wording</t>
        </is>
      </c>
      <c r="E89" s="7" t="inlineStr">
        <is>
          <t>MEDIUM</t>
        </is>
      </c>
      <c r="F89" s="7" t="inlineStr">
        <is>
          <t>READY</t>
        </is>
      </c>
      <c r="G89" s="7" t="inlineStr">
        <is>
          <t>Row Ratification</t>
        </is>
      </c>
      <c r="H89" s="7" t="inlineStr">
        <is>
          <t>RNR-A13</t>
        </is>
      </c>
      <c r="I89" s="7" t="inlineStr">
        <is>
          <t>A75:N75</t>
        </is>
      </c>
      <c r="J89" s="7" t="inlineStr">
        <is>
          <t>Ratify RNR-A13: Elements are eternal.</t>
        </is>
      </c>
      <c r="K89" s="7" t="inlineStr">
        <is>
          <t>Is this public/ministry wording accurate, appropriately scoped, and fair enough to approve?</t>
        </is>
      </c>
      <c r="L89" s="7" t="inlineStr">
        <is>
          <t>Corpus: Restoration 26
Family/domain: Cosmology / ontology / embodiment
Public summary: Elements are eternal.
Current code/tier: Tier I
Provenance: Canonical scripture
Source/pointer: https://www.churchofjesuschrist.org/study/scriptures/dc-testament/dc/93?lang=eng
Locator/source note: D&amp;C 93:33
Public scope caution: Corpus-relative addition only; historical antecedence is a separate question.
Research status: CONTROLLED INTERNAL — addition authority/source wording should be author-ratified for public display</t>
        </is>
      </c>
      <c r="M89" s="7" t="inlineStr">
        <is>
          <t>Author decision = PENDING.</t>
        </is>
      </c>
      <c r="N89" s="7" t="inlineStr">
        <is>
          <t>Blocks M1/M2 public row copy until the row is APPROVED, REVISED, or intentionally HELD.</t>
        </is>
      </c>
      <c r="O89" s="7" t="inlineStr">
        <is>
          <t>APPROVE AS WRITTEN</t>
        </is>
      </c>
      <c r="P89" s="7" t="inlineStr">
        <is>
          <t>REVISE — enter complete replacement wording/scope note in Custom Response</t>
        </is>
      </c>
      <c r="Q89" s="7" t="inlineStr">
        <is>
          <t>HOLD — research-code review required before wording approval</t>
        </is>
      </c>
      <c r="R89" s="7" t="inlineStr">
        <is>
          <t>HOLD — source/scope review required before wording approval</t>
        </is>
      </c>
      <c r="S89" s="7" t="inlineStr">
        <is>
          <t>OPTION 2</t>
        </is>
      </c>
      <c r="T89" s="17">
        <f>'Author Response Entry'!$D$89</f>
        <v/>
      </c>
      <c r="U89" s="18">
        <f>'Author Response Entry'!$E$89</f>
        <v/>
      </c>
      <c r="V89" s="18">
        <f>'Author Response Entry'!$F$89</f>
        <v/>
      </c>
      <c r="W89" s="18">
        <f>'Author Response Entry'!$G$89</f>
        <v/>
      </c>
      <c r="X89" s="19">
        <f>'Author Response Entry'!$H$89</f>
        <v/>
      </c>
      <c r="Y89" s="18">
        <f>IF(T89="","",IF(T89="CUSTOM RESPONSE",U89,IF(T89="HOLD — NEEDS RESEARCH",IF(U89&lt;&gt;"",U89,"HOLD — NEEDS RESEARCH"),IF(T89="DEFER — NOT YET",IF(U89&lt;&gt;"",U89,"DEFER — NOT YET"),IF(T89="OPTION 1",O89,IF(T89="OPTION 2",U89,IF(T89="OPTION 3",Q89,IF(T89="OPTION 4",R89,""))))))))</f>
        <v/>
      </c>
      <c r="Z89" s="18">
        <f>IF(T89="","OPEN",IF(T89="CUSTOM RESPONSE",IF(U89="","OPEN — CUSTOM TEXT REQUIRED",IF(W89="","RESOLVED — ADD INITIALS/DATE",IF(X89="","RESOLVED — ADD INITIALS/DATE","RESOLVED"))),IF(T89="HOLD — NEEDS RESEARCH",IF(W89="","HOLD — ADD INITIALS/DATE",IF(X89="","HOLD — ADD INITIALS/DATE","HOLD")),IF(T89="DEFER — NOT YET",IF(W89="","DEFERRED — ADD INITIALS/DATE",IF(X89="","DEFERRED — ADD INITIALS/DATE","DEFERRED")),IF(T89="OPTION 1",IF(W89="","RESOLVED — ADD INITIALS/DATE",IF(X89="","RESOLVED — ADD INITIALS/DATE","RESOLVED")),IF(T89="OPTION 2",IF(U89="","OPEN — CUSTOM TEXT REQUIRED",IF(W89="","RESOLVED — ADD INITIALS/DATE",IF(X89="","RESOLVED — ADD INITIALS/DATE","RESOLVED"))),IF(T89="OPTION 3",IF(W89="","HOLD — ADD INITIALS/DATE",IF(X89="","HOLD — ADD INITIALS/DATE","HOLD")),IF(T89="OPTION 4",IF(W89="","HOLD — ADD INITIALS/DATE",IF(X89="","HOLD — ADD INITIALS/DATE","HOLD")),IF(W89="","RESOLVED — ADD INITIALS/DATE",IF(X89="","RESOLVED — ADD INITIALS/DATE","RESOLVED"))))))))))</f>
        <v/>
      </c>
      <c r="AA89" s="18" t="inlineStr">
        <is>
          <t>YES</t>
        </is>
      </c>
      <c r="AB89" s="18" t="inlineStr">
        <is>
          <t>Next controlled merge propagates decision to Row Ratification K:N. A wording review must not silently recode A/Q/D or authority tier.</t>
        </is>
      </c>
      <c r="AC89" s="18" t="inlineStr">
        <is>
          <t>Restoration A13–A18 — cosmology/ontology/embodiment</t>
        </is>
      </c>
      <c r="AD89" s="18" t="inlineStr">
        <is>
          <t>https://www.churchofjesuschrist.org/study/scriptures/dc-testament/dc/93?lang=eng</t>
        </is>
      </c>
      <c r="AE89" s="18" t="inlineStr">
        <is>
          <t>Corpus-relative addition only; historical antecedence is a separate question.</t>
        </is>
      </c>
      <c r="AF89" s="18">
        <f>IF(F89&lt;&gt;"READY","NO",IF(Z89="OPEN","YES",IF(Z89="OPEN — CUSTOM TEXT REQUIRED","YES",IF(Z89="RESOLVED — ADD INITIALS/DATE","YES",IF(Z89="HOLD — ADD INITIALS/DATE","YES",IF(Z89="DEFERRED — ADD INITIALS/DATE","YES","NO"))))))</f>
        <v/>
      </c>
      <c r="AG89" s="18">
        <f>IF(AF89&lt;&gt;"YES","",IF(A89=IFERROR(MATCH("YES",$AF$2:$AF$105,0),0),"CURRENT",""))</f>
        <v/>
      </c>
      <c r="AH89" s="20">
        <f>IF(COUNTIF($B$2:$B$105,B89)&gt;1,"DUPLICATE","")</f>
        <v/>
      </c>
    </row>
    <row r="90" ht="15.75" customHeight="1" s="29">
      <c r="A90" s="7" t="n">
        <v>89</v>
      </c>
      <c r="B90" s="7" t="inlineStr">
        <is>
          <t>AUTH-RAT-RNR-A14</t>
        </is>
      </c>
      <c r="C90" s="7" t="inlineStr">
        <is>
          <t>G6 — Row Ratification</t>
        </is>
      </c>
      <c r="D90" s="7" t="inlineStr">
        <is>
          <t>Predicate/addition wording</t>
        </is>
      </c>
      <c r="E90" s="7" t="inlineStr">
        <is>
          <t>MEDIUM</t>
        </is>
      </c>
      <c r="F90" s="7" t="inlineStr">
        <is>
          <t>READY</t>
        </is>
      </c>
      <c r="G90" s="7" t="inlineStr">
        <is>
          <t>Row Ratification</t>
        </is>
      </c>
      <c r="H90" s="7" t="inlineStr">
        <is>
          <t>RNR-A14</t>
        </is>
      </c>
      <c r="I90" s="7" t="inlineStr">
        <is>
          <t>A76:N76</t>
        </is>
      </c>
      <c r="J90" s="7" t="inlineStr">
        <is>
          <t>Ratify RNR-A14: Spirit is refined matter rather than immaterial substance.</t>
        </is>
      </c>
      <c r="K90" s="7" t="inlineStr">
        <is>
          <t>Is this public/ministry wording accurate, appropriately scoped, and fair enough to approve?</t>
        </is>
      </c>
      <c r="L90" s="7" t="inlineStr">
        <is>
          <t>Corpus: Restoration 26
Family/domain: Cosmology / ontology / embodiment
Public summary: Spirit is refined matter rather than immaterial substance.
Current code/tier: Tier I
Provenance: Canonical scripture
Source/pointer: https://www.churchofjesuschrist.org/study/scriptures/dc-testament/dc/131?lang=eng
Locator/source note: D&amp;C 131:7–8
Public scope caution: Corpus-relative addition only; historical antecedence is a separate question.
Research status: CONTROLLED INTERNAL — addition authority/source wording should be author-ratified for public display</t>
        </is>
      </c>
      <c r="M90" s="7" t="inlineStr">
        <is>
          <t>Author decision = PENDING.</t>
        </is>
      </c>
      <c r="N90" s="7" t="inlineStr">
        <is>
          <t>Blocks M1/M2 public row copy until the row is APPROVED, REVISED, or intentionally HELD.</t>
        </is>
      </c>
      <c r="O90" s="7" t="inlineStr">
        <is>
          <t>APPROVE AS WRITTEN</t>
        </is>
      </c>
      <c r="P90" s="7" t="inlineStr">
        <is>
          <t>REVISE — enter complete replacement wording/scope note in Custom Response</t>
        </is>
      </c>
      <c r="Q90" s="7" t="inlineStr">
        <is>
          <t>HOLD — research-code review required before wording approval</t>
        </is>
      </c>
      <c r="R90" s="7" t="inlineStr">
        <is>
          <t>HOLD — source/scope review required before wording approval</t>
        </is>
      </c>
      <c r="S90" s="7" t="inlineStr">
        <is>
          <t>OPTION 2</t>
        </is>
      </c>
      <c r="T90" s="17">
        <f>'Author Response Entry'!$D$90</f>
        <v/>
      </c>
      <c r="U90" s="18">
        <f>'Author Response Entry'!$E$90</f>
        <v/>
      </c>
      <c r="V90" s="18">
        <f>'Author Response Entry'!$F$90</f>
        <v/>
      </c>
      <c r="W90" s="18">
        <f>'Author Response Entry'!$G$90</f>
        <v/>
      </c>
      <c r="X90" s="19">
        <f>'Author Response Entry'!$H$90</f>
        <v/>
      </c>
      <c r="Y90" s="18">
        <f>IF(T90="","",IF(T90="CUSTOM RESPONSE",U90,IF(T90="HOLD — NEEDS RESEARCH",IF(U90&lt;&gt;"",U90,"HOLD — NEEDS RESEARCH"),IF(T90="DEFER — NOT YET",IF(U90&lt;&gt;"",U90,"DEFER — NOT YET"),IF(T90="OPTION 1",O90,IF(T90="OPTION 2",U90,IF(T90="OPTION 3",Q90,IF(T90="OPTION 4",R90,""))))))))</f>
        <v/>
      </c>
      <c r="Z90" s="18">
        <f>IF(T90="","OPEN",IF(T90="CUSTOM RESPONSE",IF(U90="","OPEN — CUSTOM TEXT REQUIRED",IF(W90="","RESOLVED — ADD INITIALS/DATE",IF(X90="","RESOLVED — ADD INITIALS/DATE","RESOLVED"))),IF(T90="HOLD — NEEDS RESEARCH",IF(W90="","HOLD — ADD INITIALS/DATE",IF(X90="","HOLD — ADD INITIALS/DATE","HOLD")),IF(T90="DEFER — NOT YET",IF(W90="","DEFERRED — ADD INITIALS/DATE",IF(X90="","DEFERRED — ADD INITIALS/DATE","DEFERRED")),IF(T90="OPTION 1",IF(W90="","RESOLVED — ADD INITIALS/DATE",IF(X90="","RESOLVED — ADD INITIALS/DATE","RESOLVED")),IF(T90="OPTION 2",IF(U90="","OPEN — CUSTOM TEXT REQUIRED",IF(W90="","RESOLVED — ADD INITIALS/DATE",IF(X90="","RESOLVED — ADD INITIALS/DATE","RESOLVED"))),IF(T90="OPTION 3",IF(W90="","HOLD — ADD INITIALS/DATE",IF(X90="","HOLD — ADD INITIALS/DATE","HOLD")),IF(T90="OPTION 4",IF(W90="","HOLD — ADD INITIALS/DATE",IF(X90="","HOLD — ADD INITIALS/DATE","HOLD")),IF(W90="","RESOLVED — ADD INITIALS/DATE",IF(X90="","RESOLVED — ADD INITIALS/DATE","RESOLVED"))))))))))</f>
        <v/>
      </c>
      <c r="AA90" s="18" t="inlineStr">
        <is>
          <t>YES</t>
        </is>
      </c>
      <c r="AB90" s="18" t="inlineStr">
        <is>
          <t>Next controlled merge propagates decision to Row Ratification K:N. A wording review must not silently recode A/Q/D or authority tier.</t>
        </is>
      </c>
      <c r="AC90" s="18" t="inlineStr">
        <is>
          <t>Restoration A13–A18 — cosmology/ontology/embodiment</t>
        </is>
      </c>
      <c r="AD90" s="18" t="inlineStr">
        <is>
          <t>https://www.churchofjesuschrist.org/study/scriptures/dc-testament/dc/131?lang=eng</t>
        </is>
      </c>
      <c r="AE90" s="18" t="inlineStr">
        <is>
          <t>Corpus-relative addition only; historical antecedence is a separate question.</t>
        </is>
      </c>
      <c r="AF90" s="18">
        <f>IF(F90&lt;&gt;"READY","NO",IF(Z90="OPEN","YES",IF(Z90="OPEN — CUSTOM TEXT REQUIRED","YES",IF(Z90="RESOLVED — ADD INITIALS/DATE","YES",IF(Z90="HOLD — ADD INITIALS/DATE","YES",IF(Z90="DEFERRED — ADD INITIALS/DATE","YES","NO"))))))</f>
        <v/>
      </c>
      <c r="AG90" s="18">
        <f>IF(AF90&lt;&gt;"YES","",IF(A90=IFERROR(MATCH("YES",$AF$2:$AF$105,0),0),"CURRENT",""))</f>
        <v/>
      </c>
      <c r="AH90" s="20">
        <f>IF(COUNTIF($B$2:$B$105,B90)&gt;1,"DUPLICATE","")</f>
        <v/>
      </c>
    </row>
    <row r="91" ht="15.75" customHeight="1" s="29">
      <c r="A91" s="7" t="n">
        <v>90</v>
      </c>
      <c r="B91" s="7" t="inlineStr">
        <is>
          <t>AUTH-RAT-RNR-A15</t>
        </is>
      </c>
      <c r="C91" s="7" t="inlineStr">
        <is>
          <t>G6 — Row Ratification</t>
        </is>
      </c>
      <c r="D91" s="7" t="inlineStr">
        <is>
          <t>Predicate/addition wording</t>
        </is>
      </c>
      <c r="E91" s="7" t="inlineStr">
        <is>
          <t>MEDIUM</t>
        </is>
      </c>
      <c r="F91" s="7" t="inlineStr">
        <is>
          <t>READY</t>
        </is>
      </c>
      <c r="G91" s="7" t="inlineStr">
        <is>
          <t>Row Ratification</t>
        </is>
      </c>
      <c r="H91" s="7" t="inlineStr">
        <is>
          <t>RNR-A15</t>
        </is>
      </c>
      <c r="I91" s="7" t="inlineStr">
        <is>
          <t>A77:N77</t>
        </is>
      </c>
      <c r="J91" s="7" t="inlineStr">
        <is>
          <t>Ratify RNR-A15: Divine creation organizes preexistent reality rather than creating all constituent reality from absolute nothing.</t>
        </is>
      </c>
      <c r="K91" s="7" t="inlineStr">
        <is>
          <t>Is this public/ministry wording accurate, appropriately scoped, and fair enough to approve?</t>
        </is>
      </c>
      <c r="L91" s="7" t="inlineStr">
        <is>
          <t>Corpus: Restoration 26
Family/domain: Cosmology / ontology / embodiment
Public summary: Divine creation organizes preexistent reality rather than creating all constituent reality from absolute nothing.
Current code/tier: Tier I
Provenance: Canonical scripture
Source/pointer: https://www.churchofjesuschrist.org/study/scriptures/pgp/abr/3?lang=eng
Locator/source note: Abraham 3:24; D&amp;C 93:29, 33
Public scope caution: Corpus-relative addition only; historical antecedence is a separate question.
Research status: CONTROLLED INTERNAL — addition authority/source wording should be author-ratified for public display</t>
        </is>
      </c>
      <c r="M91" s="7" t="inlineStr">
        <is>
          <t>Author decision = PENDING.</t>
        </is>
      </c>
      <c r="N91" s="7" t="inlineStr">
        <is>
          <t>Blocks M1/M2 public row copy until the row is APPROVED, REVISED, or intentionally HELD.</t>
        </is>
      </c>
      <c r="O91" s="7" t="inlineStr">
        <is>
          <t>APPROVE AS WRITTEN</t>
        </is>
      </c>
      <c r="P91" s="7" t="inlineStr">
        <is>
          <t>REVISE — enter complete replacement wording/scope note in Custom Response</t>
        </is>
      </c>
      <c r="Q91" s="7" t="inlineStr">
        <is>
          <t>HOLD — research-code review required before wording approval</t>
        </is>
      </c>
      <c r="R91" s="7" t="inlineStr">
        <is>
          <t>HOLD — source/scope review required before wording approval</t>
        </is>
      </c>
      <c r="S91" s="7" t="inlineStr">
        <is>
          <t>OPTION 2</t>
        </is>
      </c>
      <c r="T91" s="17">
        <f>'Author Response Entry'!$D$91</f>
        <v/>
      </c>
      <c r="U91" s="18">
        <f>'Author Response Entry'!$E$91</f>
        <v/>
      </c>
      <c r="V91" s="18">
        <f>'Author Response Entry'!$F$91</f>
        <v/>
      </c>
      <c r="W91" s="18">
        <f>'Author Response Entry'!$G$91</f>
        <v/>
      </c>
      <c r="X91" s="19">
        <f>'Author Response Entry'!$H$91</f>
        <v/>
      </c>
      <c r="Y91" s="18">
        <f>IF(T91="","",IF(T91="CUSTOM RESPONSE",U91,IF(T91="HOLD — NEEDS RESEARCH",IF(U91&lt;&gt;"",U91,"HOLD — NEEDS RESEARCH"),IF(T91="DEFER — NOT YET",IF(U91&lt;&gt;"",U91,"DEFER — NOT YET"),IF(T91="OPTION 1",O91,IF(T91="OPTION 2",U91,IF(T91="OPTION 3",Q91,IF(T91="OPTION 4",R91,""))))))))</f>
        <v/>
      </c>
      <c r="Z91" s="18">
        <f>IF(T91="","OPEN",IF(T91="CUSTOM RESPONSE",IF(U91="","OPEN — CUSTOM TEXT REQUIRED",IF(W91="","RESOLVED — ADD INITIALS/DATE",IF(X91="","RESOLVED — ADD INITIALS/DATE","RESOLVED"))),IF(T91="HOLD — NEEDS RESEARCH",IF(W91="","HOLD — ADD INITIALS/DATE",IF(X91="","HOLD — ADD INITIALS/DATE","HOLD")),IF(T91="DEFER — NOT YET",IF(W91="","DEFERRED — ADD INITIALS/DATE",IF(X91="","DEFERRED — ADD INITIALS/DATE","DEFERRED")),IF(T91="OPTION 1",IF(W91="","RESOLVED — ADD INITIALS/DATE",IF(X91="","RESOLVED — ADD INITIALS/DATE","RESOLVED")),IF(T91="OPTION 2",IF(U91="","OPEN — CUSTOM TEXT REQUIRED",IF(W91="","RESOLVED — ADD INITIALS/DATE",IF(X91="","RESOLVED — ADD INITIALS/DATE","RESOLVED"))),IF(T91="OPTION 3",IF(W91="","HOLD — ADD INITIALS/DATE",IF(X91="","HOLD — ADD INITIALS/DATE","HOLD")),IF(T91="OPTION 4",IF(W91="","HOLD — ADD INITIALS/DATE",IF(X91="","HOLD — ADD INITIALS/DATE","HOLD")),IF(W91="","RESOLVED — ADD INITIALS/DATE",IF(X91="","RESOLVED — ADD INITIALS/DATE","RESOLVED"))))))))))</f>
        <v/>
      </c>
      <c r="AA91" s="18" t="inlineStr">
        <is>
          <t>YES</t>
        </is>
      </c>
      <c r="AB91" s="18" t="inlineStr">
        <is>
          <t>Next controlled merge propagates decision to Row Ratification K:N. A wording review must not silently recode A/Q/D or authority tier.</t>
        </is>
      </c>
      <c r="AC91" s="18" t="inlineStr">
        <is>
          <t>Restoration A13–A18 — cosmology/ontology/embodiment</t>
        </is>
      </c>
      <c r="AD91" s="18" t="inlineStr">
        <is>
          <t>https://www.churchofjesuschrist.org/study/scriptures/pgp/abr/3?lang=eng</t>
        </is>
      </c>
      <c r="AE91" s="18" t="inlineStr">
        <is>
          <t>Corpus-relative addition only; historical antecedence is a separate question.</t>
        </is>
      </c>
      <c r="AF91" s="18">
        <f>IF(F91&lt;&gt;"READY","NO",IF(Z91="OPEN","YES",IF(Z91="OPEN — CUSTOM TEXT REQUIRED","YES",IF(Z91="RESOLVED — ADD INITIALS/DATE","YES",IF(Z91="HOLD — ADD INITIALS/DATE","YES",IF(Z91="DEFERRED — ADD INITIALS/DATE","YES","NO"))))))</f>
        <v/>
      </c>
      <c r="AG91" s="18">
        <f>IF(AF91&lt;&gt;"YES","",IF(A91=IFERROR(MATCH("YES",$AF$2:$AF$105,0),0),"CURRENT",""))</f>
        <v/>
      </c>
      <c r="AH91" s="20">
        <f>IF(COUNTIF($B$2:$B$105,B91)&gt;1,"DUPLICATE","")</f>
        <v/>
      </c>
    </row>
    <row r="92" ht="15.75" customHeight="1" s="29">
      <c r="A92" s="7" t="n">
        <v>91</v>
      </c>
      <c r="B92" s="7" t="inlineStr">
        <is>
          <t>AUTH-RAT-RNR-A16</t>
        </is>
      </c>
      <c r="C92" s="7" t="inlineStr">
        <is>
          <t>G6 — Row Ratification</t>
        </is>
      </c>
      <c r="D92" s="7" t="inlineStr">
        <is>
          <t>Predicate/addition wording</t>
        </is>
      </c>
      <c r="E92" s="7" t="inlineStr">
        <is>
          <t>MEDIUM</t>
        </is>
      </c>
      <c r="F92" s="7" t="inlineStr">
        <is>
          <t>READY</t>
        </is>
      </c>
      <c r="G92" s="7" t="inlineStr">
        <is>
          <t>Row Ratification</t>
        </is>
      </c>
      <c r="H92" s="7" t="inlineStr">
        <is>
          <t>RNR-A16</t>
        </is>
      </c>
      <c r="I92" s="7" t="inlineStr">
        <is>
          <t>A78:N78</t>
        </is>
      </c>
      <c r="J92" s="7" t="inlineStr">
        <is>
          <t>Ratify RNR-A16: The Light of Christ fills the immensity of space and functions as life, law, illumination, divine power, and governance.</t>
        </is>
      </c>
      <c r="K92" s="7" t="inlineStr">
        <is>
          <t>Is this public/ministry wording accurate, appropriately scoped, and fair enough to approve?</t>
        </is>
      </c>
      <c r="L92" s="7" t="inlineStr">
        <is>
          <t>Corpus: Restoration 26
Family/domain: Cosmology / ontology / embodiment
Public summary: The Light of Christ fills the immensity of space and functions as life, law, illumination, divine power, and governance.
Current code/tier: Tier I
Provenance: Canonical scripture
Source/pointer: https://www.churchofjesuschrist.org/study/scriptures/dc-testament/dc/88?lang=eng
Locator/source note: D&amp;C 88:6–13
Public scope caution: Corpus-relative addition only; historical antecedence is a separate question.
Research status: CONTROLLED INTERNAL — addition authority/source wording should be author-ratified for public display</t>
        </is>
      </c>
      <c r="M92" s="7" t="inlineStr">
        <is>
          <t>Author decision = PENDING.</t>
        </is>
      </c>
      <c r="N92" s="7" t="inlineStr">
        <is>
          <t>Blocks M1/M2 public row copy until the row is APPROVED, REVISED, or intentionally HELD.</t>
        </is>
      </c>
      <c r="O92" s="7" t="inlineStr">
        <is>
          <t>APPROVE AS WRITTEN</t>
        </is>
      </c>
      <c r="P92" s="7" t="inlineStr">
        <is>
          <t>REVISE — enter complete replacement wording/scope note in Custom Response</t>
        </is>
      </c>
      <c r="Q92" s="7" t="inlineStr">
        <is>
          <t>HOLD — research-code review required before wording approval</t>
        </is>
      </c>
      <c r="R92" s="7" t="inlineStr">
        <is>
          <t>HOLD — source/scope review required before wording approval</t>
        </is>
      </c>
      <c r="S92" s="7" t="inlineStr">
        <is>
          <t>OPTION 2</t>
        </is>
      </c>
      <c r="T92" s="17">
        <f>'Author Response Entry'!$D$92</f>
        <v/>
      </c>
      <c r="U92" s="18">
        <f>'Author Response Entry'!$E$92</f>
        <v/>
      </c>
      <c r="V92" s="18">
        <f>'Author Response Entry'!$F$92</f>
        <v/>
      </c>
      <c r="W92" s="18">
        <f>'Author Response Entry'!$G$92</f>
        <v/>
      </c>
      <c r="X92" s="19">
        <f>'Author Response Entry'!$H$92</f>
        <v/>
      </c>
      <c r="Y92" s="18">
        <f>IF(T92="","",IF(T92="CUSTOM RESPONSE",U92,IF(T92="HOLD — NEEDS RESEARCH",IF(U92&lt;&gt;"",U92,"HOLD — NEEDS RESEARCH"),IF(T92="DEFER — NOT YET",IF(U92&lt;&gt;"",U92,"DEFER — NOT YET"),IF(T92="OPTION 1",O92,IF(T92="OPTION 2",U92,IF(T92="OPTION 3",Q92,IF(T92="OPTION 4",R92,""))))))))</f>
        <v/>
      </c>
      <c r="Z92" s="18">
        <f>IF(T92="","OPEN",IF(T92="CUSTOM RESPONSE",IF(U92="","OPEN — CUSTOM TEXT REQUIRED",IF(W92="","RESOLVED — ADD INITIALS/DATE",IF(X92="","RESOLVED — ADD INITIALS/DATE","RESOLVED"))),IF(T92="HOLD — NEEDS RESEARCH",IF(W92="","HOLD — ADD INITIALS/DATE",IF(X92="","HOLD — ADD INITIALS/DATE","HOLD")),IF(T92="DEFER — NOT YET",IF(W92="","DEFERRED — ADD INITIALS/DATE",IF(X92="","DEFERRED — ADD INITIALS/DATE","DEFERRED")),IF(T92="OPTION 1",IF(W92="","RESOLVED — ADD INITIALS/DATE",IF(X92="","RESOLVED — ADD INITIALS/DATE","RESOLVED")),IF(T92="OPTION 2",IF(U92="","OPEN — CUSTOM TEXT REQUIRED",IF(W92="","RESOLVED — ADD INITIALS/DATE",IF(X92="","RESOLVED — ADD INITIALS/DATE","RESOLVED"))),IF(T92="OPTION 3",IF(W92="","HOLD — ADD INITIALS/DATE",IF(X92="","HOLD — ADD INITIALS/DATE","HOLD")),IF(T92="OPTION 4",IF(W92="","HOLD — ADD INITIALS/DATE",IF(X92="","HOLD — ADD INITIALS/DATE","HOLD")),IF(W92="","RESOLVED — ADD INITIALS/DATE",IF(X92="","RESOLVED — ADD INITIALS/DATE","RESOLVED"))))))))))</f>
        <v/>
      </c>
      <c r="AA92" s="18" t="inlineStr">
        <is>
          <t>YES</t>
        </is>
      </c>
      <c r="AB92" s="18" t="inlineStr">
        <is>
          <t>Next controlled merge propagates decision to Row Ratification K:N. A wording review must not silently recode A/Q/D or authority tier.</t>
        </is>
      </c>
      <c r="AC92" s="18" t="inlineStr">
        <is>
          <t>Restoration A13–A18 — cosmology/ontology/embodiment</t>
        </is>
      </c>
      <c r="AD92" s="18" t="inlineStr">
        <is>
          <t>https://www.churchofjesuschrist.org/study/scriptures/dc-testament/dc/88?lang=eng</t>
        </is>
      </c>
      <c r="AE92" s="18" t="inlineStr">
        <is>
          <t>Corpus-relative addition only; historical antecedence is a separate question.</t>
        </is>
      </c>
      <c r="AF92" s="18">
        <f>IF(F92&lt;&gt;"READY","NO",IF(Z92="OPEN","YES",IF(Z92="OPEN — CUSTOM TEXT REQUIRED","YES",IF(Z92="RESOLVED — ADD INITIALS/DATE","YES",IF(Z92="HOLD — ADD INITIALS/DATE","YES",IF(Z92="DEFERRED — ADD INITIALS/DATE","YES","NO"))))))</f>
        <v/>
      </c>
      <c r="AG92" s="18">
        <f>IF(AF92&lt;&gt;"YES","",IF(A92=IFERROR(MATCH("YES",$AF$2:$AF$105,0),0),"CURRENT",""))</f>
        <v/>
      </c>
      <c r="AH92" s="20">
        <f>IF(COUNTIF($B$2:$B$105,B92)&gt;1,"DUPLICATE","")</f>
        <v/>
      </c>
    </row>
    <row r="93" ht="15.75" customHeight="1" s="29">
      <c r="A93" s="7" t="n">
        <v>92</v>
      </c>
      <c r="B93" s="7" t="inlineStr">
        <is>
          <t>AUTH-RAT-RNR-A17</t>
        </is>
      </c>
      <c r="C93" s="7" t="inlineStr">
        <is>
          <t>G6 — Row Ratification</t>
        </is>
      </c>
      <c r="D93" s="7" t="inlineStr">
        <is>
          <t>Predicate/addition wording</t>
        </is>
      </c>
      <c r="E93" s="7" t="inlineStr">
        <is>
          <t>MEDIUM</t>
        </is>
      </c>
      <c r="F93" s="7" t="inlineStr">
        <is>
          <t>READY</t>
        </is>
      </c>
      <c r="G93" s="7" t="inlineStr">
        <is>
          <t>Row Ratification</t>
        </is>
      </c>
      <c r="H93" s="7" t="inlineStr">
        <is>
          <t>RNR-A17</t>
        </is>
      </c>
      <c r="I93" s="7" t="inlineStr">
        <is>
          <t>A79:N79</t>
        </is>
      </c>
      <c r="J93" s="7" t="inlineStr">
        <is>
          <t>Ratify RNR-A17: Spirit and element permanently and inseparably united constitute the condition for fulness of joy.</t>
        </is>
      </c>
      <c r="K93" s="7" t="inlineStr">
        <is>
          <t>Is this public/ministry wording accurate, appropriately scoped, and fair enough to approve?</t>
        </is>
      </c>
      <c r="L93" s="7" t="inlineStr">
        <is>
          <t>Corpus: Restoration 26
Family/domain: Cosmology / ontology / embodiment
Public summary: Spirit and element permanently and inseparably united constitute the condition for fulness of joy.
Current code/tier: Tier I
Provenance: Canonical scripture
Source/pointer: https://www.churchofjesuschrist.org/study/scriptures/dc-testament/dc/93?lang=eng
Locator/source note: D&amp;C 93:33–35
Public scope caution: Corpus-relative addition only; historical antecedence is a separate question.
Research status: CONTROLLED INTERNAL — addition authority/source wording should be author-ratified for public display</t>
        </is>
      </c>
      <c r="M93" s="7" t="inlineStr">
        <is>
          <t>Author decision = PENDING.</t>
        </is>
      </c>
      <c r="N93" s="7" t="inlineStr">
        <is>
          <t>Blocks M1/M2 public row copy until the row is APPROVED, REVISED, or intentionally HELD.</t>
        </is>
      </c>
      <c r="O93" s="7" t="inlineStr">
        <is>
          <t>APPROVE AS WRITTEN</t>
        </is>
      </c>
      <c r="P93" s="7" t="inlineStr">
        <is>
          <t>REVISE — enter complete replacement wording/scope note in Custom Response</t>
        </is>
      </c>
      <c r="Q93" s="7" t="inlineStr">
        <is>
          <t>HOLD — research-code review required before wording approval</t>
        </is>
      </c>
      <c r="R93" s="7" t="inlineStr">
        <is>
          <t>HOLD — source/scope review required before wording approval</t>
        </is>
      </c>
      <c r="S93" s="7" t="inlineStr">
        <is>
          <t>OPTION 2</t>
        </is>
      </c>
      <c r="T93" s="17">
        <f>'Author Response Entry'!$D$93</f>
        <v/>
      </c>
      <c r="U93" s="18">
        <f>'Author Response Entry'!$E$93</f>
        <v/>
      </c>
      <c r="V93" s="18">
        <f>'Author Response Entry'!$F$93</f>
        <v/>
      </c>
      <c r="W93" s="18">
        <f>'Author Response Entry'!$G$93</f>
        <v/>
      </c>
      <c r="X93" s="19">
        <f>'Author Response Entry'!$H$93</f>
        <v/>
      </c>
      <c r="Y93" s="18">
        <f>IF(T93="","",IF(T93="CUSTOM RESPONSE",U93,IF(T93="HOLD — NEEDS RESEARCH",IF(U93&lt;&gt;"",U93,"HOLD — NEEDS RESEARCH"),IF(T93="DEFER — NOT YET",IF(U93&lt;&gt;"",U93,"DEFER — NOT YET"),IF(T93="OPTION 1",O93,IF(T93="OPTION 2",U93,IF(T93="OPTION 3",Q93,IF(T93="OPTION 4",R93,""))))))))</f>
        <v/>
      </c>
      <c r="Z93" s="18">
        <f>IF(T93="","OPEN",IF(T93="CUSTOM RESPONSE",IF(U93="","OPEN — CUSTOM TEXT REQUIRED",IF(W93="","RESOLVED — ADD INITIALS/DATE",IF(X93="","RESOLVED — ADD INITIALS/DATE","RESOLVED"))),IF(T93="HOLD — NEEDS RESEARCH",IF(W93="","HOLD — ADD INITIALS/DATE",IF(X93="","HOLD — ADD INITIALS/DATE","HOLD")),IF(T93="DEFER — NOT YET",IF(W93="","DEFERRED — ADD INITIALS/DATE",IF(X93="","DEFERRED — ADD INITIALS/DATE","DEFERRED")),IF(T93="OPTION 1",IF(W93="","RESOLVED — ADD INITIALS/DATE",IF(X93="","RESOLVED — ADD INITIALS/DATE","RESOLVED")),IF(T93="OPTION 2",IF(U93="","OPEN — CUSTOM TEXT REQUIRED",IF(W93="","RESOLVED — ADD INITIALS/DATE",IF(X93="","RESOLVED — ADD INITIALS/DATE","RESOLVED"))),IF(T93="OPTION 3",IF(W93="","HOLD — ADD INITIALS/DATE",IF(X93="","HOLD — ADD INITIALS/DATE","HOLD")),IF(T93="OPTION 4",IF(W93="","HOLD — ADD INITIALS/DATE",IF(X93="","HOLD — ADD INITIALS/DATE","HOLD")),IF(W93="","RESOLVED — ADD INITIALS/DATE",IF(X93="","RESOLVED — ADD INITIALS/DATE","RESOLVED"))))))))))</f>
        <v/>
      </c>
      <c r="AA93" s="18" t="inlineStr">
        <is>
          <t>YES</t>
        </is>
      </c>
      <c r="AB93" s="18" t="inlineStr">
        <is>
          <t>Next controlled merge propagates decision to Row Ratification K:N. A wording review must not silently recode A/Q/D or authority tier.</t>
        </is>
      </c>
      <c r="AC93" s="18" t="inlineStr">
        <is>
          <t>Restoration A13–A18 — cosmology/ontology/embodiment</t>
        </is>
      </c>
      <c r="AD93" s="18" t="inlineStr">
        <is>
          <t>https://www.churchofjesuschrist.org/study/scriptures/dc-testament/dc/93?lang=eng</t>
        </is>
      </c>
      <c r="AE93" s="18" t="inlineStr">
        <is>
          <t>Corpus-relative addition only; historical antecedence is a separate question.</t>
        </is>
      </c>
      <c r="AF93" s="18">
        <f>IF(F93&lt;&gt;"READY","NO",IF(Z93="OPEN","YES",IF(Z93="OPEN — CUSTOM TEXT REQUIRED","YES",IF(Z93="RESOLVED — ADD INITIALS/DATE","YES",IF(Z93="HOLD — ADD INITIALS/DATE","YES",IF(Z93="DEFERRED — ADD INITIALS/DATE","YES","NO"))))))</f>
        <v/>
      </c>
      <c r="AG93" s="18">
        <f>IF(AF93&lt;&gt;"YES","",IF(A93=IFERROR(MATCH("YES",$AF$2:$AF$105,0),0),"CURRENT",""))</f>
        <v/>
      </c>
      <c r="AH93" s="20">
        <f>IF(COUNTIF($B$2:$B$105,B93)&gt;1,"DUPLICATE","")</f>
        <v/>
      </c>
    </row>
    <row r="94" ht="15.75" customHeight="1" s="29">
      <c r="A94" s="7" t="n">
        <v>93</v>
      </c>
      <c r="B94" s="7" t="inlineStr">
        <is>
          <t>AUTH-RAT-RNR-A18</t>
        </is>
      </c>
      <c r="C94" s="7" t="inlineStr">
        <is>
          <t>G6 — Row Ratification</t>
        </is>
      </c>
      <c r="D94" s="7" t="inlineStr">
        <is>
          <t>Predicate/addition wording</t>
        </is>
      </c>
      <c r="E94" s="7" t="inlineStr">
        <is>
          <t>MEDIUM</t>
        </is>
      </c>
      <c r="F94" s="7" t="inlineStr">
        <is>
          <t>READY</t>
        </is>
      </c>
      <c r="G94" s="7" t="inlineStr">
        <is>
          <t>Row Ratification</t>
        </is>
      </c>
      <c r="H94" s="7" t="inlineStr">
        <is>
          <t>RNR-A18</t>
        </is>
      </c>
      <c r="I94" s="7" t="inlineStr">
        <is>
          <t>A80:N80</t>
        </is>
      </c>
      <c r="J94" s="7" t="inlineStr">
        <is>
          <t>Ratify RNR-A18: Mortal social relationships can continue eternally when sealed and transformed by eternal glory.</t>
        </is>
      </c>
      <c r="K94" s="7" t="inlineStr">
        <is>
          <t>Is this public/ministry wording accurate, appropriately scoped, and fair enough to approve?</t>
        </is>
      </c>
      <c r="L94" s="7" t="inlineStr">
        <is>
          <t>Corpus: Restoration 26
Family/domain: Cosmology / ontology / embodiment
Public summary: Mortal social relationships can continue eternally when sealed and transformed by eternal glory.
Current code/tier: Tier I
Provenance: Canonical scripture
Source/pointer: https://www.churchofjesuschrist.org/study/scriptures/dc-testament/dc/130?lang=eng
Locator/source note: D&amp;C 130:2; 132:7, 19
Public scope caution: Corpus-relative addition only; historical antecedence is a separate question.
Research status: CONTROLLED INTERNAL — addition authority/source wording should be author-ratified for public display</t>
        </is>
      </c>
      <c r="M94" s="7" t="inlineStr">
        <is>
          <t>Author decision = PENDING.</t>
        </is>
      </c>
      <c r="N94" s="7" t="inlineStr">
        <is>
          <t>Blocks M1/M2 public row copy until the row is APPROVED, REVISED, or intentionally HELD.</t>
        </is>
      </c>
      <c r="O94" s="7" t="inlineStr">
        <is>
          <t>APPROVE AS WRITTEN</t>
        </is>
      </c>
      <c r="P94" s="7" t="inlineStr">
        <is>
          <t>REVISE — enter complete replacement wording/scope note in Custom Response</t>
        </is>
      </c>
      <c r="Q94" s="7" t="inlineStr">
        <is>
          <t>HOLD — research-code review required before wording approval</t>
        </is>
      </c>
      <c r="R94" s="7" t="inlineStr">
        <is>
          <t>HOLD — source/scope review required before wording approval</t>
        </is>
      </c>
      <c r="S94" s="7" t="inlineStr">
        <is>
          <t>OPTION 2</t>
        </is>
      </c>
      <c r="T94" s="17">
        <f>'Author Response Entry'!$D$94</f>
        <v/>
      </c>
      <c r="U94" s="18">
        <f>'Author Response Entry'!$E$94</f>
        <v/>
      </c>
      <c r="V94" s="18">
        <f>'Author Response Entry'!$F$94</f>
        <v/>
      </c>
      <c r="W94" s="18">
        <f>'Author Response Entry'!$G$94</f>
        <v/>
      </c>
      <c r="X94" s="19">
        <f>'Author Response Entry'!$H$94</f>
        <v/>
      </c>
      <c r="Y94" s="18">
        <f>IF(T94="","",IF(T94="CUSTOM RESPONSE",U94,IF(T94="HOLD — NEEDS RESEARCH",IF(U94&lt;&gt;"",U94,"HOLD — NEEDS RESEARCH"),IF(T94="DEFER — NOT YET",IF(U94&lt;&gt;"",U94,"DEFER — NOT YET"),IF(T94="OPTION 1",O94,IF(T94="OPTION 2",U94,IF(T94="OPTION 3",Q94,IF(T94="OPTION 4",R94,""))))))))</f>
        <v/>
      </c>
      <c r="Z94" s="18">
        <f>IF(T94="","OPEN",IF(T94="CUSTOM RESPONSE",IF(U94="","OPEN — CUSTOM TEXT REQUIRED",IF(W94="","RESOLVED — ADD INITIALS/DATE",IF(X94="","RESOLVED — ADD INITIALS/DATE","RESOLVED"))),IF(T94="HOLD — NEEDS RESEARCH",IF(W94="","HOLD — ADD INITIALS/DATE",IF(X94="","HOLD — ADD INITIALS/DATE","HOLD")),IF(T94="DEFER — NOT YET",IF(W94="","DEFERRED — ADD INITIALS/DATE",IF(X94="","DEFERRED — ADD INITIALS/DATE","DEFERRED")),IF(T94="OPTION 1",IF(W94="","RESOLVED — ADD INITIALS/DATE",IF(X94="","RESOLVED — ADD INITIALS/DATE","RESOLVED")),IF(T94="OPTION 2",IF(U94="","OPEN — CUSTOM TEXT REQUIRED",IF(W94="","RESOLVED — ADD INITIALS/DATE",IF(X94="","RESOLVED — ADD INITIALS/DATE","RESOLVED"))),IF(T94="OPTION 3",IF(W94="","HOLD — ADD INITIALS/DATE",IF(X94="","HOLD — ADD INITIALS/DATE","HOLD")),IF(T94="OPTION 4",IF(W94="","HOLD — ADD INITIALS/DATE",IF(X94="","HOLD — ADD INITIALS/DATE","HOLD")),IF(W94="","RESOLVED — ADD INITIALS/DATE",IF(X94="","RESOLVED — ADD INITIALS/DATE","RESOLVED"))))))))))</f>
        <v/>
      </c>
      <c r="AA94" s="18" t="inlineStr">
        <is>
          <t>YES</t>
        </is>
      </c>
      <c r="AB94" s="18" t="inlineStr">
        <is>
          <t>Next controlled merge propagates decision to Row Ratification K:N. A wording review must not silently recode A/Q/D or authority tier.</t>
        </is>
      </c>
      <c r="AC94" s="18" t="inlineStr">
        <is>
          <t>Restoration A13–A18 — cosmology/ontology/embodiment</t>
        </is>
      </c>
      <c r="AD94" s="18" t="inlineStr">
        <is>
          <t>https://www.churchofjesuschrist.org/study/scriptures/dc-testament/dc/130?lang=eng</t>
        </is>
      </c>
      <c r="AE94" s="18" t="inlineStr">
        <is>
          <t>Corpus-relative addition only; historical antecedence is a separate question.</t>
        </is>
      </c>
      <c r="AF94" s="18">
        <f>IF(F94&lt;&gt;"READY","NO",IF(Z94="OPEN","YES",IF(Z94="OPEN — CUSTOM TEXT REQUIRED","YES",IF(Z94="RESOLVED — ADD INITIALS/DATE","YES",IF(Z94="HOLD — ADD INITIALS/DATE","YES",IF(Z94="DEFERRED — ADD INITIALS/DATE","YES","NO"))))))</f>
        <v/>
      </c>
      <c r="AG94" s="18">
        <f>IF(AF94&lt;&gt;"YES","",IF(A94=IFERROR(MATCH("YES",$AF$2:$AF$105,0),0),"CURRENT",""))</f>
        <v/>
      </c>
      <c r="AH94" s="20">
        <f>IF(COUNTIF($B$2:$B$105,B94)&gt;1,"DUPLICATE","")</f>
        <v/>
      </c>
    </row>
    <row r="95" ht="15.75" customHeight="1" s="29">
      <c r="A95" s="7" t="n">
        <v>94</v>
      </c>
      <c r="B95" s="7" t="inlineStr">
        <is>
          <t>AUTH-RAT-RNR-A19</t>
        </is>
      </c>
      <c r="C95" s="7" t="inlineStr">
        <is>
          <t>G6 — Row Ratification</t>
        </is>
      </c>
      <c r="D95" s="7" t="inlineStr">
        <is>
          <t>Predicate/addition wording</t>
        </is>
      </c>
      <c r="E95" s="7" t="inlineStr">
        <is>
          <t>MEDIUM</t>
        </is>
      </c>
      <c r="F95" s="7" t="inlineStr">
        <is>
          <t>READY</t>
        </is>
      </c>
      <c r="G95" s="7" t="inlineStr">
        <is>
          <t>Row Ratification</t>
        </is>
      </c>
      <c r="H95" s="7" t="inlineStr">
        <is>
          <t>RNR-A19</t>
        </is>
      </c>
      <c r="I95" s="7" t="inlineStr">
        <is>
          <t>A81:N81</t>
        </is>
      </c>
      <c r="J95" s="7" t="inlineStr">
        <is>
          <t>Ratify RNR-A19: Human beings may receive divine fulness and become like God, canonically described as becoming gods.</t>
        </is>
      </c>
      <c r="K95" s="7" t="inlineStr">
        <is>
          <t>Is this public/ministry wording accurate, appropriately scoped, and fair enough to approve?</t>
        </is>
      </c>
      <c r="L95" s="7" t="inlineStr">
        <is>
          <t>Corpus: Restoration 26
Family/domain: Exaltation / eternal family / progression
Public summary: Human beings may receive divine fulness and become like God, canonically described as becoming gods.
Current code/tier: Tier I
Provenance: Canonical scripture
Source/pointer: https://www.churchofjesuschrist.org/study/scriptures/dc-testament/dc/132?lang=eng
Locator/source note: D&amp;C 132:19–20; 76:58; John 10:34–36
Public scope caution: Corpus-relative addition only; historical antecedence is a separate question.
Research status: CONTROLLED INTERNAL — addition authority/source wording should be author-ratified for public display</t>
        </is>
      </c>
      <c r="M95" s="7" t="inlineStr">
        <is>
          <t>Author decision = PENDING.</t>
        </is>
      </c>
      <c r="N95" s="7" t="inlineStr">
        <is>
          <t>Blocks M1/M2 public row copy until the row is APPROVED, REVISED, or intentionally HELD.</t>
        </is>
      </c>
      <c r="O95" s="7" t="inlineStr">
        <is>
          <t>APPROVE AS WRITTEN</t>
        </is>
      </c>
      <c r="P95" s="7" t="inlineStr">
        <is>
          <t>REVISE — enter complete replacement wording/scope note in Custom Response</t>
        </is>
      </c>
      <c r="Q95" s="7" t="inlineStr">
        <is>
          <t>HOLD — research-code review required before wording approval</t>
        </is>
      </c>
      <c r="R95" s="7" t="inlineStr">
        <is>
          <t>HOLD — source/scope review required before wording approval</t>
        </is>
      </c>
      <c r="S95" s="7" t="inlineStr">
        <is>
          <t>OPTION 2</t>
        </is>
      </c>
      <c r="T95" s="17">
        <f>'Author Response Entry'!$D$95</f>
        <v/>
      </c>
      <c r="U95" s="18">
        <f>'Author Response Entry'!$E$95</f>
        <v/>
      </c>
      <c r="V95" s="18">
        <f>'Author Response Entry'!$F$95</f>
        <v/>
      </c>
      <c r="W95" s="18">
        <f>'Author Response Entry'!$G$95</f>
        <v/>
      </c>
      <c r="X95" s="19">
        <f>'Author Response Entry'!$H$95</f>
        <v/>
      </c>
      <c r="Y95" s="18">
        <f>IF(T95="","",IF(T95="CUSTOM RESPONSE",U95,IF(T95="HOLD — NEEDS RESEARCH",IF(U95&lt;&gt;"",U95,"HOLD — NEEDS RESEARCH"),IF(T95="DEFER — NOT YET",IF(U95&lt;&gt;"",U95,"DEFER — NOT YET"),IF(T95="OPTION 1",O95,IF(T95="OPTION 2",U95,IF(T95="OPTION 3",Q95,IF(T95="OPTION 4",R95,""))))))))</f>
        <v/>
      </c>
      <c r="Z95" s="18">
        <f>IF(T95="","OPEN",IF(T95="CUSTOM RESPONSE",IF(U95="","OPEN — CUSTOM TEXT REQUIRED",IF(W95="","RESOLVED — ADD INITIALS/DATE",IF(X95="","RESOLVED — ADD INITIALS/DATE","RESOLVED"))),IF(T95="HOLD — NEEDS RESEARCH",IF(W95="","HOLD — ADD INITIALS/DATE",IF(X95="","HOLD — ADD INITIALS/DATE","HOLD")),IF(T95="DEFER — NOT YET",IF(W95="","DEFERRED — ADD INITIALS/DATE",IF(X95="","DEFERRED — ADD INITIALS/DATE","DEFERRED")),IF(T95="OPTION 1",IF(W95="","RESOLVED — ADD INITIALS/DATE",IF(X95="","RESOLVED — ADD INITIALS/DATE","RESOLVED")),IF(T95="OPTION 2",IF(U95="","OPEN — CUSTOM TEXT REQUIRED",IF(W95="","RESOLVED — ADD INITIALS/DATE",IF(X95="","RESOLVED — ADD INITIALS/DATE","RESOLVED"))),IF(T95="OPTION 3",IF(W95="","HOLD — ADD INITIALS/DATE",IF(X95="","HOLD — ADD INITIALS/DATE","HOLD")),IF(T95="OPTION 4",IF(W95="","HOLD — ADD INITIALS/DATE",IF(X95="","HOLD — ADD INITIALS/DATE","HOLD")),IF(W95="","RESOLVED — ADD INITIALS/DATE",IF(X95="","RESOLVED — ADD INITIALS/DATE","RESOLVED"))))))))))</f>
        <v/>
      </c>
      <c r="AA95" s="18" t="inlineStr">
        <is>
          <t>YES</t>
        </is>
      </c>
      <c r="AB95" s="18" t="inlineStr">
        <is>
          <t>Next controlled merge propagates decision to Row Ratification K:N. A wording review must not silently recode A/Q/D or authority tier.</t>
        </is>
      </c>
      <c r="AC95" s="18" t="inlineStr">
        <is>
          <t>Restoration A19–A26 — exaltation/family/progression</t>
        </is>
      </c>
      <c r="AD95" s="18" t="inlineStr">
        <is>
          <t>https://www.churchofjesuschrist.org/study/scriptures/dc-testament/dc/132?lang=eng</t>
        </is>
      </c>
      <c r="AE95" s="18" t="inlineStr">
        <is>
          <t>Corpus-relative addition only; historical antecedence is a separate question.</t>
        </is>
      </c>
      <c r="AF95" s="18">
        <f>IF(F95&lt;&gt;"READY","NO",IF(Z95="OPEN","YES",IF(Z95="OPEN — CUSTOM TEXT REQUIRED","YES",IF(Z95="RESOLVED — ADD INITIALS/DATE","YES",IF(Z95="HOLD — ADD INITIALS/DATE","YES",IF(Z95="DEFERRED — ADD INITIALS/DATE","YES","NO"))))))</f>
        <v/>
      </c>
      <c r="AG95" s="18">
        <f>IF(AF95&lt;&gt;"YES","",IF(A95=IFERROR(MATCH("YES",$AF$2:$AF$105,0),0),"CURRENT",""))</f>
        <v/>
      </c>
      <c r="AH95" s="20">
        <f>IF(COUNTIF($B$2:$B$105,B95)&gt;1,"DUPLICATE","")</f>
        <v/>
      </c>
    </row>
    <row r="96" ht="15.75" customHeight="1" s="29">
      <c r="A96" s="7" t="n">
        <v>95</v>
      </c>
      <c r="B96" s="7" t="inlineStr">
        <is>
          <t>AUTH-RAT-RNR-A20</t>
        </is>
      </c>
      <c r="C96" s="7" t="inlineStr">
        <is>
          <t>G6 — Row Ratification</t>
        </is>
      </c>
      <c r="D96" s="7" t="inlineStr">
        <is>
          <t>Predicate/addition wording</t>
        </is>
      </c>
      <c r="E96" s="7" t="inlineStr">
        <is>
          <t>MEDIUM</t>
        </is>
      </c>
      <c r="F96" s="7" t="inlineStr">
        <is>
          <t>READY</t>
        </is>
      </c>
      <c r="G96" s="7" t="inlineStr">
        <is>
          <t>Row Ratification</t>
        </is>
      </c>
      <c r="H96" s="7" t="inlineStr">
        <is>
          <t>RNR-A20</t>
        </is>
      </c>
      <c r="I96" s="7" t="inlineStr">
        <is>
          <t>A82:N82</t>
        </is>
      </c>
      <c r="J96" s="7" t="inlineStr">
        <is>
          <t>Ratify RNR-A20: Celestial marriage continues eternally.</t>
        </is>
      </c>
      <c r="K96" s="7" t="inlineStr">
        <is>
          <t>Is this public/ministry wording accurate, appropriately scoped, and fair enough to approve?</t>
        </is>
      </c>
      <c r="L96" s="7" t="inlineStr">
        <is>
          <t>Corpus: Restoration 26
Family/domain: Exaltation / eternal family / progression
Public summary: Celestial marriage continues eternally.
Current code/tier: Tier I
Provenance: Canonical scripture
Source/pointer: https://www.churchofjesuschrist.org/study/scriptures/dc-testament/dc/132?lang=eng
Locator/source note: D&amp;C 132:19
Public scope caution: Corpus-relative addition only; historical antecedence is a separate question.
Research status: CONTROLLED INTERNAL — addition authority/source wording should be author-ratified for public display</t>
        </is>
      </c>
      <c r="M96" s="7" t="inlineStr">
        <is>
          <t>Author decision = PENDING.</t>
        </is>
      </c>
      <c r="N96" s="7" t="inlineStr">
        <is>
          <t>Blocks M1/M2 public row copy until the row is APPROVED, REVISED, or intentionally HELD.</t>
        </is>
      </c>
      <c r="O96" s="7" t="inlineStr">
        <is>
          <t>APPROVE AS WRITTEN</t>
        </is>
      </c>
      <c r="P96" s="7" t="inlineStr">
        <is>
          <t>REVISE — enter complete replacement wording/scope note in Custom Response</t>
        </is>
      </c>
      <c r="Q96" s="7" t="inlineStr">
        <is>
          <t>HOLD — research-code review required before wording approval</t>
        </is>
      </c>
      <c r="R96" s="7" t="inlineStr">
        <is>
          <t>HOLD — source/scope review required before wording approval</t>
        </is>
      </c>
      <c r="S96" s="7" t="inlineStr">
        <is>
          <t>OPTION 2</t>
        </is>
      </c>
      <c r="T96" s="17">
        <f>'Author Response Entry'!$D$96</f>
        <v/>
      </c>
      <c r="U96" s="18">
        <f>'Author Response Entry'!$E$96</f>
        <v/>
      </c>
      <c r="V96" s="18">
        <f>'Author Response Entry'!$F$96</f>
        <v/>
      </c>
      <c r="W96" s="18">
        <f>'Author Response Entry'!$G$96</f>
        <v/>
      </c>
      <c r="X96" s="19">
        <f>'Author Response Entry'!$H$96</f>
        <v/>
      </c>
      <c r="Y96" s="18">
        <f>IF(T96="","",IF(T96="CUSTOM RESPONSE",U96,IF(T96="HOLD — NEEDS RESEARCH",IF(U96&lt;&gt;"",U96,"HOLD — NEEDS RESEARCH"),IF(T96="DEFER — NOT YET",IF(U96&lt;&gt;"",U96,"DEFER — NOT YET"),IF(T96="OPTION 1",O96,IF(T96="OPTION 2",U96,IF(T96="OPTION 3",Q96,IF(T96="OPTION 4",R96,""))))))))</f>
        <v/>
      </c>
      <c r="Z96" s="18">
        <f>IF(T96="","OPEN",IF(T96="CUSTOM RESPONSE",IF(U96="","OPEN — CUSTOM TEXT REQUIRED",IF(W96="","RESOLVED — ADD INITIALS/DATE",IF(X96="","RESOLVED — ADD INITIALS/DATE","RESOLVED"))),IF(T96="HOLD — NEEDS RESEARCH",IF(W96="","HOLD — ADD INITIALS/DATE",IF(X96="","HOLD — ADD INITIALS/DATE","HOLD")),IF(T96="DEFER — NOT YET",IF(W96="","DEFERRED — ADD INITIALS/DATE",IF(X96="","DEFERRED — ADD INITIALS/DATE","DEFERRED")),IF(T96="OPTION 1",IF(W96="","RESOLVED — ADD INITIALS/DATE",IF(X96="","RESOLVED — ADD INITIALS/DATE","RESOLVED")),IF(T96="OPTION 2",IF(U96="","OPEN — CUSTOM TEXT REQUIRED",IF(W96="","RESOLVED — ADD INITIALS/DATE",IF(X96="","RESOLVED — ADD INITIALS/DATE","RESOLVED"))),IF(T96="OPTION 3",IF(W96="","HOLD — ADD INITIALS/DATE",IF(X96="","HOLD — ADD INITIALS/DATE","HOLD")),IF(T96="OPTION 4",IF(W96="","HOLD — ADD INITIALS/DATE",IF(X96="","HOLD — ADD INITIALS/DATE","HOLD")),IF(W96="","RESOLVED — ADD INITIALS/DATE",IF(X96="","RESOLVED — ADD INITIALS/DATE","RESOLVED"))))))))))</f>
        <v/>
      </c>
      <c r="AA96" s="18" t="inlineStr">
        <is>
          <t>YES</t>
        </is>
      </c>
      <c r="AB96" s="18" t="inlineStr">
        <is>
          <t>Next controlled merge propagates decision to Row Ratification K:N. A wording review must not silently recode A/Q/D or authority tier.</t>
        </is>
      </c>
      <c r="AC96" s="18" t="inlineStr">
        <is>
          <t>Restoration A19–A26 — exaltation/family/progression</t>
        </is>
      </c>
      <c r="AD96" s="18" t="inlineStr">
        <is>
          <t>https://www.churchofjesuschrist.org/study/scriptures/dc-testament/dc/132?lang=eng</t>
        </is>
      </c>
      <c r="AE96" s="18" t="inlineStr">
        <is>
          <t>Corpus-relative addition only; historical antecedence is a separate question.</t>
        </is>
      </c>
      <c r="AF96" s="18">
        <f>IF(F96&lt;&gt;"READY","NO",IF(Z96="OPEN","YES",IF(Z96="OPEN — CUSTOM TEXT REQUIRED","YES",IF(Z96="RESOLVED — ADD INITIALS/DATE","YES",IF(Z96="HOLD — ADD INITIALS/DATE","YES",IF(Z96="DEFERRED — ADD INITIALS/DATE","YES","NO"))))))</f>
        <v/>
      </c>
      <c r="AG96" s="18">
        <f>IF(AF96&lt;&gt;"YES","",IF(A96=IFERROR(MATCH("YES",$AF$2:$AF$105,0),0),"CURRENT",""))</f>
        <v/>
      </c>
      <c r="AH96" s="20">
        <f>IF(COUNTIF($B$2:$B$105,B96)&gt;1,"DUPLICATE","")</f>
        <v/>
      </c>
    </row>
    <row r="97" ht="15.75" customHeight="1" s="29">
      <c r="A97" s="7" t="n">
        <v>96</v>
      </c>
      <c r="B97" s="7" t="inlineStr">
        <is>
          <t>AUTH-RAT-RNR-A21</t>
        </is>
      </c>
      <c r="C97" s="7" t="inlineStr">
        <is>
          <t>G6 — Row Ratification</t>
        </is>
      </c>
      <c r="D97" s="7" t="inlineStr">
        <is>
          <t>Predicate/addition wording</t>
        </is>
      </c>
      <c r="E97" s="7" t="inlineStr">
        <is>
          <t>MEDIUM</t>
        </is>
      </c>
      <c r="F97" s="7" t="inlineStr">
        <is>
          <t>READY</t>
        </is>
      </c>
      <c r="G97" s="7" t="inlineStr">
        <is>
          <t>Row Ratification</t>
        </is>
      </c>
      <c r="H97" s="7" t="inlineStr">
        <is>
          <t>RNR-A21</t>
        </is>
      </c>
      <c r="I97" s="7" t="inlineStr">
        <is>
          <t>A83:N83</t>
        </is>
      </c>
      <c r="J97" s="7" t="inlineStr">
        <is>
          <t>Ratify RNR-A21: Celestial marriage is required for the highest degree of exaltation.</t>
        </is>
      </c>
      <c r="K97" s="7" t="inlineStr">
        <is>
          <t>Is this public/ministry wording accurate, appropriately scoped, and fair enough to approve?</t>
        </is>
      </c>
      <c r="L97" s="7" t="inlineStr">
        <is>
          <t>Corpus: Restoration 26
Family/domain: Exaltation / eternal family / progression
Public summary: Celestial marriage is required for the highest degree of exaltation.
Current code/tier: Tier I
Provenance: Canonical scripture
Source/pointer: https://www.churchofjesuschrist.org/study/scriptures/dc-testament/dc/131?lang=eng
Locator/source note: D&amp;C 131:1–4
Public scope caution: Corpus-relative addition only; historical antecedence is a separate question.
Research status: CONTROLLED INTERNAL — addition authority/source wording should be author-ratified for public display</t>
        </is>
      </c>
      <c r="M97" s="7" t="inlineStr">
        <is>
          <t>Author decision = PENDING.</t>
        </is>
      </c>
      <c r="N97" s="7" t="inlineStr">
        <is>
          <t>Blocks M1/M2 public row copy until the row is APPROVED, REVISED, or intentionally HELD.</t>
        </is>
      </c>
      <c r="O97" s="7" t="inlineStr">
        <is>
          <t>APPROVE AS WRITTEN</t>
        </is>
      </c>
      <c r="P97" s="7" t="inlineStr">
        <is>
          <t>REVISE — enter complete replacement wording/scope note in Custom Response</t>
        </is>
      </c>
      <c r="Q97" s="7" t="inlineStr">
        <is>
          <t>HOLD — research-code review required before wording approval</t>
        </is>
      </c>
      <c r="R97" s="7" t="inlineStr">
        <is>
          <t>HOLD — source/scope review required before wording approval</t>
        </is>
      </c>
      <c r="S97" s="7" t="inlineStr">
        <is>
          <t>OPTION 2</t>
        </is>
      </c>
      <c r="T97" s="17">
        <f>'Author Response Entry'!$D$97</f>
        <v/>
      </c>
      <c r="U97" s="18">
        <f>'Author Response Entry'!$E$97</f>
        <v/>
      </c>
      <c r="V97" s="18">
        <f>'Author Response Entry'!$F$97</f>
        <v/>
      </c>
      <c r="W97" s="18">
        <f>'Author Response Entry'!$G$97</f>
        <v/>
      </c>
      <c r="X97" s="19">
        <f>'Author Response Entry'!$H$97</f>
        <v/>
      </c>
      <c r="Y97" s="18">
        <f>IF(T97="","",IF(T97="CUSTOM RESPONSE",U97,IF(T97="HOLD — NEEDS RESEARCH",IF(U97&lt;&gt;"",U97,"HOLD — NEEDS RESEARCH"),IF(T97="DEFER — NOT YET",IF(U97&lt;&gt;"",U97,"DEFER — NOT YET"),IF(T97="OPTION 1",O97,IF(T97="OPTION 2",U97,IF(T97="OPTION 3",Q97,IF(T97="OPTION 4",R97,""))))))))</f>
        <v/>
      </c>
      <c r="Z97" s="18">
        <f>IF(T97="","OPEN",IF(T97="CUSTOM RESPONSE",IF(U97="","OPEN — CUSTOM TEXT REQUIRED",IF(W97="","RESOLVED — ADD INITIALS/DATE",IF(X97="","RESOLVED — ADD INITIALS/DATE","RESOLVED"))),IF(T97="HOLD — NEEDS RESEARCH",IF(W97="","HOLD — ADD INITIALS/DATE",IF(X97="","HOLD — ADD INITIALS/DATE","HOLD")),IF(T97="DEFER — NOT YET",IF(W97="","DEFERRED — ADD INITIALS/DATE",IF(X97="","DEFERRED — ADD INITIALS/DATE","DEFERRED")),IF(T97="OPTION 1",IF(W97="","RESOLVED — ADD INITIALS/DATE",IF(X97="","RESOLVED — ADD INITIALS/DATE","RESOLVED")),IF(T97="OPTION 2",IF(U97="","OPEN — CUSTOM TEXT REQUIRED",IF(W97="","RESOLVED — ADD INITIALS/DATE",IF(X97="","RESOLVED — ADD INITIALS/DATE","RESOLVED"))),IF(T97="OPTION 3",IF(W97="","HOLD — ADD INITIALS/DATE",IF(X97="","HOLD — ADD INITIALS/DATE","HOLD")),IF(T97="OPTION 4",IF(W97="","HOLD — ADD INITIALS/DATE",IF(X97="","HOLD — ADD INITIALS/DATE","HOLD")),IF(W97="","RESOLVED — ADD INITIALS/DATE",IF(X97="","RESOLVED — ADD INITIALS/DATE","RESOLVED"))))))))))</f>
        <v/>
      </c>
      <c r="AA97" s="18" t="inlineStr">
        <is>
          <t>YES</t>
        </is>
      </c>
      <c r="AB97" s="18" t="inlineStr">
        <is>
          <t>Next controlled merge propagates decision to Row Ratification K:N. A wording review must not silently recode A/Q/D or authority tier.</t>
        </is>
      </c>
      <c r="AC97" s="18" t="inlineStr">
        <is>
          <t>Restoration A19–A26 — exaltation/family/progression</t>
        </is>
      </c>
      <c r="AD97" s="18" t="inlineStr">
        <is>
          <t>https://www.churchofjesuschrist.org/study/scriptures/dc-testament/dc/131?lang=eng</t>
        </is>
      </c>
      <c r="AE97" s="18" t="inlineStr">
        <is>
          <t>Corpus-relative addition only; historical antecedence is a separate question.</t>
        </is>
      </c>
      <c r="AF97" s="18">
        <f>IF(F97&lt;&gt;"READY","NO",IF(Z97="OPEN","YES",IF(Z97="OPEN — CUSTOM TEXT REQUIRED","YES",IF(Z97="RESOLVED — ADD INITIALS/DATE","YES",IF(Z97="HOLD — ADD INITIALS/DATE","YES",IF(Z97="DEFERRED — ADD INITIALS/DATE","YES","NO"))))))</f>
        <v/>
      </c>
      <c r="AG97" s="18">
        <f>IF(AF97&lt;&gt;"YES","",IF(A97=IFERROR(MATCH("YES",$AF$2:$AF$105,0),0),"CURRENT",""))</f>
        <v/>
      </c>
      <c r="AH97" s="20">
        <f>IF(COUNTIF($B$2:$B$105,B97)&gt;1,"DUPLICATE","")</f>
        <v/>
      </c>
    </row>
    <row r="98" ht="15.75" customHeight="1" s="29">
      <c r="A98" s="7" t="n">
        <v>97</v>
      </c>
      <c r="B98" s="7" t="inlineStr">
        <is>
          <t>AUTH-RAT-RNR-A22</t>
        </is>
      </c>
      <c r="C98" s="7" t="inlineStr">
        <is>
          <t>G6 — Row Ratification</t>
        </is>
      </c>
      <c r="D98" s="7" t="inlineStr">
        <is>
          <t>Predicate/addition wording</t>
        </is>
      </c>
      <c r="E98" s="7" t="inlineStr">
        <is>
          <t>MEDIUM</t>
        </is>
      </c>
      <c r="F98" s="7" t="inlineStr">
        <is>
          <t>READY</t>
        </is>
      </c>
      <c r="G98" s="7" t="inlineStr">
        <is>
          <t>Row Ratification</t>
        </is>
      </c>
      <c r="H98" s="7" t="inlineStr">
        <is>
          <t>RNR-A22</t>
        </is>
      </c>
      <c r="I98" s="7" t="inlineStr">
        <is>
          <t>A84:N84</t>
        </is>
      </c>
      <c r="J98" s="7" t="inlineStr">
        <is>
          <t>Ratify RNR-A22: Family relationships can be perpetuated eternally.</t>
        </is>
      </c>
      <c r="K98" s="7" t="inlineStr">
        <is>
          <t>Is this public/ministry wording accurate, appropriately scoped, and fair enough to approve?</t>
        </is>
      </c>
      <c r="L98" s="7" t="inlineStr">
        <is>
          <t>Corpus: Restoration 26
Family/domain: Exaltation / eternal family / progression
Public summary: Family relationships can be perpetuated eternally.
Current code/tier: Tier I
Provenance: Canonical scripture
Source/pointer: https://www.churchofjesuschrist.org/study/scriptures/dc-testament/dc/132?lang=eng
Locator/source note: D&amp;C 132:7, 19
Public scope caution: Corpus-relative addition only; historical antecedence is a separate question.
Research status: CONTROLLED INTERNAL — addition authority/source wording should be author-ratified for public display</t>
        </is>
      </c>
      <c r="M98" s="7" t="inlineStr">
        <is>
          <t>Author decision = PENDING.</t>
        </is>
      </c>
      <c r="N98" s="7" t="inlineStr">
        <is>
          <t>Blocks M1/M2 public row copy until the row is APPROVED, REVISED, or intentionally HELD.</t>
        </is>
      </c>
      <c r="O98" s="7" t="inlineStr">
        <is>
          <t>APPROVE AS WRITTEN</t>
        </is>
      </c>
      <c r="P98" s="7" t="inlineStr">
        <is>
          <t>REVISE — enter complete replacement wording/scope note in Custom Response</t>
        </is>
      </c>
      <c r="Q98" s="7" t="inlineStr">
        <is>
          <t>HOLD — research-code review required before wording approval</t>
        </is>
      </c>
      <c r="R98" s="7" t="inlineStr">
        <is>
          <t>HOLD — source/scope review required before wording approval</t>
        </is>
      </c>
      <c r="S98" s="7" t="inlineStr">
        <is>
          <t>OPTION 2</t>
        </is>
      </c>
      <c r="T98" s="17">
        <f>'Author Response Entry'!$D$98</f>
        <v/>
      </c>
      <c r="U98" s="18">
        <f>'Author Response Entry'!$E$98</f>
        <v/>
      </c>
      <c r="V98" s="18">
        <f>'Author Response Entry'!$F$98</f>
        <v/>
      </c>
      <c r="W98" s="18">
        <f>'Author Response Entry'!$G$98</f>
        <v/>
      </c>
      <c r="X98" s="19">
        <f>'Author Response Entry'!$H$98</f>
        <v/>
      </c>
      <c r="Y98" s="18">
        <f>IF(T98="","",IF(T98="CUSTOM RESPONSE",U98,IF(T98="HOLD — NEEDS RESEARCH",IF(U98&lt;&gt;"",U98,"HOLD — NEEDS RESEARCH"),IF(T98="DEFER — NOT YET",IF(U98&lt;&gt;"",U98,"DEFER — NOT YET"),IF(T98="OPTION 1",O98,IF(T98="OPTION 2",U98,IF(T98="OPTION 3",Q98,IF(T98="OPTION 4",R98,""))))))))</f>
        <v/>
      </c>
      <c r="Z98" s="18">
        <f>IF(T98="","OPEN",IF(T98="CUSTOM RESPONSE",IF(U98="","OPEN — CUSTOM TEXT REQUIRED",IF(W98="","RESOLVED — ADD INITIALS/DATE",IF(X98="","RESOLVED — ADD INITIALS/DATE","RESOLVED"))),IF(T98="HOLD — NEEDS RESEARCH",IF(W98="","HOLD — ADD INITIALS/DATE",IF(X98="","HOLD — ADD INITIALS/DATE","HOLD")),IF(T98="DEFER — NOT YET",IF(W98="","DEFERRED — ADD INITIALS/DATE",IF(X98="","DEFERRED — ADD INITIALS/DATE","DEFERRED")),IF(T98="OPTION 1",IF(W98="","RESOLVED — ADD INITIALS/DATE",IF(X98="","RESOLVED — ADD INITIALS/DATE","RESOLVED")),IF(T98="OPTION 2",IF(U98="","OPEN — CUSTOM TEXT REQUIRED",IF(W98="","RESOLVED — ADD INITIALS/DATE",IF(X98="","RESOLVED — ADD INITIALS/DATE","RESOLVED"))),IF(T98="OPTION 3",IF(W98="","HOLD — ADD INITIALS/DATE",IF(X98="","HOLD — ADD INITIALS/DATE","HOLD")),IF(T98="OPTION 4",IF(W98="","HOLD — ADD INITIALS/DATE",IF(X98="","HOLD — ADD INITIALS/DATE","HOLD")),IF(W98="","RESOLVED — ADD INITIALS/DATE",IF(X98="","RESOLVED — ADD INITIALS/DATE","RESOLVED"))))))))))</f>
        <v/>
      </c>
      <c r="AA98" s="18" t="inlineStr">
        <is>
          <t>YES</t>
        </is>
      </c>
      <c r="AB98" s="18" t="inlineStr">
        <is>
          <t>Next controlled merge propagates decision to Row Ratification K:N. A wording review must not silently recode A/Q/D or authority tier.</t>
        </is>
      </c>
      <c r="AC98" s="18" t="inlineStr">
        <is>
          <t>Restoration A19–A26 — exaltation/family/progression</t>
        </is>
      </c>
      <c r="AD98" s="18" t="inlineStr">
        <is>
          <t>https://www.churchofjesuschrist.org/study/scriptures/dc-testament/dc/132?lang=eng</t>
        </is>
      </c>
      <c r="AE98" s="18" t="inlineStr">
        <is>
          <t>Corpus-relative addition only; historical antecedence is a separate question.</t>
        </is>
      </c>
      <c r="AF98" s="18">
        <f>IF(F98&lt;&gt;"READY","NO",IF(Z98="OPEN","YES",IF(Z98="OPEN — CUSTOM TEXT REQUIRED","YES",IF(Z98="RESOLVED — ADD INITIALS/DATE","YES",IF(Z98="HOLD — ADD INITIALS/DATE","YES",IF(Z98="DEFERRED — ADD INITIALS/DATE","YES","NO"))))))</f>
        <v/>
      </c>
      <c r="AG98" s="18">
        <f>IF(AF98&lt;&gt;"YES","",IF(A98=IFERROR(MATCH("YES",$AF$2:$AF$105,0),0),"CURRENT",""))</f>
        <v/>
      </c>
      <c r="AH98" s="20">
        <f>IF(COUNTIF($B$2:$B$105,B98)&gt;1,"DUPLICATE","")</f>
        <v/>
      </c>
    </row>
    <row r="99" ht="15.75" customHeight="1" s="29">
      <c r="A99" s="7" t="n">
        <v>98</v>
      </c>
      <c r="B99" s="7" t="inlineStr">
        <is>
          <t>AUTH-RAT-RNR-A23</t>
        </is>
      </c>
      <c r="C99" s="7" t="inlineStr">
        <is>
          <t>G6 — Row Ratification</t>
        </is>
      </c>
      <c r="D99" s="7" t="inlineStr">
        <is>
          <t>Predicate/addition wording</t>
        </is>
      </c>
      <c r="E99" s="7" t="inlineStr">
        <is>
          <t>MEDIUM</t>
        </is>
      </c>
      <c r="F99" s="7" t="inlineStr">
        <is>
          <t>READY</t>
        </is>
      </c>
      <c r="G99" s="7" t="inlineStr">
        <is>
          <t>Row Ratification</t>
        </is>
      </c>
      <c r="H99" s="7" t="inlineStr">
        <is>
          <t>RNR-A23</t>
        </is>
      </c>
      <c r="I99" s="7" t="inlineStr">
        <is>
          <t>A85:N85</t>
        </is>
      </c>
      <c r="J99" s="7" t="inlineStr">
        <is>
          <t>Ratify RNR-A23: Exalted spouses receive continuation of the seeds / eternal increase.</t>
        </is>
      </c>
      <c r="K99" s="7" t="inlineStr">
        <is>
          <t>Is this public/ministry wording accurate, appropriately scoped, and fair enough to approve?</t>
        </is>
      </c>
      <c r="L99" s="7" t="inlineStr">
        <is>
          <t>Corpus: Restoration 26
Family/domain: Exaltation / eternal family / progression
Public summary: Exalted spouses receive continuation of the seeds / eternal increase.
Current code/tier: Tier I
Provenance: Canonical scripture
Source/pointer: https://www.churchofjesuschrist.org/study/scriptures/dc-testament/dc/132?lang=eng
Locator/source note: D&amp;C 132:19, 30–31
Public scope caution: Corpus-relative addition only; historical antecedence is a separate question.
Research status: CONTROLLED INTERNAL — addition authority/source wording should be author-ratified for public display</t>
        </is>
      </c>
      <c r="M99" s="7" t="inlineStr">
        <is>
          <t>Author decision = PENDING.</t>
        </is>
      </c>
      <c r="N99" s="7" t="inlineStr">
        <is>
          <t>Blocks M1/M2 public row copy until the row is APPROVED, REVISED, or intentionally HELD.</t>
        </is>
      </c>
      <c r="O99" s="7" t="inlineStr">
        <is>
          <t>APPROVE AS WRITTEN</t>
        </is>
      </c>
      <c r="P99" s="7" t="inlineStr">
        <is>
          <t>REVISE — enter complete replacement wording/scope note in Custom Response</t>
        </is>
      </c>
      <c r="Q99" s="7" t="inlineStr">
        <is>
          <t>HOLD — research-code review required before wording approval</t>
        </is>
      </c>
      <c r="R99" s="7" t="inlineStr">
        <is>
          <t>HOLD — source/scope review required before wording approval</t>
        </is>
      </c>
      <c r="S99" s="7" t="inlineStr">
        <is>
          <t>OPTION 2</t>
        </is>
      </c>
      <c r="T99" s="17">
        <f>'Author Response Entry'!$D$99</f>
        <v/>
      </c>
      <c r="U99" s="18">
        <f>'Author Response Entry'!$E$99</f>
        <v/>
      </c>
      <c r="V99" s="18">
        <f>'Author Response Entry'!$F$99</f>
        <v/>
      </c>
      <c r="W99" s="18">
        <f>'Author Response Entry'!$G$99</f>
        <v/>
      </c>
      <c r="X99" s="19">
        <f>'Author Response Entry'!$H$99</f>
        <v/>
      </c>
      <c r="Y99" s="18">
        <f>IF(T99="","",IF(T99="CUSTOM RESPONSE",U99,IF(T99="HOLD — NEEDS RESEARCH",IF(U99&lt;&gt;"",U99,"HOLD — NEEDS RESEARCH"),IF(T99="DEFER — NOT YET",IF(U99&lt;&gt;"",U99,"DEFER — NOT YET"),IF(T99="OPTION 1",O99,IF(T99="OPTION 2",U99,IF(T99="OPTION 3",Q99,IF(T99="OPTION 4",R99,""))))))))</f>
        <v/>
      </c>
      <c r="Z99" s="18">
        <f>IF(T99="","OPEN",IF(T99="CUSTOM RESPONSE",IF(U99="","OPEN — CUSTOM TEXT REQUIRED",IF(W99="","RESOLVED — ADD INITIALS/DATE",IF(X99="","RESOLVED — ADD INITIALS/DATE","RESOLVED"))),IF(T99="HOLD — NEEDS RESEARCH",IF(W99="","HOLD — ADD INITIALS/DATE",IF(X99="","HOLD — ADD INITIALS/DATE","HOLD")),IF(T99="DEFER — NOT YET",IF(W99="","DEFERRED — ADD INITIALS/DATE",IF(X99="","DEFERRED — ADD INITIALS/DATE","DEFERRED")),IF(T99="OPTION 1",IF(W99="","RESOLVED — ADD INITIALS/DATE",IF(X99="","RESOLVED — ADD INITIALS/DATE","RESOLVED")),IF(T99="OPTION 2",IF(U99="","OPEN — CUSTOM TEXT REQUIRED",IF(W99="","RESOLVED — ADD INITIALS/DATE",IF(X99="","RESOLVED — ADD INITIALS/DATE","RESOLVED"))),IF(T99="OPTION 3",IF(W99="","HOLD — ADD INITIALS/DATE",IF(X99="","HOLD — ADD INITIALS/DATE","HOLD")),IF(T99="OPTION 4",IF(W99="","HOLD — ADD INITIALS/DATE",IF(X99="","HOLD — ADD INITIALS/DATE","HOLD")),IF(W99="","RESOLVED — ADD INITIALS/DATE",IF(X99="","RESOLVED — ADD INITIALS/DATE","RESOLVED"))))))))))</f>
        <v/>
      </c>
      <c r="AA99" s="18" t="inlineStr">
        <is>
          <t>YES</t>
        </is>
      </c>
      <c r="AB99" s="18" t="inlineStr">
        <is>
          <t>Next controlled merge propagates decision to Row Ratification K:N. A wording review must not silently recode A/Q/D or authority tier.</t>
        </is>
      </c>
      <c r="AC99" s="18" t="inlineStr">
        <is>
          <t>Restoration A19–A26 — exaltation/family/progression</t>
        </is>
      </c>
      <c r="AD99" s="18" t="inlineStr">
        <is>
          <t>https://www.churchofjesuschrist.org/study/scriptures/dc-testament/dc/132?lang=eng</t>
        </is>
      </c>
      <c r="AE99" s="18" t="inlineStr">
        <is>
          <t>Corpus-relative addition only; historical antecedence is a separate question.</t>
        </is>
      </c>
      <c r="AF99" s="18">
        <f>IF(F99&lt;&gt;"READY","NO",IF(Z99="OPEN","YES",IF(Z99="OPEN — CUSTOM TEXT REQUIRED","YES",IF(Z99="RESOLVED — ADD INITIALS/DATE","YES",IF(Z99="HOLD — ADD INITIALS/DATE","YES",IF(Z99="DEFERRED — ADD INITIALS/DATE","YES","NO"))))))</f>
        <v/>
      </c>
      <c r="AG99" s="18">
        <f>IF(AF99&lt;&gt;"YES","",IF(A99=IFERROR(MATCH("YES",$AF$2:$AF$105,0),0),"CURRENT",""))</f>
        <v/>
      </c>
      <c r="AH99" s="20">
        <f>IF(COUNTIF($B$2:$B$105,B99)&gt;1,"DUPLICATE","")</f>
        <v/>
      </c>
    </row>
    <row r="100" ht="15.75" customHeight="1" s="29">
      <c r="A100" s="7" t="n">
        <v>99</v>
      </c>
      <c r="B100" s="7" t="inlineStr">
        <is>
          <t>AUTH-RAT-RNR-A24</t>
        </is>
      </c>
      <c r="C100" s="7" t="inlineStr">
        <is>
          <t>G6 — Row Ratification</t>
        </is>
      </c>
      <c r="D100" s="7" t="inlineStr">
        <is>
          <t>Predicate/addition wording</t>
        </is>
      </c>
      <c r="E100" s="7" t="inlineStr">
        <is>
          <t>MEDIUM</t>
        </is>
      </c>
      <c r="F100" s="7" t="inlineStr">
        <is>
          <t>READY</t>
        </is>
      </c>
      <c r="G100" s="7" t="inlineStr">
        <is>
          <t>Row Ratification</t>
        </is>
      </c>
      <c r="H100" s="7" t="inlineStr">
        <is>
          <t>RNR-A24</t>
        </is>
      </c>
      <c r="I100" s="7" t="inlineStr">
        <is>
          <t>A86:N86</t>
        </is>
      </c>
      <c r="J100" s="7" t="inlineStr">
        <is>
          <t>Ratify RNR-A24: Resurrected and glorified exalted beings become parents of spirit offspring.</t>
        </is>
      </c>
      <c r="K100" s="7" t="inlineStr">
        <is>
          <t>Is this public/ministry wording accurate, appropriately scoped, and fair enough to approve?</t>
        </is>
      </c>
      <c r="L100" s="7" t="inlineStr">
        <is>
          <t>Corpus: Restoration 26
Family/domain: Exaltation / eternal family / progression
Public summary: Resurrected and glorified exalted beings become parents of spirit offspring.
Current code/tier: Tier II
Provenance: Collective / strongly authoritative official doctrine
Source/pointer: https://www.churchofjesuschrist.org/study/manual/gospel-principles/chapter-47-exaltation?lang=eng
Locator/source note: Gospel Principles ch. 47; related official curriculum
Public scope caution: Eternal procreative parenthood is taught in the project source set; detailed mechanism is unrevealed.
Research status: CONTROLLED INTERNAL — addition authority/source wording should be author-ratified for public display</t>
        </is>
      </c>
      <c r="M100" s="7" t="inlineStr">
        <is>
          <t>Author decision = PENDING.</t>
        </is>
      </c>
      <c r="N100" s="7" t="inlineStr">
        <is>
          <t>Blocks M1/M2 public row copy until the row is APPROVED, REVISED, or intentionally HELD.</t>
        </is>
      </c>
      <c r="O100" s="7" t="inlineStr">
        <is>
          <t>APPROVE AS WRITTEN</t>
        </is>
      </c>
      <c r="P100" s="7" t="inlineStr">
        <is>
          <t>REVISE — enter complete replacement wording/scope note in Custom Response</t>
        </is>
      </c>
      <c r="Q100" s="7" t="inlineStr">
        <is>
          <t>HOLD — research-code review required before wording approval</t>
        </is>
      </c>
      <c r="R100" s="7" t="inlineStr">
        <is>
          <t>HOLD — source/scope review required before wording approval</t>
        </is>
      </c>
      <c r="S100" s="7" t="inlineStr">
        <is>
          <t>OPTION 2</t>
        </is>
      </c>
      <c r="T100" s="17">
        <f>'Author Response Entry'!$D$100</f>
        <v/>
      </c>
      <c r="U100" s="18">
        <f>'Author Response Entry'!$E$100</f>
        <v/>
      </c>
      <c r="V100" s="18">
        <f>'Author Response Entry'!$F$100</f>
        <v/>
      </c>
      <c r="W100" s="18">
        <f>'Author Response Entry'!$G$100</f>
        <v/>
      </c>
      <c r="X100" s="19">
        <f>'Author Response Entry'!$H$100</f>
        <v/>
      </c>
      <c r="Y100" s="18">
        <f>IF(T100="","",IF(T100="CUSTOM RESPONSE",U100,IF(T100="HOLD — NEEDS RESEARCH",IF(U100&lt;&gt;"",U100,"HOLD — NEEDS RESEARCH"),IF(T100="DEFER — NOT YET",IF(U100&lt;&gt;"",U100,"DEFER — NOT YET"),IF(T100="OPTION 1",O100,IF(T100="OPTION 2",U100,IF(T100="OPTION 3",Q100,IF(T100="OPTION 4",R100,""))))))))</f>
        <v/>
      </c>
      <c r="Z100" s="18">
        <f>IF(T100="","OPEN",IF(T100="CUSTOM RESPONSE",IF(U100="","OPEN — CUSTOM TEXT REQUIRED",IF(W100="","RESOLVED — ADD INITIALS/DATE",IF(X100="","RESOLVED — ADD INITIALS/DATE","RESOLVED"))),IF(T100="HOLD — NEEDS RESEARCH",IF(W100="","HOLD — ADD INITIALS/DATE",IF(X100="","HOLD — ADD INITIALS/DATE","HOLD")),IF(T100="DEFER — NOT YET",IF(W100="","DEFERRED — ADD INITIALS/DATE",IF(X100="","DEFERRED — ADD INITIALS/DATE","DEFERRED")),IF(T100="OPTION 1",IF(W100="","RESOLVED — ADD INITIALS/DATE",IF(X100="","RESOLVED — ADD INITIALS/DATE","RESOLVED")),IF(T100="OPTION 2",IF(U100="","OPEN — CUSTOM TEXT REQUIRED",IF(W100="","RESOLVED — ADD INITIALS/DATE",IF(X100="","RESOLVED — ADD INITIALS/DATE","RESOLVED"))),IF(T100="OPTION 3",IF(W100="","HOLD — ADD INITIALS/DATE",IF(X100="","HOLD — ADD INITIALS/DATE","HOLD")),IF(T100="OPTION 4",IF(W100="","HOLD — ADD INITIALS/DATE",IF(X100="","HOLD — ADD INITIALS/DATE","HOLD")),IF(W100="","RESOLVED — ADD INITIALS/DATE",IF(X100="","RESOLVED — ADD INITIALS/DATE","RESOLVED"))))))))))</f>
        <v/>
      </c>
      <c r="AA100" s="18" t="inlineStr">
        <is>
          <t>YES</t>
        </is>
      </c>
      <c r="AB100" s="18" t="inlineStr">
        <is>
          <t>Next controlled merge propagates decision to Row Ratification K:N. A wording review must not silently recode A/Q/D or authority tier.</t>
        </is>
      </c>
      <c r="AC100" s="18" t="inlineStr">
        <is>
          <t>Restoration A19–A26 — exaltation/family/progression</t>
        </is>
      </c>
      <c r="AD100" s="18" t="inlineStr">
        <is>
          <t>https://www.churchofjesuschrist.org/study/manual/gospel-principles/chapter-47-exaltation?lang=eng</t>
        </is>
      </c>
      <c r="AE100" s="18" t="inlineStr">
        <is>
          <t>Eternal procreative parenthood is taught in the project source set; detailed mechanism is unrevealed.</t>
        </is>
      </c>
      <c r="AF100" s="18">
        <f>IF(F100&lt;&gt;"READY","NO",IF(Z100="OPEN","YES",IF(Z100="OPEN — CUSTOM TEXT REQUIRED","YES",IF(Z100="RESOLVED — ADD INITIALS/DATE","YES",IF(Z100="HOLD — ADD INITIALS/DATE","YES",IF(Z100="DEFERRED — ADD INITIALS/DATE","YES","NO"))))))</f>
        <v/>
      </c>
      <c r="AG100" s="18">
        <f>IF(AF100&lt;&gt;"YES","",IF(A100=IFERROR(MATCH("YES",$AF$2:$AF$105,0),0),"CURRENT",""))</f>
        <v/>
      </c>
      <c r="AH100" s="20">
        <f>IF(COUNTIF($B$2:$B$105,B100)&gt;1,"DUPLICATE","")</f>
        <v/>
      </c>
    </row>
    <row r="101" ht="15.75" customHeight="1" s="29">
      <c r="A101" s="7" t="n">
        <v>100</v>
      </c>
      <c r="B101" s="7" t="inlineStr">
        <is>
          <t>AUTH-RAT-RNR-A25</t>
        </is>
      </c>
      <c r="C101" s="7" t="inlineStr">
        <is>
          <t>G6 — Row Ratification</t>
        </is>
      </c>
      <c r="D101" s="7" t="inlineStr">
        <is>
          <t>Predicate/addition wording</t>
        </is>
      </c>
      <c r="E101" s="7" t="inlineStr">
        <is>
          <t>HIGH</t>
        </is>
      </c>
      <c r="F101" s="7" t="inlineStr">
        <is>
          <t>READY</t>
        </is>
      </c>
      <c r="G101" s="7" t="inlineStr">
        <is>
          <t>Row Ratification</t>
        </is>
      </c>
      <c r="H101" s="7" t="inlineStr">
        <is>
          <t>RNR-A25</t>
        </is>
      </c>
      <c r="I101" s="7" t="inlineStr">
        <is>
          <t>A87:N87</t>
        </is>
      </c>
      <c r="J101" s="7" t="inlineStr">
        <is>
          <t>Ratify RNR-A25: Their spirit offspring subsequently pass through estates corresponding to those through which their glorified parents attained exaltation.</t>
        </is>
      </c>
      <c r="K101" s="7" t="inlineStr">
        <is>
          <t>Is this public/ministry wording accurate, appropriately scoped, and fair enough to approve?</t>
        </is>
      </c>
      <c r="L101" s="7" t="inlineStr">
        <is>
          <t>Corpus: Restoration 26
Family/domain: Exaltation / eternal family / progression
Public summary: Their spirit offspring subsequently pass through estates corresponding to those through which their glorified parents attained exaltation.
Current code/tier: Tier III
Provenance: Attributable prophetic / apostolic exposition
Source/pointer: https://www.churchofjesuschrist.org/study/manual/teachings-of-presidents-of-the-church-lorenzo-snow/chapter-5-the-grand-destiny-of-the-faithful?lang=eng
Locator/source note: Lorenzo Snow and later prophetic exposition
Public scope caution: Tier III; detailed estate-sequence mechanics are not revealed and should be taught cautiously.
Research status: CONTROLLED INTERNAL — addition authority/source wording should be author-ratified for public display</t>
        </is>
      </c>
      <c r="M101" s="7" t="inlineStr">
        <is>
          <t>Author decision = PENDING.</t>
        </is>
      </c>
      <c r="N101" s="7" t="inlineStr">
        <is>
          <t>Blocks M1/M2 public row copy until the row is APPROVED, REVISED, or intentionally HELD.</t>
        </is>
      </c>
      <c r="O101" s="7" t="inlineStr">
        <is>
          <t>APPROVE AS WRITTEN</t>
        </is>
      </c>
      <c r="P101" s="7" t="inlineStr">
        <is>
          <t>REVISE — enter complete replacement wording/scope note in Custom Response</t>
        </is>
      </c>
      <c r="Q101" s="7" t="inlineStr">
        <is>
          <t>HOLD — research-code review required before wording approval</t>
        </is>
      </c>
      <c r="R101" s="7" t="inlineStr">
        <is>
          <t>HOLD — source/scope review required before wording approval</t>
        </is>
      </c>
      <c r="S101" s="7" t="inlineStr">
        <is>
          <t>OPTION 2</t>
        </is>
      </c>
      <c r="T101" s="17">
        <f>'Author Response Entry'!$D$101</f>
        <v/>
      </c>
      <c r="U101" s="18">
        <f>'Author Response Entry'!$E$101</f>
        <v/>
      </c>
      <c r="V101" s="18">
        <f>'Author Response Entry'!$F$101</f>
        <v/>
      </c>
      <c r="W101" s="18">
        <f>'Author Response Entry'!$G$101</f>
        <v/>
      </c>
      <c r="X101" s="19">
        <f>'Author Response Entry'!$H$101</f>
        <v/>
      </c>
      <c r="Y101" s="18">
        <f>IF(T101="","",IF(T101="CUSTOM RESPONSE",U101,IF(T101="HOLD — NEEDS RESEARCH",IF(U101&lt;&gt;"",U101,"HOLD — NEEDS RESEARCH"),IF(T101="DEFER — NOT YET",IF(U101&lt;&gt;"",U101,"DEFER — NOT YET"),IF(T101="OPTION 1",O101,IF(T101="OPTION 2",U101,IF(T101="OPTION 3",Q101,IF(T101="OPTION 4",R101,""))))))))</f>
        <v/>
      </c>
      <c r="Z101" s="18">
        <f>IF(T101="","OPEN",IF(T101="CUSTOM RESPONSE",IF(U101="","OPEN — CUSTOM TEXT REQUIRED",IF(W101="","RESOLVED — ADD INITIALS/DATE",IF(X101="","RESOLVED — ADD INITIALS/DATE","RESOLVED"))),IF(T101="HOLD — NEEDS RESEARCH",IF(W101="","HOLD — ADD INITIALS/DATE",IF(X101="","HOLD — ADD INITIALS/DATE","HOLD")),IF(T101="DEFER — NOT YET",IF(W101="","DEFERRED — ADD INITIALS/DATE",IF(X101="","DEFERRED — ADD INITIALS/DATE","DEFERRED")),IF(T101="OPTION 1",IF(W101="","RESOLVED — ADD INITIALS/DATE",IF(X101="","RESOLVED — ADD INITIALS/DATE","RESOLVED")),IF(T101="OPTION 2",IF(U101="","OPEN — CUSTOM TEXT REQUIRED",IF(W101="","RESOLVED — ADD INITIALS/DATE",IF(X101="","RESOLVED — ADD INITIALS/DATE","RESOLVED"))),IF(T101="OPTION 3",IF(W101="","HOLD — ADD INITIALS/DATE",IF(X101="","HOLD — ADD INITIALS/DATE","HOLD")),IF(T101="OPTION 4",IF(W101="","HOLD — ADD INITIALS/DATE",IF(X101="","HOLD — ADD INITIALS/DATE","HOLD")),IF(W101="","RESOLVED — ADD INITIALS/DATE",IF(X101="","RESOLVED — ADD INITIALS/DATE","RESOLVED"))))))))))</f>
        <v/>
      </c>
      <c r="AA101" s="18" t="inlineStr">
        <is>
          <t>YES</t>
        </is>
      </c>
      <c r="AB101" s="18" t="inlineStr">
        <is>
          <t>Next controlled merge propagates decision to Row Ratification K:N. A wording review must not silently recode A/Q/D or authority tier.</t>
        </is>
      </c>
      <c r="AC101" s="18" t="inlineStr">
        <is>
          <t>Restoration A19–A26 — exaltation/family/progression</t>
        </is>
      </c>
      <c r="AD101" s="18" t="inlineStr">
        <is>
          <t>https://www.churchofjesuschrist.org/study/manual/teachings-of-presidents-of-the-church-lorenzo-snow/chapter-5-the-grand-destiny-of-the-faithful?lang=eng</t>
        </is>
      </c>
      <c r="AE101" s="18" t="inlineStr">
        <is>
          <t>Tier III; detailed estate-sequence mechanics are not revealed and should be taught cautiously.</t>
        </is>
      </c>
      <c r="AF101" s="18">
        <f>IF(F101&lt;&gt;"READY","NO",IF(Z101="OPEN","YES",IF(Z101="OPEN — CUSTOM TEXT REQUIRED","YES",IF(Z101="RESOLVED — ADD INITIALS/DATE","YES",IF(Z101="HOLD — ADD INITIALS/DATE","YES",IF(Z101="DEFERRED — ADD INITIALS/DATE","YES","NO"))))))</f>
        <v/>
      </c>
      <c r="AG101" s="18">
        <f>IF(AF101&lt;&gt;"YES","",IF(A101=IFERROR(MATCH("YES",$AF$2:$AF$105,0),0),"CURRENT",""))</f>
        <v/>
      </c>
      <c r="AH101" s="20">
        <f>IF(COUNTIF($B$2:$B$105,B101)&gt;1,"DUPLICATE","")</f>
        <v/>
      </c>
    </row>
    <row r="102" ht="15.75" customHeight="1" s="29">
      <c r="A102" s="7" t="n">
        <v>101</v>
      </c>
      <c r="B102" s="7" t="inlineStr">
        <is>
          <t>AUTH-RAT-RNR-A26</t>
        </is>
      </c>
      <c r="C102" s="7" t="inlineStr">
        <is>
          <t>G6 — Row Ratification</t>
        </is>
      </c>
      <c r="D102" s="7" t="inlineStr">
        <is>
          <t>Predicate/addition wording</t>
        </is>
      </c>
      <c r="E102" s="7" t="inlineStr">
        <is>
          <t>HIGH</t>
        </is>
      </c>
      <c r="F102" s="7" t="inlineStr">
        <is>
          <t>READY</t>
        </is>
      </c>
      <c r="G102" s="7" t="inlineStr">
        <is>
          <t>Row Ratification</t>
        </is>
      </c>
      <c r="H102" s="7" t="inlineStr">
        <is>
          <t>RNR-A26</t>
        </is>
      </c>
      <c r="I102" s="7" t="inlineStr">
        <is>
          <t>A88:N88</t>
        </is>
      </c>
      <c r="J102" s="7" t="inlineStr">
        <is>
          <t>Ratify RNR-A26: Exalted existence entails continuing increase in knowledge, wisdom, power, glory, relationship, posterity, and divine capacity.</t>
        </is>
      </c>
      <c r="K102" s="7" t="inlineStr">
        <is>
          <t>Is this public/ministry wording accurate, appropriately scoped, and fair enough to approve?</t>
        </is>
      </c>
      <c r="L102" s="7" t="inlineStr">
        <is>
          <t>Corpus: Restoration 26
Family/domain: Exaltation / eternal family / progression
Public summary: Exalted existence entails continuing increase in knowledge, wisdom, power, glory, relationship, posterity, and divine capacity.
Current code/tier: Tier III
Provenance: Attributable prophetic / apostolic exposition
Source/pointer: https://www.churchofjesuschrist.org/study/manual/teachings-of-presidents-of-the-church-lorenzo-snow/chapter-5-the-grand-destiny-of-the-faithful?lang=eng
Locator/source note: Lorenzo Snow and related prophetic exposition; D&amp;C 130:18–19; 132:19–20
Public scope caution: Corpus-relative addition only; historical antecedence is a separate question.
Research status: CONTROLLED INTERNAL — addition authority/source wording should be author-ratified for public display</t>
        </is>
      </c>
      <c r="M102" s="7" t="inlineStr">
        <is>
          <t>Author decision = PENDING.</t>
        </is>
      </c>
      <c r="N102" s="7" t="inlineStr">
        <is>
          <t>Blocks M1/M2 public row copy until the row is APPROVED, REVISED, or intentionally HELD.</t>
        </is>
      </c>
      <c r="O102" s="7" t="inlineStr">
        <is>
          <t>APPROVE AS WRITTEN</t>
        </is>
      </c>
      <c r="P102" s="7" t="inlineStr">
        <is>
          <t>REVISE — enter complete replacement wording/scope note in Custom Response</t>
        </is>
      </c>
      <c r="Q102" s="7" t="inlineStr">
        <is>
          <t>HOLD — research-code review required before wording approval</t>
        </is>
      </c>
      <c r="R102" s="7" t="inlineStr">
        <is>
          <t>HOLD — source/scope review required before wording approval</t>
        </is>
      </c>
      <c r="S102" s="7" t="inlineStr">
        <is>
          <t>OPTION 2</t>
        </is>
      </c>
      <c r="T102" s="17">
        <f>'Author Response Entry'!$D$102</f>
        <v/>
      </c>
      <c r="U102" s="18">
        <f>'Author Response Entry'!$E$102</f>
        <v/>
      </c>
      <c r="V102" s="18">
        <f>'Author Response Entry'!$F$102</f>
        <v/>
      </c>
      <c r="W102" s="18">
        <f>'Author Response Entry'!$G$102</f>
        <v/>
      </c>
      <c r="X102" s="19">
        <f>'Author Response Entry'!$H$102</f>
        <v/>
      </c>
      <c r="Y102" s="18">
        <f>IF(T102="","",IF(T102="CUSTOM RESPONSE",U102,IF(T102="HOLD — NEEDS RESEARCH",IF(U102&lt;&gt;"",U102,"HOLD — NEEDS RESEARCH"),IF(T102="DEFER — NOT YET",IF(U102&lt;&gt;"",U102,"DEFER — NOT YET"),IF(T102="OPTION 1",O102,IF(T102="OPTION 2",U102,IF(T102="OPTION 3",Q102,IF(T102="OPTION 4",R102,""))))))))</f>
        <v/>
      </c>
      <c r="Z102" s="18">
        <f>IF(T102="","OPEN",IF(T102="CUSTOM RESPONSE",IF(U102="","OPEN — CUSTOM TEXT REQUIRED",IF(W102="","RESOLVED — ADD INITIALS/DATE",IF(X102="","RESOLVED — ADD INITIALS/DATE","RESOLVED"))),IF(T102="HOLD — NEEDS RESEARCH",IF(W102="","HOLD — ADD INITIALS/DATE",IF(X102="","HOLD — ADD INITIALS/DATE","HOLD")),IF(T102="DEFER — NOT YET",IF(W102="","DEFERRED — ADD INITIALS/DATE",IF(X102="","DEFERRED — ADD INITIALS/DATE","DEFERRED")),IF(T102="OPTION 1",IF(W102="","RESOLVED — ADD INITIALS/DATE",IF(X102="","RESOLVED — ADD INITIALS/DATE","RESOLVED")),IF(T102="OPTION 2",IF(U102="","OPEN — CUSTOM TEXT REQUIRED",IF(W102="","RESOLVED — ADD INITIALS/DATE",IF(X102="","RESOLVED — ADD INITIALS/DATE","RESOLVED"))),IF(T102="OPTION 3",IF(W102="","HOLD — ADD INITIALS/DATE",IF(X102="","HOLD — ADD INITIALS/DATE","HOLD")),IF(T102="OPTION 4",IF(W102="","HOLD — ADD INITIALS/DATE",IF(X102="","HOLD — ADD INITIALS/DATE","HOLD")),IF(W102="","RESOLVED — ADD INITIALS/DATE",IF(X102="","RESOLVED — ADD INITIALS/DATE","RESOLVED"))))))))))</f>
        <v/>
      </c>
      <c r="AA102" s="18" t="inlineStr">
        <is>
          <t>YES</t>
        </is>
      </c>
      <c r="AB102" s="18" t="inlineStr">
        <is>
          <t>Next controlled merge propagates decision to Row Ratification K:N. A wording review must not silently recode A/Q/D or authority tier.</t>
        </is>
      </c>
      <c r="AC102" s="18" t="inlineStr">
        <is>
          <t>Restoration A19–A26 — exaltation/family/progression</t>
        </is>
      </c>
      <c r="AD102" s="18" t="inlineStr">
        <is>
          <t>https://www.churchofjesuschrist.org/study/manual/teachings-of-presidents-of-the-church-lorenzo-snow/chapter-5-the-grand-destiny-of-the-faithful?lang=eng</t>
        </is>
      </c>
      <c r="AE102" s="18" t="inlineStr">
        <is>
          <t>Corpus-relative addition only; historical antecedence is a separate question.</t>
        </is>
      </c>
      <c r="AF102" s="18">
        <f>IF(F102&lt;&gt;"READY","NO",IF(Z102="OPEN","YES",IF(Z102="OPEN — CUSTOM TEXT REQUIRED","YES",IF(Z102="RESOLVED — ADD INITIALS/DATE","YES",IF(Z102="HOLD — ADD INITIALS/DATE","YES",IF(Z102="DEFERRED — ADD INITIALS/DATE","YES","NO"))))))</f>
        <v/>
      </c>
      <c r="AG102" s="18">
        <f>IF(AF102&lt;&gt;"YES","",IF(A102=IFERROR(MATCH("YES",$AF$2:$AF$105,0),0),"CURRENT",""))</f>
        <v/>
      </c>
      <c r="AH102" s="20">
        <f>IF(COUNTIF($B$2:$B$105,B102)&gt;1,"DUPLICATE","")</f>
        <v/>
      </c>
    </row>
    <row r="103" ht="15.75" customHeight="1" s="29">
      <c r="A103" s="7" t="n">
        <v>102</v>
      </c>
      <c r="B103" s="7" t="inlineStr">
        <is>
          <t>AUTH-FUTURE-BRANCHMAP</t>
        </is>
      </c>
      <c r="C103" s="7" t="inlineStr">
        <is>
          <t>G7 — Branch-map publication</t>
        </is>
      </c>
      <c r="D103" s="7" t="inlineStr">
        <is>
          <t>Publication threshold</t>
        </is>
      </c>
      <c r="E103" s="7" t="inlineStr">
        <is>
          <t>MEDIUM</t>
        </is>
      </c>
      <c r="F103" s="7" t="inlineStr">
        <is>
          <t>BLOCKED</t>
        </is>
      </c>
      <c r="G103" s="7" t="inlineStr">
        <is>
          <t>APP CONFIG</t>
        </is>
      </c>
      <c r="H103" s="7" t="inlineStr">
        <is>
          <t>full_branch_map_enabled</t>
        </is>
      </c>
      <c r="I103" s="7" t="inlineStr">
        <is>
          <t>A9:C9</t>
        </is>
      </c>
      <c r="J103" s="7" t="inlineStr">
        <is>
          <t>Set the public branch-map completeness threshold</t>
        </is>
      </c>
      <c r="K103" s="7" t="inlineStr">
        <is>
          <t>What evidence-completeness standard should authorize a public denomination heat map?</t>
        </is>
      </c>
      <c r="L103" s="7" t="inlineStr">
        <is>
          <t>Current evidence-first branch layer is still materially lopsided. The map is disabled, and no purely arithmetic threshold is self-justifying.</t>
        </is>
      </c>
      <c r="M103" s="7" t="inlineStr">
        <is>
          <t>full_branch_map_enabled = FALSE; current release coverage remains incomplete and uneven.</t>
        </is>
      </c>
      <c r="N103" s="7" t="inlineStr">
        <is>
          <t>Must be resolved before enabling branch-level concordance percentages or rankings.</t>
        </is>
      </c>
      <c r="O103" s="7" t="inlineStr">
        <is>
          <t>DEFER until source recovery substantially improves, then decide</t>
        </is>
      </c>
      <c r="P103" s="7" t="inlineStr">
        <is>
          <t>Require ≥80% released coverage in every branch + no critical unresolved semantic/source-role holds</t>
        </is>
      </c>
      <c r="Q103" s="7" t="inlineStr">
        <is>
          <t>Require ≥70% released coverage in every branch + no critical unresolved semantic/source-role holds</t>
        </is>
      </c>
      <c r="R103" s="7" t="inlineStr">
        <is>
          <t>CUSTOM threshold / qualitative rule</t>
        </is>
      </c>
      <c r="S103" s="7" t="inlineStr">
        <is>
          <t>OPTION 4</t>
        </is>
      </c>
      <c r="T103" s="17">
        <f>'Author Response Entry'!$D$103</f>
        <v/>
      </c>
      <c r="U103" s="18">
        <f>'Author Response Entry'!$E$103</f>
        <v/>
      </c>
      <c r="V103" s="18">
        <f>'Author Response Entry'!$F$103</f>
        <v/>
      </c>
      <c r="W103" s="18">
        <f>'Author Response Entry'!$G$103</f>
        <v/>
      </c>
      <c r="X103" s="19">
        <f>'Author Response Entry'!$H$103</f>
        <v/>
      </c>
      <c r="Y103" s="18">
        <f>IF(T103="","",IF(T103="CUSTOM RESPONSE",U103,IF(T103="HOLD — NEEDS RESEARCH",IF(U103&lt;&gt;"",U103,"HOLD — NEEDS RESEARCH"),IF(T103="DEFER — NOT YET",IF(U103&lt;&gt;"",U103,"DEFER — NOT YET"),IF(T103="OPTION 1",O103,IF(T103="OPTION 2",P103,IF(T103="OPTION 3",Q103,IF(T103="OPTION 4",U103,""))))))))</f>
        <v/>
      </c>
      <c r="Z103" s="18">
        <f>"BLOCKED"</f>
        <v/>
      </c>
      <c r="AA103" s="18" t="inlineStr">
        <is>
          <t>YES</t>
        </is>
      </c>
      <c r="AB103" s="18" t="inlineStr">
        <is>
          <t>Actionability should be changed to READY only after the evidence-recovery milestone chosen by the project.</t>
        </is>
      </c>
      <c r="AC103" s="18" t="inlineStr">
        <is>
          <t>Future gate</t>
        </is>
      </c>
      <c r="AD103" s="18" t="n"/>
      <c r="AE103" s="18" t="inlineStr">
        <is>
          <t>Intentionally blocked so it cannot interrupt current author review.</t>
        </is>
      </c>
      <c r="AF103" s="18">
        <f>IF(F103&lt;&gt;"READY","NO",IF(Z103="OPEN","YES",IF(Z103="OPEN — CUSTOM TEXT REQUIRED","YES",IF(Z103="RESOLVED — ADD INITIALS/DATE","YES",IF(Z103="HOLD — ADD INITIALS/DATE","YES",IF(Z103="DEFERRED — ADD INITIALS/DATE","YES","NO"))))))</f>
        <v/>
      </c>
      <c r="AG103" s="18">
        <f>IF(AF103&lt;&gt;"YES","",IF(A103=IFERROR(MATCH("YES",$AF$2:$AF$105,0),0),"CURRENT",""))</f>
        <v/>
      </c>
      <c r="AH103" s="20">
        <f>IF(COUNTIF($B$2:$B$105,B103)&gt;1,"DUPLICATE","")</f>
        <v/>
      </c>
    </row>
    <row r="104" ht="15.75" customHeight="1" s="29">
      <c r="A104" s="7" t="n">
        <v>103</v>
      </c>
      <c r="B104" s="7" t="inlineStr">
        <is>
          <t>AUTH-FUTURE-EXTVAL</t>
        </is>
      </c>
      <c r="C104" s="7" t="inlineStr">
        <is>
          <t>G8 — External validation adjudication</t>
        </is>
      </c>
      <c r="D104" s="7" t="inlineStr">
        <is>
          <t>External validation</t>
        </is>
      </c>
      <c r="E104" s="7" t="inlineStr">
        <is>
          <t>HIGH</t>
        </is>
      </c>
      <c r="F104" s="7" t="inlineStr">
        <is>
          <t>BLOCKED</t>
        </is>
      </c>
      <c r="G104" s="7" t="inlineStr">
        <is>
          <t>APP CONFIG</t>
        </is>
      </c>
      <c r="H104" s="7" t="inlineStr">
        <is>
          <t>external_validation</t>
        </is>
      </c>
      <c r="I104" s="7" t="inlineStr">
        <is>
          <t>A21:C21</t>
        </is>
      </c>
      <c r="J104" s="7" t="inlineStr">
        <is>
          <t>Review and adjudicate external-validation results</t>
        </is>
      </c>
      <c r="K104" s="7" t="inlineStr">
        <is>
          <t>After independent coder returns and reliability are frozen, what author dispositions should be adopted?</t>
        </is>
      </c>
      <c r="L104" s="7" t="inlineStr">
        <is>
          <t>Session 20C external validation is authorized but semantic validation is still PENDING. No coder judgments may be fabricated or pre-adjudicated.</t>
        </is>
      </c>
      <c r="M104" s="7" t="inlineStr">
        <is>
          <t>external_validation = PENDING.</t>
        </is>
      </c>
      <c r="N104" s="7" t="inlineStr">
        <is>
          <t>Required before scholarly finality and before any author claim that the semantic coding has been independently replicated.</t>
        </is>
      </c>
      <c r="O104" s="7" t="inlineStr">
        <is>
          <t>ACCEPT reliability/adjudication package as recommended</t>
        </is>
      </c>
      <c r="P104" s="7" t="inlineStr">
        <is>
          <t>REVISE specified dispositions after reviewing coder disagreements</t>
        </is>
      </c>
      <c r="Q104" s="7" t="inlineStr">
        <is>
          <t>HOLD — reliability or coder-independence concern</t>
        </is>
      </c>
      <c r="R104" s="7" t="inlineStr">
        <is>
          <t>CUSTOM adjudication</t>
        </is>
      </c>
      <c r="S104" s="7" t="inlineStr">
        <is>
          <t>OPTION 2 | OPTION 4</t>
        </is>
      </c>
      <c r="T104" s="17">
        <f>'Author Response Entry'!$D$104</f>
        <v/>
      </c>
      <c r="U104" s="18">
        <f>'Author Response Entry'!$E$104</f>
        <v/>
      </c>
      <c r="V104" s="18">
        <f>'Author Response Entry'!$F$104</f>
        <v/>
      </c>
      <c r="W104" s="18">
        <f>'Author Response Entry'!$G$104</f>
        <v/>
      </c>
      <c r="X104" s="19">
        <f>'Author Response Entry'!$H$104</f>
        <v/>
      </c>
      <c r="Y104" s="18">
        <f>IF(T104="","",IF(T104="CUSTOM RESPONSE",U104,IF(T104="HOLD — NEEDS RESEARCH",IF(U104&lt;&gt;"",U104,"HOLD — NEEDS RESEARCH"),IF(T104="DEFER — NOT YET",IF(U104&lt;&gt;"",U104,"DEFER — NOT YET"),IF(T104="OPTION 1",O104,IF(T104="OPTION 2",U104,IF(T104="OPTION 3",Q104,IF(T104="OPTION 4",U104,""))))))))</f>
        <v/>
      </c>
      <c r="Z104" s="18">
        <f>"BLOCKED"</f>
        <v/>
      </c>
      <c r="AA104" s="18" t="inlineStr">
        <is>
          <t>YES</t>
        </is>
      </c>
      <c r="AB104" s="18" t="inlineStr">
        <is>
          <t>Do not make actionable until primary returns and reliability outputs are frozen.</t>
        </is>
      </c>
      <c r="AC104" s="18" t="inlineStr">
        <is>
          <t>Future gate</t>
        </is>
      </c>
      <c r="AD104" s="18" t="n"/>
      <c r="AE104" s="18" t="inlineStr">
        <is>
          <t>Future dependency: independent coder data.</t>
        </is>
      </c>
      <c r="AF104" s="18">
        <f>IF(F104&lt;&gt;"READY","NO",IF(Z104="OPEN","YES",IF(Z104="OPEN — CUSTOM TEXT REQUIRED","YES",IF(Z104="RESOLVED — ADD INITIALS/DATE","YES",IF(Z104="HOLD — ADD INITIALS/DATE","YES",IF(Z104="DEFERRED — ADD INITIALS/DATE","YES","NO"))))))</f>
        <v/>
      </c>
      <c r="AG104" s="18">
        <f>IF(AF104&lt;&gt;"YES","",IF(A104=IFERROR(MATCH("YES",$AF$2:$AF$105,0),0),"CURRENT",""))</f>
        <v/>
      </c>
      <c r="AH104" s="20">
        <f>IF(COUNTIF($B$2:$B$105,B104)&gt;1,"DUPLICATE","")</f>
        <v/>
      </c>
    </row>
    <row r="105" ht="15.75" customHeight="1" s="29">
      <c r="A105" s="7" t="n">
        <v>104</v>
      </c>
      <c r="B105" s="7" t="inlineStr">
        <is>
          <t>AUTH-FUTURE-PUBLICATION</t>
        </is>
      </c>
      <c r="C105" s="7" t="inlineStr">
        <is>
          <t>G9 — Final publication authorization</t>
        </is>
      </c>
      <c r="D105" s="7" t="inlineStr">
        <is>
          <t>Publication authorization</t>
        </is>
      </c>
      <c r="E105" s="7" t="inlineStr">
        <is>
          <t>HIGH</t>
        </is>
      </c>
      <c r="F105" s="7" t="inlineStr">
        <is>
          <t>BLOCKED</t>
        </is>
      </c>
      <c r="G105" s="7" t="inlineStr">
        <is>
          <t>Public Readiness</t>
        </is>
      </c>
      <c r="H105" s="7" t="inlineStr">
        <is>
          <t>Final scholarly publication</t>
        </is>
      </c>
      <c r="I105" s="7" t="inlineStr">
        <is>
          <t>A3:H11</t>
        </is>
      </c>
      <c r="J105" s="7" t="inlineStr">
        <is>
          <t>Authorize final scholarly/public release</t>
        </is>
      </c>
      <c r="K105" s="7" t="inlineStr">
        <is>
          <t>After all author gates and external validation are complete, is the project authorized for final scholarly/public release?</t>
        </is>
      </c>
      <c r="L105" s="7" t="inlineStr">
        <is>
          <t>Current project posture explicitly does not authorize final scholarly publication.</t>
        </is>
      </c>
      <c r="M105" s="7" t="inlineStr">
        <is>
          <t>Final scholarly publication = NOT AUTHORIZED / external semantic validation pending.</t>
        </is>
      </c>
      <c r="N105" s="7" t="inlineStr">
        <is>
          <t>Final safeguard against accidentally treating ministry-review or internal results as fully validated scholarship.</t>
        </is>
      </c>
      <c r="O105" s="7" t="inlineStr">
        <is>
          <t>AUTHORIZE final release</t>
        </is>
      </c>
      <c r="P105" s="7" t="inlineStr">
        <is>
          <t>AUTHORIZE ministry/educational release only; scholarly finality remains withheld</t>
        </is>
      </c>
      <c r="Q105" s="7" t="inlineStr">
        <is>
          <t>HOLD — unresolved author/external-validation issues</t>
        </is>
      </c>
      <c r="R105" s="7" t="inlineStr">
        <is>
          <t>CUSTOM release scope</t>
        </is>
      </c>
      <c r="S105" s="7" t="inlineStr">
        <is>
          <t>OPTION 4</t>
        </is>
      </c>
      <c r="T105" s="17">
        <f>'Author Response Entry'!$D$105</f>
        <v/>
      </c>
      <c r="U105" s="18">
        <f>'Author Response Entry'!$E$105</f>
        <v/>
      </c>
      <c r="V105" s="18">
        <f>'Author Response Entry'!$F$105</f>
        <v/>
      </c>
      <c r="W105" s="18">
        <f>'Author Response Entry'!$G$105</f>
        <v/>
      </c>
      <c r="X105" s="19">
        <f>'Author Response Entry'!$H$105</f>
        <v/>
      </c>
      <c r="Y105" s="18">
        <f>IF(T105="","",IF(T105="CUSTOM RESPONSE",U105,IF(T105="HOLD — NEEDS RESEARCH",IF(U105&lt;&gt;"",U105,"HOLD — NEEDS RESEARCH"),IF(T105="DEFER — NOT YET",IF(U105&lt;&gt;"",U105,"DEFER — NOT YET"),IF(T105="OPTION 1",O105,IF(T105="OPTION 2",P105,IF(T105="OPTION 3",Q105,IF(T105="OPTION 4",U105,""))))))))</f>
        <v/>
      </c>
      <c r="Z105" s="18">
        <f>"BLOCKED"</f>
        <v/>
      </c>
      <c r="AA105" s="18" t="inlineStr">
        <is>
          <t>YES</t>
        </is>
      </c>
      <c r="AB105" s="18" t="inlineStr">
        <is>
          <t>Actionability becomes READY only after prerequisite gates are clear.</t>
        </is>
      </c>
      <c r="AC105" s="18" t="inlineStr">
        <is>
          <t>Future gate</t>
        </is>
      </c>
      <c r="AD105" s="18" t="n"/>
      <c r="AE105" s="18" t="inlineStr">
        <is>
          <t>Future dependency: author gates + external validation.</t>
        </is>
      </c>
      <c r="AF105" s="18">
        <f>IF(F105&lt;&gt;"READY","NO",IF(Z105="OPEN","YES",IF(Z105="OPEN — CUSTOM TEXT REQUIRED","YES",IF(Z105="RESOLVED — ADD INITIALS/DATE","YES",IF(Z105="HOLD — ADD INITIALS/DATE","YES",IF(Z105="DEFERRED — ADD INITIALS/DATE","YES","NO"))))))</f>
        <v/>
      </c>
      <c r="AG105" s="18">
        <f>IF(AF105&lt;&gt;"YES","",IF(A105=IFERROR(MATCH("YES",$AF$2:$AF$105,0),0),"CURRENT",""))</f>
        <v/>
      </c>
      <c r="AH105" s="20">
        <f>IF(COUNTIF($B$2:$B$105,B105)&gt;1,"DUPLICATE","")</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AG105">
    <cfRule type="expression" priority="1" dxfId="10">
      <formula>$AG2="CURRENT"</formula>
    </cfRule>
    <cfRule type="expression" priority="2" dxfId="11">
      <formula>$Z2="RESOLVED"</formula>
    </cfRule>
    <cfRule type="expression" priority="3" dxfId="8">
      <formula>$Z2="HOLD"</formula>
    </cfRule>
    <cfRule type="expression" priority="4" dxfId="12">
      <formula>$Z2="BLOCKED"</formula>
    </cfRule>
    <cfRule type="expression" priority="5" dxfId="13">
      <formula>$Z2="RESOLVED — ADD INITIALS/DATE"</formula>
    </cfRule>
    <cfRule type="expression" priority="6" dxfId="13">
      <formula>$Z2="OPEN — CUSTOM TEXT REQUIRED"</formula>
    </cfRule>
  </conditionalFormatting>
  <dataValidations count="1">
    <dataValidation sqref="T2:T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ColWidth="12.63" defaultRowHeight="15" customHeight="1"/>
  <cols>
    <col width="26" customWidth="1" style="29" min="1" max="1"/>
    <col width="16" customWidth="1" style="29" min="2" max="2"/>
    <col width="26" customWidth="1" style="29" min="3" max="3"/>
    <col width="16" customWidth="1" style="29" min="4" max="4"/>
    <col width="24" customWidth="1" style="29" min="5" max="5"/>
    <col width="16" customWidth="1" style="29" min="6" max="6"/>
    <col width="10" customWidth="1" style="29" min="7" max="7"/>
    <col width="12" customWidth="1" style="29" min="8" max="8"/>
    <col width="14" customWidth="1" style="29" min="9" max="9"/>
    <col width="36" customWidth="1" style="29" min="10" max="10"/>
    <col width="60" customWidth="1" style="29" min="11" max="11"/>
    <col width="8.630000000000001" customWidth="1" style="29" min="12" max="26"/>
  </cols>
  <sheetData>
    <row r="1">
      <c r="A1" s="16" t="inlineStr">
        <is>
          <t>Author Gate Dashboard — nothing clears by accident</t>
        </is>
      </c>
    </row>
    <row r="2">
      <c r="A2" s="3" t="inlineStr">
        <is>
          <t>This dashboard is formula-driven from Author Decision Queue. AUTHOR CLEAR means every currently actionable decision in that gate is resolved with initials/date. HOLD remains a blocker. Future gates stay visible as WAITING ON DEPENDENCY rather than disappearing.</t>
        </is>
      </c>
    </row>
    <row r="3"/>
    <row r="5">
      <c r="A5" s="5" t="inlineStr">
        <is>
          <t>Gate</t>
        </is>
      </c>
      <c r="B5" s="5" t="inlineStr">
        <is>
          <t>Purpose</t>
        </is>
      </c>
      <c r="C5" s="5" t="inlineStr">
        <is>
          <t>Total Items</t>
        </is>
      </c>
      <c r="D5" s="5" t="inlineStr">
        <is>
          <t>Ready Items</t>
        </is>
      </c>
      <c r="E5" s="5" t="inlineStr">
        <is>
          <t>Resolved</t>
        </is>
      </c>
      <c r="F5" s="5" t="inlineStr">
        <is>
          <t>Needs Attention</t>
        </is>
      </c>
      <c r="G5" s="5" t="inlineStr">
        <is>
          <t>Holds</t>
        </is>
      </c>
      <c r="H5" s="5" t="inlineStr">
        <is>
          <t>Deferred</t>
        </is>
      </c>
      <c r="I5" s="5" t="inlineStr">
        <is>
          <t>Blocked Future</t>
        </is>
      </c>
      <c r="J5" s="5" t="inlineStr">
        <is>
          <t>Gate Status</t>
        </is>
      </c>
      <c r="K5" s="5" t="inlineStr">
        <is>
          <t>Clearance Condition</t>
        </is>
      </c>
    </row>
    <row r="6">
      <c r="A6" s="7" t="inlineStr">
        <is>
          <t>G1 — Architecture &amp; ICL governance</t>
        </is>
      </c>
      <c r="B6" s="7" t="inlineStr">
        <is>
          <t>Confirm source-of-truth, trigger, anchoring, orientation, balance, and volume policies.</t>
        </is>
      </c>
      <c r="C6" s="7">
        <f>COUNTIF('Author Decision Queue'!$C$2:$C$105,A6)</f>
        <v/>
      </c>
      <c r="D6" s="7">
        <f>COUNTIFS('Author Decision Queue'!$C$2:$C$105,A6,'Author Decision Queue'!$F$2:$F$105,"READY")</f>
        <v/>
      </c>
      <c r="E6" s="7">
        <f>COUNTIFS('Author Decision Queue'!$C$2:$C$105,A6,'Author Decision Queue'!$Z$2:$Z$105,"RESOLVED")</f>
        <v/>
      </c>
      <c r="F6" s="7">
        <f>COUNTIFS('Author Decision Queue'!$C$2:$C$105,A6,'Author Decision Queue'!$AF$2:$AF$105,"YES")</f>
        <v/>
      </c>
      <c r="G6" s="7">
        <f>COUNTIFS('Author Decision Queue'!$C$2:$C$105,A6,'Author Decision Queue'!$Z$2:$Z$105,"HOLD")</f>
        <v/>
      </c>
      <c r="H6" s="7">
        <f>COUNTIFS('Author Decision Queue'!$C$2:$C$105,A6,'Author Decision Queue'!$Z$2:$Z$105,"DEFERRED")</f>
        <v/>
      </c>
      <c r="I6" s="7">
        <f>COUNTIFS('Author Decision Queue'!$C$2:$C$105,A6,'Author Decision Queue'!$Z$2:$Z$105,"BLOCKED")</f>
        <v/>
      </c>
      <c r="J6" s="7">
        <f>IF(F6&gt;0,"AUTHOR ACTION REQUIRED",IF(G6&gt;0,"HOLD",IF(H6&gt;0,"DEFERRED",IF(D6=0,IF(I6&gt;0,"WAITING ON DEPENDENCY","CHECK"),IF(E6=D6,IF(I6&gt;0,"READY PORTION CLEAR — WAITING DEPENDENCY","AUTHOR CLEAR"),"CHECK")))))</f>
        <v/>
      </c>
      <c r="K6" s="7" t="inlineStr">
        <is>
          <t>All six architecture/governance decisions resolved.</t>
        </is>
      </c>
    </row>
    <row r="7">
      <c r="A7" s="7" t="inlineStr">
        <is>
          <t>G2 — ICC prototype release</t>
        </is>
      </c>
      <c r="B7" s="7" t="inlineStr">
        <is>
          <t>Approve ICC-001 cue and case content/release posture.</t>
        </is>
      </c>
      <c r="C7" s="7">
        <f>COUNTIF('Author Decision Queue'!$C$2:$C$105,A7)</f>
        <v/>
      </c>
      <c r="D7" s="7">
        <f>COUNTIFS('Author Decision Queue'!$C$2:$C$105,A7,'Author Decision Queue'!$F$2:$F$105,"READY")</f>
        <v/>
      </c>
      <c r="E7" s="7">
        <f>COUNTIFS('Author Decision Queue'!$C$2:$C$105,A7,'Author Decision Queue'!$Z$2:$Z$105,"RESOLVED")</f>
        <v/>
      </c>
      <c r="F7" s="7">
        <f>COUNTIFS('Author Decision Queue'!$C$2:$C$105,A7,'Author Decision Queue'!$AF$2:$AF$105,"YES")</f>
        <v/>
      </c>
      <c r="G7" s="7">
        <f>COUNTIFS('Author Decision Queue'!$C$2:$C$105,A7,'Author Decision Queue'!$Z$2:$Z$105,"HOLD")</f>
        <v/>
      </c>
      <c r="H7" s="7">
        <f>COUNTIFS('Author Decision Queue'!$C$2:$C$105,A7,'Author Decision Queue'!$Z$2:$Z$105,"DEFERRED")</f>
        <v/>
      </c>
      <c r="I7" s="7">
        <f>COUNTIFS('Author Decision Queue'!$C$2:$C$105,A7,'Author Decision Queue'!$Z$2:$Z$105,"BLOCKED")</f>
        <v/>
      </c>
      <c r="J7" s="7">
        <f>IF(F7&gt;0,"AUTHOR ACTION REQUIRED",IF(G7&gt;0,"HOLD",IF(H7&gt;0,"DEFERRED",IF(D7=0,IF(I7&gt;0,"WAITING ON DEPENDENCY","CHECK"),IF(E7=D7,IF(I7&gt;0,"READY PORTION CLEAR — WAITING DEPENDENCY","AUTHOR CLEAR"),"CHECK")))))</f>
        <v/>
      </c>
      <c r="K7" s="7" t="inlineStr">
        <is>
          <t>ICC-001 author decisions resolved; engineering release policy then propagates.</t>
        </is>
      </c>
    </row>
    <row r="8">
      <c r="A8" s="7" t="inlineStr">
        <is>
          <t>G3 — Restoration comparator review</t>
        </is>
      </c>
      <c r="B8" s="7" t="inlineStr">
        <is>
          <t>Resolve four flagged Restoration comparator choices.</t>
        </is>
      </c>
      <c r="C8" s="7">
        <f>COUNTIF('Author Decision Queue'!$C$2:$C$105,A8)</f>
        <v/>
      </c>
      <c r="D8" s="7">
        <f>COUNTIFS('Author Decision Queue'!$C$2:$C$105,A8,'Author Decision Queue'!$F$2:$F$105,"READY")</f>
        <v/>
      </c>
      <c r="E8" s="7">
        <f>COUNTIFS('Author Decision Queue'!$C$2:$C$105,A8,'Author Decision Queue'!$Z$2:$Z$105,"RESOLVED")</f>
        <v/>
      </c>
      <c r="F8" s="7">
        <f>COUNTIFS('Author Decision Queue'!$C$2:$C$105,A8,'Author Decision Queue'!$AF$2:$AF$105,"YES")</f>
        <v/>
      </c>
      <c r="G8" s="7">
        <f>COUNTIFS('Author Decision Queue'!$C$2:$C$105,A8,'Author Decision Queue'!$Z$2:$Z$105,"HOLD")</f>
        <v/>
      </c>
      <c r="H8" s="7">
        <f>COUNTIFS('Author Decision Queue'!$C$2:$C$105,A8,'Author Decision Queue'!$Z$2:$Z$105,"DEFERRED")</f>
        <v/>
      </c>
      <c r="I8" s="7">
        <f>COUNTIFS('Author Decision Queue'!$C$2:$C$105,A8,'Author Decision Queue'!$Z$2:$Z$105,"BLOCKED")</f>
        <v/>
      </c>
      <c r="J8" s="7">
        <f>IF(F8&gt;0,"AUTHOR ACTION REQUIRED",IF(G8&gt;0,"HOLD",IF(H8&gt;0,"DEFERRED",IF(D8=0,IF(I8&gt;0,"WAITING ON DEPENDENCY","CHECK"),IF(E8=D8,IF(I8&gt;0,"READY PORTION CLEAR — WAITING DEPENDENCY","AUTHOR CLEAR"),"CHECK")))))</f>
        <v/>
      </c>
      <c r="K8" s="7" t="inlineStr">
        <is>
          <t>H06/H09/H19/H20 comparator decisions resolved.</t>
        </is>
      </c>
    </row>
    <row r="9">
      <c r="A9" s="7" t="inlineStr">
        <is>
          <t>G4 — Orthodox adjudications</t>
        </is>
      </c>
      <c r="B9" s="7" t="inlineStr">
        <is>
          <t>Resolve Eastern Orthodox H37 source-role and H43 semantic-floor questions.</t>
        </is>
      </c>
      <c r="C9" s="7">
        <f>COUNTIF('Author Decision Queue'!$C$2:$C$105,A9)</f>
        <v/>
      </c>
      <c r="D9" s="7">
        <f>COUNTIFS('Author Decision Queue'!$C$2:$C$105,A9,'Author Decision Queue'!$F$2:$F$105,"READY")</f>
        <v/>
      </c>
      <c r="E9" s="7">
        <f>COUNTIFS('Author Decision Queue'!$C$2:$C$105,A9,'Author Decision Queue'!$Z$2:$Z$105,"RESOLVED")</f>
        <v/>
      </c>
      <c r="F9" s="7">
        <f>COUNTIFS('Author Decision Queue'!$C$2:$C$105,A9,'Author Decision Queue'!$AF$2:$AF$105,"YES")</f>
        <v/>
      </c>
      <c r="G9" s="7">
        <f>COUNTIFS('Author Decision Queue'!$C$2:$C$105,A9,'Author Decision Queue'!$Z$2:$Z$105,"HOLD")</f>
        <v/>
      </c>
      <c r="H9" s="7">
        <f>COUNTIFS('Author Decision Queue'!$C$2:$C$105,A9,'Author Decision Queue'!$Z$2:$Z$105,"DEFERRED")</f>
        <v/>
      </c>
      <c r="I9" s="7">
        <f>COUNTIFS('Author Decision Queue'!$C$2:$C$105,A9,'Author Decision Queue'!$Z$2:$Z$105,"BLOCKED")</f>
        <v/>
      </c>
      <c r="J9" s="7">
        <f>IF(F9&gt;0,"AUTHOR ACTION REQUIRED",IF(G9&gt;0,"HOLD",IF(H9&gt;0,"DEFERRED",IF(D9=0,IF(I9&gt;0,"WAITING ON DEPENDENCY","CHECK"),IF(E9=D9,IF(I9&gt;0,"READY PORTION CLEAR — WAITING DEPENDENCY","AUTHOR CLEAR"),"CHECK")))))</f>
        <v/>
      </c>
      <c r="K9" s="7" t="inlineStr">
        <is>
          <t>Both Orthodox author adjudications resolved or explicitly held.</t>
        </is>
      </c>
    </row>
    <row r="10">
      <c r="A10" s="7" t="inlineStr">
        <is>
          <t>G5 — Godhead Context wording</t>
        </is>
      </c>
      <c r="B10" s="7" t="inlineStr">
        <is>
          <t>Approve/revise four NOT COUNTED learner-facing Godhead propositions.</t>
        </is>
      </c>
      <c r="C10" s="7">
        <f>COUNTIF('Author Decision Queue'!$C$2:$C$105,A10)</f>
        <v/>
      </c>
      <c r="D10" s="7">
        <f>COUNTIFS('Author Decision Queue'!$C$2:$C$105,A10,'Author Decision Queue'!$F$2:$F$105,"READY")</f>
        <v/>
      </c>
      <c r="E10" s="7">
        <f>COUNTIFS('Author Decision Queue'!$C$2:$C$105,A10,'Author Decision Queue'!$Z$2:$Z$105,"RESOLVED")</f>
        <v/>
      </c>
      <c r="F10" s="7">
        <f>COUNTIFS('Author Decision Queue'!$C$2:$C$105,A10,'Author Decision Queue'!$AF$2:$AF$105,"YES")</f>
        <v/>
      </c>
      <c r="G10" s="7">
        <f>COUNTIFS('Author Decision Queue'!$C$2:$C$105,A10,'Author Decision Queue'!$Z$2:$Z$105,"HOLD")</f>
        <v/>
      </c>
      <c r="H10" s="7">
        <f>COUNTIFS('Author Decision Queue'!$C$2:$C$105,A10,'Author Decision Queue'!$Z$2:$Z$105,"DEFERRED")</f>
        <v/>
      </c>
      <c r="I10" s="7">
        <f>COUNTIFS('Author Decision Queue'!$C$2:$C$105,A10,'Author Decision Queue'!$Z$2:$Z$105,"BLOCKED")</f>
        <v/>
      </c>
      <c r="J10" s="7">
        <f>IF(F10&gt;0,"AUTHOR ACTION REQUIRED",IF(G10&gt;0,"HOLD",IF(H10&gt;0,"DEFERRED",IF(D10=0,IF(I10&gt;0,"WAITING ON DEPENDENCY","CHECK"),IF(E10=D10,IF(I10&gt;0,"READY PORTION CLEAR — WAITING DEPENDENCY","AUTHOR CLEAR"),"CHECK")))))</f>
        <v/>
      </c>
      <c r="K10" s="7" t="inlineStr">
        <is>
          <t>GOD-01–04 author wording decisions resolved.</t>
        </is>
      </c>
    </row>
    <row r="11">
      <c r="A11" s="7" t="inlineStr">
        <is>
          <t>G6 — Row Ratification</t>
        </is>
      </c>
      <c r="B11" s="7" t="inlineStr">
        <is>
          <t>Ratify all 83 public predicate/addition rows.</t>
        </is>
      </c>
      <c r="C11" s="7">
        <f>COUNTIF('Author Decision Queue'!$C$2:$C$105,A11)</f>
        <v/>
      </c>
      <c r="D11" s="7">
        <f>COUNTIFS('Author Decision Queue'!$C$2:$C$105,A11,'Author Decision Queue'!$F$2:$F$105,"READY")</f>
        <v/>
      </c>
      <c r="E11" s="7">
        <f>COUNTIFS('Author Decision Queue'!$C$2:$C$105,A11,'Author Decision Queue'!$Z$2:$Z$105,"RESOLVED")</f>
        <v/>
      </c>
      <c r="F11" s="7">
        <f>COUNTIFS('Author Decision Queue'!$C$2:$C$105,A11,'Author Decision Queue'!$AF$2:$AF$105,"YES")</f>
        <v/>
      </c>
      <c r="G11" s="7">
        <f>COUNTIFS('Author Decision Queue'!$C$2:$C$105,A11,'Author Decision Queue'!$Z$2:$Z$105,"HOLD")</f>
        <v/>
      </c>
      <c r="H11" s="7">
        <f>COUNTIFS('Author Decision Queue'!$C$2:$C$105,A11,'Author Decision Queue'!$Z$2:$Z$105,"DEFERRED")</f>
        <v/>
      </c>
      <c r="I11" s="7">
        <f>COUNTIFS('Author Decision Queue'!$C$2:$C$105,A11,'Author Decision Queue'!$Z$2:$Z$105,"BLOCKED")</f>
        <v/>
      </c>
      <c r="J11" s="7">
        <f>IF(F11&gt;0,"AUTHOR ACTION REQUIRED",IF(G11&gt;0,"HOLD",IF(H11&gt;0,"DEFERRED",IF(D11=0,IF(I11&gt;0,"WAITING ON DEPENDENCY","CHECK"),IF(E11=D11,IF(I11&gt;0,"READY PORTION CLEAR — WAITING DEPENDENCY","AUTHOR CLEAR"),"CHECK")))))</f>
        <v/>
      </c>
      <c r="K11" s="7" t="inlineStr">
        <is>
          <t>83/83 rows resolved; any HOLD remains a gate hold.</t>
        </is>
      </c>
    </row>
    <row r="12">
      <c r="A12" s="7" t="inlineStr">
        <is>
          <t>G7 — Branch-map publication</t>
        </is>
      </c>
      <c r="B12" s="7" t="inlineStr">
        <is>
          <t>Choose the completeness rule that permits a public heat map.</t>
        </is>
      </c>
      <c r="C12" s="7">
        <f>COUNTIF('Author Decision Queue'!$C$2:$C$105,A12)</f>
        <v/>
      </c>
      <c r="D12" s="7">
        <f>COUNTIFS('Author Decision Queue'!$C$2:$C$105,A12,'Author Decision Queue'!$F$2:$F$105,"READY")</f>
        <v/>
      </c>
      <c r="E12" s="7">
        <f>COUNTIFS('Author Decision Queue'!$C$2:$C$105,A12,'Author Decision Queue'!$Z$2:$Z$105,"RESOLVED")</f>
        <v/>
      </c>
      <c r="F12" s="7">
        <f>COUNTIFS('Author Decision Queue'!$C$2:$C$105,A12,'Author Decision Queue'!$AF$2:$AF$105,"YES")</f>
        <v/>
      </c>
      <c r="G12" s="7">
        <f>COUNTIFS('Author Decision Queue'!$C$2:$C$105,A12,'Author Decision Queue'!$Z$2:$Z$105,"HOLD")</f>
        <v/>
      </c>
      <c r="H12" s="7">
        <f>COUNTIFS('Author Decision Queue'!$C$2:$C$105,A12,'Author Decision Queue'!$Z$2:$Z$105,"DEFERRED")</f>
        <v/>
      </c>
      <c r="I12" s="7">
        <f>COUNTIFS('Author Decision Queue'!$C$2:$C$105,A12,'Author Decision Queue'!$Z$2:$Z$105,"BLOCKED")</f>
        <v/>
      </c>
      <c r="J12" s="7">
        <f>IF(F12&gt;0,"AUTHOR ACTION REQUIRED",IF(G12&gt;0,"HOLD",IF(H12&gt;0,"DEFERRED",IF(D12=0,IF(I12&gt;0,"WAITING ON DEPENDENCY","CHECK"),IF(E12=D12,IF(I12&gt;0,"READY PORTION CLEAR — WAITING DEPENDENCY","AUTHOR CLEAR"),"CHECK")))))</f>
        <v/>
      </c>
      <c r="K12" s="7" t="inlineStr">
        <is>
          <t>Currently blocked by source recovery.</t>
        </is>
      </c>
    </row>
    <row r="13">
      <c r="A13" s="7" t="inlineStr">
        <is>
          <t>G8 — External validation adjudication</t>
        </is>
      </c>
      <c r="B13" s="7" t="inlineStr">
        <is>
          <t>Review independent coder reliability and adjudicate results.</t>
        </is>
      </c>
      <c r="C13" s="7">
        <f>COUNTIF('Author Decision Queue'!$C$2:$C$105,A13)</f>
        <v/>
      </c>
      <c r="D13" s="7">
        <f>COUNTIFS('Author Decision Queue'!$C$2:$C$105,A13,'Author Decision Queue'!$F$2:$F$105,"READY")</f>
        <v/>
      </c>
      <c r="E13" s="7">
        <f>COUNTIFS('Author Decision Queue'!$C$2:$C$105,A13,'Author Decision Queue'!$Z$2:$Z$105,"RESOLVED")</f>
        <v/>
      </c>
      <c r="F13" s="7">
        <f>COUNTIFS('Author Decision Queue'!$C$2:$C$105,A13,'Author Decision Queue'!$AF$2:$AF$105,"YES")</f>
        <v/>
      </c>
      <c r="G13" s="7">
        <f>COUNTIFS('Author Decision Queue'!$C$2:$C$105,A13,'Author Decision Queue'!$Z$2:$Z$105,"HOLD")</f>
        <v/>
      </c>
      <c r="H13" s="7">
        <f>COUNTIFS('Author Decision Queue'!$C$2:$C$105,A13,'Author Decision Queue'!$Z$2:$Z$105,"DEFERRED")</f>
        <v/>
      </c>
      <c r="I13" s="7">
        <f>COUNTIFS('Author Decision Queue'!$C$2:$C$105,A13,'Author Decision Queue'!$Z$2:$Z$105,"BLOCKED")</f>
        <v/>
      </c>
      <c r="J13" s="7">
        <f>IF(F13&gt;0,"AUTHOR ACTION REQUIRED",IF(G13&gt;0,"HOLD",IF(H13&gt;0,"DEFERRED",IF(D13=0,IF(I13&gt;0,"WAITING ON DEPENDENCY","CHECK"),IF(E13=D13,IF(I13&gt;0,"READY PORTION CLEAR — WAITING DEPENDENCY","AUTHOR CLEAR"),"CHECK")))))</f>
        <v/>
      </c>
      <c r="K13" s="7" t="inlineStr">
        <is>
          <t>Currently blocked until external returns/reliability are frozen.</t>
        </is>
      </c>
    </row>
    <row r="14">
      <c r="A14" s="7" t="inlineStr">
        <is>
          <t>G9 — Final publication authorization</t>
        </is>
      </c>
      <c r="B14" s="7" t="inlineStr">
        <is>
          <t>Authorize final release scope.</t>
        </is>
      </c>
      <c r="C14" s="7">
        <f>COUNTIF('Author Decision Queue'!$C$2:$C$105,A14)</f>
        <v/>
      </c>
      <c r="D14" s="7">
        <f>COUNTIFS('Author Decision Queue'!$C$2:$C$105,A14,'Author Decision Queue'!$F$2:$F$105,"READY")</f>
        <v/>
      </c>
      <c r="E14" s="7">
        <f>COUNTIFS('Author Decision Queue'!$C$2:$C$105,A14,'Author Decision Queue'!$Z$2:$Z$105,"RESOLVED")</f>
        <v/>
      </c>
      <c r="F14" s="7">
        <f>COUNTIFS('Author Decision Queue'!$C$2:$C$105,A14,'Author Decision Queue'!$AF$2:$AF$105,"YES")</f>
        <v/>
      </c>
      <c r="G14" s="7">
        <f>COUNTIFS('Author Decision Queue'!$C$2:$C$105,A14,'Author Decision Queue'!$Z$2:$Z$105,"HOLD")</f>
        <v/>
      </c>
      <c r="H14" s="7">
        <f>COUNTIFS('Author Decision Queue'!$C$2:$C$105,A14,'Author Decision Queue'!$Z$2:$Z$105,"DEFERRED")</f>
        <v/>
      </c>
      <c r="I14" s="7">
        <f>COUNTIFS('Author Decision Queue'!$C$2:$C$105,A14,'Author Decision Queue'!$Z$2:$Z$105,"BLOCKED")</f>
        <v/>
      </c>
      <c r="J14" s="7">
        <f>IF(F14&gt;0,"AUTHOR ACTION REQUIRED",IF(G14&gt;0,"HOLD",IF(H14&gt;0,"DEFERRED",IF(D14=0,IF(I14&gt;0,"WAITING ON DEPENDENCY","CHECK"),IF(E14=D14,IF(I14&gt;0,"READY PORTION CLEAR — WAITING DEPENDENCY","AUTHOR CLEAR"),"CHECK")))))</f>
        <v/>
      </c>
      <c r="K14" s="7" t="inlineStr">
        <is>
          <t>Currently blocked until all prerequisite author/external gates are complete.</t>
        </is>
      </c>
    </row>
    <row r="17">
      <c r="A17" s="5" t="inlineStr">
        <is>
          <t>Workflow KPI</t>
        </is>
      </c>
      <c r="B17" s="5" t="inlineStr">
        <is>
          <t>Value</t>
        </is>
      </c>
      <c r="C17" s="5" t="inlineStr">
        <is>
          <t>Workflow KPI</t>
        </is>
      </c>
      <c r="D17" s="5" t="inlineStr">
        <is>
          <t>Value</t>
        </is>
      </c>
      <c r="E17" s="5" t="inlineStr">
        <is>
          <t>Workflow KPI</t>
        </is>
      </c>
      <c r="F17" s="5" t="inlineStr">
        <is>
          <t>Value</t>
        </is>
      </c>
    </row>
    <row r="18">
      <c r="A18" s="4" t="inlineStr">
        <is>
          <t>Total tracked decisions</t>
        </is>
      </c>
      <c r="B18" s="4" t="n">
        <v>104</v>
      </c>
      <c r="C18" s="4" t="inlineStr">
        <is>
          <t>Currently actionable</t>
        </is>
      </c>
      <c r="D18" s="4" t="n">
        <v>101</v>
      </c>
      <c r="E18" s="4" t="inlineStr">
        <is>
          <t>Future blocked</t>
        </is>
      </c>
      <c r="F18" s="4" t="n">
        <v>3</v>
      </c>
    </row>
    <row r="19">
      <c r="A19" s="4" t="inlineStr">
        <is>
          <t>Resolved</t>
        </is>
      </c>
      <c r="B19" s="4">
        <f>COUNTIF('Author Decision Queue'!$Z$2:$Z$105,"RESOLVED")</f>
        <v/>
      </c>
      <c r="C19" s="4" t="inlineStr">
        <is>
          <t>Needs attention</t>
        </is>
      </c>
      <c r="D19" s="4">
        <f>COUNTIF('Author Decision Queue'!$AF$2:$AF$105,"YES")</f>
        <v/>
      </c>
      <c r="E19" s="4" t="inlineStr">
        <is>
          <t>Holds</t>
        </is>
      </c>
      <c r="F19" s="4">
        <f>COUNTIF('Author Decision Queue'!$Z$2:$Z$105,"HOLD")</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K1"/>
    <mergeCell ref="A2:K3"/>
  </mergeCells>
  <conditionalFormatting sqref="J6:J14">
    <cfRule type="expression" priority="1" dxfId="5">
      <formula>J6="AUTHOR CLEAR"</formula>
    </cfRule>
    <cfRule type="expression" priority="2" dxfId="7">
      <formula>J6="AUTHOR ACTION REQUIRED"</formula>
    </cfRule>
    <cfRule type="expression" priority="3" dxfId="6">
      <formula>J6="HOLD"</formula>
    </cfRule>
    <cfRule type="expression" priority="4" dxfId="9">
      <formula>ISNUMBER(SEARCH("WAITING",J6))</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ColWidth="12.63" defaultRowHeight="15" customHeight="1"/>
  <cols>
    <col width="24" customWidth="1" style="29" min="1" max="2"/>
    <col width="18" customWidth="1" style="29" min="3" max="3"/>
    <col width="20" customWidth="1" style="29" min="4" max="4"/>
    <col width="34" customWidth="1" style="29" min="5" max="5"/>
    <col width="18" customWidth="1" style="29" min="6" max="8"/>
    <col width="8.630000000000001" customWidth="1" style="29" min="9" max="26"/>
  </cols>
  <sheetData>
    <row r="1" ht="30" customHeight="1" s="29">
      <c r="A1" s="16" t="inlineStr">
        <is>
          <t>AUTHOR REVIEW CONSOLE — one decision at a time</t>
        </is>
      </c>
    </row>
    <row r="2" ht="30" customHeight="1" s="29">
      <c r="A2" s="3" t="inlineStr">
        <is>
          <t>Work only from the CURRENT item below. To respond, open the Author Decision Queue row shown in the navigation box, choose OPTION 1–4 (or CUSTOM RESPONSE / HOLD / DEFER) in the yellow Response Menu cell, enter any required custom wording, then add initials and date. The console advances automatically to the next actionable item.</t>
        </is>
      </c>
    </row>
    <row r="3"/>
    <row r="4"/>
    <row r="5">
      <c r="A5" s="4" t="n"/>
      <c r="B5" s="4" t="n"/>
      <c r="C5" s="4" t="n"/>
      <c r="D5" s="4" t="n"/>
      <c r="E5" s="4" t="n"/>
      <c r="F5" s="4" t="n"/>
      <c r="G5" s="4" t="n"/>
      <c r="H5" s="4" t="n"/>
    </row>
    <row r="6">
      <c r="A6" s="21" t="inlineStr">
        <is>
          <t>NAVIGATION / PROGRESS</t>
        </is>
      </c>
      <c r="B6" s="21" t="n"/>
      <c r="C6" s="21" t="n"/>
      <c r="D6" s="21" t="n"/>
      <c r="E6" s="21" t="n"/>
      <c r="F6" s="21" t="n"/>
      <c r="G6" s="21" t="n"/>
      <c r="H6" s="21" t="n"/>
    </row>
    <row r="7">
      <c r="A7" s="4" t="inlineStr">
        <is>
          <t>Current Queue Row</t>
        </is>
      </c>
      <c r="B7" s="4">
        <f>IFERROR(MATCH("CURRENT",'Author Decision Queue'!$AG$2:$AG$105,0)+1,"")</f>
        <v/>
      </c>
      <c r="C7" s="4" t="n"/>
      <c r="D7" s="4" t="inlineStr">
        <is>
          <t>Queue location</t>
        </is>
      </c>
      <c r="E7" s="4">
        <f>IF(B7="","","Author Response Entry!A"&amp;B7&amp;":K"&amp;B7)</f>
        <v/>
      </c>
      <c r="F7" s="4" t="n"/>
      <c r="G7" s="4" t="n"/>
      <c r="H7" s="4" t="n"/>
    </row>
    <row r="8">
      <c r="A8" s="4" t="inlineStr">
        <is>
          <t>Current Sequence</t>
        </is>
      </c>
      <c r="B8" s="4">
        <f t="array" ref="B8">IF(B7="","",INDEX('Author Decision Queue'!$A:$A,B7))</f>
        <v/>
      </c>
      <c r="C8" s="4" t="n"/>
      <c r="D8" s="4" t="inlineStr">
        <is>
          <t>Gate</t>
        </is>
      </c>
      <c r="E8" s="4">
        <f t="array" ref="E8">IF($B$7="","",INDEX('Author Decision Queue'!$C:$C,$B$7))</f>
        <v/>
      </c>
      <c r="F8" s="4" t="n"/>
      <c r="G8" s="4" t="n"/>
      <c r="H8" s="4" t="n"/>
    </row>
    <row r="9">
      <c r="A9" s="4" t="inlineStr">
        <is>
          <t>Current Decision ID</t>
        </is>
      </c>
      <c r="B9" s="4">
        <f t="array" ref="B9">IF(B7="","ALL CURRENTLY ACTIONABLE DECISIONS COMPLETE",INDEX('Author Decision Queue'!$B:$B,B7))</f>
        <v/>
      </c>
      <c r="C9" s="4" t="n"/>
      <c r="D9" s="4" t="inlineStr">
        <is>
          <t>Category</t>
        </is>
      </c>
      <c r="E9" s="4">
        <f t="array" ref="E9">IF($B$7="","",INDEX('Author Decision Queue'!$D:$D,$B$7))</f>
        <v/>
      </c>
      <c r="F9" s="4" t="n"/>
      <c r="G9" s="4" t="n"/>
      <c r="H9" s="4" t="n"/>
    </row>
    <row r="10">
      <c r="A10" s="4" t="inlineStr">
        <is>
          <t>Resolved / Actionable</t>
        </is>
      </c>
      <c r="B10" s="4">
        <f>COUNTIF('Author Decision Queue'!$Z$2:$Z$105,"RESOLVED")&amp;" / "&amp;COUNTIF('Author Decision Queue'!$F$2:$F$105,"READY")</f>
        <v/>
      </c>
      <c r="C10" s="4" t="n"/>
      <c r="D10" s="4" t="inlineStr">
        <is>
          <t>Priority</t>
        </is>
      </c>
      <c r="E10" s="4">
        <f t="array" ref="E10">IF($B$7="","",INDEX('Author Decision Queue'!$E:$E,$B$7))</f>
        <v/>
      </c>
      <c r="F10" s="4" t="n"/>
      <c r="G10" s="4" t="n"/>
      <c r="H10" s="4" t="n"/>
    </row>
    <row r="11">
      <c r="A11" s="4" t="inlineStr">
        <is>
          <t>Needs Attention</t>
        </is>
      </c>
      <c r="B11" s="4">
        <f>COUNTIF('Author Decision Queue'!$AF$2:$AF$105,"YES")</f>
        <v/>
      </c>
      <c r="C11" s="4" t="n"/>
      <c r="D11" s="4" t="inlineStr">
        <is>
          <t>Source sheet</t>
        </is>
      </c>
      <c r="E11" s="4">
        <f t="array" ref="E11">IF($B$7="","",INDEX('Author Decision Queue'!$G:$G,$B$7))</f>
        <v/>
      </c>
      <c r="F11" s="4" t="n"/>
      <c r="G11" s="4" t="n"/>
      <c r="H11" s="4" t="n"/>
    </row>
    <row r="12">
      <c r="A12" s="4" t="inlineStr">
        <is>
          <t>Holds</t>
        </is>
      </c>
      <c r="B12" s="4">
        <f>COUNTIF('Author Decision Queue'!$Z$2:$Z$105,"HOLD")</f>
        <v/>
      </c>
      <c r="C12" s="4" t="n"/>
      <c r="D12" s="4" t="inlineStr">
        <is>
          <t>Source key</t>
        </is>
      </c>
      <c r="E12" s="4">
        <f t="array" ref="E12">IF($B$7="","",INDEX('Author Decision Queue'!$H:$H,$B$7))</f>
        <v/>
      </c>
      <c r="F12" s="4" t="n"/>
      <c r="G12" s="4" t="n"/>
      <c r="H12" s="4" t="n"/>
    </row>
    <row r="13">
      <c r="A13" s="4" t="n"/>
      <c r="B13" s="4" t="n"/>
      <c r="C13" s="4" t="n"/>
      <c r="D13" s="4" t="n"/>
      <c r="E13" s="4" t="n"/>
      <c r="F13" s="4" t="n"/>
      <c r="G13" s="4" t="n"/>
      <c r="H13" s="4" t="n"/>
    </row>
    <row r="14">
      <c r="A14" s="21" t="inlineStr">
        <is>
          <t>CURRENT AUTHOR DECISION</t>
        </is>
      </c>
      <c r="B14" s="21" t="n"/>
      <c r="C14" s="21" t="n"/>
      <c r="D14" s="21" t="n"/>
      <c r="E14" s="21" t="n"/>
      <c r="F14" s="21" t="n"/>
      <c r="G14" s="21" t="n"/>
      <c r="H14" s="21" t="n"/>
    </row>
    <row r="15" ht="30" customHeight="1" s="29">
      <c r="A15" s="22" t="inlineStr">
        <is>
          <t>Decision title</t>
        </is>
      </c>
      <c r="B15" s="4">
        <f t="array" ref="B15">IF($B$7="","",INDEX('Author Decision Queue'!$J:$J,$B$7))</f>
        <v/>
      </c>
    </row>
    <row r="16">
      <c r="A16" s="4" t="n"/>
    </row>
    <row r="17" ht="30" customHeight="1" s="29">
      <c r="A17" s="22" t="inlineStr">
        <is>
          <t>Author question</t>
        </is>
      </c>
      <c r="B17" s="4">
        <f t="array" ref="B17">IF($B$7="","",INDEX('Author Decision Queue'!$K:$K,$B$7))</f>
        <v/>
      </c>
    </row>
    <row r="18">
      <c r="A18" s="4" t="n"/>
    </row>
    <row r="19">
      <c r="A19" s="4" t="n"/>
    </row>
    <row r="20" ht="30" customHeight="1" s="29">
      <c r="A20" s="22" t="inlineStr">
        <is>
          <t>Relevant context</t>
        </is>
      </c>
      <c r="B20" s="4">
        <f t="array" ref="B20">IF($B$7="","",INDEX('Author Decision Queue'!$L:$L,$B$7))</f>
        <v/>
      </c>
    </row>
    <row r="21" ht="15.75" customHeight="1" s="29">
      <c r="A21" s="4" t="n"/>
    </row>
    <row r="22" ht="15.75" customHeight="1" s="29">
      <c r="A22" s="4" t="n"/>
    </row>
    <row r="23" ht="15.75" customHeight="1" s="29">
      <c r="A23" s="4" t="n"/>
    </row>
    <row r="24" ht="30" customHeight="1" s="29">
      <c r="A24" s="22" t="inlineStr">
        <is>
          <t>Current state / evidence</t>
        </is>
      </c>
      <c r="B24" s="4">
        <f t="array" ref="B24">IF($B$7="","",INDEX('Author Decision Queue'!$M:$M,$B$7))</f>
        <v/>
      </c>
    </row>
    <row r="25" ht="15.75" customHeight="1" s="29">
      <c r="A25" s="4" t="n"/>
    </row>
    <row r="26" ht="15.75" customHeight="1" s="29">
      <c r="A26" s="4" t="n"/>
    </row>
    <row r="27" ht="30" customHeight="1" s="29">
      <c r="A27" s="22" t="inlineStr">
        <is>
          <t>Why this matters / gate impact</t>
        </is>
      </c>
      <c r="B27" s="4">
        <f t="array" ref="B27">IF($B$7="","",INDEX('Author Decision Queue'!$N:$N,$B$7))</f>
        <v/>
      </c>
    </row>
    <row r="28" ht="15.75" customHeight="1" s="29">
      <c r="A28" s="4" t="n"/>
    </row>
    <row r="29" ht="15.75" customHeight="1" s="29">
      <c r="A29" s="4" t="n"/>
    </row>
    <row r="30" ht="15.75" customHeight="1" s="29">
      <c r="A30" s="4" t="n"/>
      <c r="B30" s="4" t="n"/>
      <c r="C30" s="4" t="n"/>
      <c r="D30" s="4" t="n"/>
      <c r="E30" s="4" t="n"/>
      <c r="F30" s="4" t="n"/>
      <c r="G30" s="4" t="n"/>
      <c r="H30" s="4" t="n"/>
    </row>
    <row r="31" ht="15.75" customHeight="1" s="29">
      <c r="A31" s="21" t="inlineStr">
        <is>
          <t>SUGGESTED OPTIONS</t>
        </is>
      </c>
      <c r="B31" s="21" t="n"/>
      <c r="C31" s="21" t="n"/>
      <c r="D31" s="21" t="n"/>
      <c r="E31" s="21" t="n"/>
      <c r="F31" s="21" t="n"/>
      <c r="G31" s="21" t="n"/>
      <c r="H31" s="21" t="n"/>
    </row>
    <row r="32" ht="15.75" customHeight="1" s="29">
      <c r="A32" s="22" t="inlineStr">
        <is>
          <t>OPTION 1</t>
        </is>
      </c>
      <c r="B32" s="4">
        <f t="array" ref="B32">IF($B$7="","",INDEX('Author Decision Queue'!$O:$O,$B$7))</f>
        <v/>
      </c>
    </row>
    <row r="33" ht="15.75" customHeight="1" s="29">
      <c r="A33" s="22" t="inlineStr">
        <is>
          <t>OPTION 2</t>
        </is>
      </c>
      <c r="B33" s="4">
        <f t="array" ref="B33">IF($B$7="","",INDEX('Author Decision Queue'!$P:$P,$B$7))</f>
        <v/>
      </c>
    </row>
    <row r="34" ht="15.75" customHeight="1" s="29">
      <c r="A34" s="22" t="inlineStr">
        <is>
          <t>OPTION 3</t>
        </is>
      </c>
      <c r="B34" s="4">
        <f t="array" ref="B34">IF($B$7="","",INDEX('Author Decision Queue'!$Q:$Q,$B$7))</f>
        <v/>
      </c>
    </row>
    <row r="35" ht="15.75" customHeight="1" s="29">
      <c r="A35" s="22" t="inlineStr">
        <is>
          <t>OPTION 4</t>
        </is>
      </c>
      <c r="B35" s="4">
        <f t="array" ref="B35">IF($B$7="","",INDEX('Author Decision Queue'!$R:$R,$B$7))</f>
        <v/>
      </c>
    </row>
    <row r="36" ht="15.75" customHeight="1" s="29">
      <c r="A36" s="4" t="n"/>
      <c r="B36" s="4" t="n"/>
      <c r="C36" s="4" t="n"/>
      <c r="D36" s="4" t="n"/>
      <c r="E36" s="4" t="n"/>
      <c r="F36" s="4" t="n"/>
      <c r="G36" s="4" t="n"/>
      <c r="H36" s="4" t="n"/>
    </row>
    <row r="37" ht="15.75" customHeight="1" s="29">
      <c r="A37" s="4" t="n"/>
      <c r="B37" s="4" t="n"/>
      <c r="C37" s="4" t="n"/>
      <c r="D37" s="4" t="n"/>
      <c r="E37" s="4" t="n"/>
      <c r="F37" s="4" t="n"/>
      <c r="G37" s="4" t="n"/>
      <c r="H37" s="4" t="n"/>
    </row>
    <row r="38" ht="15.75" customHeight="1" s="29">
      <c r="A38" s="21" t="inlineStr">
        <is>
          <t>RESPONSE INSTRUCTIONS</t>
        </is>
      </c>
      <c r="B38" s="21" t="n"/>
      <c r="C38" s="21" t="n"/>
      <c r="D38" s="21" t="n"/>
      <c r="E38" s="21" t="n"/>
      <c r="F38" s="21" t="n"/>
      <c r="G38" s="21" t="n"/>
      <c r="H38" s="21" t="n"/>
    </row>
    <row r="39" ht="30" customHeight="1" s="29">
      <c r="A39" s="23">
        <f t="array" ref="A39">IF($B$7="","No currently actionable decision remains.","Go to "&amp;$E$7&amp;". In column D choose OPTION 1–4, CUSTOM RESPONSE, HOLD, or DEFER. "&amp;IF(INDEX('Author Decision Queue'!$S:$S,$B$7)&lt;&gt;"","If you choose "&amp;INDEX('Author Decision Queue'!$S:$S,$B$7)&amp;", enter the required wording in column E. ","")&amp;"Then enter optional notes in F, your initials in G, and the decision date in H.")</f>
        <v/>
      </c>
    </row>
    <row r="40" ht="15.75" customHeight="1" s="29"/>
    <row r="41" ht="15.75" customHeight="1" s="29"/>
    <row r="42" ht="15.75" customHeight="1" s="29">
      <c r="A42" s="4" t="n"/>
      <c r="B42" s="4" t="n"/>
      <c r="C42" s="4" t="n"/>
      <c r="D42" s="4" t="n"/>
      <c r="E42" s="4" t="n"/>
      <c r="F42" s="4" t="n"/>
      <c r="G42" s="4" t="n"/>
      <c r="H42" s="4" t="n"/>
    </row>
    <row r="43" ht="15.75" customHeight="1" s="29">
      <c r="A43" s="22" t="inlineStr">
        <is>
          <t>Source range</t>
        </is>
      </c>
      <c r="B43" s="4">
        <f t="array" ref="B43">IF($B$7="","",INDEX('Author Decision Queue'!$I:$I,$B$7))</f>
        <v/>
      </c>
      <c r="C43" s="4" t="n"/>
      <c r="D43" s="4" t="n"/>
      <c r="E43" s="4" t="n"/>
      <c r="F43" s="4" t="n"/>
      <c r="G43" s="4" t="n"/>
      <c r="H43" s="4" t="n"/>
    </row>
    <row r="44" ht="15.75" customHeight="1" s="29">
      <c r="A44" s="22" t="inlineStr">
        <is>
          <t>Source URL</t>
        </is>
      </c>
      <c r="B44" s="4">
        <f t="array" ref="B44">IF($B$7="","",INDEX('Author Decision Queue'!$AD:$AD,$B$7))</f>
        <v/>
      </c>
      <c r="C44" s="4" t="n"/>
      <c r="D44" s="4" t="n"/>
      <c r="E44" s="4" t="n"/>
      <c r="F44" s="4" t="n"/>
      <c r="G44" s="4" t="n"/>
      <c r="H44" s="4" t="n"/>
    </row>
    <row r="45" ht="15.75" customHeight="1" s="29">
      <c r="A45" s="22" t="inlineStr">
        <is>
          <t>Source caution</t>
        </is>
      </c>
      <c r="B45" s="4">
        <f t="array" ref="B45">IF($B$7="","",INDEX('Author Decision Queue'!$AE:$AE,$B$7))</f>
        <v/>
      </c>
      <c r="C45" s="4" t="n"/>
      <c r="D45" s="4" t="n"/>
      <c r="E45" s="4" t="n"/>
      <c r="F45" s="4" t="n"/>
      <c r="G45" s="4" t="n"/>
      <c r="H45" s="4" t="n"/>
    </row>
    <row r="46" ht="15.75" customHeight="1" s="29">
      <c r="A46" s="22" t="inlineStr">
        <is>
          <t>Follow-up / propagation</t>
        </is>
      </c>
      <c r="B46" s="4">
        <f t="array" ref="B46">IF($B$7="","",INDEX('Author Decision Queue'!$AB:$AB,$B$7))</f>
        <v/>
      </c>
      <c r="C46" s="4" t="n"/>
      <c r="D46" s="4" t="n"/>
      <c r="E46" s="4" t="n"/>
      <c r="F46" s="4" t="n"/>
      <c r="G46" s="4" t="n"/>
      <c r="H46" s="4" t="n"/>
    </row>
    <row r="47" ht="15.75" customHeight="1" s="29">
      <c r="A47" s="22" t="inlineStr">
        <is>
          <t>Review batch</t>
        </is>
      </c>
      <c r="B47" s="4">
        <f t="array" ref="B47">IF($B$7="","",INDEX('Author Decision Queue'!$AC:$AC,$B$7))</f>
        <v/>
      </c>
      <c r="C47" s="4" t="n"/>
      <c r="D47" s="4" t="n"/>
      <c r="E47" s="4" t="n"/>
      <c r="F47" s="4" t="n"/>
      <c r="G47" s="4" t="n"/>
      <c r="H47" s="4" t="n"/>
    </row>
    <row r="48" ht="15.75" customHeight="1" s="29">
      <c r="A48" s="4" t="n"/>
      <c r="B48" s="4" t="n"/>
      <c r="C48" s="4" t="n"/>
      <c r="D48" s="4" t="n"/>
      <c r="E48" s="4" t="n"/>
      <c r="F48" s="4" t="n"/>
      <c r="G48" s="4" t="n"/>
      <c r="H48" s="4" t="n"/>
    </row>
    <row r="49" ht="15.75" customHeight="1" s="29">
      <c r="A49" s="4" t="n"/>
      <c r="B49" s="4" t="n"/>
      <c r="C49" s="4" t="n"/>
      <c r="D49" s="4" t="n"/>
      <c r="E49" s="4" t="n"/>
      <c r="F49" s="4" t="n"/>
      <c r="G49" s="4" t="n"/>
      <c r="H49" s="4" t="n"/>
    </row>
    <row r="50" ht="15.75" customHeight="1" s="29">
      <c r="A50" s="21" t="inlineStr">
        <is>
          <t>GATE SAFETY</t>
        </is>
      </c>
      <c r="B50" s="21" t="n"/>
      <c r="C50" s="21" t="n"/>
      <c r="D50" s="21" t="n"/>
      <c r="E50" s="21" t="n"/>
      <c r="F50" s="21" t="n"/>
      <c r="G50" s="21" t="n"/>
      <c r="H50" s="21" t="n"/>
    </row>
    <row r="51" ht="30" customHeight="1" s="29">
      <c r="A51" s="25" t="inlineStr">
        <is>
          <t>A gate is not cleared merely because you have moved past an item. HOLD remains visible on Author Gate Dashboard. DEFERRED remains visible. Three future author decisions are pre-registered as BLOCKED so branch-map publication, external-validation adjudication, and final release cannot be forgotten.</t>
        </is>
      </c>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3">
    <mergeCell ref="A1:H1"/>
    <mergeCell ref="B32:H32"/>
    <mergeCell ref="A2:H4"/>
    <mergeCell ref="B35:H35"/>
    <mergeCell ref="B17:H19"/>
    <mergeCell ref="A51:H54"/>
    <mergeCell ref="B33:H33"/>
    <mergeCell ref="B24:H26"/>
    <mergeCell ref="B20:H23"/>
    <mergeCell ref="B34:H34"/>
    <mergeCell ref="A39:H41"/>
    <mergeCell ref="B27:H29"/>
    <mergeCell ref="B15:H16"/>
  </mergeCells>
  <pageMargins left="0.7" right="0.7" top="0.75" bottom="0.75" header="0" footer="0"/>
  <pageSetup orientation="landscape"/>
</worksheet>
</file>

<file path=xl/worksheets/sheet42.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12" customWidth="1" style="29" min="3" max="3"/>
    <col width="24" customWidth="1" style="29" min="4" max="4"/>
    <col width="72" customWidth="1" style="29" min="5" max="5"/>
    <col width="58" customWidth="1" style="29" min="6" max="6"/>
    <col width="16" customWidth="1" style="29" min="7" max="8"/>
    <col width="32" customWidth="1" style="29" min="9" max="9"/>
    <col width="72" customWidth="1" style="29" min="10" max="10"/>
    <col width="54" customWidth="1" style="29" min="11" max="11"/>
    <col width="8.630000000000001" customWidth="1" style="29" min="12" max="26"/>
  </cols>
  <sheetData>
    <row r="1">
      <c r="A1" s="5" t="inlineStr">
        <is>
          <t>Sequence</t>
        </is>
      </c>
      <c r="B1" s="5" t="inlineStr">
        <is>
          <t>Decision ID</t>
        </is>
      </c>
      <c r="C1" s="5" t="inlineStr">
        <is>
          <t>Current?</t>
        </is>
      </c>
      <c r="D1" s="5" t="inlineStr">
        <is>
          <t>Response Menu</t>
        </is>
      </c>
      <c r="E1" s="5" t="inlineStr">
        <is>
          <t>Custom Response</t>
        </is>
      </c>
      <c r="F1" s="5" t="inlineStr">
        <is>
          <t>Author Notes</t>
        </is>
      </c>
      <c r="G1" s="5" t="inlineStr">
        <is>
          <t>Author Initials</t>
        </is>
      </c>
      <c r="H1" s="5" t="inlineStr">
        <is>
          <t>Decision Date</t>
        </is>
      </c>
      <c r="I1" s="5" t="inlineStr">
        <is>
          <t>Workflow Status</t>
        </is>
      </c>
      <c r="J1" s="5" t="inlineStr">
        <is>
          <t>Resolved Response</t>
        </is>
      </c>
      <c r="K1" s="5" t="inlineStr">
        <is>
          <t>Decision Title</t>
        </is>
      </c>
    </row>
    <row r="2">
      <c r="A2" s="7" t="n">
        <v>1</v>
      </c>
      <c r="B2" s="7" t="inlineStr">
        <is>
          <t>AUTH-ARCH-001</t>
        </is>
      </c>
      <c r="C2" s="7">
        <f>'Author Decision Queue'!$AG$2</f>
        <v/>
      </c>
      <c r="D2" s="28" t="inlineStr">
        <is>
          <t>OPTION 2</t>
        </is>
      </c>
      <c r="E2" s="26" t="n"/>
      <c r="F2" s="26" t="inlineStr">
        <is>
          <t>Workbook canonical; v1 static JSON only. Pre-filled Option 1 in v2.14 superseded by explicit author choice.</t>
        </is>
      </c>
      <c r="G2" s="26" t="inlineStr">
        <is>
          <t>AJP</t>
        </is>
      </c>
      <c r="H2" s="27" t="n">
        <v>46274</v>
      </c>
      <c r="I2" s="18">
        <f>'Author Decision Queue'!$Z$2</f>
        <v/>
      </c>
      <c r="J2" s="18">
        <f>'Author Decision Queue'!$Y$2</f>
        <v/>
      </c>
      <c r="K2" s="18">
        <f>'Author Decision Queue'!$J$2</f>
        <v/>
      </c>
    </row>
    <row r="3">
      <c r="A3" s="7" t="n">
        <v>2</v>
      </c>
      <c r="B3" s="7" t="inlineStr">
        <is>
          <t>AUTH-ARCH-002</t>
        </is>
      </c>
      <c r="C3" s="7">
        <f>'Author Decision Queue'!$AG$3</f>
        <v/>
      </c>
      <c r="D3" s="28" t="inlineStr">
        <is>
          <t>OPTION 1</t>
        </is>
      </c>
      <c r="E3" s="26" t="n"/>
      <c r="F3" s="26" t="inlineStr">
        <is>
          <t>SEMANTIC/QUESTION_PATTERN triggers marked DEFERRED.</t>
        </is>
      </c>
      <c r="G3" s="26" t="inlineStr">
        <is>
          <t>AJP</t>
        </is>
      </c>
      <c r="H3" s="27" t="n">
        <v>46274</v>
      </c>
      <c r="I3" s="18">
        <f>'Author Decision Queue'!$Z$3</f>
        <v/>
      </c>
      <c r="J3" s="18">
        <f>'Author Decision Queue'!$Y$3</f>
        <v/>
      </c>
      <c r="K3" s="18">
        <f>'Author Decision Queue'!$J$3</f>
        <v/>
      </c>
    </row>
    <row r="4">
      <c r="A4" s="7" t="n">
        <v>3</v>
      </c>
      <c r="B4" s="7" t="inlineStr">
        <is>
          <t>AUTH-ARCH-003</t>
        </is>
      </c>
      <c r="C4" s="7">
        <f>'Author Decision Queue'!$AG$4</f>
        <v/>
      </c>
      <c r="D4" s="28" t="inlineStr">
        <is>
          <t>OPTION 1</t>
        </is>
      </c>
      <c r="E4" s="26" t="n"/>
      <c r="F4" s="26" t="inlineStr">
        <is>
          <t>Three-way anchor; ICC-001 explorer-only under Salvation &amp; discipleship.</t>
        </is>
      </c>
      <c r="G4" s="26" t="inlineStr">
        <is>
          <t>AJP</t>
        </is>
      </c>
      <c r="H4" s="27" t="n">
        <v>46274</v>
      </c>
      <c r="I4" s="18">
        <f>'Author Decision Queue'!$Z$4</f>
        <v/>
      </c>
      <c r="J4" s="18">
        <f>'Author Decision Queue'!$Y$4</f>
        <v/>
      </c>
      <c r="K4" s="18">
        <f>'Author Decision Queue'!$J$4</f>
        <v/>
      </c>
    </row>
    <row r="5">
      <c r="A5" s="7" t="n">
        <v>4</v>
      </c>
      <c r="B5" s="7" t="inlineStr">
        <is>
          <t>AUTH-ARCH-004</t>
        </is>
      </c>
      <c r="C5" s="7">
        <f>'Author Decision Queue'!$AG$5</f>
        <v/>
      </c>
      <c r="D5" s="28" t="inlineStr">
        <is>
          <t>OPTION 1</t>
        </is>
      </c>
      <c r="E5" s="26" t="n"/>
      <c r="F5" s="26" t="inlineStr">
        <is>
          <t>All ten hazards taught in Orientation in plain language.</t>
        </is>
      </c>
      <c r="G5" s="26" t="inlineStr">
        <is>
          <t>AJP</t>
        </is>
      </c>
      <c r="H5" s="27" t="n">
        <v>46274</v>
      </c>
      <c r="I5" s="18">
        <f>'Author Decision Queue'!$Z$5</f>
        <v/>
      </c>
      <c r="J5" s="18">
        <f>'Author Decision Queue'!$Y$5</f>
        <v/>
      </c>
      <c r="K5" s="18">
        <f>'Author Decision Queue'!$J$5</f>
        <v/>
      </c>
    </row>
    <row r="6">
      <c r="A6" s="7" t="n">
        <v>5</v>
      </c>
      <c r="B6" s="7" t="inlineStr">
        <is>
          <t>AUTH-ARCH-005</t>
        </is>
      </c>
      <c r="C6" s="7">
        <f>'Author Decision Queue'!$AG$6</f>
        <v/>
      </c>
      <c r="D6" s="28" t="inlineStr">
        <is>
          <t>OPTION 1</t>
        </is>
      </c>
      <c r="E6" s="26" t="n"/>
      <c r="F6" s="26" t="inlineStr">
        <is>
          <t>ICC-002 (2 Nephi 25:23 “after all we can do”) required before ICC-001 public release.</t>
        </is>
      </c>
      <c r="G6" s="26" t="inlineStr">
        <is>
          <t>AJP</t>
        </is>
      </c>
      <c r="H6" s="27" t="n">
        <v>46274</v>
      </c>
      <c r="I6" s="18">
        <f>'Author Decision Queue'!$Z$6</f>
        <v/>
      </c>
      <c r="J6" s="18">
        <f>'Author Decision Queue'!$Y$6</f>
        <v/>
      </c>
      <c r="K6" s="18">
        <f>'Author Decision Queue'!$J$6</f>
        <v/>
      </c>
    </row>
    <row r="7">
      <c r="A7" s="7" t="n">
        <v>6</v>
      </c>
      <c r="B7" s="7" t="inlineStr">
        <is>
          <t>AUTH-ARCH-006</t>
        </is>
      </c>
      <c r="C7" s="7">
        <f>'Author Decision Queue'!$AG$7</f>
        <v/>
      </c>
      <c r="D7" s="28" t="inlineStr">
        <is>
          <t>OPTION 1</t>
        </is>
      </c>
      <c r="E7" s="26" t="n"/>
      <c r="F7" s="26" t="inlineStr">
        <is>
          <t>Cap 6; observed misunderstanding required.</t>
        </is>
      </c>
      <c r="G7" s="26" t="inlineStr">
        <is>
          <t>AJP</t>
        </is>
      </c>
      <c r="H7" s="27" t="n">
        <v>46274</v>
      </c>
      <c r="I7" s="18">
        <f>'Author Decision Queue'!$Z$7</f>
        <v/>
      </c>
      <c r="J7" s="18">
        <f>'Author Decision Queue'!$Y$7</f>
        <v/>
      </c>
      <c r="K7" s="18">
        <f>'Author Decision Queue'!$J$7</f>
        <v/>
      </c>
    </row>
    <row r="8">
      <c r="A8" s="7" t="n">
        <v>7</v>
      </c>
      <c r="B8" s="7" t="inlineStr">
        <is>
          <t>AUTH-ICC-001-CUE</t>
        </is>
      </c>
      <c r="C8" s="7">
        <f>'Author Decision Queue'!$AG$8</f>
        <v/>
      </c>
      <c r="D8" s="28" t="inlineStr">
        <is>
          <t>OPTION 1</t>
        </is>
      </c>
      <c r="E8" s="26" t="n"/>
      <c r="F8" s="26" t="inlineStr">
        <is>
          <t>Question form adopted as learner cue copy.</t>
        </is>
      </c>
      <c r="G8" s="26" t="inlineStr">
        <is>
          <t>AJP</t>
        </is>
      </c>
      <c r="H8" s="27" t="n">
        <v>46274</v>
      </c>
      <c r="I8" s="18">
        <f>'Author Decision Queue'!$Z$8</f>
        <v/>
      </c>
      <c r="J8" s="18">
        <f>'Author Decision Queue'!$Y$8</f>
        <v/>
      </c>
      <c r="K8" s="18">
        <f>'Author Decision Queue'!$J$8</f>
        <v/>
      </c>
    </row>
    <row r="9">
      <c r="A9" s="7" t="n">
        <v>8</v>
      </c>
      <c r="B9" s="7" t="inlineStr">
        <is>
          <t>AUTH-ICC-001-CASE</t>
        </is>
      </c>
      <c r="C9" s="7">
        <f>'Author Decision Queue'!$AG$9</f>
        <v/>
      </c>
      <c r="D9" s="28" t="inlineStr">
        <is>
          <t>OPTION 1</t>
        </is>
      </c>
      <c r="E9" s="26" t="n"/>
      <c r="F9" s="26" t="inlineStr">
        <is>
          <t>Content approved; release held for lens balance.</t>
        </is>
      </c>
      <c r="G9" s="26" t="inlineStr">
        <is>
          <t>AJP</t>
        </is>
      </c>
      <c r="H9" s="27" t="n">
        <v>46274</v>
      </c>
      <c r="I9" s="18">
        <f>'Author Decision Queue'!$Z$9</f>
        <v/>
      </c>
      <c r="J9" s="18">
        <f>'Author Decision Queue'!$Y$9</f>
        <v/>
      </c>
      <c r="K9" s="18">
        <f>'Author Decision Queue'!$J$9</f>
        <v/>
      </c>
    </row>
    <row r="10">
      <c r="A10" s="7" t="n">
        <v>9</v>
      </c>
      <c r="B10" s="7" t="inlineStr">
        <is>
          <t>AUTH-COMP-H06</t>
        </is>
      </c>
      <c r="C10" s="7">
        <f>'Author Decision Queue'!$AG$10</f>
        <v/>
      </c>
      <c r="D10" s="28" t="inlineStr">
        <is>
          <t>OPTION 2</t>
        </is>
      </c>
      <c r="E10" s="26" t="n"/>
      <c r="F10" s="26" t="inlineStr">
        <is>
          <t>D&amp;C 20:24 — “to reign with almighty power according to the will of the Father”.</t>
        </is>
      </c>
      <c r="G10" s="26" t="inlineStr">
        <is>
          <t>AJP</t>
        </is>
      </c>
      <c r="H10" s="27" t="n">
        <v>46274</v>
      </c>
      <c r="I10" s="18">
        <f>'Author Decision Queue'!$Z$10</f>
        <v/>
      </c>
      <c r="J10" s="18">
        <f>'Author Decision Queue'!$Y$10</f>
        <v/>
      </c>
      <c r="K10" s="18">
        <f>'Author Decision Queue'!$J$10</f>
        <v/>
      </c>
    </row>
    <row r="11">
      <c r="A11" s="7" t="n">
        <v>10</v>
      </c>
      <c r="B11" s="7" t="inlineStr">
        <is>
          <t>AUTH-COMP-H09</t>
        </is>
      </c>
      <c r="C11" s="7">
        <f>'Author Decision Queue'!$AG$11</f>
        <v/>
      </c>
      <c r="D11" s="28" t="inlineStr">
        <is>
          <t>OPTION 2</t>
        </is>
      </c>
      <c r="E11" s="26" t="n"/>
      <c r="F11" s="26" t="inlineStr">
        <is>
          <t>Moroni 7:12 — “all things which are good cometh of God”.</t>
        </is>
      </c>
      <c r="G11" s="26" t="inlineStr">
        <is>
          <t>AJP</t>
        </is>
      </c>
      <c r="H11" s="27" t="n">
        <v>46274</v>
      </c>
      <c r="I11" s="18">
        <f>'Author Decision Queue'!$Z$11</f>
        <v/>
      </c>
      <c r="J11" s="18">
        <f>'Author Decision Queue'!$Y$11</f>
        <v/>
      </c>
      <c r="K11" s="18">
        <f>'Author Decision Queue'!$J$11</f>
        <v/>
      </c>
    </row>
    <row r="12">
      <c r="A12" s="7" t="n">
        <v>11</v>
      </c>
      <c r="B12" s="7" t="inlineStr">
        <is>
          <t>AUTH-COMP-H19</t>
        </is>
      </c>
      <c r="C12" s="7">
        <f>'Author Decision Queue'!$AG$12</f>
        <v/>
      </c>
      <c r="D12" s="28" t="inlineStr">
        <is>
          <t>OPTION 2</t>
        </is>
      </c>
      <c r="E12" s="26" t="inlineStr">
        <is>
          <t>REPLACE with Alma 26:8 — “Blessed be the name of our God” (doxological sense of blessed; scope note to say so).</t>
        </is>
      </c>
      <c r="F12" s="26" t="inlineStr">
        <is>
          <t>Author chose Alma 26:8 over suggested 1 Timothy 6:15.</t>
        </is>
      </c>
      <c r="G12" s="26" t="inlineStr">
        <is>
          <t>AJP</t>
        </is>
      </c>
      <c r="H12" s="27" t="n">
        <v>46274</v>
      </c>
      <c r="I12" s="18">
        <f>'Author Decision Queue'!$Z$12</f>
        <v/>
      </c>
      <c r="J12" s="18">
        <f>'Author Decision Queue'!$Y$12</f>
        <v/>
      </c>
      <c r="K12" s="18">
        <f>'Author Decision Queue'!$J$12</f>
        <v/>
      </c>
    </row>
    <row r="13">
      <c r="A13" s="7" t="n">
        <v>12</v>
      </c>
      <c r="B13" s="7" t="inlineStr">
        <is>
          <t>AUTH-COMP-H20</t>
        </is>
      </c>
      <c r="C13" s="7">
        <f>'Author Decision Queue'!$AG$13</f>
        <v/>
      </c>
      <c r="D13" s="28" t="inlineStr">
        <is>
          <t>OPTION 3</t>
        </is>
      </c>
      <c r="E13" s="26" t="n"/>
      <c r="F13" s="26" t="inlineStr">
        <is>
          <t>D&amp;C 76:19–20 — “we beheld the glory of the Son”.</t>
        </is>
      </c>
      <c r="G13" s="26" t="inlineStr">
        <is>
          <t>AJP</t>
        </is>
      </c>
      <c r="H13" s="27" t="n">
        <v>46274</v>
      </c>
      <c r="I13" s="18">
        <f>'Author Decision Queue'!$Z$13</f>
        <v/>
      </c>
      <c r="J13" s="18">
        <f>'Author Decision Queue'!$Y$13</f>
        <v/>
      </c>
      <c r="K13" s="18">
        <f>'Author Decision Queue'!$J$13</f>
        <v/>
      </c>
    </row>
    <row r="14">
      <c r="A14" s="7" t="n">
        <v>13</v>
      </c>
      <c r="B14" s="7" t="inlineStr">
        <is>
          <t>AUTH-ORTH-H37</t>
        </is>
      </c>
      <c r="C14" s="7">
        <f>'Author Decision Queue'!$AG$14</f>
        <v/>
      </c>
      <c r="D14" s="28" t="inlineStr">
        <is>
          <t>OPTION 1</t>
        </is>
      </c>
      <c r="E14" s="26" t="n"/>
      <c r="F14" s="26" t="inlineStr">
        <is>
          <t>Approved over reviewer recommendation to hold; OCA jurisdictional scope; seek catechetical source before scholarly use.</t>
        </is>
      </c>
      <c r="G14" s="26" t="inlineStr">
        <is>
          <t>AJP</t>
        </is>
      </c>
      <c r="H14" s="27" t="n">
        <v>46274</v>
      </c>
      <c r="I14" s="18">
        <f>'Author Decision Queue'!$Z$14</f>
        <v/>
      </c>
      <c r="J14" s="18">
        <f>'Author Decision Queue'!$Y$14</f>
        <v/>
      </c>
      <c r="K14" s="18">
        <f>'Author Decision Queue'!$J$14</f>
        <v/>
      </c>
    </row>
    <row r="15">
      <c r="A15" s="7" t="n">
        <v>14</v>
      </c>
      <c r="B15" s="7" t="inlineStr">
        <is>
          <t>AUTH-ORTH-H43</t>
        </is>
      </c>
      <c r="C15" s="7">
        <f>'Author Decision Queue'!$AG$15</f>
        <v/>
      </c>
      <c r="D15" s="28" t="inlineStr">
        <is>
          <t>OPTION 2</t>
        </is>
      </c>
      <c r="E15" s="26" t="n"/>
      <c r="F15" s="26" t="inlineStr">
        <is>
          <t>Keep PENDING; add essence–energies learner note.</t>
        </is>
      </c>
      <c r="G15" s="26" t="inlineStr">
        <is>
          <t>AJP</t>
        </is>
      </c>
      <c r="H15" s="27" t="n">
        <v>46274</v>
      </c>
      <c r="I15" s="18">
        <f>'Author Decision Queue'!$Z$15</f>
        <v/>
      </c>
      <c r="J15" s="18">
        <f>'Author Decision Queue'!$Y$15</f>
        <v/>
      </c>
      <c r="K15" s="18">
        <f>'Author Decision Queue'!$J$15</f>
        <v/>
      </c>
    </row>
    <row r="16">
      <c r="A16" s="7" t="n">
        <v>15</v>
      </c>
      <c r="B16" s="7" t="inlineStr">
        <is>
          <t>AUTH-GOD-01</t>
        </is>
      </c>
      <c r="C16" s="7">
        <f>'Author Decision Queue'!$AG$16</f>
        <v/>
      </c>
      <c r="D16" s="28" t="inlineStr">
        <is>
          <t>OPTION 1</t>
        </is>
      </c>
      <c r="E16" s="26" t="n"/>
      <c r="F16" s="26" t="n"/>
      <c r="G16" s="26" t="inlineStr">
        <is>
          <t>AJP</t>
        </is>
      </c>
      <c r="H16" s="27" t="n">
        <v>46274</v>
      </c>
      <c r="I16" s="18">
        <f>'Author Decision Queue'!$Z$16</f>
        <v/>
      </c>
      <c r="J16" s="18">
        <f>'Author Decision Queue'!$Y$16</f>
        <v/>
      </c>
      <c r="K16" s="18">
        <f>'Author Decision Queue'!$J$16</f>
        <v/>
      </c>
    </row>
    <row r="17">
      <c r="A17" s="7" t="n">
        <v>16</v>
      </c>
      <c r="B17" s="7" t="inlineStr">
        <is>
          <t>AUTH-GOD-02</t>
        </is>
      </c>
      <c r="C17" s="7">
        <f>'Author Decision Queue'!$AG$17</f>
        <v/>
      </c>
      <c r="D17" s="28" t="inlineStr">
        <is>
          <t>OPTION 1</t>
        </is>
      </c>
      <c r="E17" s="26" t="n"/>
      <c r="F17" s="26" t="n"/>
      <c r="G17" s="26" t="inlineStr">
        <is>
          <t>AJP</t>
        </is>
      </c>
      <c r="H17" s="27" t="n">
        <v>46274</v>
      </c>
      <c r="I17" s="18">
        <f>'Author Decision Queue'!$Z$17</f>
        <v/>
      </c>
      <c r="J17" s="18">
        <f>'Author Decision Queue'!$Y$17</f>
        <v/>
      </c>
      <c r="K17" s="18">
        <f>'Author Decision Queue'!$J$17</f>
        <v/>
      </c>
    </row>
    <row r="18">
      <c r="A18" s="7" t="n">
        <v>17</v>
      </c>
      <c r="B18" s="7" t="inlineStr">
        <is>
          <t>AUTH-GOD-03</t>
        </is>
      </c>
      <c r="C18" s="7">
        <f>'Author Decision Queue'!$AG$18</f>
        <v/>
      </c>
      <c r="D18" s="28" t="inlineStr">
        <is>
          <t>OPTION 1</t>
        </is>
      </c>
      <c r="E18" s="26" t="n"/>
      <c r="F18" s="26" t="n"/>
      <c r="G18" s="26" t="inlineStr">
        <is>
          <t>AJP</t>
        </is>
      </c>
      <c r="H18" s="27" t="n">
        <v>46274</v>
      </c>
      <c r="I18" s="18">
        <f>'Author Decision Queue'!$Z$18</f>
        <v/>
      </c>
      <c r="J18" s="18">
        <f>'Author Decision Queue'!$Y$18</f>
        <v/>
      </c>
      <c r="K18" s="18">
        <f>'Author Decision Queue'!$J$18</f>
        <v/>
      </c>
    </row>
    <row r="19">
      <c r="A19" s="7" t="n">
        <v>18</v>
      </c>
      <c r="B19" s="7" t="inlineStr">
        <is>
          <t>AUTH-GOD-04</t>
        </is>
      </c>
      <c r="C19" s="7">
        <f>'Author Decision Queue'!$AG$19</f>
        <v/>
      </c>
      <c r="D19" s="28" t="inlineStr">
        <is>
          <t>OPTION 1</t>
        </is>
      </c>
      <c r="E19" s="26" t="n"/>
      <c r="F19" s="26" t="n"/>
      <c r="G19" s="26" t="inlineStr">
        <is>
          <t>AJP</t>
        </is>
      </c>
      <c r="H19" s="27" t="n">
        <v>46274</v>
      </c>
      <c r="I19" s="18">
        <f>'Author Decision Queue'!$Z$19</f>
        <v/>
      </c>
      <c r="J19" s="18">
        <f>'Author Decision Queue'!$Y$19</f>
        <v/>
      </c>
      <c r="K19" s="18">
        <f>'Author Decision Queue'!$J$19</f>
        <v/>
      </c>
    </row>
    <row r="20">
      <c r="A20" s="7" t="n">
        <v>19</v>
      </c>
      <c r="B20" s="7" t="inlineStr">
        <is>
          <t>AUTH-RAT-RNR-H01</t>
        </is>
      </c>
      <c r="C20" s="7">
        <f>'Author Decision Queue'!$AG$20</f>
        <v/>
      </c>
      <c r="D20" s="28" t="inlineStr">
        <is>
          <t>OPTION 2</t>
        </is>
      </c>
      <c r="E20" s="26" t="inlineStr">
        <is>
          <t>summary → God is the living God. | caution → Shared. Both traditions affirm this of God in the same sense.</t>
        </is>
      </c>
      <c r="F2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0" s="26" t="inlineStr">
        <is>
          <t>AJP</t>
        </is>
      </c>
      <c r="H20" s="27" t="n">
        <v>46274</v>
      </c>
      <c r="I20" s="18">
        <f>'Author Decision Queue'!$Z$20</f>
        <v/>
      </c>
      <c r="J20" s="18">
        <f>'Author Decision Queue'!$Y$20</f>
        <v/>
      </c>
      <c r="K20" s="18">
        <f>'Author Decision Queue'!$J$20</f>
        <v/>
      </c>
    </row>
    <row r="21" ht="15.75" customHeight="1" s="29">
      <c r="A21" s="7" t="n">
        <v>20</v>
      </c>
      <c r="B21" s="7" t="inlineStr">
        <is>
          <t>AUTH-RAT-RNR-H02</t>
        </is>
      </c>
      <c r="C21" s="7">
        <f>'Author Decision Queue'!$AG$21</f>
        <v/>
      </c>
      <c r="D21" s="28" t="inlineStr">
        <is>
          <t>OPTION 2</t>
        </is>
      </c>
      <c r="E21" s="26" t="inlineStr">
        <is>
          <t>summary → God is true — authentic, faithful, and real. | caution → Shared. Both traditions affirm this of God in the same sense.</t>
        </is>
      </c>
      <c r="F2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1" s="26" t="inlineStr">
        <is>
          <t>AJP</t>
        </is>
      </c>
      <c r="H21" s="27" t="n">
        <v>46274</v>
      </c>
      <c r="I21" s="18">
        <f>'Author Decision Queue'!$Z$21</f>
        <v/>
      </c>
      <c r="J21" s="18">
        <f>'Author Decision Queue'!$Y$21</f>
        <v/>
      </c>
      <c r="K21" s="18">
        <f>'Author Decision Queue'!$J$21</f>
        <v/>
      </c>
    </row>
    <row r="22" ht="15.75" customHeight="1" s="29">
      <c r="A22" s="7" t="n">
        <v>21</v>
      </c>
      <c r="B22" s="7" t="inlineStr">
        <is>
          <t>AUTH-RAT-RNR-H03</t>
        </is>
      </c>
      <c r="C22" s="7">
        <f>'Author Decision Queue'!$AG$22</f>
        <v/>
      </c>
      <c r="D22" s="28" t="inlineStr">
        <is>
          <t>OPTION 1</t>
        </is>
      </c>
      <c r="E22" s="26" t="n"/>
      <c r="F22" s="26" t="inlineStr">
        <is>
          <t>Approved as written (batch sign-off 2026-09-09).</t>
        </is>
      </c>
      <c r="G22" s="26" t="inlineStr">
        <is>
          <t>AJP</t>
        </is>
      </c>
      <c r="H22" s="27" t="n">
        <v>46274</v>
      </c>
      <c r="I22" s="18">
        <f>'Author Decision Queue'!$Z$22</f>
        <v/>
      </c>
      <c r="J22" s="18">
        <f>'Author Decision Queue'!$Y$22</f>
        <v/>
      </c>
      <c r="K22" s="18">
        <f>'Author Decision Queue'!$J$22</f>
        <v/>
      </c>
    </row>
    <row r="23" ht="15.75" customHeight="1" s="29">
      <c r="A23" s="7" t="n">
        <v>22</v>
      </c>
      <c r="B23" s="7" t="inlineStr">
        <is>
          <t>AUTH-RAT-RNR-H04</t>
        </is>
      </c>
      <c r="C23" s="7">
        <f>'Author Decision Queue'!$AG$23</f>
        <v/>
      </c>
      <c r="D23" s="28" t="inlineStr">
        <is>
          <t>OPTION 2</t>
        </is>
      </c>
      <c r="E23" s="26" t="inlineStr">
        <is>
          <t>summary → God is Father.</t>
        </is>
      </c>
      <c r="F2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3" s="26" t="inlineStr">
        <is>
          <t>AJP</t>
        </is>
      </c>
      <c r="H23" s="27" t="n">
        <v>46274</v>
      </c>
      <c r="I23" s="18">
        <f>'Author Decision Queue'!$Z$23</f>
        <v/>
      </c>
      <c r="J23" s="18">
        <f>'Author Decision Queue'!$Y$23</f>
        <v/>
      </c>
      <c r="K23" s="18">
        <f>'Author Decision Queue'!$J$23</f>
        <v/>
      </c>
    </row>
    <row r="24" ht="15.75" customHeight="1" s="29">
      <c r="A24" s="7" t="n">
        <v>23</v>
      </c>
      <c r="B24" s="7" t="inlineStr">
        <is>
          <t>AUTH-RAT-RNR-H05</t>
        </is>
      </c>
      <c r="C24" s="7">
        <f>'Author Decision Queue'!$AG$24</f>
        <v/>
      </c>
      <c r="D24" s="28" t="inlineStr">
        <is>
          <t>OPTION 2</t>
        </is>
      </c>
      <c r="E24" s="26" t="inlineStr">
        <is>
          <t>summary → Names Jesus Christ as the eternal Son of God.</t>
        </is>
      </c>
      <c r="F2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4" s="26" t="inlineStr">
        <is>
          <t>AJP</t>
        </is>
      </c>
      <c r="H24" s="27" t="n">
        <v>46274</v>
      </c>
      <c r="I24" s="18">
        <f>'Author Decision Queue'!$Z$24</f>
        <v/>
      </c>
      <c r="J24" s="18">
        <f>'Author Decision Queue'!$Y$24</f>
        <v/>
      </c>
      <c r="K24" s="18">
        <f>'Author Decision Queue'!$J$24</f>
        <v/>
      </c>
    </row>
    <row r="25" ht="15.75" customHeight="1" s="29">
      <c r="A25" s="7" t="n">
        <v>24</v>
      </c>
      <c r="B25" s="7" t="inlineStr">
        <is>
          <t>AUTH-RAT-RNR-H06</t>
        </is>
      </c>
      <c r="C25" s="7">
        <f>'Author Decision Queue'!$AG$25</f>
        <v/>
      </c>
      <c r="D25" s="28" t="inlineStr">
        <is>
          <t>OPTION 2</t>
        </is>
      </c>
      <c r="E25" s="26" t="inlineStr">
        <is>
          <t>summary → Jesus Christ is Lord. | Restoration comparator → D&amp;C 20:24 “to reign with almighty power according to the will of the Father”</t>
        </is>
      </c>
      <c r="F2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5" s="26" t="inlineStr">
        <is>
          <t>AJP</t>
        </is>
      </c>
      <c r="H25" s="27" t="n">
        <v>46274</v>
      </c>
      <c r="I25" s="18">
        <f>'Author Decision Queue'!$Z$25</f>
        <v/>
      </c>
      <c r="J25" s="18">
        <f>'Author Decision Queue'!$Y$25</f>
        <v/>
      </c>
      <c r="K25" s="18">
        <f>'Author Decision Queue'!$J$25</f>
        <v/>
      </c>
    </row>
    <row r="26" ht="15.75" customHeight="1" s="29">
      <c r="A26" s="7" t="n">
        <v>25</v>
      </c>
      <c r="B26" s="7" t="inlineStr">
        <is>
          <t>AUTH-RAT-RNR-H07</t>
        </is>
      </c>
      <c r="C26" s="7">
        <f>'Author Decision Queue'!$AG$26</f>
        <v/>
      </c>
      <c r="D26" s="28" t="inlineStr">
        <is>
          <t>OPTION 2</t>
        </is>
      </c>
      <c r="E26" s="26" t="inlineStr">
        <is>
          <t>summary → God is almighty; all power is His.</t>
        </is>
      </c>
      <c r="F2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6" s="26" t="inlineStr">
        <is>
          <t>AJP</t>
        </is>
      </c>
      <c r="H26" s="27" t="n">
        <v>46274</v>
      </c>
      <c r="I26" s="18">
        <f>'Author Decision Queue'!$Z$26</f>
        <v/>
      </c>
      <c r="J26" s="18">
        <f>'Author Decision Queue'!$Y$26</f>
        <v/>
      </c>
      <c r="K26" s="18">
        <f>'Author Decision Queue'!$J$26</f>
        <v/>
      </c>
    </row>
    <row r="27" ht="15.75" customHeight="1" s="29">
      <c r="A27" s="7" t="n">
        <v>26</v>
      </c>
      <c r="B27" s="7" t="inlineStr">
        <is>
          <t>AUTH-RAT-RNR-H08</t>
        </is>
      </c>
      <c r="C27" s="7">
        <f>'Author Decision Queue'!$AG$27</f>
        <v/>
      </c>
      <c r="D27" s="28" t="inlineStr">
        <is>
          <t>OPTION 2</t>
        </is>
      </c>
      <c r="E27" s="26" t="inlineStr">
        <is>
          <t>summary → God is all-wise.</t>
        </is>
      </c>
      <c r="F2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7" s="26" t="inlineStr">
        <is>
          <t>AJP</t>
        </is>
      </c>
      <c r="H27" s="27" t="n">
        <v>46274</v>
      </c>
      <c r="I27" s="18">
        <f>'Author Decision Queue'!$Z$27</f>
        <v/>
      </c>
      <c r="J27" s="18">
        <f>'Author Decision Queue'!$Y$27</f>
        <v/>
      </c>
      <c r="K27" s="18">
        <f>'Author Decision Queue'!$J$27</f>
        <v/>
      </c>
    </row>
    <row r="28" ht="15.75" customHeight="1" s="29">
      <c r="A28" s="7" t="n">
        <v>27</v>
      </c>
      <c r="B28" s="7" t="inlineStr">
        <is>
          <t>AUTH-RAT-RNR-H09</t>
        </is>
      </c>
      <c r="C28" s="7">
        <f>'Author Decision Queue'!$AG$28</f>
        <v/>
      </c>
      <c r="D28" s="28" t="inlineStr">
        <is>
          <t>OPTION 2</t>
        </is>
      </c>
      <c r="E28" s="26" t="inlineStr">
        <is>
          <t>summary → God is good. | Restoration comparator → Moroni 7:12 “all things which are good cometh of God”</t>
        </is>
      </c>
      <c r="F2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8" s="26" t="inlineStr">
        <is>
          <t>AJP</t>
        </is>
      </c>
      <c r="H28" s="27" t="n">
        <v>46274</v>
      </c>
      <c r="I28" s="18">
        <f>'Author Decision Queue'!$Z$28</f>
        <v/>
      </c>
      <c r="J28" s="18">
        <f>'Author Decision Queue'!$Y$28</f>
        <v/>
      </c>
      <c r="K28" s="18">
        <f>'Author Decision Queue'!$J$28</f>
        <v/>
      </c>
    </row>
    <row r="29" ht="15.75" customHeight="1" s="29">
      <c r="A29" s="7" t="n">
        <v>28</v>
      </c>
      <c r="B29" s="7" t="inlineStr">
        <is>
          <t>AUTH-RAT-RNR-H10</t>
        </is>
      </c>
      <c r="C29" s="7">
        <f>'Author Decision Queue'!$AG$29</f>
        <v/>
      </c>
      <c r="D29" s="28" t="inlineStr">
        <is>
          <t>OPTION 2</t>
        </is>
      </c>
      <c r="E29" s="26" t="inlineStr">
        <is>
          <t>summary → Every good thing comes from God. | caution → Shared. Both traditions affirm this of God in the same sense.</t>
        </is>
      </c>
      <c r="F2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9" s="26" t="inlineStr">
        <is>
          <t>AJP</t>
        </is>
      </c>
      <c r="H29" s="27" t="n">
        <v>46274</v>
      </c>
      <c r="I29" s="18">
        <f>'Author Decision Queue'!$Z$29</f>
        <v/>
      </c>
      <c r="J29" s="18">
        <f>'Author Decision Queue'!$Y$29</f>
        <v/>
      </c>
      <c r="K29" s="18">
        <f>'Author Decision Queue'!$J$29</f>
        <v/>
      </c>
    </row>
    <row r="30" ht="15.75" customHeight="1" s="29">
      <c r="A30" s="7" t="n">
        <v>29</v>
      </c>
      <c r="B30" s="7" t="inlineStr">
        <is>
          <t>AUTH-RAT-RNR-H11</t>
        </is>
      </c>
      <c r="C30" s="7">
        <f>'Author Decision Queue'!$AG$30</f>
        <v/>
      </c>
      <c r="D30" s="28" t="inlineStr">
        <is>
          <t>OPTION 2</t>
        </is>
      </c>
      <c r="E30" s="26" t="inlineStr">
        <is>
          <t>summary → God is just and righteous.</t>
        </is>
      </c>
      <c r="F3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0" s="26" t="inlineStr">
        <is>
          <t>AJP</t>
        </is>
      </c>
      <c r="H30" s="27" t="n">
        <v>46274</v>
      </c>
      <c r="I30" s="18">
        <f>'Author Decision Queue'!$Z$30</f>
        <v/>
      </c>
      <c r="J30" s="18">
        <f>'Author Decision Queue'!$Y$30</f>
        <v/>
      </c>
      <c r="K30" s="18">
        <f>'Author Decision Queue'!$J$30</f>
        <v/>
      </c>
    </row>
    <row r="31" ht="15.75" customHeight="1" s="29">
      <c r="A31" s="7" t="n">
        <v>30</v>
      </c>
      <c r="B31" s="7" t="inlineStr">
        <is>
          <t>AUTH-RAT-RNR-H12</t>
        </is>
      </c>
      <c r="C31" s="7">
        <f>'Author Decision Queue'!$AG$31</f>
        <v/>
      </c>
      <c r="D31" s="28" t="inlineStr">
        <is>
          <t>OPTION 2</t>
        </is>
      </c>
      <c r="E31" s="26" t="inlineStr">
        <is>
          <t>summary → God is holy.</t>
        </is>
      </c>
      <c r="F3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1" s="26" t="inlineStr">
        <is>
          <t>AJP</t>
        </is>
      </c>
      <c r="H31" s="27" t="n">
        <v>46274</v>
      </c>
      <c r="I31" s="18">
        <f>'Author Decision Queue'!$Z$31</f>
        <v/>
      </c>
      <c r="J31" s="18">
        <f>'Author Decision Queue'!$Y$31</f>
        <v/>
      </c>
      <c r="K31" s="18">
        <f>'Author Decision Queue'!$J$31</f>
        <v/>
      </c>
    </row>
    <row r="32" ht="15.75" customHeight="1" s="29">
      <c r="A32" s="7" t="n">
        <v>31</v>
      </c>
      <c r="B32" s="7" t="inlineStr">
        <is>
          <t>AUTH-RAT-RNR-H13</t>
        </is>
      </c>
      <c r="C32" s="7">
        <f>'Author Decision Queue'!$AG$32</f>
        <v/>
      </c>
      <c r="D32" s="28" t="inlineStr">
        <is>
          <t>OPTION 2</t>
        </is>
      </c>
      <c r="E32" s="26" t="inlineStr">
        <is>
          <t>summary → God is a God of truth; He cannot lie.</t>
        </is>
      </c>
      <c r="F3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2" s="26" t="inlineStr">
        <is>
          <t>AJP</t>
        </is>
      </c>
      <c r="H32" s="27" t="n">
        <v>46274</v>
      </c>
      <c r="I32" s="18">
        <f>'Author Decision Queue'!$Z$32</f>
        <v/>
      </c>
      <c r="J32" s="18">
        <f>'Author Decision Queue'!$Y$32</f>
        <v/>
      </c>
      <c r="K32" s="18">
        <f>'Author Decision Queue'!$J$32</f>
        <v/>
      </c>
    </row>
    <row r="33" ht="15.75" customHeight="1" s="29">
      <c r="A33" s="7" t="n">
        <v>32</v>
      </c>
      <c r="B33" s="7" t="inlineStr">
        <is>
          <t>AUTH-RAT-RNR-H14</t>
        </is>
      </c>
      <c r="C33" s="7">
        <f>'Author Decision Queue'!$AG$33</f>
        <v/>
      </c>
      <c r="D33" s="28" t="inlineStr">
        <is>
          <t>OPTION 2</t>
        </is>
      </c>
      <c r="E33" s="26" t="inlineStr">
        <is>
          <t>summary → God is love; He loves His children.</t>
        </is>
      </c>
      <c r="F3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3" s="26" t="inlineStr">
        <is>
          <t>AJP</t>
        </is>
      </c>
      <c r="H33" s="27" t="n">
        <v>46274</v>
      </c>
      <c r="I33" s="18">
        <f>'Author Decision Queue'!$Z$33</f>
        <v/>
      </c>
      <c r="J33" s="18">
        <f>'Author Decision Queue'!$Y$33</f>
        <v/>
      </c>
      <c r="K33" s="18">
        <f>'Author Decision Queue'!$J$33</f>
        <v/>
      </c>
    </row>
    <row r="34" ht="15.75" customHeight="1" s="29">
      <c r="A34" s="7" t="n">
        <v>33</v>
      </c>
      <c r="B34" s="7" t="inlineStr">
        <is>
          <t>AUTH-RAT-RNR-H15</t>
        </is>
      </c>
      <c r="C34" s="7">
        <f>'Author Decision Queue'!$AG$34</f>
        <v/>
      </c>
      <c r="D34" s="28" t="inlineStr">
        <is>
          <t>OPTION 2</t>
        </is>
      </c>
      <c r="E34" s="26" t="inlineStr">
        <is>
          <t>summary → God is merciful.</t>
        </is>
      </c>
      <c r="F3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4" s="26" t="inlineStr">
        <is>
          <t>AJP</t>
        </is>
      </c>
      <c r="H34" s="27" t="n">
        <v>46274</v>
      </c>
      <c r="I34" s="18">
        <f>'Author Decision Queue'!$Z$34</f>
        <v/>
      </c>
      <c r="J34" s="18">
        <f>'Author Decision Queue'!$Y$34</f>
        <v/>
      </c>
      <c r="K34" s="18">
        <f>'Author Decision Queue'!$J$34</f>
        <v/>
      </c>
    </row>
    <row r="35" ht="15.75" customHeight="1" s="29">
      <c r="A35" s="7" t="n">
        <v>34</v>
      </c>
      <c r="B35" s="7" t="inlineStr">
        <is>
          <t>AUTH-RAT-RNR-H16</t>
        </is>
      </c>
      <c r="C35" s="7">
        <f>'Author Decision Queue'!$AG$35</f>
        <v/>
      </c>
      <c r="D35" s="28" t="inlineStr">
        <is>
          <t>OPTION 2</t>
        </is>
      </c>
      <c r="E35" s="26" t="inlineStr">
        <is>
          <t>summary → God is gracious.</t>
        </is>
      </c>
      <c r="F3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5" s="26" t="inlineStr">
        <is>
          <t>AJP</t>
        </is>
      </c>
      <c r="H35" s="27" t="n">
        <v>46274</v>
      </c>
      <c r="I35" s="18">
        <f>'Author Decision Queue'!$Z$35</f>
        <v/>
      </c>
      <c r="J35" s="18">
        <f>'Author Decision Queue'!$Y$35</f>
        <v/>
      </c>
      <c r="K35" s="18">
        <f>'Author Decision Queue'!$J$35</f>
        <v/>
      </c>
    </row>
    <row r="36" ht="15.75" customHeight="1" s="29">
      <c r="A36" s="7" t="n">
        <v>35</v>
      </c>
      <c r="B36" s="7" t="inlineStr">
        <is>
          <t>AUTH-RAT-RNR-H17</t>
        </is>
      </c>
      <c r="C36" s="7">
        <f>'Author Decision Queue'!$AG$36</f>
        <v/>
      </c>
      <c r="D36" s="28" t="inlineStr">
        <is>
          <t>OPTION 2</t>
        </is>
      </c>
      <c r="E36" s="26" t="inlineStr">
        <is>
          <t>summary → God is long-suffering and patient.</t>
        </is>
      </c>
      <c r="F3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6" s="26" t="inlineStr">
        <is>
          <t>AJP</t>
        </is>
      </c>
      <c r="H36" s="27" t="n">
        <v>46274</v>
      </c>
      <c r="I36" s="18">
        <f>'Author Decision Queue'!$Z$36</f>
        <v/>
      </c>
      <c r="J36" s="18">
        <f>'Author Decision Queue'!$Y$36</f>
        <v/>
      </c>
      <c r="K36" s="18">
        <f>'Author Decision Queue'!$J$36</f>
        <v/>
      </c>
    </row>
    <row r="37" ht="15.75" customHeight="1" s="29">
      <c r="A37" s="7" t="n">
        <v>36</v>
      </c>
      <c r="B37" s="7" t="inlineStr">
        <is>
          <t>AUTH-RAT-RNR-H18</t>
        </is>
      </c>
      <c r="C37" s="7">
        <f>'Author Decision Queue'!$AG$37</f>
        <v/>
      </c>
      <c r="D37" s="28" t="inlineStr">
        <is>
          <t>OPTION 2</t>
        </is>
      </c>
      <c r="E37" s="26" t="inlineStr">
        <is>
          <t>summary → God forgives sin. | Restoration phrase → “I, the Lord, will forgive whom I will forgive”</t>
        </is>
      </c>
      <c r="F3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7" s="26" t="inlineStr">
        <is>
          <t>AJP</t>
        </is>
      </c>
      <c r="H37" s="27" t="n">
        <v>46274</v>
      </c>
      <c r="I37" s="18">
        <f>'Author Decision Queue'!$Z$37</f>
        <v/>
      </c>
      <c r="J37" s="18">
        <f>'Author Decision Queue'!$Y$37</f>
        <v/>
      </c>
      <c r="K37" s="18">
        <f>'Author Decision Queue'!$J$37</f>
        <v/>
      </c>
    </row>
    <row r="38" ht="15.75" customHeight="1" s="29">
      <c r="A38" s="7" t="n">
        <v>37</v>
      </c>
      <c r="B38" s="7" t="inlineStr">
        <is>
          <t>AUTH-RAT-RNR-H19</t>
        </is>
      </c>
      <c r="C38" s="7">
        <f>'Author Decision Queue'!$AG$38</f>
        <v/>
      </c>
      <c r="D38" s="28" t="inlineStr">
        <is>
          <t>OPTION 2</t>
        </is>
      </c>
      <c r="E38" s="26" t="inlineStr">
        <is>
          <t>summary → God is blessed; all blessedness is in Him. | caution → Shared. Both traditions affirm this of God in the same sense. | Restoration comparator → Alma 26:8 “Blessed be the name of our God”</t>
        </is>
      </c>
      <c r="F3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8" s="26" t="inlineStr">
        <is>
          <t>AJP</t>
        </is>
      </c>
      <c r="H38" s="27" t="n">
        <v>46274</v>
      </c>
      <c r="I38" s="18">
        <f>'Author Decision Queue'!$Z$38</f>
        <v/>
      </c>
      <c r="J38" s="18">
        <f>'Author Decision Queue'!$Y$38</f>
        <v/>
      </c>
      <c r="K38" s="18">
        <f>'Author Decision Queue'!$J$38</f>
        <v/>
      </c>
    </row>
    <row r="39" ht="15.75" customHeight="1" s="29">
      <c r="A39" s="7" t="n">
        <v>38</v>
      </c>
      <c r="B39" s="7" t="inlineStr">
        <is>
          <t>AUTH-RAT-RNR-H20</t>
        </is>
      </c>
      <c r="C39" s="7">
        <f>'Author Decision Queue'!$AG$39</f>
        <v/>
      </c>
      <c r="D39" s="28" t="inlineStr">
        <is>
          <t>OPTION 2</t>
        </is>
      </c>
      <c r="E39" s="26" t="inlineStr">
        <is>
          <t>summary → God is glorious. | Restoration comparator → D&amp;C 76:19–20 “we beheld the glory of the Son”</t>
        </is>
      </c>
      <c r="F3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9" s="26" t="inlineStr">
        <is>
          <t>AJP</t>
        </is>
      </c>
      <c r="H39" s="27" t="n">
        <v>46274</v>
      </c>
      <c r="I39" s="18">
        <f>'Author Decision Queue'!$Z$39</f>
        <v/>
      </c>
      <c r="J39" s="18">
        <f>'Author Decision Queue'!$Y$39</f>
        <v/>
      </c>
      <c r="K39" s="18">
        <f>'Author Decision Queue'!$J$39</f>
        <v/>
      </c>
    </row>
    <row r="40" ht="15.75" customHeight="1" s="29">
      <c r="A40" s="7" t="n">
        <v>39</v>
      </c>
      <c r="B40" s="7" t="inlineStr">
        <is>
          <t>AUTH-RAT-RNR-H21</t>
        </is>
      </c>
      <c r="C40" s="7">
        <f>'Author Decision Queue'!$AG$40</f>
        <v/>
      </c>
      <c r="D40" s="28" t="inlineStr">
        <is>
          <t>OPTION 2</t>
        </is>
      </c>
      <c r="E40" s="26" t="inlineStr">
        <is>
          <t>summary → God gives life.</t>
        </is>
      </c>
      <c r="F4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0" s="26" t="inlineStr">
        <is>
          <t>AJP</t>
        </is>
      </c>
      <c r="H40" s="27" t="n">
        <v>46274</v>
      </c>
      <c r="I40" s="18">
        <f>'Author Decision Queue'!$Z$40</f>
        <v/>
      </c>
      <c r="J40" s="18">
        <f>'Author Decision Queue'!$Y$40</f>
        <v/>
      </c>
      <c r="K40" s="18">
        <f>'Author Decision Queue'!$J$40</f>
        <v/>
      </c>
    </row>
    <row r="41" ht="15.75" customHeight="1" s="29">
      <c r="A41" s="7" t="n">
        <v>40</v>
      </c>
      <c r="B41" s="7" t="inlineStr">
        <is>
          <t>AUTH-RAT-RNR-H22</t>
        </is>
      </c>
      <c r="C41" s="7">
        <f>'Author Decision Queue'!$AG$41</f>
        <v/>
      </c>
      <c r="D41" s="28" t="inlineStr">
        <is>
          <t>OPTION 1</t>
        </is>
      </c>
      <c r="E41" s="26" t="n"/>
      <c r="F41" s="26" t="inlineStr">
        <is>
          <t>Approved as written (batch sign-off 2026-09-09).</t>
        </is>
      </c>
      <c r="G41" s="26" t="inlineStr">
        <is>
          <t>AJP</t>
        </is>
      </c>
      <c r="H41" s="27" t="n">
        <v>46274</v>
      </c>
      <c r="I41" s="18">
        <f>'Author Decision Queue'!$Z$41</f>
        <v/>
      </c>
      <c r="J41" s="18">
        <f>'Author Decision Queue'!$Y$41</f>
        <v/>
      </c>
      <c r="K41" s="18">
        <f>'Author Decision Queue'!$J$41</f>
        <v/>
      </c>
    </row>
    <row r="42" ht="15.75" customHeight="1" s="29">
      <c r="A42" s="7" t="n">
        <v>41</v>
      </c>
      <c r="B42" s="7" t="inlineStr">
        <is>
          <t>AUTH-RAT-RNR-H23</t>
        </is>
      </c>
      <c r="C42" s="7">
        <f>'Author Decision Queue'!$AG$42</f>
        <v/>
      </c>
      <c r="D42" s="28" t="inlineStr">
        <is>
          <t>OPTION 2</t>
        </is>
      </c>
      <c r="E42" s="26" t="inlineStr">
        <is>
          <t>summary → God preserves and sustains all things.</t>
        </is>
      </c>
      <c r="F4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2" s="26" t="inlineStr">
        <is>
          <t>AJP</t>
        </is>
      </c>
      <c r="H42" s="27" t="n">
        <v>46274</v>
      </c>
      <c r="I42" s="18">
        <f>'Author Decision Queue'!$Z$42</f>
        <v/>
      </c>
      <c r="J42" s="18">
        <f>'Author Decision Queue'!$Y$42</f>
        <v/>
      </c>
      <c r="K42" s="18">
        <f>'Author Decision Queue'!$J$42</f>
        <v/>
      </c>
    </row>
    <row r="43" ht="15.75" customHeight="1" s="29">
      <c r="A43" s="7" t="n">
        <v>42</v>
      </c>
      <c r="B43" s="7" t="inlineStr">
        <is>
          <t>AUTH-RAT-RNR-H24</t>
        </is>
      </c>
      <c r="C43" s="7">
        <f>'Author Decision Queue'!$AG$43</f>
        <v/>
      </c>
      <c r="D43" s="28" t="inlineStr">
        <is>
          <t>OPTION 2</t>
        </is>
      </c>
      <c r="E43" s="26" t="inlineStr">
        <is>
          <t>summary → God governs all things.</t>
        </is>
      </c>
      <c r="F4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3" s="26" t="inlineStr">
        <is>
          <t>AJP</t>
        </is>
      </c>
      <c r="H43" s="27" t="n">
        <v>46274</v>
      </c>
      <c r="I43" s="18">
        <f>'Author Decision Queue'!$Z$43</f>
        <v/>
      </c>
      <c r="J43" s="18">
        <f>'Author Decision Queue'!$Y$43</f>
        <v/>
      </c>
      <c r="K43" s="18">
        <f>'Author Decision Queue'!$J$43</f>
        <v/>
      </c>
    </row>
    <row r="44" ht="15.75" customHeight="1" s="29">
      <c r="A44" s="7" t="n">
        <v>43</v>
      </c>
      <c r="B44" s="7" t="inlineStr">
        <is>
          <t>AUTH-RAT-RNR-H25</t>
        </is>
      </c>
      <c r="C44" s="7">
        <f>'Author Decision Queue'!$AG$44</f>
        <v/>
      </c>
      <c r="D44" s="28" t="inlineStr">
        <is>
          <t>OPTION 2</t>
        </is>
      </c>
      <c r="E44" s="26" t="inlineStr">
        <is>
          <t>summary → God is sovereign over all.</t>
        </is>
      </c>
      <c r="F4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4" s="26" t="inlineStr">
        <is>
          <t>AJP</t>
        </is>
      </c>
      <c r="H44" s="27" t="n">
        <v>46274</v>
      </c>
      <c r="I44" s="18">
        <f>'Author Decision Queue'!$Z$44</f>
        <v/>
      </c>
      <c r="J44" s="18">
        <f>'Author Decision Queue'!$Y$44</f>
        <v/>
      </c>
      <c r="K44" s="18">
        <f>'Author Decision Queue'!$J$44</f>
        <v/>
      </c>
    </row>
    <row r="45" ht="15.75" customHeight="1" s="29">
      <c r="A45" s="7" t="n">
        <v>44</v>
      </c>
      <c r="B45" s="7" t="inlineStr">
        <is>
          <t>AUTH-RAT-RNR-H26</t>
        </is>
      </c>
      <c r="C45" s="7">
        <f>'Author Decision Queue'!$AG$45</f>
        <v/>
      </c>
      <c r="D45" s="28" t="inlineStr">
        <is>
          <t>OPTION 2</t>
        </is>
      </c>
      <c r="E45" s="26" t="inlineStr">
        <is>
          <t>summary → God judges all people.</t>
        </is>
      </c>
      <c r="F4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5" s="26" t="inlineStr">
        <is>
          <t>AJP</t>
        </is>
      </c>
      <c r="H45" s="27" t="n">
        <v>46274</v>
      </c>
      <c r="I45" s="18">
        <f>'Author Decision Queue'!$Z$45</f>
        <v/>
      </c>
      <c r="J45" s="18">
        <f>'Author Decision Queue'!$Y$45</f>
        <v/>
      </c>
      <c r="K45" s="18">
        <f>'Author Decision Queue'!$J$45</f>
        <v/>
      </c>
    </row>
    <row r="46" ht="15.75" customHeight="1" s="29">
      <c r="A46" s="7" t="n">
        <v>45</v>
      </c>
      <c r="B46" s="7" t="inlineStr">
        <is>
          <t>AUTH-RAT-RNR-H27</t>
        </is>
      </c>
      <c r="C46" s="7">
        <f>'Author Decision Queue'!$AG$46</f>
        <v/>
      </c>
      <c r="D46" s="28" t="inlineStr">
        <is>
          <t>OPTION 2</t>
        </is>
      </c>
      <c r="E46" s="26" t="inlineStr">
        <is>
          <t>summary → God saves; Jesus Christ is the Savior.</t>
        </is>
      </c>
      <c r="F4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6" s="26" t="inlineStr">
        <is>
          <t>AJP</t>
        </is>
      </c>
      <c r="H46" s="27" t="n">
        <v>46274</v>
      </c>
      <c r="I46" s="18">
        <f>'Author Decision Queue'!$Z$46</f>
        <v/>
      </c>
      <c r="J46" s="18">
        <f>'Author Decision Queue'!$Y$46</f>
        <v/>
      </c>
      <c r="K46" s="18">
        <f>'Author Decision Queue'!$J$46</f>
        <v/>
      </c>
    </row>
    <row r="47" ht="15.75" customHeight="1" s="29">
      <c r="A47" s="7" t="n">
        <v>46</v>
      </c>
      <c r="B47" s="7" t="inlineStr">
        <is>
          <t>AUTH-RAT-RNR-H28</t>
        </is>
      </c>
      <c r="C47" s="7">
        <f>'Author Decision Queue'!$AG$47</f>
        <v/>
      </c>
      <c r="D47" s="28" t="inlineStr">
        <is>
          <t>OPTION 2</t>
        </is>
      </c>
      <c r="E47" s="26" t="inlineStr">
        <is>
          <t>summary → God reveals Himself.</t>
        </is>
      </c>
      <c r="F4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7" s="26" t="inlineStr">
        <is>
          <t>AJP</t>
        </is>
      </c>
      <c r="H47" s="27" t="n">
        <v>46274</v>
      </c>
      <c r="I47" s="18">
        <f>'Author Decision Queue'!$Z$47</f>
        <v/>
      </c>
      <c r="J47" s="18">
        <f>'Author Decision Queue'!$Y$47</f>
        <v/>
      </c>
      <c r="K47" s="18">
        <f>'Author Decision Queue'!$J$47</f>
        <v/>
      </c>
    </row>
    <row r="48" ht="15.75" customHeight="1" s="29">
      <c r="A48" s="7" t="n">
        <v>47</v>
      </c>
      <c r="B48" s="7" t="inlineStr">
        <is>
          <t>AUTH-RAT-RNR-H29</t>
        </is>
      </c>
      <c r="C48" s="7">
        <f>'Author Decision Queue'!$AG$48</f>
        <v/>
      </c>
      <c r="D48" s="28" t="inlineStr">
        <is>
          <t>OPTION 1</t>
        </is>
      </c>
      <c r="E48" s="26" t="n"/>
      <c r="F48" s="26" t="inlineStr">
        <is>
          <t>Approved as written (batch sign-off 2026-09-09).</t>
        </is>
      </c>
      <c r="G48" s="26" t="inlineStr">
        <is>
          <t>AJP</t>
        </is>
      </c>
      <c r="H48" s="27" t="n">
        <v>46274</v>
      </c>
      <c r="I48" s="18">
        <f>'Author Decision Queue'!$Z$48</f>
        <v/>
      </c>
      <c r="J48" s="18">
        <f>'Author Decision Queue'!$Y$48</f>
        <v/>
      </c>
      <c r="K48" s="18">
        <f>'Author Decision Queue'!$J$48</f>
        <v/>
      </c>
    </row>
    <row r="49" ht="15.75" customHeight="1" s="29">
      <c r="A49" s="7" t="n">
        <v>48</v>
      </c>
      <c r="B49" s="7" t="inlineStr">
        <is>
          <t>AUTH-RAT-RNR-H30</t>
        </is>
      </c>
      <c r="C49" s="7">
        <f>'Author Decision Queue'!$AG$49</f>
        <v/>
      </c>
      <c r="D49" s="28" t="inlineStr">
        <is>
          <t>OPTION 2</t>
        </is>
      </c>
      <c r="E49" s="26" t="inlineStr">
        <is>
          <t>summary → Jesus Christ is the Word.</t>
        </is>
      </c>
      <c r="F4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9" s="26" t="inlineStr">
        <is>
          <t>AJP</t>
        </is>
      </c>
      <c r="H49" s="27" t="n">
        <v>46274</v>
      </c>
      <c r="I49" s="18">
        <f>'Author Decision Queue'!$Z$49</f>
        <v/>
      </c>
      <c r="J49" s="18">
        <f>'Author Decision Queue'!$Y$49</f>
        <v/>
      </c>
      <c r="K49" s="18">
        <f>'Author Decision Queue'!$J$49</f>
        <v/>
      </c>
    </row>
    <row r="50" ht="15.75" customHeight="1" s="29">
      <c r="A50" s="7" t="n">
        <v>49</v>
      </c>
      <c r="B50" s="7" t="inlineStr">
        <is>
          <t>AUTH-RAT-RNR-H31</t>
        </is>
      </c>
      <c r="C50" s="7">
        <f>'Author Decision Queue'!$AG$50</f>
        <v/>
      </c>
      <c r="D50" s="28" t="inlineStr">
        <is>
          <t>OPTION 2</t>
        </is>
      </c>
      <c r="E50" s="26" t="inlineStr">
        <is>
          <t>summary → Jesus Christ is the Wisdom of God.</t>
        </is>
      </c>
      <c r="F5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0" s="26" t="inlineStr">
        <is>
          <t>AJP</t>
        </is>
      </c>
      <c r="H50" s="27" t="n">
        <v>46274</v>
      </c>
      <c r="I50" s="18">
        <f>'Author Decision Queue'!$Z$50</f>
        <v/>
      </c>
      <c r="J50" s="18">
        <f>'Author Decision Queue'!$Y$50</f>
        <v/>
      </c>
      <c r="K50" s="18">
        <f>'Author Decision Queue'!$J$50</f>
        <v/>
      </c>
    </row>
    <row r="51" ht="15.75" customHeight="1" s="29">
      <c r="A51" s="7" t="n">
        <v>50</v>
      </c>
      <c r="B51" s="7" t="inlineStr">
        <is>
          <t>AUTH-RAT-RNR-H32</t>
        </is>
      </c>
      <c r="C51" s="7">
        <f>'Author Decision Queue'!$AG$51</f>
        <v/>
      </c>
      <c r="D51" s="28" t="inlineStr">
        <is>
          <t>OPTION 2</t>
        </is>
      </c>
      <c r="E51" s="26" t="inlineStr">
        <is>
          <t>summary → Names Christ as the Light.</t>
        </is>
      </c>
      <c r="F5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1" s="26" t="inlineStr">
        <is>
          <t>AJP</t>
        </is>
      </c>
      <c r="H51" s="27" t="n">
        <v>46274</v>
      </c>
      <c r="I51" s="18">
        <f>'Author Decision Queue'!$Z$51</f>
        <v/>
      </c>
      <c r="J51" s="18">
        <f>'Author Decision Queue'!$Y$51</f>
        <v/>
      </c>
      <c r="K51" s="18">
        <f>'Author Decision Queue'!$J$51</f>
        <v/>
      </c>
    </row>
    <row r="52" ht="15.75" customHeight="1" s="29">
      <c r="A52" s="7" t="n">
        <v>51</v>
      </c>
      <c r="B52" s="7" t="inlineStr">
        <is>
          <t>AUTH-RAT-RNR-H33</t>
        </is>
      </c>
      <c r="C52" s="7">
        <f>'Author Decision Queue'!$AG$52</f>
        <v/>
      </c>
      <c r="D52" s="28" t="inlineStr">
        <is>
          <t>OPTION 2</t>
        </is>
      </c>
      <c r="E52" s="26" t="inlineStr">
        <is>
          <t>summary → Jesus Christ is the image of the Father.</t>
        </is>
      </c>
      <c r="F5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2" s="26" t="inlineStr">
        <is>
          <t>AJP</t>
        </is>
      </c>
      <c r="H52" s="27" t="n">
        <v>46274</v>
      </c>
      <c r="I52" s="18">
        <f>'Author Decision Queue'!$Z$52</f>
        <v/>
      </c>
      <c r="J52" s="18">
        <f>'Author Decision Queue'!$Y$52</f>
        <v/>
      </c>
      <c r="K52" s="18">
        <f>'Author Decision Queue'!$J$52</f>
        <v/>
      </c>
    </row>
    <row r="53" ht="15.75" customHeight="1" s="29">
      <c r="A53" s="7" t="n">
        <v>52</v>
      </c>
      <c r="B53" s="7" t="inlineStr">
        <is>
          <t>AUTH-RAT-RNR-H34</t>
        </is>
      </c>
      <c r="C53" s="7">
        <f>'Author Decision Queue'!$AG$53</f>
        <v/>
      </c>
      <c r="D53" s="28" t="inlineStr">
        <is>
          <t>OPTION 2</t>
        </is>
      </c>
      <c r="E53" s="26" t="inlineStr">
        <is>
          <t>summary → The Holy Spirit gives life.</t>
        </is>
      </c>
      <c r="F5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3" s="26" t="inlineStr">
        <is>
          <t>AJP</t>
        </is>
      </c>
      <c r="H53" s="27" t="n">
        <v>46274</v>
      </c>
      <c r="I53" s="18">
        <f>'Author Decision Queue'!$Z$53</f>
        <v/>
      </c>
      <c r="J53" s="18">
        <f>'Author Decision Queue'!$Y$53</f>
        <v/>
      </c>
      <c r="K53" s="18">
        <f>'Author Decision Queue'!$J$53</f>
        <v/>
      </c>
    </row>
    <row r="54" ht="15.75" customHeight="1" s="29">
      <c r="A54" s="7" t="n">
        <v>53</v>
      </c>
      <c r="B54" s="7" t="inlineStr">
        <is>
          <t>AUTH-RAT-RNR-H35</t>
        </is>
      </c>
      <c r="C54" s="7">
        <f>'Author Decision Queue'!$AG$54</f>
        <v/>
      </c>
      <c r="D54" s="28" t="inlineStr">
        <is>
          <t>OPTION 2</t>
        </is>
      </c>
      <c r="E54" s="26" t="inlineStr">
        <is>
          <t>summary → The Holy Spirit is eternal power and might.</t>
        </is>
      </c>
      <c r="F5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4" s="26" t="inlineStr">
        <is>
          <t>AJP</t>
        </is>
      </c>
      <c r="H54" s="27" t="n">
        <v>46274</v>
      </c>
      <c r="I54" s="18">
        <f>'Author Decision Queue'!$Z$54</f>
        <v/>
      </c>
      <c r="J54" s="18">
        <f>'Author Decision Queue'!$Y$54</f>
        <v/>
      </c>
      <c r="K54" s="18">
        <f>'Author Decision Queue'!$J$54</f>
        <v/>
      </c>
    </row>
    <row r="55" ht="15.75" customHeight="1" s="29">
      <c r="A55" s="7" t="n">
        <v>54</v>
      </c>
      <c r="B55" s="7" t="inlineStr">
        <is>
          <t>AUTH-RAT-RNR-H36</t>
        </is>
      </c>
      <c r="C55" s="7">
        <f>'Author Decision Queue'!$AG$55</f>
        <v/>
      </c>
      <c r="D55" s="28" t="inlineStr">
        <is>
          <t>OPTION 1</t>
        </is>
      </c>
      <c r="E55" s="26" t="n"/>
      <c r="F55" s="26" t="inlineStr">
        <is>
          <t>Approved as written (batch sign-off 2026-09-09).</t>
        </is>
      </c>
      <c r="G55" s="26" t="inlineStr">
        <is>
          <t>AJP</t>
        </is>
      </c>
      <c r="H55" s="27" t="n">
        <v>46274</v>
      </c>
      <c r="I55" s="18">
        <f>'Author Decision Queue'!$Z$55</f>
        <v/>
      </c>
      <c r="J55" s="18">
        <f>'Author Decision Queue'!$Y$55</f>
        <v/>
      </c>
      <c r="K55" s="18">
        <f>'Author Decision Queue'!$J$55</f>
        <v/>
      </c>
    </row>
    <row r="56" ht="15.75" customHeight="1" s="29">
      <c r="A56" s="7" t="n">
        <v>55</v>
      </c>
      <c r="B56" s="7" t="inlineStr">
        <is>
          <t>AUTH-RAT-RNR-H37</t>
        </is>
      </c>
      <c r="C56" s="7">
        <f>'Author Decision Queue'!$AG$56</f>
        <v/>
      </c>
      <c r="D56" s="28" t="inlineStr">
        <is>
          <t>OPTION 1</t>
        </is>
      </c>
      <c r="E56" s="26" t="n"/>
      <c r="F56" s="26" t="inlineStr">
        <is>
          <t>Approved as written (batch sign-off 2026-09-09).</t>
        </is>
      </c>
      <c r="G56" s="26" t="inlineStr">
        <is>
          <t>AJP</t>
        </is>
      </c>
      <c r="H56" s="27" t="n">
        <v>46274</v>
      </c>
      <c r="I56" s="18">
        <f>'Author Decision Queue'!$Z$56</f>
        <v/>
      </c>
      <c r="J56" s="18">
        <f>'Author Decision Queue'!$Y$56</f>
        <v/>
      </c>
      <c r="K56" s="18">
        <f>'Author Decision Queue'!$J$56</f>
        <v/>
      </c>
    </row>
    <row r="57" ht="15.75" customHeight="1" s="29">
      <c r="A57" s="7" t="n">
        <v>56</v>
      </c>
      <c r="B57" s="7" t="inlineStr">
        <is>
          <t>AUTH-RAT-RNR-H38</t>
        </is>
      </c>
      <c r="C57" s="7">
        <f>'Author Decision Queue'!$AG$57</f>
        <v/>
      </c>
      <c r="D57" s="28" t="inlineStr">
        <is>
          <t>OPTION 2</t>
        </is>
      </c>
      <c r="E57" s="26" t="inlineStr">
        <is>
          <t>summary → Denies that the Son is a created being.</t>
        </is>
      </c>
      <c r="F5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7" s="26" t="inlineStr">
        <is>
          <t>AJP</t>
        </is>
      </c>
      <c r="H57" s="27" t="n">
        <v>46274</v>
      </c>
      <c r="I57" s="18">
        <f>'Author Decision Queue'!$Z$57</f>
        <v/>
      </c>
      <c r="J57" s="18">
        <f>'Author Decision Queue'!$Y$57</f>
        <v/>
      </c>
      <c r="K57" s="18">
        <f>'Author Decision Queue'!$J$57</f>
        <v/>
      </c>
    </row>
    <row r="58" ht="15.75" customHeight="1" s="29">
      <c r="A58" s="7" t="n">
        <v>57</v>
      </c>
      <c r="B58" s="7" t="inlineStr">
        <is>
          <t>AUTH-RAT-RNR-H39</t>
        </is>
      </c>
      <c r="C58" s="7">
        <f>'Author Decision Queue'!$AG$58</f>
        <v/>
      </c>
      <c r="D58" s="28" t="inlineStr">
        <is>
          <t>OPTION 1</t>
        </is>
      </c>
      <c r="E58" s="26" t="n"/>
      <c r="F58" s="26" t="inlineStr">
        <is>
          <t>Approved as written (batch sign-off 2026-09-09).</t>
        </is>
      </c>
      <c r="G58" s="26" t="inlineStr">
        <is>
          <t>AJP</t>
        </is>
      </c>
      <c r="H58" s="27" t="n">
        <v>46274</v>
      </c>
      <c r="I58" s="18">
        <f>'Author Decision Queue'!$Z$58</f>
        <v/>
      </c>
      <c r="J58" s="18">
        <f>'Author Decision Queue'!$Y$58</f>
        <v/>
      </c>
      <c r="K58" s="18">
        <f>'Author Decision Queue'!$J$58</f>
        <v/>
      </c>
    </row>
    <row r="59" ht="15.75" customHeight="1" s="29">
      <c r="A59" s="7" t="n">
        <v>58</v>
      </c>
      <c r="B59" s="7" t="inlineStr">
        <is>
          <t>AUTH-RAT-RNR-H40</t>
        </is>
      </c>
      <c r="C59" s="7">
        <f>'Author Decision Queue'!$AG$59</f>
        <v/>
      </c>
      <c r="D59" s="28" t="inlineStr">
        <is>
          <t>OPTION 1</t>
        </is>
      </c>
      <c r="E59" s="26" t="n"/>
      <c r="F59" s="26" t="inlineStr">
        <is>
          <t>Approved as written (batch sign-off 2026-09-09).</t>
        </is>
      </c>
      <c r="G59" s="26" t="inlineStr">
        <is>
          <t>AJP</t>
        </is>
      </c>
      <c r="H59" s="27" t="n">
        <v>46274</v>
      </c>
      <c r="I59" s="18">
        <f>'Author Decision Queue'!$Z$59</f>
        <v/>
      </c>
      <c r="J59" s="18">
        <f>'Author Decision Queue'!$Y$59</f>
        <v/>
      </c>
      <c r="K59" s="18">
        <f>'Author Decision Queue'!$J$59</f>
        <v/>
      </c>
    </row>
    <row r="60" ht="15.75" customHeight="1" s="29">
      <c r="A60" s="7" t="n">
        <v>59</v>
      </c>
      <c r="B60" s="7" t="inlineStr">
        <is>
          <t>AUTH-RAT-RNR-H41</t>
        </is>
      </c>
      <c r="C60" s="7">
        <f>'Author Decision Queue'!$AG$60</f>
        <v/>
      </c>
      <c r="D60" s="28" t="inlineStr">
        <is>
          <t>OPTION 1</t>
        </is>
      </c>
      <c r="E60" s="26" t="n"/>
      <c r="F60" s="26" t="inlineStr">
        <is>
          <t>Approved as written (batch sign-off 2026-09-09).</t>
        </is>
      </c>
      <c r="G60" s="26" t="inlineStr">
        <is>
          <t>AJP</t>
        </is>
      </c>
      <c r="H60" s="27" t="n">
        <v>46274</v>
      </c>
      <c r="I60" s="18">
        <f>'Author Decision Queue'!$Z$60</f>
        <v/>
      </c>
      <c r="J60" s="18">
        <f>'Author Decision Queue'!$Y$60</f>
        <v/>
      </c>
      <c r="K60" s="18">
        <f>'Author Decision Queue'!$J$60</f>
        <v/>
      </c>
    </row>
    <row r="61" ht="15.75" customHeight="1" s="29">
      <c r="A61" s="7" t="n">
        <v>60</v>
      </c>
      <c r="B61" s="7" t="inlineStr">
        <is>
          <t>AUTH-RAT-RNR-H42</t>
        </is>
      </c>
      <c r="C61" s="7">
        <f>'Author Decision Queue'!$AG$61</f>
        <v/>
      </c>
      <c r="D61" s="28" t="inlineStr">
        <is>
          <t>OPTION 1</t>
        </is>
      </c>
      <c r="E61" s="26" t="n"/>
      <c r="F61" s="26" t="inlineStr">
        <is>
          <t>Approved as written (batch sign-off 2026-09-09).</t>
        </is>
      </c>
      <c r="G61" s="26" t="inlineStr">
        <is>
          <t>AJP</t>
        </is>
      </c>
      <c r="H61" s="27" t="n">
        <v>46274</v>
      </c>
      <c r="I61" s="18">
        <f>'Author Decision Queue'!$Z$61</f>
        <v/>
      </c>
      <c r="J61" s="18">
        <f>'Author Decision Queue'!$Y$61</f>
        <v/>
      </c>
      <c r="K61" s="18">
        <f>'Author Decision Queue'!$J$61</f>
        <v/>
      </c>
    </row>
    <row r="62" ht="15.75" customHeight="1" s="29">
      <c r="A62" s="7" t="n">
        <v>61</v>
      </c>
      <c r="B62" s="7" t="inlineStr">
        <is>
          <t>AUTH-RAT-RNR-H43</t>
        </is>
      </c>
      <c r="C62" s="7">
        <f>'Author Decision Queue'!$AG$62</f>
        <v/>
      </c>
      <c r="D62" s="28" t="inlineStr">
        <is>
          <t>OPTION 1</t>
        </is>
      </c>
      <c r="E62" s="26" t="n"/>
      <c r="F62" s="26" t="inlineStr">
        <is>
          <t>Approved as written (batch sign-off 2026-09-09).</t>
        </is>
      </c>
      <c r="G62" s="26" t="inlineStr">
        <is>
          <t>AJP</t>
        </is>
      </c>
      <c r="H62" s="27" t="n">
        <v>46274</v>
      </c>
      <c r="I62" s="18">
        <f>'Author Decision Queue'!$Z$62</f>
        <v/>
      </c>
      <c r="J62" s="18">
        <f>'Author Decision Queue'!$Y$62</f>
        <v/>
      </c>
      <c r="K62" s="18">
        <f>'Author Decision Queue'!$J$62</f>
        <v/>
      </c>
    </row>
    <row r="63" ht="15.75" customHeight="1" s="29">
      <c r="A63" s="7" t="n">
        <v>62</v>
      </c>
      <c r="B63" s="7" t="inlineStr">
        <is>
          <t>AUTH-RAT-RNR-H44</t>
        </is>
      </c>
      <c r="C63" s="7">
        <f>'Author Decision Queue'!$AG$63</f>
        <v/>
      </c>
      <c r="D63" s="28" t="inlineStr">
        <is>
          <t>OPTION 2</t>
        </is>
      </c>
      <c r="E63" s="26" t="inlineStr">
        <is>
          <t>summary → Denies that God can be moved or affected by His creatures (classical impassibility).</t>
        </is>
      </c>
      <c r="F6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3" s="26" t="inlineStr">
        <is>
          <t>AJP</t>
        </is>
      </c>
      <c r="H63" s="27" t="n">
        <v>46274</v>
      </c>
      <c r="I63" s="18">
        <f>'Author Decision Queue'!$Z$63</f>
        <v/>
      </c>
      <c r="J63" s="18">
        <f>'Author Decision Queue'!$Y$63</f>
        <v/>
      </c>
      <c r="K63" s="18">
        <f>'Author Decision Queue'!$J$63</f>
        <v/>
      </c>
    </row>
    <row r="64" ht="15.75" customHeight="1" s="29">
      <c r="A64" s="7" t="n">
        <v>63</v>
      </c>
      <c r="B64" s="7" t="inlineStr">
        <is>
          <t>AUTH-RAT-RNR-H45</t>
        </is>
      </c>
      <c r="C64" s="7">
        <f>'Author Decision Queue'!$AG$64</f>
        <v/>
      </c>
      <c r="D64" s="28" t="inlineStr">
        <is>
          <t>OPTION 1</t>
        </is>
      </c>
      <c r="E64" s="26" t="n"/>
      <c r="F64" s="26" t="inlineStr">
        <is>
          <t>Approved as written (batch sign-off 2026-09-09).</t>
        </is>
      </c>
      <c r="G64" s="26" t="inlineStr">
        <is>
          <t>AJP</t>
        </is>
      </c>
      <c r="H64" s="27" t="n">
        <v>46274</v>
      </c>
      <c r="I64" s="18">
        <f>'Author Decision Queue'!$Z$64</f>
        <v/>
      </c>
      <c r="J64" s="18">
        <f>'Author Decision Queue'!$Y$64</f>
        <v/>
      </c>
      <c r="K64" s="18">
        <f>'Author Decision Queue'!$J$64</f>
        <v/>
      </c>
    </row>
    <row r="65" ht="15.75" customHeight="1" s="29">
      <c r="A65" s="7" t="n">
        <v>64</v>
      </c>
      <c r="B65" s="7" t="inlineStr">
        <is>
          <t>AUTH-RAT-RNR-H46</t>
        </is>
      </c>
      <c r="C65" s="7">
        <f>'Author Decision Queue'!$AG$65</f>
        <v/>
      </c>
      <c r="D65" s="28" t="inlineStr">
        <is>
          <t>OPTION 2</t>
        </is>
      </c>
      <c r="E65" s="26" t="inlineStr">
        <is>
          <t>summary → God is eternal — without beginning or end.</t>
        </is>
      </c>
      <c r="F6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5" s="26" t="inlineStr">
        <is>
          <t>AJP</t>
        </is>
      </c>
      <c r="H65" s="27" t="n">
        <v>46274</v>
      </c>
      <c r="I65" s="18">
        <f>'Author Decision Queue'!$Z$65</f>
        <v/>
      </c>
      <c r="J65" s="18">
        <f>'Author Decision Queue'!$Y$65</f>
        <v/>
      </c>
      <c r="K65" s="18">
        <f>'Author Decision Queue'!$J$65</f>
        <v/>
      </c>
    </row>
    <row r="66" ht="15.75" customHeight="1" s="29">
      <c r="A66" s="7" t="n">
        <v>65</v>
      </c>
      <c r="B66" s="7" t="inlineStr">
        <is>
          <t>AUTH-RAT-RNR-H47</t>
        </is>
      </c>
      <c r="C66" s="7">
        <f>'Author Decision Queue'!$AG$66</f>
        <v/>
      </c>
      <c r="D66" s="28" t="inlineStr">
        <is>
          <t>OPTION 2</t>
        </is>
      </c>
      <c r="E66" s="26" t="inlineStr">
        <is>
          <t>summary → God cannot be fully comprehended.</t>
        </is>
      </c>
      <c r="F6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6" s="26" t="inlineStr">
        <is>
          <t>AJP</t>
        </is>
      </c>
      <c r="H66" s="27" t="n">
        <v>46274</v>
      </c>
      <c r="I66" s="18">
        <f>'Author Decision Queue'!$Z$66</f>
        <v/>
      </c>
      <c r="J66" s="18">
        <f>'Author Decision Queue'!$Y$66</f>
        <v/>
      </c>
      <c r="K66" s="18">
        <f>'Author Decision Queue'!$J$66</f>
        <v/>
      </c>
    </row>
    <row r="67" ht="15.75" customHeight="1" s="29">
      <c r="A67" s="7" t="n">
        <v>66</v>
      </c>
      <c r="B67" s="7" t="inlineStr">
        <is>
          <t>AUTH-RAT-RNR-H48</t>
        </is>
      </c>
      <c r="C67" s="7">
        <f>'Author Decision Queue'!$AG$67</f>
        <v/>
      </c>
      <c r="D67" s="28" t="inlineStr">
        <is>
          <t>OPTION 2</t>
        </is>
      </c>
      <c r="E67" s="26" t="inlineStr">
        <is>
          <t>summary → God cannot be fully put into words.</t>
        </is>
      </c>
      <c r="F6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7" s="26" t="inlineStr">
        <is>
          <t>AJP</t>
        </is>
      </c>
      <c r="H67" s="27" t="n">
        <v>46274</v>
      </c>
      <c r="I67" s="18">
        <f>'Author Decision Queue'!$Z$67</f>
        <v/>
      </c>
      <c r="J67" s="18">
        <f>'Author Decision Queue'!$Y$67</f>
        <v/>
      </c>
      <c r="K67" s="18">
        <f>'Author Decision Queue'!$J$67</f>
        <v/>
      </c>
    </row>
    <row r="68" ht="15.75" customHeight="1" s="29">
      <c r="A68" s="7" t="n">
        <v>67</v>
      </c>
      <c r="B68" s="7" t="inlineStr">
        <is>
          <t>AUTH-RAT-RNR-H49</t>
        </is>
      </c>
      <c r="C68" s="7">
        <f>'Author Decision Queue'!$AG$68</f>
        <v/>
      </c>
      <c r="D68" s="28" t="inlineStr">
        <is>
          <t>OPTION 2</t>
        </is>
      </c>
      <c r="E68" s="26" t="inlineStr">
        <is>
          <t>summary → God's counsels cannot be fully searched out.</t>
        </is>
      </c>
      <c r="F6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8" s="26" t="inlineStr">
        <is>
          <t>AJP</t>
        </is>
      </c>
      <c r="H68" s="27" t="n">
        <v>46274</v>
      </c>
      <c r="I68" s="18">
        <f>'Author Decision Queue'!$Z$68</f>
        <v/>
      </c>
      <c r="J68" s="18">
        <f>'Author Decision Queue'!$Y$68</f>
        <v/>
      </c>
      <c r="K68" s="18">
        <f>'Author Decision Queue'!$J$68</f>
        <v/>
      </c>
    </row>
    <row r="69" ht="15.75" customHeight="1" s="29">
      <c r="A69" s="7" t="n">
        <v>68</v>
      </c>
      <c r="B69" s="7" t="inlineStr">
        <is>
          <t>AUTH-RAT-RNR-H50</t>
        </is>
      </c>
      <c r="C69" s="7">
        <f>'Author Decision Queue'!$AG$69</f>
        <v/>
      </c>
      <c r="D69" s="28" t="inlineStr">
        <is>
          <t>OPTION 1</t>
        </is>
      </c>
      <c r="E69" s="26" t="n"/>
      <c r="F69" s="26" t="inlineStr">
        <is>
          <t>Approved as written (batch sign-off 2026-09-09).</t>
        </is>
      </c>
      <c r="G69" s="26" t="inlineStr">
        <is>
          <t>AJP</t>
        </is>
      </c>
      <c r="H69" s="27" t="n">
        <v>46274</v>
      </c>
      <c r="I69" s="18">
        <f>'Author Decision Queue'!$Z$69</f>
        <v/>
      </c>
      <c r="J69" s="18">
        <f>'Author Decision Queue'!$Y$69</f>
        <v/>
      </c>
      <c r="K69" s="18">
        <f>'Author Decision Queue'!$J$69</f>
        <v/>
      </c>
    </row>
    <row r="70" ht="15.75" customHeight="1" s="29">
      <c r="A70" s="7" t="n">
        <v>69</v>
      </c>
      <c r="B70" s="7" t="inlineStr">
        <is>
          <t>AUTH-RAT-RNR-H51</t>
        </is>
      </c>
      <c r="C70" s="7">
        <f>'Author Decision Queue'!$AG$70</f>
        <v/>
      </c>
      <c r="D70" s="28" t="inlineStr">
        <is>
          <t>OPTION 1</t>
        </is>
      </c>
      <c r="E70" s="26" t="n"/>
      <c r="F70" s="26" t="inlineStr">
        <is>
          <t>Approved as written (batch sign-off 2026-09-09).</t>
        </is>
      </c>
      <c r="G70" s="26" t="inlineStr">
        <is>
          <t>AJP</t>
        </is>
      </c>
      <c r="H70" s="27" t="n">
        <v>46274</v>
      </c>
      <c r="I70" s="18">
        <f>'Author Decision Queue'!$Z$70</f>
        <v/>
      </c>
      <c r="J70" s="18">
        <f>'Author Decision Queue'!$Y$70</f>
        <v/>
      </c>
      <c r="K70" s="18">
        <f>'Author Decision Queue'!$J$70</f>
        <v/>
      </c>
    </row>
    <row r="71" ht="15.75" customHeight="1" s="29">
      <c r="A71" s="7" t="n">
        <v>70</v>
      </c>
      <c r="B71" s="7" t="inlineStr">
        <is>
          <t>AUTH-RAT-RNR-H52</t>
        </is>
      </c>
      <c r="C71" s="7">
        <f>'Author Decision Queue'!$AG$71</f>
        <v/>
      </c>
      <c r="D71" s="28" t="inlineStr">
        <is>
          <t>OPTION 2</t>
        </is>
      </c>
      <c r="E71" s="26" t="inlineStr">
        <is>
          <t>Restoration phrase → “the Only Begotten Son in the flesh”</t>
        </is>
      </c>
      <c r="F7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1" s="26" t="inlineStr">
        <is>
          <t>AJP</t>
        </is>
      </c>
      <c r="H71" s="27" t="n">
        <v>46274</v>
      </c>
      <c r="I71" s="18">
        <f>'Author Decision Queue'!$Z$71</f>
        <v/>
      </c>
      <c r="J71" s="18">
        <f>'Author Decision Queue'!$Y$71</f>
        <v/>
      </c>
      <c r="K71" s="18">
        <f>'Author Decision Queue'!$J$71</f>
        <v/>
      </c>
    </row>
    <row r="72" ht="15.75" customHeight="1" s="29">
      <c r="A72" s="7" t="n">
        <v>71</v>
      </c>
      <c r="B72" s="7" t="inlineStr">
        <is>
          <t>AUTH-RAT-RNR-H53</t>
        </is>
      </c>
      <c r="C72" s="7">
        <f>'Author Decision Queue'!$AG$72</f>
        <v/>
      </c>
      <c r="D72" s="28" t="inlineStr">
        <is>
          <t>OPTION 2</t>
        </is>
      </c>
      <c r="E72" s="26" t="inlineStr">
        <is>
          <t>Restoration phrase → “the Only Begotten Son in the flesh”</t>
        </is>
      </c>
      <c r="F7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2" s="26" t="inlineStr">
        <is>
          <t>AJP</t>
        </is>
      </c>
      <c r="H72" s="27" t="n">
        <v>46274</v>
      </c>
      <c r="I72" s="18">
        <f>'Author Decision Queue'!$Z$72</f>
        <v/>
      </c>
      <c r="J72" s="18">
        <f>'Author Decision Queue'!$Y$72</f>
        <v/>
      </c>
      <c r="K72" s="18">
        <f>'Author Decision Queue'!$J$72</f>
        <v/>
      </c>
    </row>
    <row r="73" ht="15.75" customHeight="1" s="29">
      <c r="A73" s="7" t="n">
        <v>72</v>
      </c>
      <c r="B73" s="7" t="inlineStr">
        <is>
          <t>AUTH-RAT-RNR-H54</t>
        </is>
      </c>
      <c r="C73" s="7">
        <f>'Author Decision Queue'!$AG$73</f>
        <v/>
      </c>
      <c r="D73" s="28" t="inlineStr">
        <is>
          <t>OPTION 2</t>
        </is>
      </c>
      <c r="E73" s="26" t="inlineStr">
        <is>
          <t>Restoration phrase → “the Only Begotten Son in the flesh”</t>
        </is>
      </c>
      <c r="F7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3" s="26" t="inlineStr">
        <is>
          <t>AJP</t>
        </is>
      </c>
      <c r="H73" s="27" t="n">
        <v>46274</v>
      </c>
      <c r="I73" s="18">
        <f>'Author Decision Queue'!$Z$73</f>
        <v/>
      </c>
      <c r="J73" s="18">
        <f>'Author Decision Queue'!$Y$73</f>
        <v/>
      </c>
      <c r="K73" s="18">
        <f>'Author Decision Queue'!$J$73</f>
        <v/>
      </c>
    </row>
    <row r="74" ht="15.75" customHeight="1" s="29">
      <c r="A74" s="7" t="n">
        <v>73</v>
      </c>
      <c r="B74" s="7" t="inlineStr">
        <is>
          <t>AUTH-RAT-RNR-H55</t>
        </is>
      </c>
      <c r="C74" s="7">
        <f>'Author Decision Queue'!$AG$74</f>
        <v/>
      </c>
      <c r="D74" s="28" t="inlineStr">
        <is>
          <t>OPTION 2</t>
        </is>
      </c>
      <c r="E74" s="26" t="inlineStr">
        <is>
          <t>Restoration phrase → “the Only Begotten Son in the flesh”</t>
        </is>
      </c>
      <c r="F7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4" s="26" t="inlineStr">
        <is>
          <t>AJP</t>
        </is>
      </c>
      <c r="H74" s="27" t="n">
        <v>46274</v>
      </c>
      <c r="I74" s="18">
        <f>'Author Decision Queue'!$Z$74</f>
        <v/>
      </c>
      <c r="J74" s="18">
        <f>'Author Decision Queue'!$Y$74</f>
        <v/>
      </c>
      <c r="K74" s="18">
        <f>'Author Decision Queue'!$J$74</f>
        <v/>
      </c>
    </row>
    <row r="75" ht="15.75" customHeight="1" s="29">
      <c r="A75" s="7" t="n">
        <v>74</v>
      </c>
      <c r="B75" s="7" t="inlineStr">
        <is>
          <t>AUTH-RAT-RNR-H56</t>
        </is>
      </c>
      <c r="C75" s="7">
        <f>'Author Decision Queue'!$AG$75</f>
        <v/>
      </c>
      <c r="D75" s="28" t="inlineStr">
        <is>
          <t>OPTION 1</t>
        </is>
      </c>
      <c r="E75" s="26" t="n"/>
      <c r="F75" s="26" t="inlineStr">
        <is>
          <t>Approved as written (batch sign-off 2026-09-09).</t>
        </is>
      </c>
      <c r="G75" s="26" t="inlineStr">
        <is>
          <t>AJP</t>
        </is>
      </c>
      <c r="H75" s="27" t="n">
        <v>46274</v>
      </c>
      <c r="I75" s="18">
        <f>'Author Decision Queue'!$Z$75</f>
        <v/>
      </c>
      <c r="J75" s="18">
        <f>'Author Decision Queue'!$Y$75</f>
        <v/>
      </c>
      <c r="K75" s="18">
        <f>'Author Decision Queue'!$J$75</f>
        <v/>
      </c>
    </row>
    <row r="76" ht="15.75" customHeight="1" s="29">
      <c r="A76" s="7" t="n">
        <v>75</v>
      </c>
      <c r="B76" s="7" t="inlineStr">
        <is>
          <t>AUTH-RAT-RNR-H57</t>
        </is>
      </c>
      <c r="C76" s="7">
        <f>'Author Decision Queue'!$AG$76</f>
        <v/>
      </c>
      <c r="D76" s="28" t="inlineStr">
        <is>
          <t>OPTION 2</t>
        </is>
      </c>
      <c r="E76" s="26" t="inlineStr">
        <is>
          <t>Restoration phrase → “a beloved spirit son or daughter of heavenly parents”</t>
        </is>
      </c>
      <c r="F7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6" s="26" t="inlineStr">
        <is>
          <t>AJP</t>
        </is>
      </c>
      <c r="H76" s="27" t="n">
        <v>46274</v>
      </c>
      <c r="I76" s="18">
        <f>'Author Decision Queue'!$Z$76</f>
        <v/>
      </c>
      <c r="J76" s="18">
        <f>'Author Decision Queue'!$Y$76</f>
        <v/>
      </c>
      <c r="K76" s="18">
        <f>'Author Decision Queue'!$J$76</f>
        <v/>
      </c>
    </row>
    <row r="77" ht="15.75" customHeight="1" s="29">
      <c r="A77" s="7" t="n">
        <v>76</v>
      </c>
      <c r="B77" s="7" t="inlineStr">
        <is>
          <t>AUTH-RAT-RNR-A01</t>
        </is>
      </c>
      <c r="C77" s="7">
        <f>'Author Decision Queue'!$AG$77</f>
        <v/>
      </c>
      <c r="D77" s="28" t="inlineStr">
        <is>
          <t>OPTION 2</t>
        </is>
      </c>
      <c r="E77" s="26" t="inlineStr">
        <is>
          <t>summary → The Father is an embodied, tangible, glorified person; humanity is made in His image. | caution → Counted as an addition because it does not appear as a positive doctrine in the creeds and confessions studied — not because no Christian ever taught something like it.</t>
        </is>
      </c>
      <c r="F7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7" s="26" t="inlineStr">
        <is>
          <t>AJP</t>
        </is>
      </c>
      <c r="H77" s="27" t="n">
        <v>46274</v>
      </c>
      <c r="I77" s="18">
        <f>'Author Decision Queue'!$Z$77</f>
        <v/>
      </c>
      <c r="J77" s="18">
        <f>'Author Decision Queue'!$Y$77</f>
        <v/>
      </c>
      <c r="K77" s="18">
        <f>'Author Decision Queue'!$J$77</f>
        <v/>
      </c>
    </row>
    <row r="78" ht="15.75" customHeight="1" s="29">
      <c r="A78" s="7" t="n">
        <v>77</v>
      </c>
      <c r="B78" s="7" t="inlineStr">
        <is>
          <t>AUTH-RAT-RNR-A02</t>
        </is>
      </c>
      <c r="C78" s="7">
        <f>'Author Decision Queue'!$AG$78</f>
        <v/>
      </c>
      <c r="D78" s="28" t="inlineStr">
        <is>
          <t>OPTION 2</t>
        </is>
      </c>
      <c r="E78" s="26" t="inlineStr">
        <is>
          <t>caution → Counted as an addition because it does not appear as a positive doctrine in the creeds and confessions studied — not because no Christian ever taught something like it.</t>
        </is>
      </c>
      <c r="F7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8" s="26" t="inlineStr">
        <is>
          <t>AJP</t>
        </is>
      </c>
      <c r="H78" s="27" t="n">
        <v>46274</v>
      </c>
      <c r="I78" s="18">
        <f>'Author Decision Queue'!$Z$78</f>
        <v/>
      </c>
      <c r="J78" s="18">
        <f>'Author Decision Queue'!$Y$78</f>
        <v/>
      </c>
      <c r="K78" s="18">
        <f>'Author Decision Queue'!$J$78</f>
        <v/>
      </c>
    </row>
    <row r="79" ht="15.75" customHeight="1" s="29">
      <c r="A79" s="7" t="n">
        <v>78</v>
      </c>
      <c r="B79" s="7" t="inlineStr">
        <is>
          <t>AUTH-RAT-RNR-A03</t>
        </is>
      </c>
      <c r="C79" s="7">
        <f>'Author Decision Queue'!$AG$79</f>
        <v/>
      </c>
      <c r="D79" s="28" t="inlineStr">
        <is>
          <t>OPTION 2</t>
        </is>
      </c>
      <c r="E79" s="26" t="inlineStr">
        <is>
          <t>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t>
        </is>
      </c>
      <c r="F7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9" s="26" t="inlineStr">
        <is>
          <t>AJP</t>
        </is>
      </c>
      <c r="H79" s="27" t="n">
        <v>46274</v>
      </c>
      <c r="I79" s="18">
        <f>'Author Decision Queue'!$Z$79</f>
        <v/>
      </c>
      <c r="J79" s="18">
        <f>'Author Decision Queue'!$Y$79</f>
        <v/>
      </c>
      <c r="K79" s="18">
        <f>'Author Decision Queue'!$J$79</f>
        <v/>
      </c>
    </row>
    <row r="80" ht="15.75" customHeight="1" s="29">
      <c r="A80" s="7" t="n">
        <v>79</v>
      </c>
      <c r="B80" s="7" t="inlineStr">
        <is>
          <t>AUTH-RAT-RNR-A04</t>
        </is>
      </c>
      <c r="C80" s="7">
        <f>'Author Decision Queue'!$AG$80</f>
        <v/>
      </c>
      <c r="D80" s="28" t="inlineStr">
        <is>
          <t>OPTION 2</t>
        </is>
      </c>
      <c r="E80"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0" s="26" t="inlineStr">
        <is>
          <t>AJP</t>
        </is>
      </c>
      <c r="H80" s="27" t="n">
        <v>46274</v>
      </c>
      <c r="I80" s="18">
        <f>'Author Decision Queue'!$Z$80</f>
        <v/>
      </c>
      <c r="J80" s="18">
        <f>'Author Decision Queue'!$Y$80</f>
        <v/>
      </c>
      <c r="K80" s="18">
        <f>'Author Decision Queue'!$J$80</f>
        <v/>
      </c>
    </row>
    <row r="81" ht="15.75" customHeight="1" s="29">
      <c r="A81" s="7" t="n">
        <v>80</v>
      </c>
      <c r="B81" s="7" t="inlineStr">
        <is>
          <t>AUTH-RAT-RNR-A05</t>
        </is>
      </c>
      <c r="C81" s="7">
        <f>'Author Decision Queue'!$AG$81</f>
        <v/>
      </c>
      <c r="D81" s="28" t="inlineStr">
        <is>
          <t>OPTION 2</t>
        </is>
      </c>
      <c r="E81"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1" s="26" t="inlineStr">
        <is>
          <t>AJP</t>
        </is>
      </c>
      <c r="H81" s="27" t="n">
        <v>46274</v>
      </c>
      <c r="I81" s="18">
        <f>'Author Decision Queue'!$Z$81</f>
        <v/>
      </c>
      <c r="J81" s="18">
        <f>'Author Decision Queue'!$Y$81</f>
        <v/>
      </c>
      <c r="K81" s="18">
        <f>'Author Decision Queue'!$J$81</f>
        <v/>
      </c>
    </row>
    <row r="82" ht="15.75" customHeight="1" s="29">
      <c r="A82" s="7" t="n">
        <v>81</v>
      </c>
      <c r="B82" s="7" t="inlineStr">
        <is>
          <t>AUTH-RAT-RNR-A06</t>
        </is>
      </c>
      <c r="C82" s="7">
        <f>'Author Decision Queue'!$AG$82</f>
        <v/>
      </c>
      <c r="D82" s="28" t="inlineStr">
        <is>
          <t>OPTION 2</t>
        </is>
      </c>
      <c r="E82" s="26" t="inlineStr">
        <is>
          <t>caution → Counted as an addition because it does not appear as a positive doctrine in the creeds and confessions studied — not because no Christian ever taught something like it.</t>
        </is>
      </c>
      <c r="F8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2" s="26" t="inlineStr">
        <is>
          <t>AJP</t>
        </is>
      </c>
      <c r="H82" s="27" t="n">
        <v>46274</v>
      </c>
      <c r="I82" s="18">
        <f>'Author Decision Queue'!$Z$82</f>
        <v/>
      </c>
      <c r="J82" s="18">
        <f>'Author Decision Queue'!$Y$82</f>
        <v/>
      </c>
      <c r="K82" s="18">
        <f>'Author Decision Queue'!$J$82</f>
        <v/>
      </c>
    </row>
    <row r="83" ht="15.75" customHeight="1" s="29">
      <c r="A83" s="7" t="n">
        <v>82</v>
      </c>
      <c r="B83" s="7" t="inlineStr">
        <is>
          <t>AUTH-RAT-RNR-A07</t>
        </is>
      </c>
      <c r="C83" s="7">
        <f>'Author Decision Queue'!$AG$83</f>
        <v/>
      </c>
      <c r="D83" s="28" t="inlineStr">
        <is>
          <t>OPTION 1</t>
        </is>
      </c>
      <c r="E83" s="26" t="n"/>
      <c r="F83" s="26" t="inlineStr">
        <is>
          <t>Approved as written (batch sign-off 2026-09-09).</t>
        </is>
      </c>
      <c r="G83" s="26" t="inlineStr">
        <is>
          <t>AJP</t>
        </is>
      </c>
      <c r="H83" s="27" t="n">
        <v>46274</v>
      </c>
      <c r="I83" s="18">
        <f>'Author Decision Queue'!$Z$83</f>
        <v/>
      </c>
      <c r="J83" s="18">
        <f>'Author Decision Queue'!$Y$83</f>
        <v/>
      </c>
      <c r="K83" s="18">
        <f>'Author Decision Queue'!$J$83</f>
        <v/>
      </c>
    </row>
    <row r="84" ht="15.75" customHeight="1" s="29">
      <c r="A84" s="7" t="n">
        <v>83</v>
      </c>
      <c r="B84" s="7" t="inlineStr">
        <is>
          <t>AUTH-RAT-RNR-A08</t>
        </is>
      </c>
      <c r="C84" s="7">
        <f>'Author Decision Queue'!$AG$84</f>
        <v/>
      </c>
      <c r="D84" s="28" t="inlineStr">
        <is>
          <t>OPTION 2</t>
        </is>
      </c>
      <c r="E84" s="26" t="inlineStr">
        <is>
          <t>caution → Counted as an addition because it does not appear as a positive doctrine in the creeds and confessions studied — not because no Christian ever taught something like it.</t>
        </is>
      </c>
      <c r="F8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4" s="26" t="inlineStr">
        <is>
          <t>AJP</t>
        </is>
      </c>
      <c r="H84" s="27" t="n">
        <v>46274</v>
      </c>
      <c r="I84" s="18">
        <f>'Author Decision Queue'!$Z$84</f>
        <v/>
      </c>
      <c r="J84" s="18">
        <f>'Author Decision Queue'!$Y$84</f>
        <v/>
      </c>
      <c r="K84" s="18">
        <f>'Author Decision Queue'!$J$84</f>
        <v/>
      </c>
    </row>
    <row r="85" ht="15.75" customHeight="1" s="29">
      <c r="A85" s="7" t="n">
        <v>84</v>
      </c>
      <c r="B85" s="7" t="inlineStr">
        <is>
          <t>AUTH-RAT-RNR-A09</t>
        </is>
      </c>
      <c r="C85" s="7">
        <f>'Author Decision Queue'!$AG$85</f>
        <v/>
      </c>
      <c r="D85" s="28" t="inlineStr">
        <is>
          <t>OPTION 2</t>
        </is>
      </c>
      <c r="E85" s="26" t="inlineStr">
        <is>
          <t>caution → Counted as an addition because it does not appear as a positive doctrine in the creeds and confessions studied — not because no Christian ever taught something like it.</t>
        </is>
      </c>
      <c r="F8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5" s="26" t="inlineStr">
        <is>
          <t>AJP</t>
        </is>
      </c>
      <c r="H85" s="27" t="n">
        <v>46274</v>
      </c>
      <c r="I85" s="18">
        <f>'Author Decision Queue'!$Z$85</f>
        <v/>
      </c>
      <c r="J85" s="18">
        <f>'Author Decision Queue'!$Y$85</f>
        <v/>
      </c>
      <c r="K85" s="18">
        <f>'Author Decision Queue'!$J$85</f>
        <v/>
      </c>
    </row>
    <row r="86" ht="15.75" customHeight="1" s="29">
      <c r="A86" s="7" t="n">
        <v>85</v>
      </c>
      <c r="B86" s="7" t="inlineStr">
        <is>
          <t>AUTH-RAT-RNR-A10</t>
        </is>
      </c>
      <c r="C86" s="7">
        <f>'Author Decision Queue'!$AG$86</f>
        <v/>
      </c>
      <c r="D86" s="28" t="inlineStr">
        <is>
          <t>OPTION 2</t>
        </is>
      </c>
      <c r="E86" s="26" t="inlineStr">
        <is>
          <t>caution → Counted as an addition because it does not appear as a positive doctrine in the creeds and confessions studied — not because no Christian ever taught something like it.</t>
        </is>
      </c>
      <c r="F8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6" s="26" t="inlineStr">
        <is>
          <t>AJP</t>
        </is>
      </c>
      <c r="H86" s="27" t="n">
        <v>46274</v>
      </c>
      <c r="I86" s="18">
        <f>'Author Decision Queue'!$Z$86</f>
        <v/>
      </c>
      <c r="J86" s="18">
        <f>'Author Decision Queue'!$Y$86</f>
        <v/>
      </c>
      <c r="K86" s="18">
        <f>'Author Decision Queue'!$J$86</f>
        <v/>
      </c>
    </row>
    <row r="87" ht="15.75" customHeight="1" s="29">
      <c r="A87" s="7" t="n">
        <v>86</v>
      </c>
      <c r="B87" s="7" t="inlineStr">
        <is>
          <t>AUTH-RAT-RNR-A11</t>
        </is>
      </c>
      <c r="C87" s="7">
        <f>'Author Decision Queue'!$AG$87</f>
        <v/>
      </c>
      <c r="D87" s="28" t="inlineStr">
        <is>
          <t>OPTION 2</t>
        </is>
      </c>
      <c r="E87" s="26" t="inlineStr">
        <is>
          <t>caution → Counted as an addition because it does not appear as a positive doctrine in the creeds and confessions studied — not because no Christian ever taught something like it.</t>
        </is>
      </c>
      <c r="F8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7" s="26" t="inlineStr">
        <is>
          <t>AJP</t>
        </is>
      </c>
      <c r="H87" s="27" t="n">
        <v>46274</v>
      </c>
      <c r="I87" s="18">
        <f>'Author Decision Queue'!$Z$87</f>
        <v/>
      </c>
      <c r="J87" s="18">
        <f>'Author Decision Queue'!$Y$87</f>
        <v/>
      </c>
      <c r="K87" s="18">
        <f>'Author Decision Queue'!$J$87</f>
        <v/>
      </c>
    </row>
    <row r="88" ht="15.75" customHeight="1" s="29">
      <c r="A88" s="7" t="n">
        <v>87</v>
      </c>
      <c r="B88" s="7" t="inlineStr">
        <is>
          <t>AUTH-RAT-RNR-A12</t>
        </is>
      </c>
      <c r="C88" s="7">
        <f>'Author Decision Queue'!$AG$88</f>
        <v/>
      </c>
      <c r="D88" s="28" t="inlineStr">
        <is>
          <t>OPTION 2</t>
        </is>
      </c>
      <c r="E88" s="26" t="inlineStr">
        <is>
          <t>caution → Counted as an addition because it does not appear as a positive doctrine in the creeds and confessions studied — not because no Christian ever taught something like it.</t>
        </is>
      </c>
      <c r="F8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8" s="26" t="inlineStr">
        <is>
          <t>AJP</t>
        </is>
      </c>
      <c r="H88" s="27" t="n">
        <v>46274</v>
      </c>
      <c r="I88" s="18">
        <f>'Author Decision Queue'!$Z$88</f>
        <v/>
      </c>
      <c r="J88" s="18">
        <f>'Author Decision Queue'!$Y$88</f>
        <v/>
      </c>
      <c r="K88" s="18">
        <f>'Author Decision Queue'!$J$88</f>
        <v/>
      </c>
    </row>
    <row r="89" ht="15.75" customHeight="1" s="29">
      <c r="A89" s="7" t="n">
        <v>88</v>
      </c>
      <c r="B89" s="7" t="inlineStr">
        <is>
          <t>AUTH-RAT-RNR-A13</t>
        </is>
      </c>
      <c r="C89" s="7">
        <f>'Author Decision Queue'!$AG$89</f>
        <v/>
      </c>
      <c r="D89" s="28" t="inlineStr">
        <is>
          <t>OPTION 2</t>
        </is>
      </c>
      <c r="E89" s="26" t="inlineStr">
        <is>
          <t>caution → Counted as an addition because it does not appear as a positive doctrine in the creeds and confessions studied — not because no Christian ever taught something like it.</t>
        </is>
      </c>
      <c r="F8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9" s="26" t="inlineStr">
        <is>
          <t>AJP</t>
        </is>
      </c>
      <c r="H89" s="27" t="n">
        <v>46274</v>
      </c>
      <c r="I89" s="18">
        <f>'Author Decision Queue'!$Z$89</f>
        <v/>
      </c>
      <c r="J89" s="18">
        <f>'Author Decision Queue'!$Y$89</f>
        <v/>
      </c>
      <c r="K89" s="18">
        <f>'Author Decision Queue'!$J$89</f>
        <v/>
      </c>
    </row>
    <row r="90" ht="15.75" customHeight="1" s="29">
      <c r="A90" s="7" t="n">
        <v>89</v>
      </c>
      <c r="B90" s="7" t="inlineStr">
        <is>
          <t>AUTH-RAT-RNR-A14</t>
        </is>
      </c>
      <c r="C90" s="7">
        <f>'Author Decision Queue'!$AG$90</f>
        <v/>
      </c>
      <c r="D90" s="28" t="inlineStr">
        <is>
          <t>OPTION 2</t>
        </is>
      </c>
      <c r="E90" s="26" t="inlineStr">
        <is>
          <t>caution → Counted as an addition because it does not appear as a positive doctrine in the creeds and confessions studied — not because no Christian ever taught something like it.</t>
        </is>
      </c>
      <c r="F9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0" s="26" t="inlineStr">
        <is>
          <t>AJP</t>
        </is>
      </c>
      <c r="H90" s="27" t="n">
        <v>46274</v>
      </c>
      <c r="I90" s="18">
        <f>'Author Decision Queue'!$Z$90</f>
        <v/>
      </c>
      <c r="J90" s="18">
        <f>'Author Decision Queue'!$Y$90</f>
        <v/>
      </c>
      <c r="K90" s="18">
        <f>'Author Decision Queue'!$J$90</f>
        <v/>
      </c>
    </row>
    <row r="91" ht="15.75" customHeight="1" s="29">
      <c r="A91" s="7" t="n">
        <v>90</v>
      </c>
      <c r="B91" s="7" t="inlineStr">
        <is>
          <t>AUTH-RAT-RNR-A15</t>
        </is>
      </c>
      <c r="C91" s="7">
        <f>'Author Decision Queue'!$AG$91</f>
        <v/>
      </c>
      <c r="D91" s="28" t="inlineStr">
        <is>
          <t>OPTION 2</t>
        </is>
      </c>
      <c r="E91" s="26" t="inlineStr">
        <is>
          <t>caution → Counted as an addition because it does not appear as a positive doctrine in the creeds and confessions studied — not because no Christian ever taught something like it.</t>
        </is>
      </c>
      <c r="F9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1" s="26" t="inlineStr">
        <is>
          <t>AJP</t>
        </is>
      </c>
      <c r="H91" s="27" t="n">
        <v>46274</v>
      </c>
      <c r="I91" s="18">
        <f>'Author Decision Queue'!$Z$91</f>
        <v/>
      </c>
      <c r="J91" s="18">
        <f>'Author Decision Queue'!$Y$91</f>
        <v/>
      </c>
      <c r="K91" s="18">
        <f>'Author Decision Queue'!$J$91</f>
        <v/>
      </c>
    </row>
    <row r="92" ht="15.75" customHeight="1" s="29">
      <c r="A92" s="7" t="n">
        <v>91</v>
      </c>
      <c r="B92" s="7" t="inlineStr">
        <is>
          <t>AUTH-RAT-RNR-A16</t>
        </is>
      </c>
      <c r="C92" s="7">
        <f>'Author Decision Queue'!$AG$92</f>
        <v/>
      </c>
      <c r="D92" s="28" t="inlineStr">
        <is>
          <t>OPTION 2</t>
        </is>
      </c>
      <c r="E92" s="26" t="inlineStr">
        <is>
          <t>caution → Counted as an addition because it does not appear as a positive doctrine in the creeds and confessions studied — not because no Christian ever taught something like it.</t>
        </is>
      </c>
      <c r="F9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2" s="26" t="inlineStr">
        <is>
          <t>AJP</t>
        </is>
      </c>
      <c r="H92" s="27" t="n">
        <v>46274</v>
      </c>
      <c r="I92" s="18">
        <f>'Author Decision Queue'!$Z$92</f>
        <v/>
      </c>
      <c r="J92" s="18">
        <f>'Author Decision Queue'!$Y$92</f>
        <v/>
      </c>
      <c r="K92" s="18">
        <f>'Author Decision Queue'!$J$92</f>
        <v/>
      </c>
    </row>
    <row r="93" ht="15.75" customHeight="1" s="29">
      <c r="A93" s="7" t="n">
        <v>92</v>
      </c>
      <c r="B93" s="7" t="inlineStr">
        <is>
          <t>AUTH-RAT-RNR-A17</t>
        </is>
      </c>
      <c r="C93" s="7">
        <f>'Author Decision Queue'!$AG$93</f>
        <v/>
      </c>
      <c r="D93" s="28" t="inlineStr">
        <is>
          <t>OPTION 2</t>
        </is>
      </c>
      <c r="E93" s="26" t="inlineStr">
        <is>
          <t>caution → Counted as an addition because it does not appear as a positive doctrine in the creeds and confessions studied — not because no Christian ever taught something like it.</t>
        </is>
      </c>
      <c r="F9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3" s="26" t="inlineStr">
        <is>
          <t>AJP</t>
        </is>
      </c>
      <c r="H93" s="27" t="n">
        <v>46274</v>
      </c>
      <c r="I93" s="18">
        <f>'Author Decision Queue'!$Z$93</f>
        <v/>
      </c>
      <c r="J93" s="18">
        <f>'Author Decision Queue'!$Y$93</f>
        <v/>
      </c>
      <c r="K93" s="18">
        <f>'Author Decision Queue'!$J$93</f>
        <v/>
      </c>
    </row>
    <row r="94" ht="15.75" customHeight="1" s="29">
      <c r="A94" s="7" t="n">
        <v>93</v>
      </c>
      <c r="B94" s="7" t="inlineStr">
        <is>
          <t>AUTH-RAT-RNR-A18</t>
        </is>
      </c>
      <c r="C94" s="7">
        <f>'Author Decision Queue'!$AG$94</f>
        <v/>
      </c>
      <c r="D94" s="28" t="inlineStr">
        <is>
          <t>OPTION 2</t>
        </is>
      </c>
      <c r="E94" s="26" t="inlineStr">
        <is>
          <t>caution → Counted as an addition because it does not appear as a positive doctrine in the creeds and confessions studied — not because no Christian ever taught something like it.</t>
        </is>
      </c>
      <c r="F9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4" s="26" t="inlineStr">
        <is>
          <t>AJP</t>
        </is>
      </c>
      <c r="H94" s="27" t="n">
        <v>46274</v>
      </c>
      <c r="I94" s="18">
        <f>'Author Decision Queue'!$Z$94</f>
        <v/>
      </c>
      <c r="J94" s="18">
        <f>'Author Decision Queue'!$Y$94</f>
        <v/>
      </c>
      <c r="K94" s="18">
        <f>'Author Decision Queue'!$J$94</f>
        <v/>
      </c>
    </row>
    <row r="95" ht="15.75" customHeight="1" s="29">
      <c r="A95" s="7" t="n">
        <v>94</v>
      </c>
      <c r="B95" s="7" t="inlineStr">
        <is>
          <t>AUTH-RAT-RNR-A19</t>
        </is>
      </c>
      <c r="C95" s="7">
        <f>'Author Decision Queue'!$AG$95</f>
        <v/>
      </c>
      <c r="D95" s="28" t="inlineStr">
        <is>
          <t>OPTION 2</t>
        </is>
      </c>
      <c r="E95" s="26" t="inlineStr">
        <is>
          <t>caution → Counted as an addition because it does not appear as a positive doctrine in the creeds and confessions studied — not because no Christian ever taught something like it.</t>
        </is>
      </c>
      <c r="F9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5" s="26" t="inlineStr">
        <is>
          <t>AJP</t>
        </is>
      </c>
      <c r="H95" s="27" t="n">
        <v>46274</v>
      </c>
      <c r="I95" s="18">
        <f>'Author Decision Queue'!$Z$95</f>
        <v/>
      </c>
      <c r="J95" s="18">
        <f>'Author Decision Queue'!$Y$95</f>
        <v/>
      </c>
      <c r="K95" s="18">
        <f>'Author Decision Queue'!$J$95</f>
        <v/>
      </c>
    </row>
    <row r="96" ht="15.75" customHeight="1" s="29">
      <c r="A96" s="7" t="n">
        <v>95</v>
      </c>
      <c r="B96" s="7" t="inlineStr">
        <is>
          <t>AUTH-RAT-RNR-A20</t>
        </is>
      </c>
      <c r="C96" s="7">
        <f>'Author Decision Queue'!$AG$96</f>
        <v/>
      </c>
      <c r="D96" s="28" t="inlineStr">
        <is>
          <t>OPTION 2</t>
        </is>
      </c>
      <c r="E96" s="26" t="inlineStr">
        <is>
          <t>caution → Counted as an addition because it does not appear as a positive doctrine in the creeds and confessions studied — not because no Christian ever taught something like it.</t>
        </is>
      </c>
      <c r="F9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6" s="26" t="inlineStr">
        <is>
          <t>AJP</t>
        </is>
      </c>
      <c r="H96" s="27" t="n">
        <v>46274</v>
      </c>
      <c r="I96" s="18">
        <f>'Author Decision Queue'!$Z$96</f>
        <v/>
      </c>
      <c r="J96" s="18">
        <f>'Author Decision Queue'!$Y$96</f>
        <v/>
      </c>
      <c r="K96" s="18">
        <f>'Author Decision Queue'!$J$96</f>
        <v/>
      </c>
    </row>
    <row r="97" ht="15.75" customHeight="1" s="29">
      <c r="A97" s="7" t="n">
        <v>96</v>
      </c>
      <c r="B97" s="7" t="inlineStr">
        <is>
          <t>AUTH-RAT-RNR-A21</t>
        </is>
      </c>
      <c r="C97" s="7">
        <f>'Author Decision Queue'!$AG$97</f>
        <v/>
      </c>
      <c r="D97" s="28" t="inlineStr">
        <is>
          <t>OPTION 2</t>
        </is>
      </c>
      <c r="E97" s="26" t="inlineStr">
        <is>
          <t>caution → Counted as an addition because it does not appear as a positive doctrine in the creeds and confessions studied — not because no Christian ever taught something like it.</t>
        </is>
      </c>
      <c r="F9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7" s="26" t="inlineStr">
        <is>
          <t>AJP</t>
        </is>
      </c>
      <c r="H97" s="27" t="n">
        <v>46274</v>
      </c>
      <c r="I97" s="18">
        <f>'Author Decision Queue'!$Z$97</f>
        <v/>
      </c>
      <c r="J97" s="18">
        <f>'Author Decision Queue'!$Y$97</f>
        <v/>
      </c>
      <c r="K97" s="18">
        <f>'Author Decision Queue'!$J$97</f>
        <v/>
      </c>
    </row>
    <row r="98" ht="15.75" customHeight="1" s="29">
      <c r="A98" s="7" t="n">
        <v>97</v>
      </c>
      <c r="B98" s="7" t="inlineStr">
        <is>
          <t>AUTH-RAT-RNR-A22</t>
        </is>
      </c>
      <c r="C98" s="7">
        <f>'Author Decision Queue'!$AG$98</f>
        <v/>
      </c>
      <c r="D98" s="28" t="inlineStr">
        <is>
          <t>OPTION 2</t>
        </is>
      </c>
      <c r="E98" s="26" t="inlineStr">
        <is>
          <t>caution → Counted as an addition because it does not appear as a positive doctrine in the creeds and confessions studied — not because no Christian ever taught something like it.</t>
        </is>
      </c>
      <c r="F9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8" s="26" t="inlineStr">
        <is>
          <t>AJP</t>
        </is>
      </c>
      <c r="H98" s="27" t="n">
        <v>46274</v>
      </c>
      <c r="I98" s="18">
        <f>'Author Decision Queue'!$Z$98</f>
        <v/>
      </c>
      <c r="J98" s="18">
        <f>'Author Decision Queue'!$Y$98</f>
        <v/>
      </c>
      <c r="K98" s="18">
        <f>'Author Decision Queue'!$J$98</f>
        <v/>
      </c>
    </row>
    <row r="99" ht="15.75" customHeight="1" s="29">
      <c r="A99" s="7" t="n">
        <v>98</v>
      </c>
      <c r="B99" s="7" t="inlineStr">
        <is>
          <t>AUTH-RAT-RNR-A23</t>
        </is>
      </c>
      <c r="C99" s="7">
        <f>'Author Decision Queue'!$AG$99</f>
        <v/>
      </c>
      <c r="D99" s="28" t="inlineStr">
        <is>
          <t>OPTION 2</t>
        </is>
      </c>
      <c r="E99" s="26" t="inlineStr">
        <is>
          <t>caution → Counted as an addition because it does not appear as a positive doctrine in the creeds and confessions studied — not because no Christian ever taught something like it.</t>
        </is>
      </c>
      <c r="F9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9" s="26" t="inlineStr">
        <is>
          <t>AJP</t>
        </is>
      </c>
      <c r="H99" s="27" t="n">
        <v>46274</v>
      </c>
      <c r="I99" s="18">
        <f>'Author Decision Queue'!$Z$99</f>
        <v/>
      </c>
      <c r="J99" s="18">
        <f>'Author Decision Queue'!$Y$99</f>
        <v/>
      </c>
      <c r="K99" s="18">
        <f>'Author Decision Queue'!$J$99</f>
        <v/>
      </c>
    </row>
    <row r="100" ht="15.75" customHeight="1" s="29">
      <c r="A100" s="7" t="n">
        <v>99</v>
      </c>
      <c r="B100" s="7" t="inlineStr">
        <is>
          <t>AUTH-RAT-RNR-A24</t>
        </is>
      </c>
      <c r="C100" s="7">
        <f>'Author Decision Queue'!$AG$100</f>
        <v/>
      </c>
      <c r="D100" s="28" t="inlineStr">
        <is>
          <t>OPTION 2</t>
        </is>
      </c>
      <c r="E100" s="26" t="inlineStr">
        <is>
          <t>caution → Counted as an addition because it does not appear as a positive doctrine in the creeds and confessions studied — not because no Christian ever taught something like it.</t>
        </is>
      </c>
      <c r="F10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0" s="26" t="inlineStr">
        <is>
          <t>AJP</t>
        </is>
      </c>
      <c r="H100" s="27" t="n">
        <v>46274</v>
      </c>
      <c r="I100" s="18">
        <f>'Author Decision Queue'!$Z$100</f>
        <v/>
      </c>
      <c r="J100" s="18">
        <f>'Author Decision Queue'!$Y$100</f>
        <v/>
      </c>
      <c r="K100" s="18">
        <f>'Author Decision Queue'!$J$100</f>
        <v/>
      </c>
    </row>
    <row r="101" ht="15.75" customHeight="1" s="29">
      <c r="A101" s="7" t="n">
        <v>100</v>
      </c>
      <c r="B101" s="7" t="inlineStr">
        <is>
          <t>AUTH-RAT-RNR-A25</t>
        </is>
      </c>
      <c r="C101" s="7">
        <f>'Author Decision Queue'!$AG$101</f>
        <v/>
      </c>
      <c r="D101" s="28" t="inlineStr">
        <is>
          <t>OPTION 2</t>
        </is>
      </c>
      <c r="E101" s="26" t="inlineStr">
        <is>
          <t>caution → Detailed mechanics are not revealed; use source-role and evidence caution. Attributed to a prophet's teaching rather than canonized scripture; the details are not revealed, and Latter-day Saints hold them with reverence and restraint.</t>
        </is>
      </c>
      <c r="F10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1" s="26" t="inlineStr">
        <is>
          <t>AJP</t>
        </is>
      </c>
      <c r="H101" s="27" t="n">
        <v>46274</v>
      </c>
      <c r="I101" s="18">
        <f>'Author Decision Queue'!$Z$101</f>
        <v/>
      </c>
      <c r="J101" s="18">
        <f>'Author Decision Queue'!$Y$101</f>
        <v/>
      </c>
      <c r="K101" s="18">
        <f>'Author Decision Queue'!$J$101</f>
        <v/>
      </c>
    </row>
    <row r="102" ht="15.75" customHeight="1" s="29">
      <c r="A102" s="7" t="n">
        <v>101</v>
      </c>
      <c r="B102" s="7" t="inlineStr">
        <is>
          <t>AUTH-RAT-RNR-A26</t>
        </is>
      </c>
      <c r="C102" s="7">
        <f>'Author Decision Queue'!$AG$102</f>
        <v/>
      </c>
      <c r="D102" s="28" t="inlineStr">
        <is>
          <t>OPTION 2</t>
        </is>
      </c>
      <c r="E102"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10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2" s="26" t="inlineStr">
        <is>
          <t>AJP</t>
        </is>
      </c>
      <c r="H102" s="27" t="n">
        <v>46274</v>
      </c>
      <c r="I102" s="18">
        <f>'Author Decision Queue'!$Z$102</f>
        <v/>
      </c>
      <c r="J102" s="18">
        <f>'Author Decision Queue'!$Y$102</f>
        <v/>
      </c>
      <c r="K102" s="18">
        <f>'Author Decision Queue'!$J$102</f>
        <v/>
      </c>
    </row>
    <row r="103" ht="15.75" customHeight="1" s="29">
      <c r="A103" s="7" t="n">
        <v>102</v>
      </c>
      <c r="B103" s="7" t="inlineStr">
        <is>
          <t>AUTH-FUTURE-BRANCHMAP</t>
        </is>
      </c>
      <c r="C103" s="7">
        <f>'Author Decision Queue'!$AG$103</f>
        <v/>
      </c>
      <c r="D103" s="28" t="n"/>
      <c r="E103" s="26" t="n"/>
      <c r="F103" s="26" t="n"/>
      <c r="G103" s="26" t="n"/>
      <c r="H103" s="27" t="n"/>
      <c r="I103" s="18">
        <f>'Author Decision Queue'!$Z$103</f>
        <v/>
      </c>
      <c r="J103" s="18">
        <f>'Author Decision Queue'!$Y$103</f>
        <v/>
      </c>
      <c r="K103" s="18">
        <f>'Author Decision Queue'!$J$103</f>
        <v/>
      </c>
    </row>
    <row r="104" ht="15.75" customHeight="1" s="29">
      <c r="A104" s="7" t="n">
        <v>103</v>
      </c>
      <c r="B104" s="7" t="inlineStr">
        <is>
          <t>AUTH-FUTURE-EXTVAL</t>
        </is>
      </c>
      <c r="C104" s="7">
        <f>'Author Decision Queue'!$AG$104</f>
        <v/>
      </c>
      <c r="D104" s="28" t="n"/>
      <c r="E104" s="26" t="n"/>
      <c r="F104" s="26" t="n"/>
      <c r="G104" s="26" t="n"/>
      <c r="H104" s="27" t="n"/>
      <c r="I104" s="18">
        <f>'Author Decision Queue'!$Z$104</f>
        <v/>
      </c>
      <c r="J104" s="18">
        <f>'Author Decision Queue'!$Y$104</f>
        <v/>
      </c>
      <c r="K104" s="18">
        <f>'Author Decision Queue'!$J$104</f>
        <v/>
      </c>
    </row>
    <row r="105" ht="15.75" customHeight="1" s="29">
      <c r="A105" s="7" t="n">
        <v>104</v>
      </c>
      <c r="B105" s="7" t="inlineStr">
        <is>
          <t>AUTH-FUTURE-PUBLICATION</t>
        </is>
      </c>
      <c r="C105" s="7">
        <f>'Author Decision Queue'!$AG$105</f>
        <v/>
      </c>
      <c r="D105" s="28" t="n"/>
      <c r="E105" s="26" t="n"/>
      <c r="F105" s="26" t="n"/>
      <c r="G105" s="26" t="n"/>
      <c r="H105" s="27" t="n"/>
      <c r="I105" s="18">
        <f>'Author Decision Queue'!$Z$105</f>
        <v/>
      </c>
      <c r="J105" s="18">
        <f>'Author Decision Queue'!$Y$105</f>
        <v/>
      </c>
      <c r="K105" s="18">
        <f>'Author Decision Queue'!$J$105</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K105">
    <cfRule type="expression" priority="1" dxfId="10">
      <formula>$C2="CURRENT"</formula>
    </cfRule>
    <cfRule type="expression" priority="2" dxfId="11">
      <formula>$I2="RESOLVED"</formula>
    </cfRule>
    <cfRule type="expression" priority="3" dxfId="8">
      <formula>$I2="HOLD"</formula>
    </cfRule>
    <cfRule type="expression" priority="4" dxfId="12">
      <formula>$I2="BLOCKED"</formula>
    </cfRule>
    <cfRule type="expression" priority="5" dxfId="13">
      <formula>ISNUMBER(SEARCH("ADD INITIALS/DATE",$I2))</formula>
    </cfRule>
    <cfRule type="expression" priority="6" dxfId="13">
      <formula>$I2="OPEN — CUSTOM TEXT REQUIRED"</formula>
    </cfRule>
  </conditionalFormatting>
  <dataValidations count="1">
    <dataValidation sqref="D2:D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0" t="inlineStr">
        <is>
          <t>Metric key</t>
        </is>
      </c>
      <c r="B1" s="0" t="inlineStr">
        <is>
          <t>Inference ID</t>
        </is>
      </c>
      <c r="C1" s="0" t="inlineStr">
        <is>
          <t>Count</t>
        </is>
      </c>
      <c r="D1" s="0" t="inlineStr">
        <is>
          <t>Denominator</t>
        </is>
      </c>
      <c r="E1" s="0" t="inlineStr">
        <is>
          <t>Raw percent</t>
        </is>
      </c>
      <c r="F1" s="0" t="inlineStr">
        <is>
          <t>Low percent</t>
        </is>
      </c>
      <c r="G1" s="0" t="inlineStr">
        <is>
          <t>High percent</t>
        </is>
      </c>
      <c r="H1" s="0" t="inlineStr">
        <is>
          <t>Basis</t>
        </is>
      </c>
      <c r="I1" s="0" t="inlineStr">
        <is>
          <t>Source</t>
        </is>
      </c>
      <c r="J1" s="0" t="inlineStr">
        <is>
          <t>Display rule</t>
        </is>
      </c>
    </row>
    <row r="2">
      <c r="A2" s="0" t="inlineStr">
        <is>
          <t>shared_floor_A_plus_Q</t>
        </is>
      </c>
      <c r="B2" s="0" t="inlineStr">
        <is>
          <t>INF-01</t>
        </is>
      </c>
      <c r="C2" s="0" t="n">
        <v>52</v>
      </c>
      <c r="D2" s="0" t="n">
        <v>57</v>
      </c>
      <c r="E2" s="0" t="n">
        <v>91.2</v>
      </c>
      <c r="F2" s="0" t="n">
        <v>87.8</v>
      </c>
      <c r="G2" s="0" t="n">
        <v>91.2</v>
      </c>
      <c r="H2" s="0" t="inlineStr">
        <is>
          <t>How this range moves: it shows where the count lands if some of the 57 descriptions are treated as more central to Christian teaching than others. Weighting them keeps the share between about 88% and 91%.</t>
        </is>
      </c>
      <c r="I2" s="0" t="inlineStr">
        <is>
          <t>Paper v3.2-MR1 §14, Appendix B</t>
        </is>
      </c>
      <c r="J2" s="0" t="inlineStr">
        <is>
          <t>count + percent + range; provisional</t>
        </is>
      </c>
    </row>
    <row r="3">
      <c r="A3" s="0" t="inlineStr">
        <is>
          <t>strict_A</t>
        </is>
      </c>
      <c r="B3" s="0" t="inlineStr">
        <is>
          <t>FAMILY</t>
        </is>
      </c>
      <c r="C3" s="0" t="n">
        <v>36</v>
      </c>
      <c r="D3" s="0" t="n">
        <v>57</v>
      </c>
      <c r="E3" s="0" t="n">
        <v>63.2</v>
      </c>
      <c r="F3" s="0" t="n">
        <v>51.7</v>
      </c>
      <c r="G3" s="0" t="n">
        <v>63.2</v>
      </c>
      <c r="H3" s="0" t="inlineStr">
        <is>
          <t>How this range moves: it shows where the count of full agreements lands if some descriptions are treated as more central than others. Weighting them keeps the share between about 52% and 63%.</t>
        </is>
      </c>
      <c r="I3" s="0" t="inlineStr">
        <is>
          <t>Paper v3.2-MR1 §14, Appendix B</t>
        </is>
      </c>
      <c r="J3" s="0" t="inlineStr">
        <is>
          <t>count + percent + range; provisional</t>
        </is>
      </c>
    </row>
    <row r="4">
      <c r="A4" s="0" t="inlineStr">
        <is>
          <t>direct_D</t>
        </is>
      </c>
      <c r="B4" s="0" t="inlineStr">
        <is>
          <t>INF-04</t>
        </is>
      </c>
      <c r="C4" s="0" t="n">
        <v>5</v>
      </c>
      <c r="D4" s="0" t="n">
        <v>57</v>
      </c>
      <c r="E4" s="0" t="n">
        <v>8.800000000000001</v>
      </c>
      <c r="F4" s="0" t="n">
        <v>8.800000000000001</v>
      </c>
      <c r="G4" s="0" t="n">
        <v>12.2</v>
      </c>
      <c r="H4" s="0" t="inlineStr">
        <is>
          <t>How this range moves: it shows where the count of direct disagreements lands if some descriptions are treated as more central than others. Weighting them keeps the share between about 9% and 12%.</t>
        </is>
      </c>
      <c r="I4" s="0" t="inlineStr">
        <is>
          <t>Paper v3.2-MR1 §14, Appendix B</t>
        </is>
      </c>
      <c r="J4" s="0" t="inlineStr">
        <is>
          <t>count + percent + range; provisional</t>
        </is>
      </c>
    </row>
    <row r="5">
      <c r="A5" s="0" t="inlineStr">
        <is>
          <t>positive_A_plus_Q</t>
        </is>
      </c>
      <c r="B5" s="0" t="inlineStr">
        <is>
          <t>INF-02</t>
        </is>
      </c>
      <c r="C5" s="0" t="n">
        <v>35</v>
      </c>
      <c r="D5" s="0" t="n">
        <v>35</v>
      </c>
      <c r="E5" s="0" t="n">
        <v>100</v>
      </c>
      <c r="F5" s="0" t="n">
        <v>100</v>
      </c>
      <c r="G5" s="0" t="n">
        <v>100</v>
      </c>
      <c r="H5" s="0" t="inlineStr">
        <is>
          <t>This figure is a plain count of the corpus as coded — no weighting was applied, so no range is shown, only the count and percentage.</t>
        </is>
      </c>
      <c r="I5" s="0" t="inlineStr">
        <is>
          <t>Paper §6</t>
        </is>
      </c>
      <c r="J5" s="0" t="inlineStr">
        <is>
          <t>count + percent; provisional</t>
        </is>
      </c>
    </row>
    <row r="6">
      <c r="A6" s="0" t="inlineStr">
        <is>
          <t>negative_Q_or_D</t>
        </is>
      </c>
      <c r="B6" s="0" t="inlineStr">
        <is>
          <t>INF-03</t>
        </is>
      </c>
      <c r="C6" s="0" t="n">
        <v>18</v>
      </c>
      <c r="D6" s="0" t="n">
        <v>22</v>
      </c>
      <c r="E6" s="0" t="n">
        <v>81.8</v>
      </c>
      <c r="H6" s="0" t="inlineStr">
        <is>
          <t>No weighting model was applied to this figure — only the count and percentage are shown.</t>
        </is>
      </c>
      <c r="I6" s="0" t="inlineStr">
        <is>
          <t>Paper §8</t>
        </is>
      </c>
      <c r="J6" s="0" t="inlineStr">
        <is>
          <t>count + percent; provisional</t>
        </is>
      </c>
    </row>
    <row r="7">
      <c r="A7" s="0" t="inlineStr">
        <is>
          <t>human_destiny_additions</t>
        </is>
      </c>
      <c r="B7" s="0" t="inlineStr">
        <is>
          <t>INF-11</t>
        </is>
      </c>
      <c r="C7" s="0" t="n">
        <v>15</v>
      </c>
      <c r="D7" s="0" t="n">
        <v>26</v>
      </c>
      <c r="E7" s="0" t="n">
        <v>57.7</v>
      </c>
      <c r="H7" s="0" t="inlineStr">
        <is>
          <t>This figure depends on how the Restoration additions are grouped by topic; no separate weighting model was applied.</t>
        </is>
      </c>
      <c r="I7" s="0" t="inlineStr">
        <is>
          <t>Paper §10</t>
        </is>
      </c>
      <c r="J7" s="0" t="inlineStr">
        <is>
          <t>count + percent; provisional</t>
        </is>
      </c>
    </row>
    <row r="8">
      <c r="A8" s="0" t="inlineStr">
        <is>
          <t>tier_I_II_additions</t>
        </is>
      </c>
      <c r="B8" s="0" t="inlineStr">
        <is>
          <t>INF-12</t>
        </is>
      </c>
      <c r="C8" s="0" t="n">
        <v>22</v>
      </c>
      <c r="D8" s="0" t="n">
        <v>26</v>
      </c>
      <c r="E8" s="0" t="n">
        <v>84.59999999999999</v>
      </c>
      <c r="H8" s="0" t="inlineStr">
        <is>
          <t>This figure is based on how each source is classified by its role, not on a weighting model.</t>
        </is>
      </c>
      <c r="I8" s="0" t="inlineStr">
        <is>
          <t>Paper §12</t>
        </is>
      </c>
      <c r="J8" s="0" t="inlineStr">
        <is>
          <t>count + percent; provisional</t>
        </is>
      </c>
    </row>
    <row r="9">
      <c r="A9" s="0" t="inlineStr">
        <is>
          <t>constructive_vs_subtractive</t>
        </is>
      </c>
      <c r="B9" s="0" t="inlineStr">
        <is>
          <t>INF-13</t>
        </is>
      </c>
      <c r="C9" s="0" t="n">
        <v>42</v>
      </c>
      <c r="D9" s="0" t="n">
        <v>47</v>
      </c>
      <c r="E9" s="0" t="n">
        <v>89.40000000000001</v>
      </c>
      <c r="H9" s="0" t="inlineStr">
        <is>
          <t>This figure is a plain tally of how each addition relates to the creeds — descriptive, not weighted.</t>
        </is>
      </c>
      <c r="I9" s="0" t="inlineStr">
        <is>
          <t>Paper §11</t>
        </is>
      </c>
      <c r="J9" s="0" t="inlineStr">
        <is>
          <t>count + percent; provisional</t>
        </is>
      </c>
    </row>
    <row r="11">
      <c r="A11" s="0" t="inlineStr">
        <is>
          <t>Rule</t>
        </is>
      </c>
      <c r="B11" s="0" t="inlineStr">
        <is>
          <t>Where a Low/High pair is blank the app shows count + percent only. Structural ranges computed by the pipeline (e.g., A-only vs A+Q) are not sensitivity ranges and must not be displayed as such.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2026-09-09T07:04:47Z</dcterms:created>
  <dcterms:modified xmlns:dcterms="http://purl.org/dc/terms/" xmlns:xsi="http://www.w3.org/2001/XMLSchema-instance" xsi:type="dcterms:W3CDTF">2026-09-13T08:44:35Z</dcterms:modified>
</cp:coreProperties>
</file>