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1.xml.rels" ContentType="application/vnd.openxmlformats-package.relationships+xml"/>
  <Override PartName="/xl/worksheets/_rels/sheet29.xml.rels" ContentType="application/vnd.openxmlformats-package.relationships+xml"/>
  <Override PartName="/xl/worksheets/_rels/sheet32.xml.rels" ContentType="application/vnd.openxmlformats-package.relationships+xml"/>
  <Override PartName="/xl/worksheets/_rels/sheet3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34.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35.xml.rels" ContentType="application/vnd.openxmlformats-package.relationships+xml"/>
  <Override PartName="/xl/worksheets/_rels/sheet6.xml.rels" ContentType="application/vnd.openxmlformats-package.relationships+xml"/>
  <Override PartName="/xl/worksheets/_rels/sheet36.xml.rels" ContentType="application/vnd.openxmlformats-package.relationships+xml"/>
  <Override PartName="/xl/worksheets/_rels/sheet7.xml.rels" ContentType="application/vnd.openxmlformats-package.relationships+xml"/>
  <Override PartName="/xl/worksheets/_rels/sheet27.xml.rels" ContentType="application/vnd.openxmlformats-package.relationships+xml"/>
  <Override PartName="/xl/worksheets/_rels/sheet15.xml.rels" ContentType="application/vnd.openxmlformats-package.relationships+xml"/>
  <Override PartName="/xl/worksheets/_rels/sheet26.xml.rels" ContentType="application/vnd.openxmlformats-package.relationships+xml"/>
  <Override PartName="/xl/worksheets/_rels/sheet14.xml.rels" ContentType="application/vnd.openxmlformats-package.relationships+xml"/>
  <Override PartName="/xl/worksheets/_rels/sheet25.xml.rels" ContentType="application/vnd.openxmlformats-package.relationships+xml"/>
  <Override PartName="/xl/worksheets/_rels/sheet13.xml.rels" ContentType="application/vnd.openxmlformats-package.relationships+xml"/>
  <Override PartName="/xl/worksheets/_rels/sheet37.xml.rels" ContentType="application/vnd.openxmlformats-package.relationships+xml"/>
  <Override PartName="/xl/worksheets/_rels/sheet12.xml.rels" ContentType="application/vnd.openxmlformats-package.relationships+xml"/>
  <Override PartName="/xl/worksheets/_rels/sheet28.xml.rels" ContentType="application/vnd.openxmlformats-package.relationships+xml"/>
  <Override PartName="/xl/worksheets/_rels/sheet30.xml.rels" ContentType="application/vnd.openxmlformats-package.relationships+xml"/>
  <Override PartName="/xl/worksheets/_rels/sheet9.xml.rels" ContentType="application/vnd.openxmlformats-package.relationships+xml"/>
  <Override PartName="/xl/worksheets/_rels/sheet38.xml.rels" ContentType="application/vnd.openxmlformats-package.relationships+xml"/>
  <Override PartName="/xl/worksheets/_rels/sheet40.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34.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Override PartName="/xl/tables/table15.xml" ContentType="application/vnd.openxmlformats-officedocument.spreadsheetml.table+xml"/>
  <Override PartName="/xl/tables/table9.xml" ContentType="application/vnd.openxmlformats-officedocument.spreadsheetml.table+xml"/>
  <Override PartName="/xl/tables/table11.xml" ContentType="application/vnd.openxmlformats-officedocument.spreadsheetml.table+xml"/>
  <Override PartName="/xl/tables/table16.xml" ContentType="application/vnd.openxmlformats-officedocument.spreadsheetml.table+xml"/>
  <Override PartName="/xl/tables/table5.xml" ContentType="application/vnd.openxmlformats-officedocument.spreadsheetml.table+xml"/>
  <Override PartName="/xl/tables/table22.xml" ContentType="application/vnd.openxmlformats-officedocument.spreadsheetml.table+xml"/>
  <Override PartName="/xl/tables/table14.xml" ContentType="application/vnd.openxmlformats-officedocument.spreadsheetml.table+xml"/>
  <Override PartName="/xl/tables/table6.xml" ContentType="application/vnd.openxmlformats-officedocument.spreadsheetml.table+xml"/>
  <Override PartName="/xl/tables/table13.xml" ContentType="application/vnd.openxmlformats-officedocument.spreadsheetml.table+xml"/>
  <Override PartName="/xl/tables/table23.xml" ContentType="application/vnd.openxmlformats-officedocument.spreadsheetml.table+xml"/>
  <Override PartName="/xl/tables/table18.xml" ContentType="application/vnd.openxmlformats-officedocument.spreadsheetml.table+xml"/>
  <Override PartName="/xl/tables/table20.xml" ContentType="application/vnd.openxmlformats-officedocument.spreadsheetml.table+xml"/>
  <Override PartName="/xl/tables/table17.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xl/tables/table12.xml" ContentType="application/vnd.openxmlformats-officedocument.spreadsheetml.table+xml"/>
  <Override PartName="/xl/tables/table24.xml" ContentType="application/vnd.openxmlformats-officedocument.spreadsheetml.table+xml"/>
  <Override PartName="/xl/tables/table26.xml" ContentType="application/vnd.openxmlformats-officedocument.spreadsheetml.table+xml"/>
  <Override PartName="/xl/tables/table7.xml" ContentType="application/vnd.openxmlformats-officedocument.spreadsheetml.table+xml"/>
  <Override PartName="/xl/tables/table10.xml" ContentType="application/vnd.openxmlformats-officedocument.spreadsheetml.table+xml"/>
  <Override PartName="/xl/tables/table8.xml" ContentType="application/vnd.openxmlformats-officedocument.spreadsheetml.table+xml"/>
  <Override PartName="/xl/tables/table21.xml" ContentType="application/vnd.openxmlformats-officedocument.spreadsheetml.table+xml"/>
  <Override PartName="/xl/tables/table19.xml" ContentType="application/vnd.openxmlformats-officedocument.spreadsheetml.table+xml"/>
  <Override PartName="/xl/tables/table25.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PP CONFIG" sheetId="1" state="visible" r:id="rId3"/>
    <sheet name="Build Metadata" sheetId="2" state="visible" r:id="rId4"/>
    <sheet name="State Vocabulary" sheetId="3" state="visible" r:id="rId5"/>
    <sheet name="All 83" sheetId="4" state="visible" r:id="rId6"/>
    <sheet name="Inherited 57" sheetId="5" state="visible" r:id="rId7"/>
    <sheet name="Inherited Public Citations" sheetId="6" state="visible" r:id="rId8"/>
    <sheet name="Restoration 26" sheetId="7" state="visible" r:id="rId9"/>
    <sheet name="Family Summary" sheetId="8" state="visible" r:id="rId10"/>
    <sheet name="Evidence-First Cell Queue" sheetId="9" state="visible" r:id="rId11"/>
    <sheet name="Final 24 Reconciliation" sheetId="10" state="visible" r:id="rId12"/>
    <sheet name="Reconciliation Pass 2" sheetId="11" state="visible" r:id="rId13"/>
    <sheet name="Branch State Summary" sheetId="12" state="visible" r:id="rId14"/>
    <sheet name="Inference Support" sheetId="13" state="visible" r:id="rId15"/>
    <sheet name="Inference Evidence Map" sheetId="14" state="visible" r:id="rId16"/>
    <sheet name="Matrix Case Studies" sheetId="15" state="visible" r:id="rId17"/>
    <sheet name="Row Ratification" sheetId="16" state="visible" r:id="rId18"/>
    <sheet name="Godhead Context" sheetId="17" state="visible" r:id="rId19"/>
    <sheet name="Current Source Recovery" sheetId="18" state="visible" r:id="rId20"/>
    <sheet name="Tradition Sources" sheetId="19" state="visible" r:id="rId21"/>
    <sheet name="Glossary" sheetId="20" state="visible" r:id="rId22"/>
    <sheet name="Antecedent Examples" sheetId="21" state="visible" r:id="rId23"/>
    <sheet name="Related CTA Topics" sheetId="22" state="visible" r:id="rId24"/>
    <sheet name="Public Readiness" sheetId="23" state="visible" r:id="rId25"/>
    <sheet name="Lineage &amp; Merge Audit" sheetId="24" state="visible" r:id="rId26"/>
    <sheet name="Build Validation" sheetId="25" state="visible" r:id="rId27"/>
    <sheet name="Citation Selection Rules" sheetId="26" state="visible" r:id="rId28"/>
    <sheet name="URL Validation Snapshot" sheetId="27" state="visible" r:id="rId29"/>
    <sheet name="Pipeline Validation Spec" sheetId="28" state="visible" r:id="rId30"/>
    <sheet name="Citation Phrase Targets" sheetId="29" state="visible" r:id="rId31"/>
    <sheet name="Restoration Phrase Targets" sheetId="30" state="visible" r:id="rId32"/>
    <sheet name="Case Study Phrase Targets" sheetId="31" state="visible" r:id="rId33"/>
    <sheet name="Vector Family Captions" sheetId="32" state="visible" r:id="rId34"/>
    <sheet name="Clarification Vocabulary" sheetId="33" state="visible" r:id="rId35"/>
    <sheet name="Interpretive Clarifications" sheetId="34" state="visible" r:id="rId36"/>
    <sheet name="Clarification Trigger Map" sheetId="35" state="visible" r:id="rId37"/>
    <sheet name="Clarification Sources" sheetId="36" state="visible" r:id="rId38"/>
    <sheet name="Author Decision Queue" sheetId="37" state="visible" r:id="rId39"/>
    <sheet name="Author Gate Dashboard" sheetId="38" state="visible" r:id="rId40"/>
    <sheet name="AUTHOR REVIEW CONSOLE" sheetId="39" state="visible" r:id="rId41"/>
    <sheet name="Author Response Entry" sheetId="40" state="visible" r:id="rId42"/>
    <sheet name="Sensitivity Ranges" sheetId="41" state="visible" r:id="rId4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<sst xmlns="http://schemas.openxmlformats.org/spreadsheetml/2006/main" count="21348" uniqueCount="5127">
  <si>
    <t xml:space="preserve">Seeking Jesus of Nazareth — Hardened Interactive App Data Master</t>
  </si>
  <si>
    <t xml:space="preserve">Rebuilt from the complete controlled v2.7 evidence-first queue and the v2.8 reconciliation delta. The defective v2.8 merged workbook is retired and is not a source of queue data.</t>
  </si>
  <si>
    <t xml:space="preserve">Key</t>
  </si>
  <si>
    <t xml:space="preserve">Value</t>
  </si>
  <si>
    <t xml:space="preserve">App rule</t>
  </si>
  <si>
    <t xml:space="preserve">app_master_version</t>
  </si>
  <si>
    <t xml:space="preserve">v2.18 CODE RECONCILED</t>
  </si>
  <si>
    <t xml:space="preserve">Use this workbook as the single app-facing data source.</t>
  </si>
  <si>
    <t xml:space="preserve">build_date</t>
  </si>
  <si>
    <t xml:space="preserve">2026-09-09</t>
  </si>
  <si>
    <t xml:space="preserve">Controlled build date.</t>
  </si>
  <si>
    <t xml:space="preserve">queue_expected_rows</t>
  </si>
  <si>
    <t xml:space="preserve">Build must fail if Evidence-First Cell Queue != 456 data rows.</t>
  </si>
  <si>
    <t xml:space="preserve">full_branch_map_enabled</t>
  </si>
  <si>
    <t xml:space="preserve">Do not calculate/display denomination concordance percentages or ranking.</t>
  </si>
  <si>
    <t xml:space="preserve">render_state_field</t>
  </si>
  <si>
    <t xml:space="preserve">Evidence-First Cell Queue!X</t>
  </si>
  <si>
    <t xml:space="preserve">Every one of 456 cells must have an authoritative Rendered State.</t>
  </si>
  <si>
    <t xml:space="preserve">metric_class_field</t>
  </si>
  <si>
    <t xml:space="preserve">Evidence-First Cell Queue!Y</t>
  </si>
  <si>
    <t xml:space="preserve">A-SF maps to A; Q maps to Q; holds/gaps/vectors map EXCLUDED.</t>
  </si>
  <si>
    <t xml:space="preserve">state_vocabulary_sheet</t>
  </si>
  <si>
    <t xml:space="preserve">State Vocabulary</t>
  </si>
  <si>
    <t xml:space="preserve">Reject unknown states/enums at build time.</t>
  </si>
  <si>
    <t xml:space="preserve">missingness_visible</t>
  </si>
  <si>
    <t xml:space="preserve">NOT LOCATED / PENDING / HOLD must render visibly; never infer from blank/null.</t>
  </si>
  <si>
    <t xml:space="preserve">primary_case_A</t>
  </si>
  <si>
    <t xml:space="preserve">RNR-H05 Son</t>
  </si>
  <si>
    <t xml:space="preserve">Eight certified A cells; replaces H07 Almighty.</t>
  </si>
  <si>
    <t xml:space="preserve">primary_case_Q</t>
  </si>
  <si>
    <t xml:space="preserve">RNR-H22 Creator / Maker</t>
  </si>
  <si>
    <t xml:space="preserve">Eight certified Q cells.</t>
  </si>
  <si>
    <t xml:space="preserve">primary_case_D</t>
  </si>
  <si>
    <t xml:space="preserve">RNR-H43 Without parts / simple</t>
  </si>
  <si>
    <t xml:space="preserve">5 D + 1 pending + 2 current-source gaps.</t>
  </si>
  <si>
    <t xml:space="preserve">h37_orthodox_status</t>
  </si>
  <si>
    <t xml:space="preserve">Q — OCA OFFICIAL CATECHETICAL SOURCE (The Orthodox Faith Vol. I, One God One Father); jurisdictional scope</t>
  </si>
  <si>
    <t xml:space="preserve">Strengthened 2026-09-09; saint's-life witness retired to lineage.</t>
  </si>
  <si>
    <t xml:space="preserve">h39_unresolved_cells</t>
  </si>
  <si>
    <t xml:space="preserve">All eight H39 teaching-branch states reconciled.</t>
  </si>
  <si>
    <t xml:space="preserve">h45_unresolved_cells</t>
  </si>
  <si>
    <t xml:space="preserve">All H45 branch states reconciled or closed as reviewed gaps.</t>
  </si>
  <si>
    <t xml:space="preserve">row_ratification_status</t>
  </si>
  <si>
    <t xml:space="preserve">83 PENDING</t>
  </si>
  <si>
    <t xml:space="preserve">Author-owned blocker for public row-level explanatory copy; never auto-approve.</t>
  </si>
  <si>
    <t xml:space="preserve">external_validation</t>
  </si>
  <si>
    <t xml:space="preserve">PENDING</t>
  </si>
  <si>
    <t xml:space="preserve">Do not imply independent replication/reliability.</t>
  </si>
  <si>
    <t xml:space="preserve">http_validation_required</t>
  </si>
  <si>
    <t xml:space="preserve">Pipeline must live-fetch every distinct public URL and fail on non-success unless explicitly whitelisted.</t>
  </si>
  <si>
    <t xml:space="preserve">build_validation_mode</t>
  </si>
  <si>
    <t xml:space="preserve">EXPORT SNAPSHOT + PIPELINE REEXECUTION</t>
  </si>
  <si>
    <t xml:space="preserve">Workbook PASS states are not trusted after edits; pipeline recomputes from raw sheets.</t>
  </si>
  <si>
    <t xml:space="preserve">citation_selection_rule_sheet</t>
  </si>
  <si>
    <t xml:space="preserve">Citation Selection Rules</t>
  </si>
  <si>
    <t xml:space="preserve">M1 cards use the two-sided citation layer only under these derivation rules.</t>
  </si>
  <si>
    <t xml:space="preserve">historical_retired_flag</t>
  </si>
  <si>
    <t xml:space="preserve">Evidence-First Cell Queue!Z</t>
  </si>
  <si>
    <t xml:space="preserve">TRUE means document is lineage-only, never current branch evidence.</t>
  </si>
  <si>
    <t xml:space="preserve">citation_phrase_field</t>
  </si>
  <si>
    <t xml:space="preserve">Inherited Public Citations!R</t>
  </si>
  <si>
    <t xml:space="preserve">Quoted phrase is the machine-checkable proposition assertion.</t>
  </si>
  <si>
    <t xml:space="preserve">citation_phrase_targets</t>
  </si>
  <si>
    <t xml:space="preserve">Citation Phrase Targets</t>
  </si>
  <si>
    <t xml:space="preserve">56 public phrase targets + H50 no-public-target record.</t>
  </si>
  <si>
    <t xml:space="preserve">citation_content_validation</t>
  </si>
  <si>
    <t xml:space="preserve">Pipeline P018 must assert normalized phrase containment after HTML/PDF extraction.</t>
  </si>
  <si>
    <t xml:space="preserve">dei_filius_text_witness</t>
  </si>
  <si>
    <t xml:space="preserve">https://www.ewtn.com/catholicism/teachings/vatican-i-dogmatic-constitution-dei-filius-on-the-catholic-faith-241</t>
  </si>
  <si>
    <t xml:space="preserve">Queue Dei Filius rows use Vatican Latin authority + actual English text witness.</t>
  </si>
  <si>
    <t xml:space="preserve">athanasian_text_witness</t>
  </si>
  <si>
    <t xml:space="preserve">https://ccel.org/ccel/creeds/athanasian.creed.html</t>
  </si>
  <si>
    <t xml:space="preserve">Athanasian citations use authority/adoption path plus server-rendered CCEL text.</t>
  </si>
  <si>
    <t xml:space="preserve">restoration_phrase_targets</t>
  </si>
  <si>
    <t xml:space="preserve">Restoration Phrase Targets</t>
  </si>
  <si>
    <t xml:space="preserve">57 primary + 6 supplemental comparator assertions.</t>
  </si>
  <si>
    <t xml:space="preserve">restoration_fetch_mode</t>
  </si>
  <si>
    <t xml:space="preserve">PLAYWRIGHT RENDERED OR CHURCH CONTENT API</t>
  </si>
  <si>
    <t xml:space="preserve">Required for churchofjesuschrist.org study pages if plain GET lacks rendered scripture text.</t>
  </si>
  <si>
    <t xml:space="preserve">historical_locator_scope</t>
  </si>
  <si>
    <t xml:space="preserve">Citation Phrase Targets K:M</t>
  </si>
  <si>
    <t xml:space="preserve">Historical assertions are scoped to cited article/section; PDFs have extra normalization.</t>
  </si>
  <si>
    <t xml:space="preserve">case_study_phrase_targets</t>
  </si>
  <si>
    <t xml:space="preserve">Case Study Phrase Targets</t>
  </si>
  <si>
    <t xml:space="preserve">24 queue-keyed records: 21 ASSERT + 3 NO TARGET — UNRELEASED.</t>
  </si>
  <si>
    <t xml:space="preserve">vector_caption_sheet</t>
  </si>
  <si>
    <t xml:space="preserve">Vector Family Captions</t>
  </si>
  <si>
    <t xml:space="preserve">H07/H32/H56 captions must be visible on learner cards.</t>
  </si>
  <si>
    <t xml:space="preserve">vector_card_mode</t>
  </si>
  <si>
    <t xml:space="preserve">VECTOR</t>
  </si>
  <si>
    <t xml:space="preserve">Do not collapse vector families to a single A/Q/D tile.</t>
  </si>
  <si>
    <t xml:space="preserve">83 RESOLVED (APPROVE/REVISE) — 0 PENDING — 0 HOLD</t>
  </si>
  <si>
    <t xml:space="preserve">Author-ratified public wording; research codes untouched.</t>
  </si>
  <si>
    <t xml:space="preserve">clarification_layer_enabled</t>
  </si>
  <si>
    <t xml:space="preserve">Interpretive Clarification Layer (ICL) is available as a NOT COUNTED explanatory layer.</t>
  </si>
  <si>
    <t xml:space="preserve">clarification_case_sheet</t>
  </si>
  <si>
    <t xml:space="preserve">Interpretive Clarifications</t>
  </si>
  <si>
    <t xml:space="preserve">One row per interpretive clarification case.</t>
  </si>
  <si>
    <t xml:space="preserve">clarification_trigger_sheet</t>
  </si>
  <si>
    <t xml:space="preserve">Clarification Trigger Map</t>
  </si>
  <si>
    <t xml:space="preserve">Many-to-one trigger mappings; deterministic context rules first.</t>
  </si>
  <si>
    <t xml:space="preserve">clarification_vocabulary_sheet</t>
  </si>
  <si>
    <t xml:space="preserve">Clarification Vocabulary</t>
  </si>
  <si>
    <t xml:space="preserve">Authoritative case/hazard/trigger/review vocabulary.</t>
  </si>
  <si>
    <t xml:space="preserve">clarification_source_sheet</t>
  </si>
  <si>
    <t xml:space="preserve">Clarification Sources</t>
  </si>
  <si>
    <t xml:space="preserve">Case-specific content-addressable source records.</t>
  </si>
  <si>
    <t xml:space="preserve">clarification_counted</t>
  </si>
  <si>
    <t xml:space="preserve">ICL cases never alter the 57, 26, 83, or branch denominators.</t>
  </si>
  <si>
    <t xml:space="preserve">clarification_default_behavior</t>
  </si>
  <si>
    <t xml:space="preserve">AUTO_CUE_MANUAL_EXPANSION</t>
  </si>
  <si>
    <t xml:space="preserve">Automatic invitation only; full case opens on user action.</t>
  </si>
  <si>
    <t xml:space="preserve">clarification_auto_priority_threshold</t>
  </si>
  <si>
    <t xml:space="preserve">HIGH</t>
  </si>
  <si>
    <t xml:space="preserve">Only HIGH-priority cases may auto-cue.</t>
  </si>
  <si>
    <t xml:space="preserve">clarification_max_auto_cues_per_view</t>
  </si>
  <si>
    <t xml:space="preserve">Never stack multiple automatic clarification invitations on one view.</t>
  </si>
  <si>
    <t xml:space="preserve">clarification_auto_requires_approved_case</t>
  </si>
  <si>
    <t xml:space="preserve">AUTHOR_REVIEW/DRAFT/HOLD cases never auto-surface publicly.</t>
  </si>
  <si>
    <t xml:space="preserve">clarification_tradition_alone_auto_trigger</t>
  </si>
  <si>
    <t xml:space="preserve">Selecting a tradition alone is insufficient for an automatic cue.</t>
  </si>
  <si>
    <t xml:space="preserve">clarification_manual_explorer_enabled</t>
  </si>
  <si>
    <t xml:space="preserve">All approved cases remain discoverable through a Clarifications explorer/search.</t>
  </si>
  <si>
    <t xml:space="preserve">clarification_assistant_authority_rule</t>
  </si>
  <si>
    <t xml:space="preserve">APPROVED_CASE preferred when matched</t>
  </si>
  <si>
    <t xml:space="preserve">Author-approved case supersedes ad hoc explanatory synthesis for its registered scope.</t>
  </si>
  <si>
    <t xml:space="preserve">canonical_research_source</t>
  </si>
  <si>
    <t xml:space="preserve">WORKBOOK</t>
  </si>
  <si>
    <t xml:space="preserve">AUTH-ARCH-001 opt 2: workbook canonical; v1 static JSON only.</t>
  </si>
  <si>
    <t xml:space="preserve">runtime_database_policy</t>
  </si>
  <si>
    <t xml:space="preserve">NONE_V1</t>
  </si>
  <si>
    <t xml:space="preserve">AUTH-ARCH-001: no runtime database in v1.</t>
  </si>
  <si>
    <t xml:space="preserve">runtime_materialization</t>
  </si>
  <si>
    <t xml:space="preserve">BUILD-TIME DERIVED DATA</t>
  </si>
  <si>
    <t xml:space="preserve">Preferred deployment: workbook → validated JSON/static data or optional DB import.</t>
  </si>
  <si>
    <t xml:space="preserve">database_required</t>
  </si>
  <si>
    <t xml:space="preserve">Do not introduce a database merely because the research schema is relational.</t>
  </si>
  <si>
    <t xml:space="preserve">database_adoption_trigger</t>
  </si>
  <si>
    <t xml:space="preserve">OPERATIONAL NEED ONLY</t>
  </si>
  <si>
    <t xml:space="preserve">Adopt persistent DB authority only for multi-author transactional editing, server-side personalization/state, or scale/performance needs not met by build-time data.</t>
  </si>
  <si>
    <t xml:space="preserve">author_workflow_enabled</t>
  </si>
  <si>
    <t xml:space="preserve">All author-required decisions must be inventoried in Author Decision Queue.</t>
  </si>
  <si>
    <t xml:space="preserve">author_review_console</t>
  </si>
  <si>
    <t xml:space="preserve">AUTHOR REVIEW CONSOLE</t>
  </si>
  <si>
    <t xml:space="preserve">Formula-driven current-item view; one actionable decision at a time.</t>
  </si>
  <si>
    <t xml:space="preserve">author_decision_queue</t>
  </si>
  <si>
    <t xml:space="preserve">Author Decision Queue</t>
  </si>
  <si>
    <t xml:space="preserve">Single response-input table with suggested options, custom responses, initials/date, and status.</t>
  </si>
  <si>
    <t xml:space="preserve">author_gate_dashboard</t>
  </si>
  <si>
    <t xml:space="preserve">Author Gate Dashboard</t>
  </si>
  <si>
    <t xml:space="preserve">No dependent gate clears while required author items remain open or held.</t>
  </si>
  <si>
    <t xml:space="preserve">author_current_item_rule</t>
  </si>
  <si>
    <t xml:space="preserve">FIRST READY ITEM NEEDING ATTENTION</t>
  </si>
  <si>
    <t xml:space="preserve">The console advances only after response requirements and author metadata are complete.</t>
  </si>
  <si>
    <t xml:space="preserve">author_response_menu</t>
  </si>
  <si>
    <t xml:space="preserve">OPTION 1–4 | CUSTOM RESPONSE | HOLD | DEFER</t>
  </si>
  <si>
    <t xml:space="preserve">Custom-required options stay open until custom text is supplied.</t>
  </si>
  <si>
    <t xml:space="preserve">author_future_gate_policy</t>
  </si>
  <si>
    <t xml:space="preserve">REGISTERED AS BLOCKED</t>
  </si>
  <si>
    <t xml:space="preserve">Future branch-map, external-validation, and final-publication decisions remain visible until prerequisites exist.</t>
  </si>
  <si>
    <t xml:space="preserve">author_source_propagation</t>
  </si>
  <si>
    <t xml:space="preserve">CONTROLLED</t>
  </si>
  <si>
    <t xml:space="preserve">Row Ratification and Godhead author fields mirror the queue; comparator/semantic/code changes require controlled propagation.</t>
  </si>
  <si>
    <t xml:space="preserve">author_gate_clearance_source</t>
  </si>
  <si>
    <t xml:space="preserve">Do not infer gate clearance from sheet browsing or partial review.</t>
  </si>
  <si>
    <t xml:space="preserve">source_file_format</t>
  </si>
  <si>
    <t xml:space="preserve">XLSX</t>
  </si>
  <si>
    <t xml:space="preserve">Controlled source must not use macro-enabled .xlsm unless executable VBA is intentionally introduced and audited.</t>
  </si>
  <si>
    <t xml:space="preserve">author_response_entry</t>
  </si>
  <si>
    <t xml:space="preserve">Author Response Entry</t>
  </si>
  <si>
    <t xml:space="preserve">Compact yellow input sheet used by the console; queue mirrors these values for audit and gate logic.</t>
  </si>
  <si>
    <t xml:space="preserve">clarification_runtime_mode</t>
  </si>
  <si>
    <t xml:space="preserve">DETERMINISTIC_ONLY</t>
  </si>
  <si>
    <t xml:space="preserve">AUTH-ARCH-002: SEMANTIC/QUESTION_PATTERN triggers DEFERRED.</t>
  </si>
  <si>
    <t xml:space="preserve">clarification_anchor_rule</t>
  </si>
  <si>
    <t xml:space="preserve">THREE_WAY (counted predicate | Godhead proposition | declared explorer category)</t>
  </si>
  <si>
    <t xml:space="preserve">AUTH-ARCH-003; Orientation must state explorer reaches beyond counted corpus.</t>
  </si>
  <si>
    <t xml:space="preserve">clarification_hazards_in_orientation</t>
  </si>
  <si>
    <t xml:space="preserve">ALL_TEN_PLAIN_LANGUAGE</t>
  </si>
  <si>
    <t xml:space="preserve">AUTH-ARCH-004.</t>
  </si>
  <si>
    <t xml:space="preserve">clarification_release_policy</t>
  </si>
  <si>
    <t xml:space="preserve">LENS_BALANCED_PAIR</t>
  </si>
  <si>
    <t xml:space="preserve">AUTH-ARCH-005: ICC-002 (2 Nephi 25:23) required before ICC-001 public release.</t>
  </si>
  <si>
    <t xml:space="preserve">clarification_v1_case_cap</t>
  </si>
  <si>
    <t xml:space="preserve">6</t>
  </si>
  <si>
    <t xml:space="preserve">AUTH-ARCH-006.</t>
  </si>
  <si>
    <t xml:space="preserve">clarification_intake_rule</t>
  </si>
  <si>
    <t xml:space="preserve">OBSERVED_MISUNDERSTANDING</t>
  </si>
  <si>
    <t xml:space="preserve">h43_orthodox_status</t>
  </si>
  <si>
    <t xml:space="preserve">PENDING REVIEW (AUTH-ORTH-H43 opt 2)</t>
  </si>
  <si>
    <t xml:space="preserve">Add learner note on essence–energies complication.</t>
  </si>
  <si>
    <t xml:space="preserve">godhead_context_status</t>
  </si>
  <si>
    <t xml:space="preserve">GOD-01–04 APPROVED AS WRITTEN</t>
  </si>
  <si>
    <t xml:space="preserve">AUTH-GOD-01..04.</t>
  </si>
  <si>
    <t xml:space="preserve">clarification_cases_approved</t>
  </si>
  <si>
    <t xml:space="preserve">ICC-001; ICC-002</t>
  </si>
  <si>
    <t xml:space="preserve">Both APPROVED; paired release satisfies LENS_BALANCED_PAIR.</t>
  </si>
  <si>
    <t xml:space="preserve">clarification_pending_fetch</t>
  </si>
  <si>
    <t xml:space="preserve">ICS-020</t>
  </si>
  <si>
    <t xml:space="preserve">Bible Dictionary phrase requires rendered fetch before VERIFIED.</t>
  </si>
  <si>
    <t xml:space="preserve">four_clause_A</t>
  </si>
  <si>
    <t xml:space="preserve">Here we genuinely agree.</t>
  </si>
  <si>
    <t xml:space="preserve">predicates[].sentence for code A</t>
  </si>
  <si>
    <t xml:space="preserve">four_clause_Q</t>
  </si>
  <si>
    <t xml:space="preserve">Here we share a concern but mean it differently.</t>
  </si>
  <si>
    <t xml:space="preserve">predicates[].sentence for code Q</t>
  </si>
  <si>
    <t xml:space="preserve">four_clause_D</t>
  </si>
  <si>
    <t xml:space="preserve">Here we directly disagree.</t>
  </si>
  <si>
    <t xml:space="preserve">predicates[].sentence for code D</t>
  </si>
  <si>
    <t xml:space="preserve">four_clause_ADDITION</t>
  </si>
  <si>
    <t xml:space="preserve">Here one tradition makes an additional claim.</t>
  </si>
  <si>
    <t xml:space="preserve">predicates[].sentence for Restoration additions</t>
  </si>
  <si>
    <t xml:space="preserve">four_clause_rule</t>
  </si>
  <si>
    <t xml:space="preserve">Sentence is selected by code; the card composition (predicate | historical witness | Restoration witness | caution) is a layout, not the sentence.</t>
  </si>
  <si>
    <t xml:space="preserve">Gate-0 brief §4; paper §16</t>
  </si>
  <si>
    <t xml:space="preserve">sensitivity_ranges_sheet</t>
  </si>
  <si>
    <t xml:space="preserve">Sensitivity Ranges</t>
  </si>
  <si>
    <t xml:space="preserve">ranges.json must be emitted from this sheet; blank Low/High → count + percent only</t>
  </si>
  <si>
    <t xml:space="preserve">phrase_overrides_status</t>
  </si>
  <si>
    <t xml:space="preserve">RATIFIED AND INCORPORATED (Q-033, Q-173, Q-174)</t>
  </si>
  <si>
    <t xml:space="preserve">Pipeline may delete scripts/sjn-phrase-overrides.json</t>
  </si>
  <si>
    <t xml:space="preserve">q290_phrase_targets</t>
  </si>
  <si>
    <t xml:space="preserve">IN WORKBOOK (Case Study Phrase Targets)</t>
  </si>
  <si>
    <t xml:space="preserve">Pipeline may delete SUPPLEMENT_TARGETS for Q-290</t>
  </si>
  <si>
    <t xml:space="preserve">style_law_learner_fields</t>
  </si>
  <si>
    <t xml:space="preserve">APPLIED</t>
  </si>
  <si>
    <t xml:space="preserve">"LDS" replaced with "Latter-day Saint" in learner-surfacing text; column header "Current LDS code" retained for lineage and renamed at build</t>
  </si>
  <si>
    <t xml:space="preserve">Build Metadata &amp; Lineage</t>
  </si>
  <si>
    <t xml:space="preserve">Artifact</t>
  </si>
  <si>
    <t xml:space="preserve">Version / date</t>
  </si>
  <si>
    <t xml:space="preserve">SHA-256</t>
  </si>
  <si>
    <t xml:space="preserve">Role</t>
  </si>
  <si>
    <t xml:space="preserve">Status</t>
  </si>
  <si>
    <t xml:space="preserve">Controlled base workbook</t>
  </si>
  <si>
    <t xml:space="preserve">v2.7 / 2026-09-07</t>
  </si>
  <si>
    <t xml:space="preserve">7bf605bfddb8841a253023d688194abdbef104aa13fe26498a82b135810c9f6e</t>
  </si>
  <si>
    <t xml:space="preserve">Full 456-row queue + teaching source layers</t>
  </si>
  <si>
    <t xml:space="preserve">CONTROLLED INPUT</t>
  </si>
  <si>
    <t xml:space="preserve">Reconciliation delta</t>
  </si>
  <si>
    <t xml:space="preserve">v2.8 / 2026-09-07</t>
  </si>
  <si>
    <t xml:space="preserve">86383f047fc84ad580a90446a89ad5db05b06165396df7ce259bc1e96f796a6e</t>
  </si>
  <si>
    <t xml:space="preserve">Pass-2 H37/H39/H45 source/reconciliation updates</t>
  </si>
  <si>
    <t xml:space="preserve">Defective merged workbook</t>
  </si>
  <si>
    <t xml:space="preserve">v2.8 merge / retired</t>
  </si>
  <si>
    <t xml:space="preserve">25b9af32d16636d4461da82108b9d585258930eaa1758264fcf723905eba46fb</t>
  </si>
  <si>
    <t xml:space="preserve">Audit-only negative control</t>
  </si>
  <si>
    <t xml:space="preserve">RETIRED — DO NOT USE</t>
  </si>
  <si>
    <t xml:space="preserve">Canonical hardened app data</t>
  </si>
  <si>
    <t xml:space="preserve">v2.14 / 2026-09-08</t>
  </si>
  <si>
    <t xml:space="preserve">de32c6bfa2cd5cde8bd705eed11f8c209a0ff30f68d22f1ac7479bb439b04207</t>
  </si>
  <si>
    <t xml:space="preserve">Queue + citations + states + inferences + cases</t>
  </si>
  <si>
    <t xml:space="preserve">CANONICAL DATA HASH</t>
  </si>
  <si>
    <t xml:space="preserve">Final XLSX file</t>
  </si>
  <si>
    <t xml:space="preserve">See adjacent .sha256.txt</t>
  </si>
  <si>
    <t xml:space="preserve">Distributed workbook bytes</t>
  </si>
  <si>
    <t xml:space="preserve">POST-EXPORT HASH</t>
  </si>
  <si>
    <t xml:space="preserve">External semantic validation</t>
  </si>
  <si>
    <t xml:space="preserve">Session 20C</t>
  </si>
  <si>
    <t xml:space="preserve">Independent coder reliability</t>
  </si>
  <si>
    <t xml:space="preserve">NOT COMPLETE</t>
  </si>
  <si>
    <t xml:space="preserve">Author row ratification</t>
  </si>
  <si>
    <t xml:space="preserve">83 rows</t>
  </si>
  <si>
    <t xml:space="preserve">Public explanatory wording gate</t>
  </si>
  <si>
    <t xml:space="preserve">AUTHOR OWNED</t>
  </si>
  <si>
    <t xml:space="preserve">Canonical data/governance hash recipe</t>
  </si>
  <si>
    <t xml:space="preserve">Sheets / columns</t>
  </si>
  <si>
    <t xml:space="preserve">Serialization</t>
  </si>
  <si>
    <t xml:space="preserve">Encoding</t>
  </si>
  <si>
    <t xml:space="preserve">Notes</t>
  </si>
  <si>
    <t xml:space="preserve">App config</t>
  </si>
  <si>
    <t xml:space="preserve">APP CONFIG A:C rows 5:66</t>
  </si>
  <si>
    <t xml:space="preserve">JSON array-of-arrays</t>
  </si>
  <si>
    <t xml:space="preserve">UTF-8</t>
  </si>
  <si>
    <t xml:space="preserve">INCLUDED</t>
  </si>
  <si>
    <t xml:space="preserve">Includes author workflow/file-format policy.</t>
  </si>
  <si>
    <t xml:space="preserve">Core queue</t>
  </si>
  <si>
    <t xml:space="preserve">Evidence-First Cell Queue A:AA rows 6:461</t>
  </si>
  <si>
    <t xml:space="preserve">Queue ID order.</t>
  </si>
  <si>
    <t xml:space="preserve">Citations</t>
  </si>
  <si>
    <t xml:space="preserve">Inherited Public Citations A:AC rows 2:58</t>
  </si>
  <si>
    <t xml:space="preserve">Predicate ID order.</t>
  </si>
  <si>
    <t xml:space="preserve">Historical phrase targets</t>
  </si>
  <si>
    <t xml:space="preserve">Citation Phrase Targets A:M rows 2:58</t>
  </si>
  <si>
    <t xml:space="preserve">Restoration phrase targets</t>
  </si>
  <si>
    <t xml:space="preserve">Restoration Phrase Targets A:N rows 2:64</t>
  </si>
  <si>
    <t xml:space="preserve">Case-study phrase targets</t>
  </si>
  <si>
    <t xml:space="preserve">Case Study Phrase Targets A:P rows 2:25</t>
  </si>
  <si>
    <t xml:space="preserve">Vector captions</t>
  </si>
  <si>
    <t xml:space="preserve">Vector Family Captions A:H rows 2:4</t>
  </si>
  <si>
    <t xml:space="preserve">Inference values</t>
  </si>
  <si>
    <t xml:space="preserve">Inference Support A:R rows 5:17</t>
  </si>
  <si>
    <t xml:space="preserve">Inference formulas</t>
  </si>
  <si>
    <t xml:space="preserve">Inference Support E:G rows 5:17</t>
  </si>
  <si>
    <t xml:space="preserve">[address,formula] sorted by address</t>
  </si>
  <si>
    <t xml:space="preserve">Matrix case studies</t>
  </si>
  <si>
    <t xml:space="preserve">Matrix Case Studies A:N rows 2:4</t>
  </si>
  <si>
    <t xml:space="preserve">State vocabulary</t>
  </si>
  <si>
    <t xml:space="preserve">State Vocabulary A:E rows 3:26</t>
  </si>
  <si>
    <t xml:space="preserve">Pipeline spec</t>
  </si>
  <si>
    <t xml:space="preserve">Pipeline Validation Spec A:H rows 1:32</t>
  </si>
  <si>
    <t xml:space="preserve">P001–P031.</t>
  </si>
  <si>
    <t xml:space="preserve">Interpretive Clarifications A:AE rows 2:2</t>
  </si>
  <si>
    <t xml:space="preserve">Includes workflow-linked author fields.</t>
  </si>
  <si>
    <t xml:space="preserve">Clarification Trigger Map A:M rows 2:19</t>
  </si>
  <si>
    <t xml:space="preserve">Clarification Vocabulary A:D rows 2:43</t>
  </si>
  <si>
    <t xml:space="preserve">Clarification Sources A:R rows 2:11</t>
  </si>
  <si>
    <t xml:space="preserve">Author Decision Queue values</t>
  </si>
  <si>
    <t xml:space="preserve">Author Decision Queue A:AH rows 2:105</t>
  </si>
  <si>
    <t xml:space="preserve">104 tracked decisions.</t>
  </si>
  <si>
    <t xml:space="preserve">Author Decision Queue formulas</t>
  </si>
  <si>
    <t xml:space="preserve">Author Decision Queue T:AH rows 2:105</t>
  </si>
  <si>
    <t xml:space="preserve">Response mirroring/status/current-item logic.</t>
  </si>
  <si>
    <t xml:space="preserve">Author Response Entry values</t>
  </si>
  <si>
    <t xml:space="preserve">Author Response Entry A:K rows 2:105</t>
  </si>
  <si>
    <t xml:space="preserve">Human input surface.</t>
  </si>
  <si>
    <t xml:space="preserve">Author Response Entry formulas</t>
  </si>
  <si>
    <t xml:space="preserve">Author Response Entry C:K rows 2:105</t>
  </si>
  <si>
    <t xml:space="preserve">Author Gate Dashboard values</t>
  </si>
  <si>
    <t xml:space="preserve">Author Gate Dashboard A:K rows 5:14</t>
  </si>
  <si>
    <t xml:space="preserve">G1–G9.</t>
  </si>
  <si>
    <t xml:space="preserve">Author Gate Dashboard formulas</t>
  </si>
  <si>
    <t xml:space="preserve">Author Gate Dashboard C:J rows 6:14</t>
  </si>
  <si>
    <t xml:space="preserve">Gate-clearance logic.</t>
  </si>
  <si>
    <t xml:space="preserve">Canonical object</t>
  </si>
  <si>
    <t xml:space="preserve">Keys sorted lexicographically; separators=(',',':'); ensure_ascii=false; SHA-256 exact UTF-8 bytes</t>
  </si>
  <si>
    <t xml:space="preserve">See rows 13–34</t>
  </si>
  <si>
    <t xml:space="preserve">Derived console sheet excluded; it is a view of canonical workflow data.</t>
  </si>
  <si>
    <t xml:space="preserve">Author workflow snapshot</t>
  </si>
  <si>
    <t xml:space="preserve">Tracked decisions</t>
  </si>
  <si>
    <t xml:space="preserve">Currently actionable</t>
  </si>
  <si>
    <t xml:space="preserve">Future blocked</t>
  </si>
  <si>
    <t xml:space="preserve">Current item</t>
  </si>
  <si>
    <t xml:space="preserve">Open holds</t>
  </si>
  <si>
    <t xml:space="preserve">2026-09-08</t>
  </si>
  <si>
    <t xml:space="preserve">AUTH-ARCH-001</t>
  </si>
  <si>
    <t xml:space="preserve">Artifact policy</t>
  </si>
  <si>
    <t xml:space="preserve">Controlled extension</t>
  </si>
  <si>
    <t xml:space="preserve">Macros/VBA</t>
  </si>
  <si>
    <t xml:space="preserve">Validation location</t>
  </si>
  <si>
    <t xml:space="preserve">Authority rule</t>
  </si>
  <si>
    <t xml:space="preserve">Current decision</t>
  </si>
  <si>
    <t xml:space="preserve">.xlsx</t>
  </si>
  <si>
    <t xml:space="preserve">NONE</t>
  </si>
  <si>
    <t xml:space="preserve">Pipeline + workbook formulas</t>
  </si>
  <si>
    <t xml:space="preserve">Workbook remains controlled research source</t>
  </si>
  <si>
    <t xml:space="preserve">Macro-enabled format</t>
  </si>
  <si>
    <t xml:space="preserve">.xlsm</t>
  </si>
  <si>
    <t xml:space="preserve">NOT PERMITTED by default</t>
  </si>
  <si>
    <t xml:space="preserve">Only if executable VBA is intentionally introduced and audited</t>
  </si>
  <si>
    <t xml:space="preserve">Do not use executable-code extension for inert source</t>
  </si>
  <si>
    <t xml:space="preserve">Author ratification pass</t>
  </si>
  <si>
    <t xml:space="preserve">v2.15 / 2026-09-09</t>
  </si>
  <si>
    <t xml:space="preserve">n/a</t>
  </si>
  <si>
    <t xml:space="preserve">G1–G6 author decisions written via Author Response Entry; wording propagated to All 83 / Inherited 57 / Restoration 26 / Row Ratification / citations / phrase targets</t>
  </si>
  <si>
    <t xml:space="preserve">AUTHOR RATIFIED — pipeline must recompute canonical hash and rerun P018/P019 on changed phrases</t>
  </si>
  <si>
    <t xml:space="preserve">H37 Eastern Orthodox source strengthening</t>
  </si>
  <si>
    <t xml:space="preserve">v2.16 / 2026-09-09</t>
  </si>
  <si>
    <t xml:space="preserve">Controlling source → OCA official catechesis; pipeline must add a phrase target for this cell and rerun P006/P020 on the two OCA URLs</t>
  </si>
  <si>
    <t xml:space="preserve">SOURCE STRENGTHENED</t>
  </si>
  <si>
    <t xml:space="preserve">ICC-002 approval and merge</t>
  </si>
  <si>
    <t xml:space="preserve">v2.17 / 2026-09-09</t>
  </si>
  <si>
    <t xml:space="preserve">ICC-002 case/triggers/sources merged; ICC-001 release hold lifted; vocabulary roles CANONICAL_SCRIPTURE and OFFICIAL_EXPOSITION added; Author Decision Queue not extended (fixed formula ranges) — decisions recorded on the case row</t>
  </si>
  <si>
    <t xml:space="preserve">AUTHOR APPROVED</t>
  </si>
  <si>
    <t xml:space="preserve">Code reconciliation</t>
  </si>
  <si>
    <t xml:space="preserve">v2.18 / 2026-09-09</t>
  </si>
  <si>
    <t xml:space="preserve">Three phrase overrides incorporated; Q-290 targets added; INF-05/06 prose refreshed (141/315; spread 27); style law applied to learner-surfacing text; H43 essence–energies note; Sensitivity Ranges sheet (paper §14); four-clause definitions in APP CONFIG</t>
  </si>
  <si>
    <t xml:space="preserve">READY FOR LIVE PIPELINE RUN</t>
  </si>
  <si>
    <t xml:space="preserve">Author read-through ratification</t>
  </si>
  <si>
    <t xml:space="preserve">v2.19 / 2026-09-09</t>
  </si>
  <si>
    <t xml:space="preserve">Sensitivity Ranges Basis column rewritten in plain learner language; GOD-01–04 context propositions replaced with the fuller Orientation-draft (M0 §0.8) prose as canonical; ICS-019 locator corrected to Section "Why Then Obey?"; Build Validation refreshed to 26 Case Study Phrase Target rows / 142 structural + 20 clarification = 162 total assertions. All ten global author calls and per-section exceptions ratified 2026-09-09 (AJP).</t>
  </si>
  <si>
    <t xml:space="preserve">AUTHOR RATIFIED — ready for live pipeline rerun</t>
  </si>
  <si>
    <t xml:space="preserve">Authoritative State &amp; Enumeration Vocabulary</t>
  </si>
  <si>
    <t xml:space="preserve">Rendered State</t>
  </si>
  <si>
    <t xml:space="preserve">Metric Class</t>
  </si>
  <si>
    <t xml:space="preserve">Public meaning</t>
  </si>
  <si>
    <t xml:space="preserve">App rendering rule</t>
  </si>
  <si>
    <t xml:space="preserve">Counts as theological result?</t>
  </si>
  <si>
    <t xml:space="preserve">A</t>
  </si>
  <si>
    <t xml:space="preserve">Substantive agreement at the controlled proposition floor.</t>
  </si>
  <si>
    <t xml:space="preserve">Render positive agreement; source/scope drill-down required.</t>
  </si>
  <si>
    <t xml:space="preserve">YES</t>
  </si>
  <si>
    <t xml:space="preserve">A-SF</t>
  </si>
  <si>
    <t xml:space="preserve">Source-floor agreement: source attests a narrower proposition wholly within the shared floor; master family may remain Q.</t>
  </si>
  <si>
    <t xml:space="preserve">Render distinctly from A; explain source-floor qualification.</t>
  </si>
  <si>
    <t xml:space="preserve">Q</t>
  </si>
  <si>
    <t xml:space="preserve">Qualified/redefined agreement.</t>
  </si>
  <si>
    <t xml:space="preserve">Render shared concern plus material reinterpretation.</t>
  </si>
  <si>
    <t xml:space="preserve">D</t>
  </si>
  <si>
    <t xml:space="preserve">Direct divergence at the controlled scope.</t>
  </si>
  <si>
    <t xml:space="preserve">Render divergence with exact scope and comparator source.</t>
  </si>
  <si>
    <t xml:space="preserve">VECTOR COMPLETE</t>
  </si>
  <si>
    <t xml:space="preserve">EXCLUDED</t>
  </si>
  <si>
    <t xml:space="preserve">All required atomic layers recovered, but family is intrinsically multi-layered.</t>
  </si>
  <si>
    <t xml:space="preserve">Render multi-segment vector, never collapse to one A/Q/D tile.</t>
  </si>
  <si>
    <t xml:space="preserve">NO single tile</t>
  </si>
  <si>
    <t xml:space="preserve">VECTOR PENDING</t>
  </si>
  <si>
    <t xml:space="preserve">Split family has unresolved or unrecovered atomic layer(s).</t>
  </si>
  <si>
    <t xml:space="preserve">Render visibly incomplete/pending.</t>
  </si>
  <si>
    <t xml:space="preserve">NO</t>
  </si>
  <si>
    <t xml:space="preserve">PENDING REVIEW</t>
  </si>
  <si>
    <t xml:space="preserve">Evidence exists but semantic or scope review remains.</t>
  </si>
  <si>
    <t xml:space="preserve">Render pending; no A/Q/D inference.</t>
  </si>
  <si>
    <t xml:space="preserve">RECONCILIATION HOLD</t>
  </si>
  <si>
    <t xml:space="preserve">Historical/current family state conflict not reconciled.</t>
  </si>
  <si>
    <t xml:space="preserve">Render hold; no theological tile.</t>
  </si>
  <si>
    <t xml:space="preserve">RECONCILIATION HOLD — SOURCE ROLE</t>
  </si>
  <si>
    <t xml:space="preserve">Proposition evidence exists but source role is not approved for branch-level claim.</t>
  </si>
  <si>
    <t xml:space="preserve">Render hold and source-role explanation.</t>
  </si>
  <si>
    <t xml:space="preserve">NOT LOCATED — CURRENT SOURCE</t>
  </si>
  <si>
    <t xml:space="preserve">Historical witness retired; no current institutional source certified.</t>
  </si>
  <si>
    <t xml:space="preserve">Render explicit current-source gap.</t>
  </si>
  <si>
    <t xml:space="preserve">NOT LOCATED — CURRENT STANDARD REVIEWED</t>
  </si>
  <si>
    <t xml:space="preserve">Current controlling standard reviewed; exact predicate not attested.</t>
  </si>
  <si>
    <t xml:space="preserve">Render explicit reviewed gap; never infer denial.</t>
  </si>
  <si>
    <t xml:space="preserve">NOT LOCATED — NOT YET RECOVERED</t>
  </si>
  <si>
    <t xml:space="preserve">Evidence recovery has not yet reached this branch×predicate cell.</t>
  </si>
  <si>
    <t xml:space="preserve">Render explicit recovery gap.</t>
  </si>
  <si>
    <t xml:space="preserve">NOT LOCATED — NO PUBLIC EVIDENCE</t>
  </si>
  <si>
    <t xml:space="preserve">No evidence currently suitable for public display.</t>
  </si>
  <si>
    <t xml:space="preserve">Render explicit evidence gap.</t>
  </si>
  <si>
    <t xml:space="preserve">OUT OF SCOPE</t>
  </si>
  <si>
    <t xml:space="preserve">Source architecture excludes the cell from current branch analysis.</t>
  </si>
  <si>
    <t xml:space="preserve">Render scope marker, not doctrine.</t>
  </si>
  <si>
    <t xml:space="preserve">Enumeration</t>
  </si>
  <si>
    <t xml:space="preserve">Allowed values</t>
  </si>
  <si>
    <t xml:space="preserve">Rule</t>
  </si>
  <si>
    <t xml:space="preserve">Evidence confidence</t>
  </si>
  <si>
    <t xml:space="preserve">HIGH | MEDIUM-HIGH | MEDIUM | REVIEW | HISTORICAL-ONLY | NOT-ASSESSED</t>
  </si>
  <si>
    <t xml:space="preserve">Case-sensitive canonical output.</t>
  </si>
  <si>
    <t xml:space="preserve">A | Q | D | EXCLUDED</t>
  </si>
  <si>
    <t xml:space="preserve">A-SF renders distinctly but maps to A.</t>
  </si>
  <si>
    <t xml:space="preserve">Reviewer status</t>
  </si>
  <si>
    <t xml:space="preserve">CERTIFIED | CERTIFIED — RECONCILED | PENDING REVIEW | PENDING SOURCE-ROLE REVIEW | CLOSED — NOT ATTESTED | HOLD | NOT-REVIEWED</t>
  </si>
  <si>
    <t xml:space="preserve">Do not introduce ad-hoc spellings/case variants.</t>
  </si>
  <si>
    <t xml:space="preserve">Card Mode</t>
  </si>
  <si>
    <t xml:space="preserve">STANDARD | VECTOR</t>
  </si>
  <si>
    <t xml:space="preserve">H07, H32, H56 must use VECTOR; ordinary predicate cards use STANDARD.</t>
  </si>
  <si>
    <t xml:space="preserve">Content target status</t>
  </si>
  <si>
    <t xml:space="preserve">READY | ASSERT | NO TARGET — UNRELEASED | NO PUBLIC TARGET</t>
  </si>
  <si>
    <t xml:space="preserve">Phrase validation targets use only these explicit statuses.</t>
  </si>
  <si>
    <t xml:space="preserve">Fetch mode</t>
  </si>
  <si>
    <t xml:space="preserve">PLAYWRIGHT RENDERED OR CHURCH CONTENT API | HTML GET/RENDERED | HTML | PDF | NO TARGET</t>
  </si>
  <si>
    <t xml:space="preserve">churchofjesuschrist.org assertions require rendered DOM/content API when static HTML lacks text.</t>
  </si>
  <si>
    <t xml:space="preserve">Assertion scope mode</t>
  </si>
  <si>
    <t xml:space="preserve">LOCATOR-SCOPED | DOCUMENT-LEVEL ONLY BY EXPLICIT EXCEPTION</t>
  </si>
  <si>
    <t xml:space="preserve">P020 requires locator-scoped matching whenever the source exposes the cited verse/article/section; no silent whole-page fallback.</t>
  </si>
  <si>
    <t xml:space="preserve">Corpus</t>
  </si>
  <si>
    <t xml:space="preserve">ID</t>
  </si>
  <si>
    <t xml:space="preserve">Family / mode</t>
  </si>
  <si>
    <t xml:space="preserve">Teaching family</t>
  </si>
  <si>
    <t xml:space="preserve">Predicate family</t>
  </si>
  <si>
    <t xml:space="preserve">Comparison / authority</t>
  </si>
  <si>
    <t xml:space="preserve">Teaching lens</t>
  </si>
  <si>
    <t xml:space="preserve">Plain-language teaching summary</t>
  </si>
  <si>
    <t xml:space="preserve">Key caution / nuance</t>
  </si>
  <si>
    <t xml:space="preserve">Source pointer</t>
  </si>
  <si>
    <t xml:space="preserve">Inherited creed/confession</t>
  </si>
  <si>
    <t xml:space="preserve">RNR-H01</t>
  </si>
  <si>
    <t xml:space="preserve">Kataphatic</t>
  </si>
  <si>
    <t xml:space="preserve">Divine identity &amp; relation</t>
  </si>
  <si>
    <t xml:space="preserve">Living</t>
  </si>
  <si>
    <t xml:space="preserve">Continuity</t>
  </si>
  <si>
    <t xml:space="preserve">God is the living God.</t>
  </si>
  <si>
    <t xml:space="preserve">Shared. Both traditions affirm this of God in the same sense.</t>
  </si>
  <si>
    <t xml:space="preserve">See Inherited 57</t>
  </si>
  <si>
    <t xml:space="preserve">RNR-H02</t>
  </si>
  <si>
    <t xml:space="preserve">True</t>
  </si>
  <si>
    <t xml:space="preserve">God is true — authentic, faithful, and real.</t>
  </si>
  <si>
    <t xml:space="preserve">RNR-H03</t>
  </si>
  <si>
    <t xml:space="preserve">Spirit</t>
  </si>
  <si>
    <t xml:space="preserve">Reconstruction / qualified continuity</t>
  </si>
  <si>
    <t xml:space="preserve">God is positively named as spiritual being.</t>
  </si>
  <si>
    <t xml:space="preserve">Shared spiritual language; Restoration materially redefines spirit as refined matter (D&amp;C 131:7–8).</t>
  </si>
  <si>
    <t xml:space="preserve">RNR-H04</t>
  </si>
  <si>
    <t xml:space="preserve">Father</t>
  </si>
  <si>
    <t xml:space="preserve">God is Father.</t>
  </si>
  <si>
    <t xml:space="preserve">Shared divine paternity/relational identity at the controlling floor.</t>
  </si>
  <si>
    <t xml:space="preserve">RNR-H05</t>
  </si>
  <si>
    <t xml:space="preserve">Son</t>
  </si>
  <si>
    <t xml:space="preserve">Names Jesus Christ as the eternal Son of God.</t>
  </si>
  <si>
    <t xml:space="preserve">Shared filial identity/relationship controls A; thick Nicene metaphysical entailments are not imported automatically.</t>
  </si>
  <si>
    <t xml:space="preserve">RNR-H06</t>
  </si>
  <si>
    <t xml:space="preserve">Lord</t>
  </si>
  <si>
    <t xml:space="preserve">Jesus Christ is Lord.</t>
  </si>
  <si>
    <t xml:space="preserve">Shared authority and lordship.</t>
  </si>
  <si>
    <t xml:space="preserve">RNR-H07</t>
  </si>
  <si>
    <t xml:space="preserve">Power, wisdom, goodness &amp; holiness</t>
  </si>
  <si>
    <t xml:space="preserve">Almighty / omnipotent</t>
  </si>
  <si>
    <t xml:space="preserve">God is almighty; all power is His.</t>
  </si>
  <si>
    <t xml:space="preserve">Shared supreme divine power; absolute modal or creatio-ex-nihilo implications are not imported automatically.</t>
  </si>
  <si>
    <t xml:space="preserve">RNR-H08</t>
  </si>
  <si>
    <t xml:space="preserve">Wise / all-wise</t>
  </si>
  <si>
    <t xml:space="preserve">God is all-wise.</t>
  </si>
  <si>
    <t xml:space="preserve">Shared divine wisdom.</t>
  </si>
  <si>
    <t xml:space="preserve">RNR-H09</t>
  </si>
  <si>
    <t xml:space="preserve">Good</t>
  </si>
  <si>
    <t xml:space="preserve">God is good.</t>
  </si>
  <si>
    <t xml:space="preserve">Shared divine goodness.</t>
  </si>
  <si>
    <t xml:space="preserve">RNR-H10</t>
  </si>
  <si>
    <t xml:space="preserve">Source of all good</t>
  </si>
  <si>
    <t xml:space="preserve">Every good thing comes from God.</t>
  </si>
  <si>
    <t xml:space="preserve">RNR-H11</t>
  </si>
  <si>
    <t xml:space="preserve">Just / righteous</t>
  </si>
  <si>
    <t xml:space="preserve">God is just and righteous.</t>
  </si>
  <si>
    <t xml:space="preserve">Shared divine justice/righteousness.</t>
  </si>
  <si>
    <t xml:space="preserve">RNR-H12</t>
  </si>
  <si>
    <t xml:space="preserve">Holy</t>
  </si>
  <si>
    <t xml:space="preserve">God is holy.</t>
  </si>
  <si>
    <t xml:space="preserve">Shared holiness.</t>
  </si>
  <si>
    <t xml:space="preserve">RNR-H13</t>
  </si>
  <si>
    <t xml:space="preserve">Truthful / faithful</t>
  </si>
  <si>
    <t xml:space="preserve">God is a God of truth; He cannot lie.</t>
  </si>
  <si>
    <t xml:space="preserve">Shared faithfulness and truthfulness.</t>
  </si>
  <si>
    <t xml:space="preserve">RNR-H14</t>
  </si>
  <si>
    <t xml:space="preserve">Love, mercy, grace &amp; glory</t>
  </si>
  <si>
    <t xml:space="preserve">Love / loving</t>
  </si>
  <si>
    <t xml:space="preserve">God is love; He loves His children.</t>
  </si>
  <si>
    <t xml:space="preserve">Shared divine love.</t>
  </si>
  <si>
    <t xml:space="preserve">RNR-H15</t>
  </si>
  <si>
    <t xml:space="preserve">Merciful</t>
  </si>
  <si>
    <t xml:space="preserve">God is merciful.</t>
  </si>
  <si>
    <t xml:space="preserve">Shared mercy.</t>
  </si>
  <si>
    <t xml:space="preserve">RNR-H16</t>
  </si>
  <si>
    <t xml:space="preserve">Gracious</t>
  </si>
  <si>
    <t xml:space="preserve">God is gracious.</t>
  </si>
  <si>
    <t xml:space="preserve">Shared grace/gracious action.</t>
  </si>
  <si>
    <t xml:space="preserve">RNR-H17</t>
  </si>
  <si>
    <t xml:space="preserve">Long-suffering / patient</t>
  </si>
  <si>
    <t xml:space="preserve">God is long-suffering and patient.</t>
  </si>
  <si>
    <t xml:space="preserve">Shared divine patience/forbearance.</t>
  </si>
  <si>
    <t xml:space="preserve">RNR-H18</t>
  </si>
  <si>
    <t xml:space="preserve">Forgiving</t>
  </si>
  <si>
    <t xml:space="preserve">God forgives sin.</t>
  </si>
  <si>
    <t xml:space="preserve">Shared forgiving action.</t>
  </si>
  <si>
    <t xml:space="preserve">RNR-H19</t>
  </si>
  <si>
    <t xml:space="preserve">Blessed</t>
  </si>
  <si>
    <t xml:space="preserve">God is blessed; all blessedness is in Him.</t>
  </si>
  <si>
    <t xml:space="preserve">RNR-H20</t>
  </si>
  <si>
    <t xml:space="preserve">Glorious</t>
  </si>
  <si>
    <t xml:space="preserve">God is glorious.</t>
  </si>
  <si>
    <t xml:space="preserve">Shared divine glory.</t>
  </si>
  <si>
    <t xml:space="preserve">RNR-H21</t>
  </si>
  <si>
    <t xml:space="preserve">Divine action, providence &amp; salvation</t>
  </si>
  <si>
    <t xml:space="preserve">Life-giving</t>
  </si>
  <si>
    <t xml:space="preserve">God gives life.</t>
  </si>
  <si>
    <t xml:space="preserve">Shared life-giving divine action.</t>
  </si>
  <si>
    <t xml:space="preserve">RNR-H22</t>
  </si>
  <si>
    <t xml:space="preserve">Creator / Maker</t>
  </si>
  <si>
    <t xml:space="preserve">Affirms divine causation of created existence.</t>
  </si>
  <si>
    <t xml:space="preserve">Creator/Maker confession is shared; creation ontology/mechanics are materially redefined around preexistent reality.</t>
  </si>
  <si>
    <t xml:space="preserve">RNR-H23</t>
  </si>
  <si>
    <t xml:space="preserve">Preserver / Sustainer</t>
  </si>
  <si>
    <t xml:space="preserve">God preserves and sustains all things.</t>
  </si>
  <si>
    <t xml:space="preserve">Shared sustaining/preserving action; stronger continuous ontological-conservation theory remains a thick-layer issue.</t>
  </si>
  <si>
    <t xml:space="preserve">RNR-H24</t>
  </si>
  <si>
    <t xml:space="preserve">Governor / Ruler</t>
  </si>
  <si>
    <t xml:space="preserve">God governs all things.</t>
  </si>
  <si>
    <t xml:space="preserve">Shared providential governance.</t>
  </si>
  <si>
    <t xml:space="preserve">RNR-H25</t>
  </si>
  <si>
    <t xml:space="preserve">Sovereign</t>
  </si>
  <si>
    <t xml:space="preserve">God is sovereign over all.</t>
  </si>
  <si>
    <t xml:space="preserve">Shared divine sovereignty.</t>
  </si>
  <si>
    <t xml:space="preserve">RNR-H26</t>
  </si>
  <si>
    <t xml:space="preserve">Judge</t>
  </si>
  <si>
    <t xml:space="preserve">God judges all people.</t>
  </si>
  <si>
    <t xml:space="preserve">Shared divine judgment.</t>
  </si>
  <si>
    <t xml:space="preserve">RNR-H27</t>
  </si>
  <si>
    <t xml:space="preserve">Savior</t>
  </si>
  <si>
    <t xml:space="preserve">God saves; Jesus Christ is the Savior.</t>
  </si>
  <si>
    <t xml:space="preserve">Shared saving/redemptive action.</t>
  </si>
  <si>
    <t xml:space="preserve">RNR-H28</t>
  </si>
  <si>
    <t xml:space="preserve">Revealer</t>
  </si>
  <si>
    <t xml:space="preserve">God reveals Himself.</t>
  </si>
  <si>
    <t xml:space="preserve">Shared divine revelation/self-communication.</t>
  </si>
  <si>
    <t xml:space="preserve">RNR-H29</t>
  </si>
  <si>
    <t xml:space="preserve">Fountain of being</t>
  </si>
  <si>
    <t xml:space="preserve">Affirms creaturely existence as derived from God.</t>
  </si>
  <si>
    <t xml:space="preserve">Qualified because Restoration ontology affirms coeternal intelligence and elements rather than an exhaustive creator-created binary.</t>
  </si>
  <si>
    <t xml:space="preserve">RNR-H30</t>
  </si>
  <si>
    <t xml:space="preserve">Christ &amp; Spirit titles</t>
  </si>
  <si>
    <t xml:space="preserve">Word / Logos</t>
  </si>
  <si>
    <t xml:space="preserve">Jesus Christ is the Word.</t>
  </si>
  <si>
    <t xml:space="preserve">Shared identification/title of Christ.</t>
  </si>
  <si>
    <t xml:space="preserve">RNR-H31</t>
  </si>
  <si>
    <t xml:space="preserve">Wisdom</t>
  </si>
  <si>
    <t xml:space="preserve">Jesus Christ is the Wisdom of God.</t>
  </si>
  <si>
    <t xml:space="preserve">Shared christological title/metaphor at the accepted floor.</t>
  </si>
  <si>
    <t xml:space="preserve">RNR-H32</t>
  </si>
  <si>
    <t xml:space="preserve">Light</t>
  </si>
  <si>
    <t xml:space="preserve">Names Christ as the Light.</t>
  </si>
  <si>
    <t xml:space="preserve">Shared christological light language at the accepted floor.</t>
  </si>
  <si>
    <t xml:space="preserve">RNR-H33</t>
  </si>
  <si>
    <t xml:space="preserve">Image of the Father</t>
  </si>
  <si>
    <t xml:space="preserve">Jesus Christ is the image of the Father.</t>
  </si>
  <si>
    <t xml:space="preserve">Shared image/manifestation language at the accepted floor.</t>
  </si>
  <si>
    <t xml:space="preserve">RNR-H34</t>
  </si>
  <si>
    <t xml:space="preserve">Giver of life</t>
  </si>
  <si>
    <t xml:space="preserve">The Holy Spirit gives life.</t>
  </si>
  <si>
    <t xml:space="preserve">Shared life-giving agency of the Spirit.</t>
  </si>
  <si>
    <t xml:space="preserve">RNR-H35</t>
  </si>
  <si>
    <t xml:space="preserve">Eternal power and might</t>
  </si>
  <si>
    <t xml:space="preserve">The Holy Spirit is eternal power and might.</t>
  </si>
  <si>
    <t xml:space="preserve">Shared divine power of the Spirit.</t>
  </si>
  <si>
    <t xml:space="preserve">RNR-H36</t>
  </si>
  <si>
    <t xml:space="preserve">Apophatic / privative</t>
  </si>
  <si>
    <t xml:space="preserve">Beginninglessness &amp; non-finitude</t>
  </si>
  <si>
    <t xml:space="preserve">Uncreated</t>
  </si>
  <si>
    <t xml:space="preserve">Denies dependence on a creator or originating act.</t>
  </si>
  <si>
    <t xml:space="preserve">Beginningless divine reality is affirmed; the exhaustive God-versus-created-reality binary is rejected.</t>
  </si>
  <si>
    <t xml:space="preserve">RNR-H37</t>
  </si>
  <si>
    <t xml:space="preserve">Unbegotten</t>
  </si>
  <si>
    <t xml:space="preserve">Denies generation from another.</t>
  </si>
  <si>
    <t xml:space="preserve">Beginninglessness/source-status concern is shared; absolute 'from none' versus antecedent divine lineage remains a material qualification.</t>
  </si>
  <si>
    <t xml:space="preserve">RNR-H38</t>
  </si>
  <si>
    <t xml:space="preserve">Negative delimiter</t>
  </si>
  <si>
    <t xml:space="preserve">Not made</t>
  </si>
  <si>
    <t xml:space="preserve">Denies that the Son is a created being.</t>
  </si>
  <si>
    <t xml:space="preserve">Qualified by Restoration distinctions among intelligence, spirit birth, embodiment, and creation.</t>
  </si>
  <si>
    <t xml:space="preserve">RNR-H39</t>
  </si>
  <si>
    <t xml:space="preserve">Infinite</t>
  </si>
  <si>
    <t xml:space="preserve">Denies finite limitation.</t>
  </si>
  <si>
    <t xml:space="preserve">Shared unlimited perfection/transcendence; blanket non-finitude is too thick where divine personal presence is embodied/determinate.</t>
  </si>
  <si>
    <t xml:space="preserve">RNR-H40</t>
  </si>
  <si>
    <t xml:space="preserve">Immense / immeasurable</t>
  </si>
  <si>
    <t xml:space="preserve">Denies spatial or metaphysical circumscription.</t>
  </si>
  <si>
    <t xml:space="preserve">Embodied personal presence is distinguished from universally operative light, knowledge, power, and governance.</t>
  </si>
  <si>
    <t xml:space="preserve">RNR-H41</t>
  </si>
  <si>
    <t xml:space="preserve">Embodiment &amp; classical divine metaphysics</t>
  </si>
  <si>
    <t xml:space="preserve">Invisible</t>
  </si>
  <si>
    <t xml:space="preserve">Rejection / direct divergence</t>
  </si>
  <si>
    <t xml:space="preserve">Denies perceptibility by bodily sight.</t>
  </si>
  <si>
    <t xml:space="preserve">Direct divergence only when invisibility is treated as an intrinsic or absolute property of divine being.</t>
  </si>
  <si>
    <t xml:space="preserve">RNR-H42</t>
  </si>
  <si>
    <t xml:space="preserve">Incorporeal / without body</t>
  </si>
  <si>
    <t xml:space="preserve">Denies material embodiment.</t>
  </si>
  <si>
    <t xml:space="preserve">Directly conflicts with the Father's tangible glorified body.</t>
  </si>
  <si>
    <t xml:space="preserve">RNR-H43</t>
  </si>
  <si>
    <t xml:space="preserve">Without parts / simple</t>
  </si>
  <si>
    <t xml:space="preserve">Denies metaphysical composition.</t>
  </si>
  <si>
    <t xml:space="preserve">Direct divergence in the accepted classical sense of absolute divine simplicity.</t>
  </si>
  <si>
    <t xml:space="preserve">RNR-H44</t>
  </si>
  <si>
    <t xml:space="preserve">Without passions / impassible</t>
  </si>
  <si>
    <t xml:space="preserve">Denies that God can be moved or affected by His creatures (classical impassibility).</t>
  </si>
  <si>
    <t xml:space="preserve">Direct divergence from strong classical impassibility.</t>
  </si>
  <si>
    <t xml:space="preserve">RNR-H45</t>
  </si>
  <si>
    <t xml:space="preserve">Immutable / unchangeable</t>
  </si>
  <si>
    <t xml:space="preserve">Denies change.</t>
  </si>
  <si>
    <t xml:space="preserve">Constancy of character, purpose, covenant faithfulness, and moral perfection is shared; strong metaphysical immutability is not imported.</t>
  </si>
  <si>
    <t xml:space="preserve">RNR-H46</t>
  </si>
  <si>
    <t xml:space="preserve">Eternity &amp; epistemic transcendence</t>
  </si>
  <si>
    <t xml:space="preserve">Eternal</t>
  </si>
  <si>
    <t xml:space="preserve">God is eternal — without beginning or end.</t>
  </si>
  <si>
    <t xml:space="preserve">A controls only beginningless/endless divine existence or duration; timelessness/denial of temporal succession is excluded.</t>
  </si>
  <si>
    <t xml:space="preserve">RNR-H47</t>
  </si>
  <si>
    <t xml:space="preserve">Apophatic proper</t>
  </si>
  <si>
    <t xml:space="preserve">Incomprehensible</t>
  </si>
  <si>
    <t xml:space="preserve">God cannot be fully comprehended.</t>
  </si>
  <si>
    <t xml:space="preserve">Compatible with Restoration epistemic humility.</t>
  </si>
  <si>
    <t xml:space="preserve">RNR-H48</t>
  </si>
  <si>
    <t xml:space="preserve">Ineffable</t>
  </si>
  <si>
    <t xml:space="preserve">God cannot be fully put into words.</t>
  </si>
  <si>
    <t xml:space="preserve">RNR-H49</t>
  </si>
  <si>
    <t xml:space="preserve">Inscrutable</t>
  </si>
  <si>
    <t xml:space="preserve">God's counsels cannot be fully searched out.</t>
  </si>
  <si>
    <t xml:space="preserve">RNR-H50</t>
  </si>
  <si>
    <t xml:space="preserve">Not circumscribed / not contained</t>
  </si>
  <si>
    <t xml:space="preserve">Denies localization within bounded place.</t>
  </si>
  <si>
    <t xml:space="preserve">Universal divine operation/omnipresence concern is shared while determinate personal presence remains materially differentiated.</t>
  </si>
  <si>
    <t xml:space="preserve">RNR-H51</t>
  </si>
  <si>
    <t xml:space="preserve">Meta-apophatic</t>
  </si>
  <si>
    <t xml:space="preserve">No adequate likeness or comparison</t>
  </si>
  <si>
    <t xml:space="preserve">Denies univocal or fully adequate Creator-creature correspondence.</t>
  </si>
  <si>
    <t xml:space="preserve">Epistemic restraint is shared, but literal divine-human kinship prevents an absolute denial of likeness.</t>
  </si>
  <si>
    <t xml:space="preserve">RNR-H52</t>
  </si>
  <si>
    <t xml:space="preserve">Christological delimiter</t>
  </si>
  <si>
    <t xml:space="preserve">Christological delimiters</t>
  </si>
  <si>
    <t xml:space="preserve">Without confusion</t>
  </si>
  <si>
    <t xml:space="preserve">Denies collapse of distinctions.</t>
  </si>
  <si>
    <t xml:space="preserve">Underlying Christological concern is shared without adopting Chalcedonian two-natures metaphysics.</t>
  </si>
  <si>
    <t xml:space="preserve">RNR-H53</t>
  </si>
  <si>
    <t xml:space="preserve">Without change</t>
  </si>
  <si>
    <t xml:space="preserve">Denies conversion of one nature into another.</t>
  </si>
  <si>
    <t xml:space="preserve">RNR-H54</t>
  </si>
  <si>
    <t xml:space="preserve">Without division</t>
  </si>
  <si>
    <t xml:space="preserve">Denies partition into distinct subjects.</t>
  </si>
  <si>
    <t xml:space="preserve">RNR-H55</t>
  </si>
  <si>
    <t xml:space="preserve">Without separation</t>
  </si>
  <si>
    <t xml:space="preserve">Denies disjunction of Christ's natures.</t>
  </si>
  <si>
    <t xml:space="preserve">RNR-H56</t>
  </si>
  <si>
    <t xml:space="preserve">Trinitarian delimiter</t>
  </si>
  <si>
    <t xml:space="preserve">Godhead unity &amp; distinction</t>
  </si>
  <si>
    <t xml:space="preserve">Neither confounding nor dividing</t>
  </si>
  <si>
    <t xml:space="preserve">Excludes both collapse and division in Trinitarian description.</t>
  </si>
  <si>
    <t xml:space="preserve">Shared concern for distinction and unity, with materially different Godhead ontology.</t>
  </si>
  <si>
    <t xml:space="preserve">RNR-H57</t>
  </si>
  <si>
    <t xml:space="preserve">Divine-human analogy &amp; kinship boundary</t>
  </si>
  <si>
    <t xml:space="preserve">Greater dissimilarity than similarity</t>
  </si>
  <si>
    <t xml:space="preserve">Denies adequacy of any creaturely likeness to the divine mode of being.</t>
  </si>
  <si>
    <t xml:space="preserve">Direct divergence when the principle denies strong literal divine-human kinship and ontological continuity.</t>
  </si>
  <si>
    <t xml:space="preserve">Restoration addition</t>
  </si>
  <si>
    <t xml:space="preserve">RNR-A01</t>
  </si>
  <si>
    <t xml:space="preserve">Deity / Godhead</t>
  </si>
  <si>
    <t xml:space="preserve">The Father is an embodied, tangible, glorified person; humanity is made in His image.</t>
  </si>
  <si>
    <t xml:space="preserve">Tier I</t>
  </si>
  <si>
    <t xml:space="preserve">Expansion</t>
  </si>
  <si>
    <t xml:space="preserve">Counted as an addition because it does not appear as a positive doctrine in the creeds and confessions studied — not because no Christian ever taught something like it.</t>
  </si>
  <si>
    <t xml:space="preserve">https://www.churchofjesuschrist.org/study/scriptures/dc-testament/dc/130?lang=eng</t>
  </si>
  <si>
    <t xml:space="preserve">RNR-A02</t>
  </si>
  <si>
    <t xml:space="preserve">Father presides within the Godhead.</t>
  </si>
  <si>
    <t xml:space="preserve">Tier II</t>
  </si>
  <si>
    <t xml:space="preserve">https://www.churchofjesuschrist.org/study/manual/gospel-topics/godhead?lang=eng</t>
  </si>
  <si>
    <t xml:space="preserve">RNR-A03</t>
  </si>
  <si>
    <t xml:space="preserve">God is personally present in one place at a time, while His light, knowledge, power, and governance fill all creation.</t>
  </si>
  <si>
    <t xml:space="preserve">https://www.churchofjesuschrist.org/study/scriptures/dc-testament/dc/88?lang=eng</t>
  </si>
  <si>
    <t xml:space="preserve">RNR-A04</t>
  </si>
  <si>
    <t xml:space="preserve">God the Father was once as humanity now is and is an exalted man.</t>
  </si>
  <si>
    <t xml:space="preserve">Tier III</t>
  </si>
  <si>
    <t xml:space="preserve">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</si>
  <si>
    <t xml:space="preserve">https://www.churchofjesuschrist.org/study/manual/doctrines-of-the-gospel/chapter-3?lang=eng</t>
  </si>
  <si>
    <t xml:space="preserve">RNR-A05</t>
  </si>
  <si>
    <t xml:space="preserve">God the Father had a Father, implying antecedent divine lineage while leaving the mechanics unrevealed.</t>
  </si>
  <si>
    <t xml:space="preserve">https://www.josephsmithpapers.org/paper-summary/history-1838-1856-volume-f-1-1-may-1844-8-august-1844/109</t>
  </si>
  <si>
    <t xml:space="preserve">RNR-A06</t>
  </si>
  <si>
    <t xml:space="preserve">Divine-human kinship / premortality</t>
  </si>
  <si>
    <t xml:space="preserve">Humans are literal spirit children of Heavenly Parents.</t>
  </si>
  <si>
    <t xml:space="preserve">https://www.churchofjesuschrist.org/study/manual/eternal-marriage-student-manual/the-family-a-proclamation?lang=eng</t>
  </si>
  <si>
    <t xml:space="preserve">RNR-A07</t>
  </si>
  <si>
    <t xml:space="preserve">Heavenly Mother exists as a divine parent.</t>
  </si>
  <si>
    <t xml:space="preserve">Historical maternal-Spirit imagery is only a remote analogue; not direct Heavenly Mother continuity.</t>
  </si>
  <si>
    <t xml:space="preserve">https://www.churchofjesuschrist.org/study/manual/gospel-topics-essays/mother-in-heaven?lang=eng</t>
  </si>
  <si>
    <t xml:space="preserve">RNR-A08</t>
  </si>
  <si>
    <t xml:space="preserve">Human beings possessed personal premortal existence.</t>
  </si>
  <si>
    <t xml:space="preserve">https://www.churchofjesuschrist.org/study/scriptures/pgp/abr/3?lang=eng</t>
  </si>
  <si>
    <t xml:space="preserve">RNR-A09</t>
  </si>
  <si>
    <t xml:space="preserve">Gender is an essential characteristic of premortal, mortal, and eternal identity.</t>
  </si>
  <si>
    <t xml:space="preserve">RNR-A10</t>
  </si>
  <si>
    <t xml:space="preserve">Human intelligence is uncreated/unmade and beginningless in a fundamental sense.</t>
  </si>
  <si>
    <t xml:space="preserve">https://www.churchofjesuschrist.org/study/scriptures/dc-testament/dc/93?lang=eng</t>
  </si>
  <si>
    <t xml:space="preserve">RNR-A11</t>
  </si>
  <si>
    <t xml:space="preserve">Human divine nature and potential arise from literal heavenly parentage.</t>
  </si>
  <si>
    <t xml:space="preserve">RNR-A12</t>
  </si>
  <si>
    <t xml:space="preserve">Christ is the Firstborn spirit Son and stands in genuine familial relation to the Father's other spirit children while remaining uniquely Savior and Redeemer.</t>
  </si>
  <si>
    <t xml:space="preserve">https://www.churchofjesuschrist.org/study/manual/eternal-marriage-student-manual/jesus-christ?lang=eng</t>
  </si>
  <si>
    <t xml:space="preserve">RNR-A13</t>
  </si>
  <si>
    <t xml:space="preserve">Cosmology / ontology / embodiment</t>
  </si>
  <si>
    <t xml:space="preserve">Elements are eternal.</t>
  </si>
  <si>
    <t xml:space="preserve">RNR-A14</t>
  </si>
  <si>
    <t xml:space="preserve">Spirit is refined matter rather than immaterial substance.</t>
  </si>
  <si>
    <t xml:space="preserve">https://www.churchofjesuschrist.org/study/scriptures/dc-testament/dc/131?lang=eng</t>
  </si>
  <si>
    <t xml:space="preserve">RNR-A15</t>
  </si>
  <si>
    <t xml:space="preserve">Divine creation organizes preexistent reality rather than creating all constituent reality from absolute nothing.</t>
  </si>
  <si>
    <t xml:space="preserve">RNR-A16</t>
  </si>
  <si>
    <t xml:space="preserve">The Light of Christ fills the immensity of space and functions as life, law, illumination, divine power, and governance.</t>
  </si>
  <si>
    <t xml:space="preserve">RNR-A17</t>
  </si>
  <si>
    <t xml:space="preserve">Spirit and element permanently and inseparably united constitute the condition for fulness of joy.</t>
  </si>
  <si>
    <t xml:space="preserve">RNR-A18</t>
  </si>
  <si>
    <t xml:space="preserve">Mortal social relationships can continue eternally when sealed and transformed by eternal glory.</t>
  </si>
  <si>
    <t xml:space="preserve">RNR-A19</t>
  </si>
  <si>
    <t xml:space="preserve">Exaltation / eternal family / progression</t>
  </si>
  <si>
    <t xml:space="preserve">Human beings may receive divine fulness and become like God, canonically described as becoming gods.</t>
  </si>
  <si>
    <t xml:space="preserve">https://www.churchofjesuschrist.org/study/scriptures/dc-testament/dc/132?lang=eng</t>
  </si>
  <si>
    <t xml:space="preserve">RNR-A20</t>
  </si>
  <si>
    <t xml:space="preserve">Celestial marriage continues eternally.</t>
  </si>
  <si>
    <t xml:space="preserve">RNR-A21</t>
  </si>
  <si>
    <t xml:space="preserve">Celestial marriage is required for the highest degree of exaltation.</t>
  </si>
  <si>
    <t xml:space="preserve">RNR-A22</t>
  </si>
  <si>
    <t xml:space="preserve">Family relationships can be perpetuated eternally.</t>
  </si>
  <si>
    <t xml:space="preserve">RNR-A23</t>
  </si>
  <si>
    <t xml:space="preserve">Exalted spouses receive continuation of the seeds / eternal increase.</t>
  </si>
  <si>
    <t xml:space="preserve">RNR-A24</t>
  </si>
  <si>
    <t xml:space="preserve">Resurrected and glorified exalted beings become parents of spirit offspring.</t>
  </si>
  <si>
    <t xml:space="preserve">https://www.churchofjesuschrist.org/study/manual/gospel-principles/chapter-47-exaltation?lang=eng</t>
  </si>
  <si>
    <t xml:space="preserve">RNR-A25</t>
  </si>
  <si>
    <t xml:space="preserve">Their spirit offspring subsequently pass through estates corresponding to those through which their glorified parents attained exaltation.</t>
  </si>
  <si>
    <t xml:space="preserve">Detailed mechanics are not revealed; use source-role and evidence caution. Attributed to a prophet's teaching rather than canonized scripture; the details are not revealed, and Latter-day Saints hold them with reverence and restraint.</t>
  </si>
  <si>
    <t xml:space="preserve">https://www.churchofjesuschrist.org/study/manual/teachings-of-presidents-of-the-church-lorenzo-snow/chapter-5-the-grand-destiny-of-the-faithful?lang=eng</t>
  </si>
  <si>
    <t xml:space="preserve">RNR-A26</t>
  </si>
  <si>
    <t xml:space="preserve">Exalted existence entails continuing increase in knowledge, wisdom, power, glory, relationship, posterity, and divine capacity.</t>
  </si>
  <si>
    <t xml:space="preserve">Predicate ID</t>
  </si>
  <si>
    <t xml:space="preserve">Original mode</t>
  </si>
  <si>
    <t xml:space="preserve">Teaching family (editorial)</t>
  </si>
  <si>
    <t xml:space="preserve">Normalized predicate family</t>
  </si>
  <si>
    <t xml:space="preserve">Historical source-report definition</t>
  </si>
  <si>
    <t xml:space="preserve">Current A/Q/D/U</t>
  </si>
  <si>
    <t xml:space="preserve">Accepted comparison / semantic-floor note</t>
  </si>
  <si>
    <t xml:space="preserve">Coding provenance</t>
  </si>
  <si>
    <t xml:space="preserve">Confidence</t>
  </si>
  <si>
    <t xml:space="preserve">Historical source record</t>
  </si>
  <si>
    <t xml:space="preserve">Source locator</t>
  </si>
  <si>
    <t xml:space="preserve">God possesses life intrinsically.</t>
  </si>
  <si>
    <t xml:space="preserve">Count-constrained reconstruction</t>
  </si>
  <si>
    <t xml:space="preserve">Medium-High</t>
  </si>
  <si>
    <t xml:space="preserve">Apophatic_and_Kataphatic_Theology_in_Christian_Creeds_and_Confessions</t>
  </si>
  <si>
    <t xml:space="preserve">Recurring Kataphatic Vocabulary table</t>
  </si>
  <si>
    <t xml:space="preserve">God is authentic, faithful, and ultimately real.</t>
  </si>
  <si>
    <t xml:space="preserve">Medium</t>
  </si>
  <si>
    <t xml:space="preserve">Names divine paternity and relational identity.</t>
  </si>
  <si>
    <t xml:space="preserve">High</t>
  </si>
  <si>
    <t xml:space="preserve">Names the eternal filial relation of the Logos.</t>
  </si>
  <si>
    <t xml:space="preserve">Affirms authority and sovereignty.</t>
  </si>
  <si>
    <t xml:space="preserve">Affirms supreme power.</t>
  </si>
  <si>
    <t xml:space="preserve">Affirms wisdom.</t>
  </si>
  <si>
    <t xml:space="preserve">Affirms goodness as belonging to God.</t>
  </si>
  <si>
    <t xml:space="preserve">Affirms creaturely goodness as derived from God.</t>
  </si>
  <si>
    <t xml:space="preserve">Affirms perfect justice.</t>
  </si>
  <si>
    <t xml:space="preserve">Affirms holiness.</t>
  </si>
  <si>
    <t xml:space="preserve">Affirms truthfulness and trustworthiness.</t>
  </si>
  <si>
    <t xml:space="preserve">Affirms love as divine character and action.</t>
  </si>
  <si>
    <t xml:space="preserve">Affirms mercy.</t>
  </si>
  <si>
    <t xml:space="preserve">Affirms gracious action toward creatures.</t>
  </si>
  <si>
    <t xml:space="preserve">Affirms forbearance.</t>
  </si>
  <si>
    <t xml:space="preserve">Affirms remission of sin.</t>
  </si>
  <si>
    <t xml:space="preserve">Affirms beatitude in God.</t>
  </si>
  <si>
    <t xml:space="preserve">Affirms glory as properly divine.</t>
  </si>
  <si>
    <t xml:space="preserve">Affirms communication of life.</t>
  </si>
  <si>
    <t xml:space="preserve">Explicit in master handoff</t>
  </si>
  <si>
    <t xml:space="preserve">Affirms continued conservation of creatures.</t>
  </si>
  <si>
    <t xml:space="preserve">Affirms providential ordering.</t>
  </si>
  <si>
    <t xml:space="preserve">Affirms supreme dominion.</t>
  </si>
  <si>
    <t xml:space="preserve">Affirms divine judgment.</t>
  </si>
  <si>
    <t xml:space="preserve">Affirms redemptive action.</t>
  </si>
  <si>
    <t xml:space="preserve">Affirms divine self-communication.</t>
  </si>
  <si>
    <t xml:space="preserve">Positively identifies the Son.</t>
  </si>
  <si>
    <t xml:space="preserve">Names the Son as divine Wisdom in confessional usage.</t>
  </si>
  <si>
    <t xml:space="preserve">Names the Son through the Nicene metaphor 'Light from Light.'</t>
  </si>
  <si>
    <t xml:space="preserve">Affirms the Son as manifestation of the Father.</t>
  </si>
  <si>
    <t xml:space="preserve">Names the Holy Spirit's vivifying agency.</t>
  </si>
  <si>
    <t xml:space="preserve">Affirms the Holy Spirit's divine power.</t>
  </si>
  <si>
    <t xml:space="preserve">Recurring Apophatic Vocabulary table</t>
  </si>
  <si>
    <t xml:space="preserve">Denies creaturehood.</t>
  </si>
  <si>
    <t xml:space="preserve">Author adjudication (Session 18A)</t>
  </si>
  <si>
    <t xml:space="preserve">Denies passive susceptibility to creaturely alteration in classical usage.</t>
  </si>
  <si>
    <t xml:space="preserve">Denies temporal beginning or ending; often also temporal succession in classical theology.</t>
  </si>
  <si>
    <t xml:space="preserve">Author adjudication retained A</t>
  </si>
  <si>
    <t xml:space="preserve">Denies exhaustive intellectual comprehension.</t>
  </si>
  <si>
    <t xml:space="preserve">Denies exhaustive linguistic expression.</t>
  </si>
  <si>
    <t xml:space="preserve">Denies exhaustive rational penetration of divine counsel.</t>
  </si>
  <si>
    <t xml:space="preserve">Current master code</t>
  </si>
  <si>
    <t xml:space="preserve">Accepted scope note</t>
  </si>
  <si>
    <t xml:space="preserve">Historical citation status</t>
  </si>
  <si>
    <t xml:space="preserve">Historical teaching branch</t>
  </si>
  <si>
    <t xml:space="preserve">Historical institution / scope</t>
  </si>
  <si>
    <t xml:space="preserve">Historical document</t>
  </si>
  <si>
    <t xml:space="preserve">Historical locator</t>
  </si>
  <si>
    <t xml:space="preserve">Historical authority URL</t>
  </si>
  <si>
    <t xml:space="preserve">Historical text URL</t>
  </si>
  <si>
    <t xml:space="preserve">Restoration comparator label</t>
  </si>
  <si>
    <t xml:space="preserve">Restoration source</t>
  </si>
  <si>
    <t xml:space="preserve">Restoration locator</t>
  </si>
  <si>
    <t xml:space="preserve">Restoration primary URL</t>
  </si>
  <si>
    <t xml:space="preserve">Restoration supplemental URL</t>
  </si>
  <si>
    <t xml:space="preserve">Public citation readiness</t>
  </si>
  <si>
    <t xml:space="preserve">Historical quoted phrase (≤15 words)</t>
  </si>
  <si>
    <t xml:space="preserve">Citation selection basis</t>
  </si>
  <si>
    <t xml:space="preserve">Citation QA status</t>
  </si>
  <si>
    <t xml:space="preserve">Comparator author-review flag</t>
  </si>
  <si>
    <t xml:space="preserve">Historical witness retired?</t>
  </si>
  <si>
    <t xml:space="preserve">Restoration quoted phrase (primary, ≤15 words)</t>
  </si>
  <si>
    <t xml:space="preserve">Restoration primary phrase word count</t>
  </si>
  <si>
    <t xml:space="preserve">Restoration fetch mode</t>
  </si>
  <si>
    <t xml:space="preserve">Restoration locator-scope rule</t>
  </si>
  <si>
    <t xml:space="preserve">Restoration phrase QA</t>
  </si>
  <si>
    <t xml:space="preserve">Restoration supplemental quoted phrase</t>
  </si>
  <si>
    <t xml:space="preserve">Restoration supplemental phrase QA</t>
  </si>
  <si>
    <t xml:space="preserve">Positive continuity at the controlling proposition floor.</t>
  </si>
  <si>
    <t xml:space="preserve">QUEUE-DERIVED — BEST LOCATOR</t>
  </si>
  <si>
    <t xml:space="preserve">Anglican</t>
  </si>
  <si>
    <t xml:space="preserve">Church of England</t>
  </si>
  <si>
    <t xml:space="preserve">Thirty-Nine Articles</t>
  </si>
  <si>
    <t xml:space="preserve">Article I — Of Faith in the Holy Trinity</t>
  </si>
  <si>
    <t xml:space="preserve">https://www.churchofengland.org/prayer-and-worship/worship-texts-and-resources/book-common-prayer/articles-religion</t>
  </si>
  <si>
    <t xml:space="preserve">D&amp;C 20:19</t>
  </si>
  <si>
    <t xml:space="preserve">Doctrine and Covenants</t>
  </si>
  <si>
    <t xml:space="preserve">https://www.churchofjesuschrist.org/study/scriptures/dc-testament/dc/20?lang=eng&amp;id=p19#p19</t>
  </si>
  <si>
    <t xml:space="preserve">READY</t>
  </si>
  <si>
    <t xml:space="preserve">one living and true God</t>
  </si>
  <si>
    <t xml:space="preserve">Released English cell; exact predicate phrase.</t>
  </si>
  <si>
    <t xml:space="preserve">PHRASE-READY</t>
  </si>
  <si>
    <t xml:space="preserve">FALSE</t>
  </si>
  <si>
    <t xml:space="preserve">the only living and true God</t>
  </si>
  <si>
    <t xml:space="preserve">Extract cited verse/range or named document section before assertion; fail if scoped extraction is expected but unavailable.</t>
  </si>
  <si>
    <t xml:space="preserve">PRIMARY PHRASE TARGET READY</t>
  </si>
  <si>
    <t xml:space="preserve">NO SUPPLEMENTAL URL/TARGET</t>
  </si>
  <si>
    <t xml:space="preserve">DIRECT-PROPOSITION</t>
  </si>
  <si>
    <t xml:space="preserve">DIRECT — proposition phrase in authorized formulary</t>
  </si>
  <si>
    <t xml:space="preserve">PROPOSITION-LEVEL REVIEWED</t>
  </si>
  <si>
    <t xml:space="preserve">Reformed / Presbyterian</t>
  </si>
  <si>
    <t xml:space="preserve">Orthodox Presbyterian Church</t>
  </si>
  <si>
    <t xml:space="preserve">Westminster Confession of Faith</t>
  </si>
  <si>
    <t xml:space="preserve">Chapter II.1 — Of God, and of the Holy Trinity</t>
  </si>
  <si>
    <t xml:space="preserve">https://opc.org/wcf.html</t>
  </si>
  <si>
    <t xml:space="preserve">John 4:24; D&amp;C 131:7–8</t>
  </si>
  <si>
    <t xml:space="preserve">Bible (Latter-day Saint standard works); Doctrine and Covenants</t>
  </si>
  <si>
    <t xml:space="preserve">https://www.churchofjesuschrist.org/study/scriptures/nt/john/4?lang=eng&amp;id=p24#p24</t>
  </si>
  <si>
    <t xml:space="preserve">https://www.churchofjesuschrist.org/study/scriptures/dc-testament/dc/131?lang=eng&amp;id=p7-p8#p7</t>
  </si>
  <si>
    <t xml:space="preserve">a most pure spirit</t>
  </si>
  <si>
    <t xml:space="preserve">Direct English source; exact Spirit proposition.</t>
  </si>
  <si>
    <t xml:space="preserve">God is a Spirit</t>
  </si>
  <si>
    <t xml:space="preserve">All spirit is matter</t>
  </si>
  <si>
    <t xml:space="preserve">SUPPLEMENTAL TARGET READY</t>
  </si>
  <si>
    <t xml:space="preserve">Presbyterian Church (U.S.A.)</t>
  </si>
  <si>
    <t xml:space="preserve">Apostles' Creed</t>
  </si>
  <si>
    <t xml:space="preserve">2.1</t>
  </si>
  <si>
    <t xml:space="preserve">https://pcusa.org/about-pcusa/agencies-entities/life-witness/ministry-areas/constitutional-interpretation/constitution</t>
  </si>
  <si>
    <t xml:space="preserve">https://pcusa.org/sites/default/files/boc2016.pdf</t>
  </si>
  <si>
    <t xml:space="preserve">Articles of Faith 1:1</t>
  </si>
  <si>
    <t xml:space="preserve">Articles of Faith</t>
  </si>
  <si>
    <t xml:space="preserve">AoF 1:1</t>
  </si>
  <si>
    <t xml:space="preserve">https://www.churchofjesuschrist.org/study/scriptures/pgp/a-of-f/1?lang=eng&amp;id=p1#p1</t>
  </si>
  <si>
    <t xml:space="preserve">God the Father Almighty</t>
  </si>
  <si>
    <t xml:space="preserve">DIRECT — proposition phrase in Book of Confessions</t>
  </si>
  <si>
    <t xml:space="preserve">We believe in God, the Eternal Father</t>
  </si>
  <si>
    <t xml:space="preserve">Baptist</t>
  </si>
  <si>
    <t xml:space="preserve">Southern Baptist Convention</t>
  </si>
  <si>
    <t xml:space="preserve">Baptist Faith and Message 2000</t>
  </si>
  <si>
    <t xml:space="preserve">II.B. God the Son</t>
  </si>
  <si>
    <t xml:space="preserve">https://bfm.sbc.net/bfm2000/</t>
  </si>
  <si>
    <t xml:space="preserve">D&amp;C 20:21; Articles of Faith 1:1</t>
  </si>
  <si>
    <t xml:space="preserve">Doctrine and Covenants; Articles of Faith</t>
  </si>
  <si>
    <t xml:space="preserve">D&amp;C 20:21; AoF 1:1</t>
  </si>
  <si>
    <t xml:space="preserve">https://www.churchofjesuschrist.org/study/scriptures/dc-testament/dc/20?lang=eng&amp;id=p21#p21</t>
  </si>
  <si>
    <t xml:space="preserve">Christ is the eternal Son of God</t>
  </si>
  <si>
    <t xml:space="preserve">Released English A cell; exact Son phrase.</t>
  </si>
  <si>
    <t xml:space="preserve">the Almighty God gave his Only Begotten Son</t>
  </si>
  <si>
    <t xml:space="preserve">Nicene Creed</t>
  </si>
  <si>
    <t xml:space="preserve">1.2</t>
  </si>
  <si>
    <t xml:space="preserve">D&amp;C 20:24</t>
  </si>
  <si>
    <t xml:space="preserve">https://www.churchofjesuschrist.org/study/scriptures/dc-testament/dc/20?lang=eng&amp;id=p24#p24</t>
  </si>
  <si>
    <t xml:space="preserve">one Lord, Jesus Christ</t>
  </si>
  <si>
    <t xml:space="preserve">RESOLVED 2026-09-09 AJP: replaced per AUTH-COMP-H06</t>
  </si>
  <si>
    <t xml:space="preserve">to reign with almighty power according to the will of the Father</t>
  </si>
  <si>
    <t xml:space="preserve">AUTHOR-REPLACED — PIPELINE RECHECK REQUIRED</t>
  </si>
  <si>
    <t xml:space="preserve">DIRECT — ATOMIC LAYER SUPPORT</t>
  </si>
  <si>
    <t xml:space="preserve">Creed of S. Athanasius</t>
  </si>
  <si>
    <t xml:space="preserve">Athanasian Creed — Almighty clause</t>
  </si>
  <si>
    <t xml:space="preserve">Alma 26:35</t>
  </si>
  <si>
    <t xml:space="preserve">Book of Mormon</t>
  </si>
  <si>
    <t xml:space="preserve">https://www.churchofjesuschrist.org/study/scriptures/bofm/alma/26?lang=eng&amp;id=p35#p35</t>
  </si>
  <si>
    <t xml:space="preserve">The Father is almighty</t>
  </si>
  <si>
    <t xml:space="preserve">DIRECT — Church of England authority/adoption; CCEL server-rendered Athanasian text witness</t>
  </si>
  <si>
    <t xml:space="preserve">he has all power, all wisdom, and all understanding</t>
  </si>
  <si>
    <t xml:space="preserve">II.A. God the Father</t>
  </si>
  <si>
    <t xml:space="preserve">Mosiah 4:9</t>
  </si>
  <si>
    <t xml:space="preserve">https://www.churchofjesuschrist.org/study/scriptures/bofm/mosiah/4?lang=eng&amp;id=p9#p9</t>
  </si>
  <si>
    <t xml:space="preserve">all wise</t>
  </si>
  <si>
    <t xml:space="preserve">Released English A cell; exact wisdom phrase.</t>
  </si>
  <si>
    <t xml:space="preserve">he has all wisdom, and all power</t>
  </si>
  <si>
    <t xml:space="preserve">Mennonite / Anabaptist</t>
  </si>
  <si>
    <t xml:space="preserve">Mennonite Church USA</t>
  </si>
  <si>
    <t xml:space="preserve">Confession of Faith in a Mennonite Perspective (1995)</t>
  </si>
  <si>
    <t xml:space="preserve">Article 5 — Creation and Divine Providence</t>
  </si>
  <si>
    <t xml:space="preserve">https://www.mennoniteusa.org/who-are-mennonites/what-we-believe/confession-of-faith/creation-and-divine-providence/</t>
  </si>
  <si>
    <t xml:space="preserve">Moroni 7:12</t>
  </si>
  <si>
    <t xml:space="preserve">https://www.churchofjesuschrist.org/study/scriptures/bofm/moro/7?lang=eng&amp;id=p12#p12</t>
  </si>
  <si>
    <t xml:space="preserve">God is good</t>
  </si>
  <si>
    <t xml:space="preserve">RESOLVED 2026-09-09 AJP: replaced per AUTH-COMP-H09</t>
  </si>
  <si>
    <t xml:space="preserve">all things which are good cometh of God</t>
  </si>
  <si>
    <t xml:space="preserve">No material conflict identified at the accepted floor.</t>
  </si>
  <si>
    <t xml:space="preserve">Christian Reformed Church in North America</t>
  </si>
  <si>
    <t xml:space="preserve">Belgic Confession</t>
  </si>
  <si>
    <t xml:space="preserve">Article 1: The Only God</t>
  </si>
  <si>
    <t xml:space="preserve">https://www.crcna.org/welcome/beliefs/confessions/belgic-confession</t>
  </si>
  <si>
    <t xml:space="preserve">Moroni 7:12–13</t>
  </si>
  <si>
    <t xml:space="preserve">https://www.churchofjesuschrist.org/study/scriptures/bofm/moro/7?lang=eng&amp;id=p12-p13#p12</t>
  </si>
  <si>
    <t xml:space="preserve">the overflowing source of all good</t>
  </si>
  <si>
    <t xml:space="preserve">DIRECT — proposition phrase in Article 1</t>
  </si>
  <si>
    <t xml:space="preserve">Methodist / Wesleyan</t>
  </si>
  <si>
    <t xml:space="preserve">The United Methodist Church</t>
  </si>
  <si>
    <t xml:space="preserve">Confession of Faith of the Evangelical United Brethren Church</t>
  </si>
  <si>
    <t xml:space="preserve">Article I — God</t>
  </si>
  <si>
    <t xml:space="preserve">https://www.umc.org/en/content/confession-of-faith</t>
  </si>
  <si>
    <t xml:space="preserve">Deuteronomy 32:4</t>
  </si>
  <si>
    <t xml:space="preserve">Bible (Latter-day Saint standard works)</t>
  </si>
  <si>
    <t xml:space="preserve">Deut. 32:4</t>
  </si>
  <si>
    <t xml:space="preserve">https://www.churchofjesuschrist.org/study/scriptures/ot/deut/32?lang=eng&amp;id=p4#p4</t>
  </si>
  <si>
    <t xml:space="preserve">infinite in power, wisdom, justice, goodness and love</t>
  </si>
  <si>
    <t xml:space="preserve">Released English A cell; exact attribute series.</t>
  </si>
  <si>
    <t xml:space="preserve">a God of truth and without iniquity, just and right is he</t>
  </si>
  <si>
    <t xml:space="preserve">II. God</t>
  </si>
  <si>
    <t xml:space="preserve">2 Nephi 9:20</t>
  </si>
  <si>
    <t xml:space="preserve">https://www.churchofjesuschrist.org/study/scriptures/bofm/2-ne/9?lang=eng&amp;id=p20#p20</t>
  </si>
  <si>
    <t xml:space="preserve">infinite in holiness</t>
  </si>
  <si>
    <t xml:space="preserve">Released English A cell; exact holiness phrase.</t>
  </si>
  <si>
    <t xml:space="preserve">O how great the holiness of our God</t>
  </si>
  <si>
    <t xml:space="preserve">Chapter II.1</t>
  </si>
  <si>
    <t xml:space="preserve">Ether 3:12</t>
  </si>
  <si>
    <t xml:space="preserve">https://www.churchofjesuschrist.org/study/scriptures/bofm/ether/3?lang=eng&amp;id=p12#p12</t>
  </si>
  <si>
    <t xml:space="preserve">abundant in goodness and truth</t>
  </si>
  <si>
    <t xml:space="preserve">DIRECT — proposition phrase in WCF II.1</t>
  </si>
  <si>
    <t xml:space="preserve">thou art a God of truth, and canst not lie</t>
  </si>
  <si>
    <t xml:space="preserve">1 John 4:8,16</t>
  </si>
  <si>
    <t xml:space="preserve">https://www.churchofjesuschrist.org/study/scriptures/nt/1-jn/4?lang=eng&amp;id=p8-p16#p8</t>
  </si>
  <si>
    <t xml:space="preserve">all loving</t>
  </si>
  <si>
    <t xml:space="preserve">Released English A cell; exact love phrase.</t>
  </si>
  <si>
    <t xml:space="preserve">God is love</t>
  </si>
  <si>
    <t xml:space="preserve">Exodus 34:6</t>
  </si>
  <si>
    <t xml:space="preserve">https://www.churchofjesuschrist.org/study/scriptures/ot/ex/34?lang=eng&amp;id=p6#p6</t>
  </si>
  <si>
    <t xml:space="preserve">gracious, merciful</t>
  </si>
  <si>
    <t xml:space="preserve">The Lord God, merciful and gracious</t>
  </si>
  <si>
    <t xml:space="preserve">rules with gracious regard</t>
  </si>
  <si>
    <t xml:space="preserve">Released English A cell; exact grace-bearing phrase.</t>
  </si>
  <si>
    <t xml:space="preserve">merciful and gracious, longsuffering</t>
  </si>
  <si>
    <t xml:space="preserve">long-suffering</t>
  </si>
  <si>
    <t xml:space="preserve">gracious, longsuffering, and abundant in goodness</t>
  </si>
  <si>
    <t xml:space="preserve">D&amp;C 64:10</t>
  </si>
  <si>
    <t xml:space="preserve">https://www.churchofjesuschrist.org/study/scriptures/dc-testament/dc/64?lang=eng&amp;id=p10#p10</t>
  </si>
  <si>
    <t xml:space="preserve">forgiving iniquity, transgression, and sin</t>
  </si>
  <si>
    <t xml:space="preserve">I, the Lord, will forgive whom I will forgive</t>
  </si>
  <si>
    <t xml:space="preserve">Chapter II.2</t>
  </si>
  <si>
    <t xml:space="preserve">Alma 26:8</t>
  </si>
  <si>
    <t xml:space="preserve">https://www.churchofjesuschrist.org/study/scriptures/bofm/alma/26?lang=eng&amp;id=p8#p8</t>
  </si>
  <si>
    <t xml:space="preserve">all life, glory, goodness, blessedness</t>
  </si>
  <si>
    <t xml:space="preserve">Released English cell; proposition-level WCF locator.</t>
  </si>
  <si>
    <t xml:space="preserve">RESOLVED 2026-09-09 AJP: replaced per AUTH-COMP-H19</t>
  </si>
  <si>
    <t xml:space="preserve">Blessed be the name of our God</t>
  </si>
  <si>
    <t xml:space="preserve">D&amp;C 76:19–20</t>
  </si>
  <si>
    <t xml:space="preserve">https://www.churchofjesuschrist.org/study/scriptures/dc-testament/dc/76?lang=eng&amp;id=p19-p20#p19</t>
  </si>
  <si>
    <t xml:space="preserve">God hath all life, glory, goodness, blessedness</t>
  </si>
  <si>
    <t xml:space="preserve">DIRECT — proposition phrase in WCF II.2</t>
  </si>
  <si>
    <t xml:space="preserve">RESOLVED 2026-09-09 AJP: replaced per AUTH-COMP-H20</t>
  </si>
  <si>
    <t xml:space="preserve">we beheld the glory of the Son</t>
  </si>
  <si>
    <t xml:space="preserve">Roman Catholic</t>
  </si>
  <si>
    <t xml:space="preserve">Roman Catholic Church</t>
  </si>
  <si>
    <t xml:space="preserve">Nicene-Constantinopolitan Creed</t>
  </si>
  <si>
    <t xml:space="preserve">Holy Spirit clause</t>
  </si>
  <si>
    <t xml:space="preserve">https://www.vatican.va/content/catechism/en/part_one/section_one/chapter_three/article_2/the_credo.html</t>
  </si>
  <si>
    <t xml:space="preserve">John 5:21</t>
  </si>
  <si>
    <t xml:space="preserve">https://www.churchofjesuschrist.org/study/scriptures/nt/john/5?lang=eng&amp;id=p21#p21</t>
  </si>
  <si>
    <t xml:space="preserve">the Lord, the giver of life</t>
  </si>
  <si>
    <t xml:space="preserve">DIRECT — proposition phrase in creed</t>
  </si>
  <si>
    <t xml:space="preserve">the Son quickeneth whom he will</t>
  </si>
  <si>
    <t xml:space="preserve">Creator clause</t>
  </si>
  <si>
    <t xml:space="preserve">https://www.vaticannews.va/en/prayers/the-apostles_-creed.html</t>
  </si>
  <si>
    <t xml:space="preserve">Abraham 3:24</t>
  </si>
  <si>
    <t xml:space="preserve">Pearl of Great Price</t>
  </si>
  <si>
    <t xml:space="preserve">https://www.churchofjesuschrist.org/study/scriptures/pgp/abr/3?lang=eng&amp;id=p24#p24</t>
  </si>
  <si>
    <t xml:space="preserve">maker of heaven and earth</t>
  </si>
  <si>
    <t xml:space="preserve">Released Catholic Q cell; server-rendered English creed text.</t>
  </si>
  <si>
    <t xml:space="preserve">we will take of these materials, and we will make an earth</t>
  </si>
  <si>
    <t xml:space="preserve">Mosiah 2:21</t>
  </si>
  <si>
    <t xml:space="preserve">https://www.churchofjesuschrist.org/study/scriptures/bofm/mosiah/2?lang=eng&amp;id=p21#p21</t>
  </si>
  <si>
    <t xml:space="preserve">Preserver of all things</t>
  </si>
  <si>
    <t xml:space="preserve">Released English A cell; proposition phrase.</t>
  </si>
  <si>
    <t xml:space="preserve">preserving you from day to day</t>
  </si>
  <si>
    <t xml:space="preserve">Article II — God</t>
  </si>
  <si>
    <t xml:space="preserve">D&amp;C 88:13</t>
  </si>
  <si>
    <t xml:space="preserve">https://www.churchofjesuschrist.org/study/scriptures/dc-testament/dc/88?lang=eng&amp;id=p13#p13</t>
  </si>
  <si>
    <t xml:space="preserve">Ruler of the universe</t>
  </si>
  <si>
    <t xml:space="preserve">the law by which all things are governed</t>
  </si>
  <si>
    <t xml:space="preserve">D&amp;C 104:14–17</t>
  </si>
  <si>
    <t xml:space="preserve">https://www.churchofjesuschrist.org/study/scriptures/dc-testament/dc/104?lang=eng&amp;id=p14-p17#p14</t>
  </si>
  <si>
    <t xml:space="preserve">Creator, Sovereign and Preserver</t>
  </si>
  <si>
    <t xml:space="preserve">Released English A cell; exact sovereign phrase.</t>
  </si>
  <si>
    <t xml:space="preserve">all things therein are mine</t>
  </si>
  <si>
    <t xml:space="preserve">Judgment clause</t>
  </si>
  <si>
    <t xml:space="preserve">2 Nephi 9:15</t>
  </si>
  <si>
    <t xml:space="preserve">https://www.churchofjesuschrist.org/study/scriptures/bofm/2-ne/9?lang=eng&amp;id=p15#p15</t>
  </si>
  <si>
    <t xml:space="preserve">judge the living and the dead</t>
  </si>
  <si>
    <t xml:space="preserve">Released Catholic A cell; server-rendered English creed text.</t>
  </si>
  <si>
    <t xml:space="preserve">they must appear before the judgment-seat of the Holy One of Israel</t>
  </si>
  <si>
    <t xml:space="preserve">Article II — Jesus Christ</t>
  </si>
  <si>
    <t xml:space="preserve">Moses 1:6</t>
  </si>
  <si>
    <t xml:space="preserve">https://www.churchofjesuschrist.org/study/scriptures/pgp/moses/1?lang=eng&amp;id=p6#p6</t>
  </si>
  <si>
    <t xml:space="preserve">eternal Savior and Mediator</t>
  </si>
  <si>
    <t xml:space="preserve">Released English A cell; exact Savior phrase.</t>
  </si>
  <si>
    <t xml:space="preserve">mine Only Begotten is and shall be the Savior</t>
  </si>
  <si>
    <t xml:space="preserve">D&amp;C 1:38</t>
  </si>
  <si>
    <t xml:space="preserve">https://www.churchofjesuschrist.org/study/scriptures/dc-testament/dc/1?lang=eng&amp;id=p38#p38</t>
  </si>
  <si>
    <t xml:space="preserve">reveals Himself to us as Father, Son, and Holy Spirit</t>
  </si>
  <si>
    <t xml:space="preserve">Released English A cell; exact revelation phrase.</t>
  </si>
  <si>
    <t xml:space="preserve">whether by mine own voice or by the voice of my servants</t>
  </si>
  <si>
    <t xml:space="preserve">D&amp;C 93:29,33</t>
  </si>
  <si>
    <t xml:space="preserve">https://www.churchofjesuschrist.org/study/scriptures/dc-testament/dc/93?lang=eng&amp;id=p29-p33#p29</t>
  </si>
  <si>
    <t xml:space="preserve">the alone fountain of all being</t>
  </si>
  <si>
    <t xml:space="preserve">Man was also in the beginning with God</t>
  </si>
  <si>
    <t xml:space="preserve">Article 1 — God</t>
  </si>
  <si>
    <t xml:space="preserve">https://www.mennoniteusa.org/who-are-mennonites/what-we-believe/confession-of-faith/god/</t>
  </si>
  <si>
    <t xml:space="preserve">John 1:1,14</t>
  </si>
  <si>
    <t xml:space="preserve">https://www.churchofjesuschrist.org/study/scriptures/nt/john/1?lang=eng&amp;id=p1-p14#p1</t>
  </si>
  <si>
    <t xml:space="preserve">the Word who became flesh</t>
  </si>
  <si>
    <t xml:space="preserve">Released English A cell; exact Word phrase.</t>
  </si>
  <si>
    <t xml:space="preserve">the Word was God</t>
  </si>
  <si>
    <t xml:space="preserve">Article 8: The Trinity</t>
  </si>
  <si>
    <t xml:space="preserve">1 Corinthians 1:24</t>
  </si>
  <si>
    <t xml:space="preserve">1 Cor. 1:24</t>
  </si>
  <si>
    <t xml:space="preserve">https://www.churchofjesuschrist.org/study/scriptures/nt/1-cor/1?lang=eng&amp;id=p24#p24</t>
  </si>
  <si>
    <t xml:space="preserve">The Son is the Word, the Wisdom</t>
  </si>
  <si>
    <t xml:space="preserve">DIRECT — proposition phrase in Article 8</t>
  </si>
  <si>
    <t xml:space="preserve">Christ the power of God, and the wisdom of God</t>
  </si>
  <si>
    <t xml:space="preserve">Son clause — Light from Light</t>
  </si>
  <si>
    <t xml:space="preserve">D&amp;C 88:7–13; D&amp;C 93:21–23</t>
  </si>
  <si>
    <t xml:space="preserve">D&amp;C 88:7–13; 93:21–23</t>
  </si>
  <si>
    <t xml:space="preserve">https://www.churchofjesuschrist.org/study/scriptures/dc-testament/dc/88?lang=eng&amp;id=p7-p13#p7</t>
  </si>
  <si>
    <t xml:space="preserve">https://www.churchofjesuschrist.org/study/scriptures/dc-testament/dc/93?lang=eng&amp;id=p21-p23#p21</t>
  </si>
  <si>
    <t xml:space="preserve">Light from Light</t>
  </si>
  <si>
    <t xml:space="preserve">DIRECT — supports H32b relational-light layer; H32 remains vector</t>
  </si>
  <si>
    <t xml:space="preserve">This is the light of Christ</t>
  </si>
  <si>
    <t xml:space="preserve">I was in the beginning with the Father</t>
  </si>
  <si>
    <t xml:space="preserve">Article 10: The Deity of Christ</t>
  </si>
  <si>
    <t xml:space="preserve">Hebrews 1:3</t>
  </si>
  <si>
    <t xml:space="preserve">https://www.churchofjesuschrist.org/study/scriptures/nt/heb/1?lang=eng&amp;id=p3#p3</t>
  </si>
  <si>
    <t xml:space="preserve">the exact image of the person of the Father</t>
  </si>
  <si>
    <t xml:space="preserve">DIRECT — proposition phrase in Article 10</t>
  </si>
  <si>
    <t xml:space="preserve">the express image of his person</t>
  </si>
  <si>
    <t xml:space="preserve">Moses 6:61</t>
  </si>
  <si>
    <t xml:space="preserve">https://www.churchofjesuschrist.org/study/scriptures/pgp/moses/6?lang=eng&amp;id=p61#p61</t>
  </si>
  <si>
    <t xml:space="preserve">that which quickeneth all things, which maketh alive all things</t>
  </si>
  <si>
    <t xml:space="preserve">Romans 1:20</t>
  </si>
  <si>
    <t xml:space="preserve">https://www.churchofjesuschrist.org/study/scriptures/nt/rom/1?lang=eng&amp;id=p20#p20</t>
  </si>
  <si>
    <t xml:space="preserve">the eternal power and might</t>
  </si>
  <si>
    <t xml:space="preserve">his eternal power and Godhead</t>
  </si>
  <si>
    <t xml:space="preserve">Athanasian Creed — uncreated clause</t>
  </si>
  <si>
    <t xml:space="preserve">The Father uncreated</t>
  </si>
  <si>
    <t xml:space="preserve">was not created or made, neither indeed can be</t>
  </si>
  <si>
    <t xml:space="preserve">Compendium of the Catechism of the Catholic Church</t>
  </si>
  <si>
    <t xml:space="preserve">Q.47</t>
  </si>
  <si>
    <t xml:space="preserve">https://www.vatican.va/archive/compendium_ccc/documents/archive_2005_compendium-ccc_en.html</t>
  </si>
  <si>
    <t xml:space="preserve">D&amp;C 20:17; Joseph Smith, Sermon in the Grove</t>
  </si>
  <si>
    <t xml:space="preserve">Doctrine and Covenants; Joseph Smith Papers</t>
  </si>
  <si>
    <t xml:space="preserve">D&amp;C 20:17; Sermon in the Grove, 16 June 1844</t>
  </si>
  <si>
    <t xml:space="preserve">https://www.churchofjesuschrist.org/study/scriptures/dc-testament/dc/20?lang=eng&amp;id=p17#p17</t>
  </si>
  <si>
    <t xml:space="preserve">principle without a principle</t>
  </si>
  <si>
    <t xml:space="preserve">Released Catholic Q cell; exact phrase.</t>
  </si>
  <si>
    <t xml:space="preserve">from everlasting to everlasting the same unchangeable God</t>
  </si>
  <si>
    <t xml:space="preserve">God the Father of Jesus Christ had a Father</t>
  </si>
  <si>
    <t xml:space="preserve">Son clause</t>
  </si>
  <si>
    <t xml:space="preserve">John 1:1–3; D&amp;C 93:21,29</t>
  </si>
  <si>
    <t xml:space="preserve">https://www.churchofjesuschrist.org/study/scriptures/nt/john/1?lang=eng&amp;id=p1-p3#p1</t>
  </si>
  <si>
    <t xml:space="preserve">begotten, not made</t>
  </si>
  <si>
    <t xml:space="preserve">Server-rendered English Nicene text.</t>
  </si>
  <si>
    <t xml:space="preserve">All things were made by him</t>
  </si>
  <si>
    <t xml:space="preserve">Westminster Shorter Catechism</t>
  </si>
  <si>
    <t xml:space="preserve">Q.4 — What is God?</t>
  </si>
  <si>
    <t xml:space="preserve">https://opc.org/sc.html</t>
  </si>
  <si>
    <t xml:space="preserve">D&amp;C 20:17,28; D&amp;C 130:22</t>
  </si>
  <si>
    <t xml:space="preserve">D&amp;C 20:17,28; 130:22</t>
  </si>
  <si>
    <t xml:space="preserve">https://www.churchofjesuschrist.org/study/scriptures/dc-testament/dc/20?lang=eng&amp;id=p17-p28#p17</t>
  </si>
  <si>
    <t xml:space="preserve">https://www.churchofjesuschrist.org/study/scriptures/dc-testament/dc/130?lang=eng&amp;id=p22#p22</t>
  </si>
  <si>
    <t xml:space="preserve">infinite, eternal, and unchangeable</t>
  </si>
  <si>
    <t xml:space="preserve">Released English Q cell; exact Q.4 phrase.</t>
  </si>
  <si>
    <t xml:space="preserve">one God, infinite and eternal, without end</t>
  </si>
  <si>
    <t xml:space="preserve">The Father has a body of flesh and bones as tangible as man’s</t>
  </si>
  <si>
    <t xml:space="preserve">Fourth Lateran Council</t>
  </si>
  <si>
    <t xml:space="preserve">Canon 1</t>
  </si>
  <si>
    <t xml:space="preserve">https://sourcebooks.web.fordham.edu/basis/lateran4.asp</t>
  </si>
  <si>
    <t xml:space="preserve">D&amp;C 88:6–13; 130:22</t>
  </si>
  <si>
    <t xml:space="preserve">https://www.churchofjesuschrist.org/study/scriptures/dc-testament/dc/88?lang=eng&amp;id=p6-p13#p6</t>
  </si>
  <si>
    <t xml:space="preserve">eternal and immense</t>
  </si>
  <si>
    <t xml:space="preserve">Server-rendered English historical text.</t>
  </si>
  <si>
    <t xml:space="preserve">proceedeth forth from the presence of God to fill the immensity of space</t>
  </si>
  <si>
    <t xml:space="preserve">D&amp;C 130:22</t>
  </si>
  <si>
    <t xml:space="preserve">invisible</t>
  </si>
  <si>
    <t xml:space="preserve">Articles of Religion</t>
  </si>
  <si>
    <t xml:space="preserve">https://www.umc.org/en/content/articles-of-religion</t>
  </si>
  <si>
    <t xml:space="preserve">without body or parts</t>
  </si>
  <si>
    <t xml:space="preserve">Released English D cell; exact predicate phrase.</t>
  </si>
  <si>
    <t xml:space="preserve">without body, parts, or passions</t>
  </si>
  <si>
    <t xml:space="preserve">Released English D cell; exact predicate-bearing phrase.</t>
  </si>
  <si>
    <t xml:space="preserve">Moses 7:28–29; 3 Nephi 17:6–7</t>
  </si>
  <si>
    <t xml:space="preserve">Pearl of Great Price; Book of Mormon</t>
  </si>
  <si>
    <t xml:space="preserve">https://www.churchofjesuschrist.org/study/scriptures/pgp/moses/7?lang=eng&amp;id=p28-p29#p28</t>
  </si>
  <si>
    <t xml:space="preserve">Released English D cell; exact impassibility-bearing phrase.</t>
  </si>
  <si>
    <t xml:space="preserve">the God of heaven looked upon the residue of the people, and he wept</t>
  </si>
  <si>
    <t xml:space="preserve">Mormon 9:19; D&amp;C 20:17</t>
  </si>
  <si>
    <t xml:space="preserve">Book of Mormon; Doctrine and Covenants</t>
  </si>
  <si>
    <t xml:space="preserve">https://www.churchofjesuschrist.org/study/scriptures/bofm/morm/9?lang=eng&amp;id=p19#p19</t>
  </si>
  <si>
    <t xml:space="preserve">unchangeable</t>
  </si>
  <si>
    <t xml:space="preserve">Released English Q cell; exact attribute.</t>
  </si>
  <si>
    <t xml:space="preserve">he changeth not</t>
  </si>
  <si>
    <t xml:space="preserve">Athanasian Creed — eternal clause</t>
  </si>
  <si>
    <t xml:space="preserve">D&amp;C 20:17</t>
  </si>
  <si>
    <t xml:space="preserve">The Father eternal</t>
  </si>
  <si>
    <t xml:space="preserve">infinite and eternal, from everlasting to everlasting</t>
  </si>
  <si>
    <t xml:space="preserve">incomprehensible</t>
  </si>
  <si>
    <t xml:space="preserve">Released English A cell; exact attribute in WCF II.1.</t>
  </si>
  <si>
    <t xml:space="preserve">man doth not comprehend all the things which the Lord can comprehend</t>
  </si>
  <si>
    <t xml:space="preserve">D&amp;C 76:114–116</t>
  </si>
  <si>
    <t xml:space="preserve">https://www.churchofjesuschrist.org/study/scriptures/dc-testament/dc/76?lang=eng&amp;id=p114-p116#p114</t>
  </si>
  <si>
    <t xml:space="preserve">incomprehensible, and ineffable</t>
  </si>
  <si>
    <t xml:space="preserve">Released English A cell; exact attribute pair.</t>
  </si>
  <si>
    <t xml:space="preserve">Neither is man capable to make them known</t>
  </si>
  <si>
    <t xml:space="preserve">Scots Confession</t>
  </si>
  <si>
    <t xml:space="preserve">3.01, Chapter I — God</t>
  </si>
  <si>
    <t xml:space="preserve">Romans 11:33; Mosiah 4:9</t>
  </si>
  <si>
    <t xml:space="preserve">Bible (Latter-day Saint standard works); Book of Mormon</t>
  </si>
  <si>
    <t xml:space="preserve">https://www.churchofjesuschrist.org/study/scriptures/nt/rom/11?lang=eng&amp;id=p33#p33</t>
  </si>
  <si>
    <t xml:space="preserve">ruled and guided by his inscrutable providence</t>
  </si>
  <si>
    <t xml:space="preserve">how unsearchable are his judgments, and his ways past finding out</t>
  </si>
  <si>
    <t xml:space="preserve">SOURCE-PACKET-REQUIRED</t>
  </si>
  <si>
    <t xml:space="preserve">Historical corpus</t>
  </si>
  <si>
    <t xml:space="preserve">Historical-only admitted witness</t>
  </si>
  <si>
    <t xml:space="preserve">Admitted historical corpus source packet</t>
  </si>
  <si>
    <t xml:space="preserve">Historical witness only</t>
  </si>
  <si>
    <t xml:space="preserve">NOT READY — HISTORICAL PACKET</t>
  </si>
  <si>
    <t xml:space="preserve">SOURCE-PACKET-REQUIRED — no public phrase target</t>
  </si>
  <si>
    <t xml:space="preserve">Catechism of the Catholic Church</t>
  </si>
  <si>
    <t xml:space="preserve">CCC 42</t>
  </si>
  <si>
    <t xml:space="preserve">https://www.vatican.va/content/catechism/en/part_one/section_one/chapter_one/iv_how_can_we_speak_about_god.html</t>
  </si>
  <si>
    <t xml:space="preserve">Mosiah 4:9; D&amp;C 76:114–116</t>
  </si>
  <si>
    <t xml:space="preserve">Our human words always fall short</t>
  </si>
  <si>
    <t xml:space="preserve">Direct English magisterial text; epistemic restraint.</t>
  </si>
  <si>
    <t xml:space="preserve">Catechism of the Catholic Church / Chalcedonian Definition</t>
  </si>
  <si>
    <t xml:space="preserve">CCC 467</t>
  </si>
  <si>
    <t xml:space="preserve">https://www.vatican.va/content/catechism/en/part_one/section_two/chapter_two/artcile_3.html</t>
  </si>
  <si>
    <t xml:space="preserve">The Living Christ</t>
  </si>
  <si>
    <t xml:space="preserve">First Presidency / Quorum of the Twelve collective declaration</t>
  </si>
  <si>
    <t xml:space="preserve">The Living Christ (2000)</t>
  </si>
  <si>
    <t xml:space="preserve">https://www.churchofjesuschrist.org/study/scriptures/the-living-christ-the-testimony-of-the-apostles/the-living-christ-the-testimony-of-the-apostles?lang=eng</t>
  </si>
  <si>
    <t xml:space="preserve">without confusion</t>
  </si>
  <si>
    <t xml:space="preserve">Direct English magisterial restatement of Chalcedon.</t>
  </si>
  <si>
    <t xml:space="preserve">the Only Begotten Son in the flesh</t>
  </si>
  <si>
    <t xml:space="preserve">without confusion, change</t>
  </si>
  <si>
    <t xml:space="preserve">without confusion, change, division</t>
  </si>
  <si>
    <t xml:space="preserve">without confusion, change, division or separation</t>
  </si>
  <si>
    <t xml:space="preserve">Athanasian Creed — Trinity unity/distinction clause</t>
  </si>
  <si>
    <t xml:space="preserve">Gospel Topics: Godhead</t>
  </si>
  <si>
    <t xml:space="preserve">Official Church doctrinal publication</t>
  </si>
  <si>
    <t xml:space="preserve">Godhead</t>
  </si>
  <si>
    <t xml:space="preserve">Neither confounding the persons nor dividing the substance</t>
  </si>
  <si>
    <t xml:space="preserve">the members of the Godhead are three separate beings</t>
  </si>
  <si>
    <t xml:space="preserve">Catechism of the Catholic Church quoting Lateran IV</t>
  </si>
  <si>
    <t xml:space="preserve">CCC 43 / DS 806</t>
  </si>
  <si>
    <t xml:space="preserve">The Family: A Proclamation to the World</t>
  </si>
  <si>
    <t xml:space="preserve">Paragraph 2</t>
  </si>
  <si>
    <t xml:space="preserve">https://www.churchofjesuschrist.org/study/scriptures/the-family-a-proclamation-to-the-world/the-family-a-proclamation-to-the-world?lang=eng</t>
  </si>
  <si>
    <t xml:space="preserve">an even greater dissimilitude</t>
  </si>
  <si>
    <t xml:space="preserve">Direct English magisterial quotation of Lateran IV.</t>
  </si>
  <si>
    <t xml:space="preserve">a beloved spirit son or daughter of heavenly parents</t>
  </si>
  <si>
    <t xml:space="preserve">Addition ID</t>
  </si>
  <si>
    <t xml:space="preserve">Domain / family</t>
  </si>
  <si>
    <t xml:space="preserve">Normalized Restoration-addition family</t>
  </si>
  <si>
    <t xml:space="preserve">Current authority tier</t>
  </si>
  <si>
    <t xml:space="preserve">Authority role</t>
  </si>
  <si>
    <t xml:space="preserve">Official / primary source URL</t>
  </si>
  <si>
    <t xml:space="preserve">Locator</t>
  </si>
  <si>
    <t xml:space="preserve">Evidence note</t>
  </si>
  <si>
    <t xml:space="preserve">Historical-novelty caution</t>
  </si>
  <si>
    <t xml:space="preserve">Canonical scripture</t>
  </si>
  <si>
    <t xml:space="preserve">Direct canonical statement</t>
  </si>
  <si>
    <t xml:space="preserve">Counted relative to the creeds and confessions studied; whether earlier Christians taught something similar is a separate question.</t>
  </si>
  <si>
    <t xml:space="preserve">Collective / strongly authoritative official doctrine</t>
  </si>
  <si>
    <t xml:space="preserve">Official summary</t>
  </si>
  <si>
    <t xml:space="preserve">Composite canonical inference</t>
  </si>
  <si>
    <t xml:space="preserve">Attributable prophetic / apostolic exposition</t>
  </si>
  <si>
    <t xml:space="preserve">Joseph Smith, King Follett discourse; Doctrines of the Gospel ch. 3</t>
  </si>
  <si>
    <t xml:space="preserve">Prophetic exposition</t>
  </si>
  <si>
    <t xml:space="preserve">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</si>
  <si>
    <t xml:space="preserve">Joseph Smith, Sermon in the Grove, 16 June 1844</t>
  </si>
  <si>
    <t xml:space="preserve">Attributable exposition; mechanics unrevealed</t>
  </si>
  <si>
    <t xml:space="preserve">The Family: A Proclamation to the World, para. 2</t>
  </si>
  <si>
    <t xml:space="preserve">Collective official declaration</t>
  </si>
  <si>
    <t xml:space="preserve">Gospel Topics Essay: Mother in Heaven</t>
  </si>
  <si>
    <t xml:space="preserve">Official essay and collective declarations</t>
  </si>
  <si>
    <t xml:space="preserve">Early feminine/maternal Spirit language is only remote divine-maternal imagery, not a close Heavenly Mother/divine co-parent analogue.</t>
  </si>
  <si>
    <t xml:space="preserve">Abraham 3:22–28; D&amp;C 138:56</t>
  </si>
  <si>
    <t xml:space="preserve">Direct canonical support</t>
  </si>
  <si>
    <t xml:space="preserve">D&amp;C 93:29–30</t>
  </si>
  <si>
    <t xml:space="preserve">Direct canonical statement with ontology caution</t>
  </si>
  <si>
    <t xml:space="preserve">The Living Christ; D&amp;C 93:21; official doctrinal manuals</t>
  </si>
  <si>
    <t xml:space="preserve">Collective testimony plus canon</t>
  </si>
  <si>
    <t xml:space="preserve">D&amp;C 93:33</t>
  </si>
  <si>
    <t xml:space="preserve">D&amp;C 131:7–8</t>
  </si>
  <si>
    <t xml:space="preserve">Abraham 3:24; D&amp;C 93:29, 33</t>
  </si>
  <si>
    <t xml:space="preserve">D&amp;C 88:6–13</t>
  </si>
  <si>
    <t xml:space="preserve">Direct canonical cluster</t>
  </si>
  <si>
    <t xml:space="preserve">D&amp;C 93:33–35</t>
  </si>
  <si>
    <t xml:space="preserve">D&amp;C 130:2; 132:7, 19</t>
  </si>
  <si>
    <t xml:space="preserve">Direct canonical support; Family Proclamation supportive but not necessary</t>
  </si>
  <si>
    <t xml:space="preserve">D&amp;C 132:19–20; 76:58; John 10:34–36</t>
  </si>
  <si>
    <t xml:space="preserve">Direct canonical statements</t>
  </si>
  <si>
    <t xml:space="preserve">D&amp;C 132:19</t>
  </si>
  <si>
    <t xml:space="preserve">D&amp;C 131:1–4</t>
  </si>
  <si>
    <t xml:space="preserve">D&amp;C 132:7, 19</t>
  </si>
  <si>
    <t xml:space="preserve">D&amp;C 132:19, 30–31</t>
  </si>
  <si>
    <t xml:space="preserve">Direct canonical language</t>
  </si>
  <si>
    <t xml:space="preserve">Gospel Principles ch. 47; related official curriculum</t>
  </si>
  <si>
    <t xml:space="preserve">Official doctrinal curriculum; mechanism unrevealed</t>
  </si>
  <si>
    <t xml:space="preserve">Eternal procreative parenthood is taught in the project source set; detailed mechanism is unrevealed.</t>
  </si>
  <si>
    <t xml:space="preserve">Lorenzo Snow and later prophetic exposition</t>
  </si>
  <si>
    <t xml:space="preserve">Attributable exposition; detailed mechanics not revealed; teach cautiously</t>
  </si>
  <si>
    <t xml:space="preserve">Tier III; detailed estate-sequence mechanics are not revealed and should be taught cautiously. Attributed to a prophet's teaching rather than canonized scripture; the details are not revealed, and Latter-day Saints hold them with reverence and restraint.</t>
  </si>
  <si>
    <t xml:space="preserve">Lorenzo Snow and related prophetic exposition; D&amp;C 130:18–19; 132:19–20</t>
  </si>
  <si>
    <t xml:space="preserve">Composite doctrine; breadth exceeds any single canonical verse</t>
  </si>
  <si>
    <t xml:space="preserve">Family Summary and Teaching Visuals</t>
  </si>
  <si>
    <t xml:space="preserve">Core teaching lens</t>
  </si>
  <si>
    <t xml:space="preserve">Count</t>
  </si>
  <si>
    <t xml:space="preserve">Share of 83</t>
  </si>
  <si>
    <t xml:space="preserve">Continuity (A)</t>
  </si>
  <si>
    <t xml:space="preserve">Reconstruction / qualified continuity (Q)</t>
  </si>
  <si>
    <t xml:space="preserve">Rejection / direct divergence (D)</t>
  </si>
  <si>
    <t xml:space="preserve">Expansion (A01–A26)</t>
  </si>
  <si>
    <t xml:space="preserve">Total comparative universe</t>
  </si>
  <si>
    <t xml:space="preserve">Inherited mode</t>
  </si>
  <si>
    <t xml:space="preserve">Positive / kataphatic</t>
  </si>
  <si>
    <t xml:space="preserve">Negative / apophatic + delimiters</t>
  </si>
  <si>
    <t xml:space="preserve">Total inherited</t>
  </si>
  <si>
    <t xml:space="preserve">Restoration addition domain</t>
  </si>
  <si>
    <t xml:space="preserve">Selected derived measure</t>
  </si>
  <si>
    <t xml:space="preserve">Numerator</t>
  </si>
  <si>
    <t xml:space="preserve">Share</t>
  </si>
  <si>
    <t xml:space="preserve">Inherited shared-concept floor (A+Q)</t>
  </si>
  <si>
    <t xml:space="preserve">Positive/kataphatic shared floor</t>
  </si>
  <si>
    <t xml:space="preserve">Negative/apophatic shared floor</t>
  </si>
  <si>
    <t xml:space="preserve">Human-destiny additions: kinship + exaltation</t>
  </si>
  <si>
    <t xml:space="preserve">Total</t>
  </si>
  <si>
    <t xml:space="preserve">High-level addition authority: Tier I + II</t>
  </si>
  <si>
    <t xml:space="preserve">Interpretive caution</t>
  </si>
  <si>
    <t xml:space="preserve">These figures describe a bounded comparative corpus, not 'Christianity as a whole.' A+Q is a shared-concept floor, not identical doctrine. A small number of D predicates are structurally important under centrality analysis. The 26 additions are corpus-relative; historical antecedents must be evaluated separately.</t>
  </si>
  <si>
    <t xml:space="preserve">Evidence-First Cell Queue — 57 families × 8 teaching branches (public map recovery workbench)</t>
  </si>
  <si>
    <t xml:space="preserve">Every family×branch combination is present so missing evidence is visible. Values are populated only from source rows actually recovered in this session or from the v2.2 citation-first certified set. Unrecovered cells remain TO RECOVER; H50 is OUT OF SCOPE. No branch percentages are calculated from this queue.</t>
  </si>
  <si>
    <t xml:space="preserve">Queue ID</t>
  </si>
  <si>
    <t xml:space="preserve">Family ID</t>
  </si>
  <si>
    <t xml:space="preserve">Predicate</t>
  </si>
  <si>
    <t xml:space="preserve">Current family code</t>
  </si>
  <si>
    <t xml:space="preserve">Teaching branch</t>
  </si>
  <si>
    <t xml:space="preserve">Collapse rule</t>
  </si>
  <si>
    <t xml:space="preserve">Recovery state</t>
  </si>
  <si>
    <t xml:space="preserve">Public cell disposition</t>
  </si>
  <si>
    <t xml:space="preserve">Atomic unit(s) recovered</t>
  </si>
  <si>
    <t xml:space="preserve">Session 9 row code(s)</t>
  </si>
  <si>
    <t xml:space="preserve">Institution / jurisdiction</t>
  </si>
  <si>
    <t xml:space="preserve">Document</t>
  </si>
  <si>
    <t xml:space="preserve">Proposition locator</t>
  </si>
  <si>
    <t xml:space="preserve">Authority / adoption URL</t>
  </si>
  <si>
    <t xml:space="preserve">Text URL</t>
  </si>
  <si>
    <t xml:space="preserve">Session 9 row / lineage ID</t>
  </si>
  <si>
    <t xml:space="preserve">Scope control</t>
  </si>
  <si>
    <t xml:space="preserve">Current-family reconciliation</t>
  </si>
  <si>
    <t xml:space="preserve">Public tile value</t>
  </si>
  <si>
    <t xml:space="preserve">Source note</t>
  </si>
  <si>
    <t xml:space="preserve">Reviewer notes</t>
  </si>
  <si>
    <t xml:space="preserve">Rendered State (app-safe)</t>
  </si>
  <si>
    <t xml:space="preserve">Metric Class (future branch analytics)</t>
  </si>
  <si>
    <t xml:space="preserve">Historical Witness Retired</t>
  </si>
  <si>
    <t xml:space="preserve">Evidence Display Role</t>
  </si>
  <si>
    <t xml:space="preserve">Q-001</t>
  </si>
  <si>
    <t xml:space="preserve">SINGLE</t>
  </si>
  <si>
    <t xml:space="preserve">SESSION 9 SOURCE ROW RECOVERED</t>
  </si>
  <si>
    <t xml:space="preserve">PUBLIC-CERTIFIED</t>
  </si>
  <si>
    <t xml:space="preserve">RNR-H01a</t>
  </si>
  <si>
    <t xml:space="preserve">First Vatican Council, Dei Filius</t>
  </si>
  <si>
    <t xml:space="preserve">Chapter I, God the Creator of All Things</t>
  </si>
  <si>
    <t xml:space="preserve">https://www.vatican.va/archive/hist_councils/i-vatican-council/documents/vat-i_const_18700424_dei-filius_la.html</t>
  </si>
  <si>
    <t xml:space="preserve">S9-IA-0006 / S8-IA-0006</t>
  </si>
  <si>
    <t xml:space="preserve">MEDIUM-HIGH</t>
  </si>
  <si>
    <t xml:space="preserve">Universal Catholic Church; official Latin controls.</t>
  </si>
  <si>
    <t xml:space="preserve">Living / only living and true God.</t>
  </si>
  <si>
    <t xml:space="preserve">CERTIFIED</t>
  </si>
  <si>
    <t xml:space="preserve">CURRENT EVIDENCE / STATUS</t>
  </si>
  <si>
    <t xml:space="preserve">Q-002</t>
  </si>
  <si>
    <t xml:space="preserve">Eastern Orthodox</t>
  </si>
  <si>
    <t xml:space="preserve">TO RECOVER FROM SESSION 9 LEDGER</t>
  </si>
  <si>
    <t xml:space="preserve">NO PUBLIC TILE</t>
  </si>
  <si>
    <t xml:space="preserve">NOT-ASSESSED</t>
  </si>
  <si>
    <t xml:space="preserve">Q-003</t>
  </si>
  <si>
    <t xml:space="preserve">Lutheran</t>
  </si>
  <si>
    <t xml:space="preserve">Q-004</t>
  </si>
  <si>
    <t xml:space="preserve">Q-005</t>
  </si>
  <si>
    <t xml:space="preserve">Articles I-II</t>
  </si>
  <si>
    <t xml:space="preserve">S9-IA-0001 / S8-IA-0001</t>
  </si>
  <si>
    <t xml:space="preserve">Church of England only; not Anglican Communion-wide.</t>
  </si>
  <si>
    <t xml:space="preserve">Exact Session 9 row exposed by recovered adjudication ledger.</t>
  </si>
  <si>
    <t xml:space="preserve">Q-006</t>
  </si>
  <si>
    <t xml:space="preserve">CURRENT OFFICIAL SOURCE RECOVERED — WEB VERIFIED</t>
  </si>
  <si>
    <t xml:space="preserve">II. God — one living and true God</t>
  </si>
  <si>
    <t xml:space="preserve">Current official-source recovery, web-verified against Baptist Faith &amp; Message 2000; source role N2 per project institutional authority roster.</t>
  </si>
  <si>
    <t xml:space="preserve">Southern Baptist Convention cooperative identity under BF&amp;M 2000; not all Baptist churches or Baptist traditions.</t>
  </si>
  <si>
    <t xml:space="preserve">Current SBC source explicitly attests Living.</t>
  </si>
  <si>
    <t xml:space="preserve">Q-007</t>
  </si>
  <si>
    <t xml:space="preserve">Articles of Religion of the Methodist Church</t>
  </si>
  <si>
    <t xml:space="preserve">Article I</t>
  </si>
  <si>
    <t xml:space="preserve">S9-IA-0005 / S8-IA-0005</t>
  </si>
  <si>
    <t xml:space="preserve">UMC institutional scope.</t>
  </si>
  <si>
    <t xml:space="preserve">Living.</t>
  </si>
  <si>
    <t xml:space="preserve">Q-008</t>
  </si>
  <si>
    <t xml:space="preserve">Q-009</t>
  </si>
  <si>
    <t xml:space="preserve">SESSION 8 ATTESTATION + SESSION 9 ATOMIC CODE RECOVERED</t>
  </si>
  <si>
    <t xml:space="preserve">RNR-H02a</t>
  </si>
  <si>
    <t xml:space="preserve">Nicene / Niceno-Constantinopolitan Creed</t>
  </si>
  <si>
    <t xml:space="preserve">Creed, Godhead and Christological clauses</t>
  </si>
  <si>
    <t xml:space="preserve">S8-IA-0008 + Session 9 H02a atomic A decision</t>
  </si>
  <si>
    <t xml:space="preserve">Universal Catholic Church.</t>
  </si>
  <si>
    <t xml:space="preserve">True.</t>
  </si>
  <si>
    <t xml:space="preserve">Q-010</t>
  </si>
  <si>
    <t xml:space="preserve">Orthodox Church in America</t>
  </si>
  <si>
    <t xml:space="preserve">Nicene Creed, Godhead and Christological clauses</t>
  </si>
  <si>
    <t xml:space="preserve">https://www.oca.org/orthodoxy/the-orthodox-faith/doctrine-scripture/symbol-of-faith/nicene-creed</t>
  </si>
  <si>
    <t xml:space="preserve">S8-IA-0009 + Session 9 H02a atomic A decision</t>
  </si>
  <si>
    <t xml:space="preserve">OCA witness to Orthodox conciliar reception; not a proxy for every autocephalous church.</t>
  </si>
  <si>
    <t xml:space="preserve">Q-011</t>
  </si>
  <si>
    <t xml:space="preserve">Lutheran Church—Missouri Synod</t>
  </si>
  <si>
    <t xml:space="preserve">https://www.lcms.org/about/beliefs/lutheran-confessions</t>
  </si>
  <si>
    <t xml:space="preserve">https://bookofconcord.org/ecumenical-creeds/nicene-creed/</t>
  </si>
  <si>
    <t xml:space="preserve">S8-IA-0010 + Session 9 H02a atomic A decision</t>
  </si>
  <si>
    <t xml:space="preserve">LCMS confessional subscription; not all Lutherans.</t>
  </si>
  <si>
    <t xml:space="preserve">Q-012</t>
  </si>
  <si>
    <t xml:space="preserve">Q-013</t>
  </si>
  <si>
    <t xml:space="preserve">Articles I–II</t>
  </si>
  <si>
    <t xml:space="preserve">S8-IA-0013 + Session 9 H02a atomic A decision</t>
  </si>
  <si>
    <t xml:space="preserve">Q-014</t>
  </si>
  <si>
    <t xml:space="preserve">Current SBC source explicitly attests True.</t>
  </si>
  <si>
    <t xml:space="preserve">Q-015</t>
  </si>
  <si>
    <t xml:space="preserve">S9-IA-0017 / S8-IA-0017</t>
  </si>
  <si>
    <t xml:space="preserve">Q-016</t>
  </si>
  <si>
    <t xml:space="preserve">Q-017</t>
  </si>
  <si>
    <t xml:space="preserve">VECTOR REQUIRED</t>
  </si>
  <si>
    <t xml:space="preserve">Q-018</t>
  </si>
  <si>
    <t xml:space="preserve">Q-019</t>
  </si>
  <si>
    <t xml:space="preserve">Q-020</t>
  </si>
  <si>
    <t xml:space="preserve">Q-021</t>
  </si>
  <si>
    <t xml:space="preserve">Q-022</t>
  </si>
  <si>
    <t xml:space="preserve">Q-023</t>
  </si>
  <si>
    <t xml:space="preserve">Q-024</t>
  </si>
  <si>
    <t xml:space="preserve">Q-025</t>
  </si>
  <si>
    <t xml:space="preserve">RNR-H04a</t>
  </si>
  <si>
    <t xml:space="preserve">Apostles' Creed, articles 1–12</t>
  </si>
  <si>
    <t xml:space="preserve">Accepted S9-IA-0036 (later topical evidence ledger confirms this row)</t>
  </si>
  <si>
    <t xml:space="preserve">Father.</t>
  </si>
  <si>
    <t xml:space="preserve">Q-026</t>
  </si>
  <si>
    <t xml:space="preserve">S9-IA-0038 / S8-IA-0038</t>
  </si>
  <si>
    <t xml:space="preserve">OCA witness to Orthodox conciliar reception; not proxy for every autocephalous church.</t>
  </si>
  <si>
    <t xml:space="preserve">Q-027</t>
  </si>
  <si>
    <t xml:space="preserve">S9-IA-0039 / S8-IA-0039</t>
  </si>
  <si>
    <t xml:space="preserve">LCMS scope via confessional subscription.</t>
  </si>
  <si>
    <t xml:space="preserve">Q-028</t>
  </si>
  <si>
    <t xml:space="preserve">1.1–3, Nicene Creed</t>
  </si>
  <si>
    <t xml:space="preserve">S9-IA-0040 / S8-IA-0040</t>
  </si>
  <si>
    <t xml:space="preserve">PC(USA) constitutional edition; teaching branch is broader than this institution.</t>
  </si>
  <si>
    <t xml:space="preserve">PC(USA) authority page and direct Book of Confessions PDF repaired in v2.9. | PC(USA) Text URL repaired to live Book of Confessions PDF in v2.10.</t>
  </si>
  <si>
    <t xml:space="preserve">Q-029</t>
  </si>
  <si>
    <t xml:space="preserve">Q-030</t>
  </si>
  <si>
    <t xml:space="preserve">Current SBC source explicitly names God the Father.</t>
  </si>
  <si>
    <t xml:space="preserve">Q-031</t>
  </si>
  <si>
    <t xml:space="preserve">Q-032</t>
  </si>
  <si>
    <t xml:space="preserve">Confession of Faith in a Mennonite Perspective (1995), Article 1: God</t>
  </si>
  <si>
    <t xml:space="preserve">Article 1 — one holy and loving God who is Father, Son, and Holy Spirit</t>
  </si>
  <si>
    <t xml:space="preserve">Current official-source recovery, web-verified against Mennonite Church USA Confession of Faith in a Mennonite Perspective (1995); N2 role per project roster.</t>
  </si>
  <si>
    <t xml:space="preserve">Mennonite Church USA / adopting-body scope for the 1995 Confession; not all Mennonite or Anabaptist bodies.</t>
  </si>
  <si>
    <t xml:space="preserve">Current Mennonite source explicitly names Father.</t>
  </si>
  <si>
    <t xml:space="preserve">Q-033</t>
  </si>
  <si>
    <t xml:space="preserve">RNR-H05a</t>
  </si>
  <si>
    <t xml:space="preserve">Constitution 1, Firmiter credimus</t>
  </si>
  <si>
    <t xml:space="preserve">S9-IA-0065 / S8-IA-0065</t>
  </si>
  <si>
    <t xml:space="preserve">Official Latin controls; repository English is a text witness.</t>
  </si>
  <si>
    <t xml:space="preserve">Q-034</t>
  </si>
  <si>
    <t xml:space="preserve">Third Council of Constantinople</t>
  </si>
  <si>
    <t xml:space="preserve">Sixth Ecumenical Council</t>
  </si>
  <si>
    <t xml:space="preserve">https://www.oca.org/orthodoxy/the-orthodox-faith/church-history/seventh-century/the-sixth-ecumenical-council</t>
  </si>
  <si>
    <t xml:space="preserve">https://www.newadvent.org/fathers/3813.htm</t>
  </si>
  <si>
    <t xml:space="preserve">S9-IA-0064 / S8-IA-0064</t>
  </si>
  <si>
    <t xml:space="preserve">OCA scope.</t>
  </si>
  <si>
    <t xml:space="preserve">v2.12 assertion witness: full Third Council of Constantinople definition supplied as server-rendered text; OCA authority/reception path retained.</t>
  </si>
  <si>
    <t xml:space="preserve">Q-035</t>
  </si>
  <si>
    <t xml:space="preserve">S9-IA-0058 / S8-IA-0058</t>
  </si>
  <si>
    <t xml:space="preserve">Son.</t>
  </si>
  <si>
    <t xml:space="preserve">Q-036</t>
  </si>
  <si>
    <t xml:space="preserve">Articles 1–2 and 8</t>
  </si>
  <si>
    <t xml:space="preserve">S9-IA-0066 / S8-IA-0066</t>
  </si>
  <si>
    <t xml:space="preserve">CRCNA only; branch label aggregates a wider family.</t>
  </si>
  <si>
    <t xml:space="preserve">Q-037</t>
  </si>
  <si>
    <t xml:space="preserve">S9-IA-0068 / S8-IA-0068</t>
  </si>
  <si>
    <t xml:space="preserve">Q-038</t>
  </si>
  <si>
    <t xml:space="preserve">Current SBC source explicitly identifies the eternal Son of God.</t>
  </si>
  <si>
    <t xml:space="preserve">Q-039</t>
  </si>
  <si>
    <t xml:space="preserve">S9-IA-0073 / S8-IA-0073; EUB S9-IA-0074 corroborates.</t>
  </si>
  <si>
    <t xml:space="preserve">Q-040</t>
  </si>
  <si>
    <t xml:space="preserve">Article 1 — Father, Son, and Holy Spirit; only Son / Word</t>
  </si>
  <si>
    <t xml:space="preserve">Current Mennonite source explicitly names Son.</t>
  </si>
  <si>
    <t xml:space="preserve">Q-041</t>
  </si>
  <si>
    <t xml:space="preserve">RNR-H06a</t>
  </si>
  <si>
    <t xml:space="preserve">Third Council of Constantinople / CCC restatement</t>
  </si>
  <si>
    <t xml:space="preserve">CCC 475; two natural wills and operations</t>
  </si>
  <si>
    <t xml:space="preserve">S9-IA-0083 / S8-IA-0083</t>
  </si>
  <si>
    <t xml:space="preserve">Official Catholic restatement controls.</t>
  </si>
  <si>
    <t xml:space="preserve">Q-042</t>
  </si>
  <si>
    <t xml:space="preserve">Definition of Chalcedon</t>
  </si>
  <si>
    <t xml:space="preserve">Fourth Ecumenical Council / Chalcedon</t>
  </si>
  <si>
    <t xml:space="preserve">https://www.oca.org/orthodoxy/the-orthodox-faith/church-history/fifth-century/the-fourth-ecumenical-council</t>
  </si>
  <si>
    <t xml:space="preserve">S9-IA-0082 / S8-IA-0082</t>
  </si>
  <si>
    <t xml:space="preserve">Q-043</t>
  </si>
  <si>
    <t xml:space="preserve">S9-IA-0078 / S8-IA-0078</t>
  </si>
  <si>
    <t xml:space="preserve">LCMS scope.</t>
  </si>
  <si>
    <t xml:space="preserve">Q-044</t>
  </si>
  <si>
    <t xml:space="preserve">S9-IA-0079 / S8-IA-0079</t>
  </si>
  <si>
    <t xml:space="preserve">PC(USA) scope.</t>
  </si>
  <si>
    <t xml:space="preserve">Q-045</t>
  </si>
  <si>
    <t xml:space="preserve">Q-046</t>
  </si>
  <si>
    <t xml:space="preserve">II.B. God the Son — living and ever present Lord</t>
  </si>
  <si>
    <t xml:space="preserve">Current SBC source explicitly calls Christ Lord.</t>
  </si>
  <si>
    <t xml:space="preserve">Q-047</t>
  </si>
  <si>
    <t xml:space="preserve">Q-048</t>
  </si>
  <si>
    <t xml:space="preserve">Article 1 — confessing Jesus Christ to be Savior and Lord</t>
  </si>
  <si>
    <t xml:space="preserve">Current Mennonite source explicitly calls Christ Lord.</t>
  </si>
  <si>
    <t xml:space="preserve">Q-049</t>
  </si>
  <si>
    <t xml:space="preserve">SOURCE ROW RECOVERED</t>
  </si>
  <si>
    <t xml:space="preserve">ATOMIC VECTOR — INCOMPLETE</t>
  </si>
  <si>
    <t xml:space="preserve">RNR-H07a</t>
  </si>
  <si>
    <t xml:space="preserve">Chapter I</t>
  </si>
  <si>
    <t xml:space="preserve">Recovered source report / institution ledger or direct document</t>
  </si>
  <si>
    <t xml:space="preserve">Branch label is a teaching family; institution/scope column controls the claim.</t>
  </si>
  <si>
    <t xml:space="preserve">H07a Almighty/all-power attestation recovered; H07b unrestricted modal-theory layer remains U-HOLD and must be recovered/reviewed before any family-level tile. | v2.11: Dei Filius learner-facing Text URL replaced with actual English translation witness.</t>
  </si>
  <si>
    <t xml:space="preserve">Q-050</t>
  </si>
  <si>
    <t xml:space="preserve">Orthodox Church in America (jurisdictional witness)</t>
  </si>
  <si>
    <t xml:space="preserve">Nicene Creed / Symbol of Faith</t>
  </si>
  <si>
    <t xml:space="preserve">'Father Almighty'</t>
  </si>
  <si>
    <t xml:space="preserve">H07a Almighty/all-power attestation recovered; H07b unrestricted modal-theory layer remains U-HOLD and must be recovered/reviewed before any family-level tile.</t>
  </si>
  <si>
    <t xml:space="preserve">Q-051</t>
  </si>
  <si>
    <t xml:space="preserve">Lutheran Church—Missouri Synod / Book of Concord</t>
  </si>
  <si>
    <t xml:space="preserve">Augsburg Confession</t>
  </si>
  <si>
    <t xml:space="preserve">Article I, Of God</t>
  </si>
  <si>
    <t xml:space="preserve">https://bookofconcord.org/augsburg-confession/of-god/</t>
  </si>
  <si>
    <t xml:space="preserve">Q-052</t>
  </si>
  <si>
    <t xml:space="preserve">Chapter II</t>
  </si>
  <si>
    <t xml:space="preserve">Q-053</t>
  </si>
  <si>
    <t xml:space="preserve">Q-054</t>
  </si>
  <si>
    <t xml:space="preserve">II. God / II.A — all powerful</t>
  </si>
  <si>
    <t xml:space="preserve">H07a is directly attested, but H07b unrestricted modal theory is not; family remains an incomplete vector.</t>
  </si>
  <si>
    <t xml:space="preserve">Q-055</t>
  </si>
  <si>
    <t xml:space="preserve">Q-056</t>
  </si>
  <si>
    <t xml:space="preserve">HISTORICAL SOURCE RETIRED — CURRENT SOURCE NOT YET RECOVERED</t>
  </si>
  <si>
    <t xml:space="preserve">Historical Mennonite witness</t>
  </si>
  <si>
    <t xml:space="preserve">Dordrecht Confession of Faith (1632)</t>
  </si>
  <si>
    <t xml:space="preserve">https://gameo.org/index.php?title=Dordrecht_Confession_of_Faith_%28Mennonite%2C_1632%29</t>
  </si>
  <si>
    <t xml:space="preserve">HISTORICAL-ONLY</t>
  </si>
  <si>
    <t xml:space="preserve">Historical source may remain in the bounded inherited corpus but is not a current institutional witness for this teaching branch.</t>
  </si>
  <si>
    <t xml:space="preserve">CURRENT-SOURCE REPLACEMENT REQUIRED</t>
  </si>
  <si>
    <t xml:space="preserve">Dordrecht 1632 remains historical/antecedent evidence; project controls explicitly exclude it from current Mennonite institutional attribution.</t>
  </si>
  <si>
    <t xml:space="preserve">HOLD</t>
  </si>
  <si>
    <t xml:space="preserve">LINEAGE ONLY</t>
  </si>
  <si>
    <t xml:space="preserve">Q-057</t>
  </si>
  <si>
    <t xml:space="preserve">Q-058</t>
  </si>
  <si>
    <t xml:space="preserve">Q-059</t>
  </si>
  <si>
    <t xml:space="preserve">RNR-H08a</t>
  </si>
  <si>
    <t xml:space="preserve">Article I, God</t>
  </si>
  <si>
    <t xml:space="preserve">S9-IA-0111 / S8-IA-0111</t>
  </si>
  <si>
    <t xml:space="preserve">Wise / all-wise.</t>
  </si>
  <si>
    <t xml:space="preserve">Q-060</t>
  </si>
  <si>
    <t xml:space="preserve">Chapters II.1–3; III; V; VI; IX; XIII as applicable</t>
  </si>
  <si>
    <t xml:space="preserve">Session 9 H08 OPC Westminster row recovered; PC(USA) Westminster and WSC corroborate.</t>
  </si>
  <si>
    <t xml:space="preserve">OPC is the primary certified witness; additional PC(USA)/OPC rows are corroborating, not votes.</t>
  </si>
  <si>
    <t xml:space="preserve">Wise/all-wise. Multiple Reformed/Presbyterian institution-document rows recovered.</t>
  </si>
  <si>
    <t xml:space="preserve">Q-061</t>
  </si>
  <si>
    <t xml:space="preserve">S9-IA-0115 / S8-IA-0115</t>
  </si>
  <si>
    <t xml:space="preserve">Q-062</t>
  </si>
  <si>
    <t xml:space="preserve">II.A. God the Father — all wise</t>
  </si>
  <si>
    <t xml:space="preserve">Current SBC source explicitly attests divine wisdom.</t>
  </si>
  <si>
    <t xml:space="preserve">Q-063</t>
  </si>
  <si>
    <t xml:space="preserve">S9-IA-0121 / S8-IA-0121; EUB S9-IA-0122 corroborates.</t>
  </si>
  <si>
    <t xml:space="preserve">Q-064</t>
  </si>
  <si>
    <t xml:space="preserve">Q-065</t>
  </si>
  <si>
    <t xml:space="preserve">RNR-H09a</t>
  </si>
  <si>
    <t xml:space="preserve">S8-IA-0132 + Session 9 H09a atomic A decision</t>
  </si>
  <si>
    <t xml:space="preserve">Good.</t>
  </si>
  <si>
    <t xml:space="preserve">Q-066</t>
  </si>
  <si>
    <t xml:space="preserve">Q-067</t>
  </si>
  <si>
    <t xml:space="preserve">Session 9 H09 LCMS Augsburg row recovered.</t>
  </si>
  <si>
    <t xml:space="preserve">LCMS confessional subscription controls institutional scope.</t>
  </si>
  <si>
    <t xml:space="preserve">Q-068</t>
  </si>
  <si>
    <t xml:space="preserve">Chapter 1</t>
  </si>
  <si>
    <t xml:space="preserve">Session 9 H09 PC(USA) Scots row recovered; CRCNA Belgic also recovered.</t>
  </si>
  <si>
    <t xml:space="preserve">PC(USA) primary; CRCNA evidence corroborates within the teaching-family bucket.</t>
  </si>
  <si>
    <t xml:space="preserve">Good. | PC(USA) authority page and direct Book of Confessions PDF repaired in v2.9. | PC(USA) Text URL repaired to live Book of Confessions PDF in v2.10.</t>
  </si>
  <si>
    <t xml:space="preserve">Q-069</t>
  </si>
  <si>
    <t xml:space="preserve">S9-IA-0127 / S8-IA-0127</t>
  </si>
  <si>
    <t xml:space="preserve">Q-070</t>
  </si>
  <si>
    <t xml:space="preserve">Q-071</t>
  </si>
  <si>
    <t xml:space="preserve">S8-IA-0131 + Session 9 H09a atomic A decision; EUB S8-IA-0133 corroborates.</t>
  </si>
  <si>
    <t xml:space="preserve">Q-072</t>
  </si>
  <si>
    <t xml:space="preserve">Confession of Faith in a Mennonite Perspective (1995), Article 5: Creation and Divine Providence</t>
  </si>
  <si>
    <t xml:space="preserve">Article 5 — the world is created good because God is good</t>
  </si>
  <si>
    <t xml:space="preserve">Current Mennonite source explicitly says God is good.</t>
  </si>
  <si>
    <t xml:space="preserve">Q-073</t>
  </si>
  <si>
    <t xml:space="preserve">Q-074</t>
  </si>
  <si>
    <t xml:space="preserve">Q-075</t>
  </si>
  <si>
    <t xml:space="preserve">Q-076</t>
  </si>
  <si>
    <t xml:space="preserve">RNR-H10a</t>
  </si>
  <si>
    <t xml:space="preserve">S9-IA-0134 / S8-IA-0134; RCA S9-IA-0135 corroborates.</t>
  </si>
  <si>
    <t xml:space="preserve">CRCNA primary; RCA corroboration is genealogically related and not a separate vote.</t>
  </si>
  <si>
    <t xml:space="preserve">Source of all good.</t>
  </si>
  <si>
    <t xml:space="preserve">Q-077</t>
  </si>
  <si>
    <t xml:space="preserve">Q-078</t>
  </si>
  <si>
    <t xml:space="preserve">Q-079</t>
  </si>
  <si>
    <t xml:space="preserve">Q-080</t>
  </si>
  <si>
    <t xml:space="preserve">Q-081</t>
  </si>
  <si>
    <t xml:space="preserve">Q-082</t>
  </si>
  <si>
    <t xml:space="preserve">Q-083</t>
  </si>
  <si>
    <t xml:space="preserve">Q-084</t>
  </si>
  <si>
    <t xml:space="preserve">RNR-H11a</t>
  </si>
  <si>
    <t xml:space="preserve">S9-IA-0140 / S8-IA-0140; PC(USA) Scots/Second Helvetic/Westminster rows also recovered.</t>
  </si>
  <si>
    <t xml:space="preserve">OPC primary; multiple Reformed/Presbyterian corroborating rows are evidence, not votes.</t>
  </si>
  <si>
    <t xml:space="preserve">Just / righteous.</t>
  </si>
  <si>
    <t xml:space="preserve">Q-085</t>
  </si>
  <si>
    <t xml:space="preserve">Q-086</t>
  </si>
  <si>
    <t xml:space="preserve">Q-087</t>
  </si>
  <si>
    <t xml:space="preserve">S9-IA-0142 / S8-IA-0142.</t>
  </si>
  <si>
    <t xml:space="preserve">Q-088</t>
  </si>
  <si>
    <t xml:space="preserve">Q-089</t>
  </si>
  <si>
    <t xml:space="preserve">Q-090</t>
  </si>
  <si>
    <t xml:space="preserve">Q-091</t>
  </si>
  <si>
    <t xml:space="preserve">Q-092</t>
  </si>
  <si>
    <t xml:space="preserve">RNR-H12a</t>
  </si>
  <si>
    <t xml:space="preserve">S8-IA-0143 + Session 9 H12a atomic A decision</t>
  </si>
  <si>
    <t xml:space="preserve">Teaching-family claim is limited to the named institution/source; related sources may corroborate.</t>
  </si>
  <si>
    <t xml:space="preserve">Session 8 attestation plus Session 9 atomic-unit adjudication.</t>
  </si>
  <si>
    <t xml:space="preserve">Q-093</t>
  </si>
  <si>
    <t xml:space="preserve">Q-094</t>
  </si>
  <si>
    <t xml:space="preserve">II. God — infinite in holiness</t>
  </si>
  <si>
    <t xml:space="preserve">Current SBC source explicitly attests holiness.</t>
  </si>
  <si>
    <t xml:space="preserve">Q-095</t>
  </si>
  <si>
    <t xml:space="preserve">S8-IA-0147 + Session 9 H12a atomic A decision</t>
  </si>
  <si>
    <t xml:space="preserve">Q-096</t>
  </si>
  <si>
    <t xml:space="preserve">Article 1 — one holy and loving God</t>
  </si>
  <si>
    <t xml:space="preserve">Current Mennonite source explicitly attests holiness.</t>
  </si>
  <si>
    <t xml:space="preserve">Q-097</t>
  </si>
  <si>
    <t xml:space="preserve">Q-098</t>
  </si>
  <si>
    <t xml:space="preserve">Q-099</t>
  </si>
  <si>
    <t xml:space="preserve">Q-100</t>
  </si>
  <si>
    <t xml:space="preserve">RNR-H13a</t>
  </si>
  <si>
    <t xml:space="preserve">S8-IA-0152 + Session 9 H13a atomic A decision</t>
  </si>
  <si>
    <t xml:space="preserve">Additional Heidelberg/Second Helvetic/PC(USA) rows corroborate.</t>
  </si>
  <si>
    <t xml:space="preserve">Q-101</t>
  </si>
  <si>
    <t xml:space="preserve">Q-102</t>
  </si>
  <si>
    <t xml:space="preserve">Q-103</t>
  </si>
  <si>
    <t xml:space="preserve">Q-104</t>
  </si>
  <si>
    <t xml:space="preserve">Q-105</t>
  </si>
  <si>
    <t xml:space="preserve">Q-106</t>
  </si>
  <si>
    <t xml:space="preserve">Q-107</t>
  </si>
  <si>
    <t xml:space="preserve">Q-108</t>
  </si>
  <si>
    <t xml:space="preserve">RNR-H14a</t>
  </si>
  <si>
    <t xml:space="preserve">S9-IA-0154 / S8-IA-0154</t>
  </si>
  <si>
    <t xml:space="preserve">Direct Session 9 row: God is love.</t>
  </si>
  <si>
    <t xml:space="preserve">Q-109</t>
  </si>
  <si>
    <t xml:space="preserve">Q-110</t>
  </si>
  <si>
    <t xml:space="preserve">II.A. God the Father — all loving</t>
  </si>
  <si>
    <t xml:space="preserve">Current SBC source explicitly attests divine love.</t>
  </si>
  <si>
    <t xml:space="preserve">Q-111</t>
  </si>
  <si>
    <t xml:space="preserve">S8-IA-0156 + Session 9 H14a atomic A decision</t>
  </si>
  <si>
    <t xml:space="preserve">Q-112</t>
  </si>
  <si>
    <t xml:space="preserve">Current Mennonite source explicitly attests divine love.</t>
  </si>
  <si>
    <t xml:space="preserve">Q-113</t>
  </si>
  <si>
    <t xml:space="preserve">Q-114</t>
  </si>
  <si>
    <t xml:space="preserve">Q-115</t>
  </si>
  <si>
    <t xml:space="preserve">Q-116</t>
  </si>
  <si>
    <t xml:space="preserve">RNR-H15a</t>
  </si>
  <si>
    <t xml:space="preserve">S8-IA-0158 + Session 9 H15a atomic A decision</t>
  </si>
  <si>
    <t xml:space="preserve">PC(USA) Second Helvetic/Westminster rows corroborate.</t>
  </si>
  <si>
    <t xml:space="preserve">Q-117</t>
  </si>
  <si>
    <t xml:space="preserve">Q-118</t>
  </si>
  <si>
    <t xml:space="preserve">Q-119</t>
  </si>
  <si>
    <t xml:space="preserve">Q-120</t>
  </si>
  <si>
    <t xml:space="preserve">Q-121</t>
  </si>
  <si>
    <t xml:space="preserve">Q-122</t>
  </si>
  <si>
    <t xml:space="preserve">Q-123</t>
  </si>
  <si>
    <t xml:space="preserve">Q-124</t>
  </si>
  <si>
    <t xml:space="preserve">RNR-H16a</t>
  </si>
  <si>
    <t xml:space="preserve">S8-IA-0160 + Session 9 H16a atomic A decision</t>
  </si>
  <si>
    <t xml:space="preserve">PC(USA) Westminster corroborates.</t>
  </si>
  <si>
    <t xml:space="preserve">Q-125</t>
  </si>
  <si>
    <t xml:space="preserve">Q-126</t>
  </si>
  <si>
    <t xml:space="preserve">Q-127</t>
  </si>
  <si>
    <t xml:space="preserve">S8-IA-0162 + Session 9 H16a atomic A decision</t>
  </si>
  <si>
    <t xml:space="preserve">Q-128</t>
  </si>
  <si>
    <t xml:space="preserve">Q-129</t>
  </si>
  <si>
    <t xml:space="preserve">Q-130</t>
  </si>
  <si>
    <t xml:space="preserve">Q-131</t>
  </si>
  <si>
    <t xml:space="preserve">Q-132</t>
  </si>
  <si>
    <t xml:space="preserve">RNR-H17a</t>
  </si>
  <si>
    <t xml:space="preserve">6.001 onward; Westminster Confession</t>
  </si>
  <si>
    <t xml:space="preserve">S9-IA-0164 / S8-IA-0164; OPC S8-IA-0163 corroborates.</t>
  </si>
  <si>
    <t xml:space="preserve">PC(USA) primary; OPC corroboration.</t>
  </si>
  <si>
    <t xml:space="preserve">Long-suffering / patient. | PC(USA) authority page and direct Book of Confessions PDF repaired in v2.9. | PC(USA) Text URL repaired to live Book of Confessions PDF in v2.10.</t>
  </si>
  <si>
    <t xml:space="preserve">Q-133</t>
  </si>
  <si>
    <t xml:space="preserve">Q-134</t>
  </si>
  <si>
    <t xml:space="preserve">Q-135</t>
  </si>
  <si>
    <t xml:space="preserve">Q-136</t>
  </si>
  <si>
    <t xml:space="preserve">Q-137</t>
  </si>
  <si>
    <t xml:space="preserve">Q-138</t>
  </si>
  <si>
    <t xml:space="preserve">Q-139</t>
  </si>
  <si>
    <t xml:space="preserve">Q-140</t>
  </si>
  <si>
    <t xml:space="preserve">RNR-H18a</t>
  </si>
  <si>
    <t xml:space="preserve">S9-IA-0165 / S8-IA-0165; PC(USA) S9-IA-0166 corroborates.</t>
  </si>
  <si>
    <t xml:space="preserve">OPC primary; PC(USA) corroboration.</t>
  </si>
  <si>
    <t xml:space="preserve">Forgiving.</t>
  </si>
  <si>
    <t xml:space="preserve">Q-141</t>
  </si>
  <si>
    <t xml:space="preserve">Q-142</t>
  </si>
  <si>
    <t xml:space="preserve">Q-143</t>
  </si>
  <si>
    <t xml:space="preserve">Q-144</t>
  </si>
  <si>
    <t xml:space="preserve">Q-145</t>
  </si>
  <si>
    <t xml:space="preserve">RNR-H19a</t>
  </si>
  <si>
    <t xml:space="preserve">S8-IA-0169 + Session 9 H19a atomic A decision</t>
  </si>
  <si>
    <t xml:space="preserve">Blessedness / beatitude.</t>
  </si>
  <si>
    <t xml:space="preserve">Q-146</t>
  </si>
  <si>
    <t xml:space="preserve">Q-147</t>
  </si>
  <si>
    <t xml:space="preserve">Q-148</t>
  </si>
  <si>
    <t xml:space="preserve">S9-IA-0167 / S8-IA-0167; PC(USA) S9-IA-0168 corroborates.</t>
  </si>
  <si>
    <t xml:space="preserve">Q-149</t>
  </si>
  <si>
    <t xml:space="preserve">Q-150</t>
  </si>
  <si>
    <t xml:space="preserve">Q-151</t>
  </si>
  <si>
    <t xml:space="preserve">Q-152</t>
  </si>
  <si>
    <t xml:space="preserve">Q-153</t>
  </si>
  <si>
    <t xml:space="preserve">Q-154</t>
  </si>
  <si>
    <t xml:space="preserve">Q-155</t>
  </si>
  <si>
    <t xml:space="preserve">RNR-H20a</t>
  </si>
  <si>
    <t xml:space="preserve">Athanasian Creed</t>
  </si>
  <si>
    <t xml:space="preserve">Trinity and person/substance clauses</t>
  </si>
  <si>
    <t xml:space="preserve">https://bookofconcord.org/ecumenical-creeds/athanasian-creed/</t>
  </si>
  <si>
    <t xml:space="preserve">S8-IA-0170 + Session 9 H20a atomic A decision</t>
  </si>
  <si>
    <t xml:space="preserve">LCMS adoption controls; linked creed is text witness.</t>
  </si>
  <si>
    <t xml:space="preserve">Glorious.</t>
  </si>
  <si>
    <t xml:space="preserve">Q-156</t>
  </si>
  <si>
    <t xml:space="preserve">3.01–3.25; especially chapter 1</t>
  </si>
  <si>
    <t xml:space="preserve">S9-IA-0171 / S8-IA-0171; OPC/PCUSA Westminster rows corroborate.</t>
  </si>
  <si>
    <t xml:space="preserve">PC(USA) primary; additional Westminster rows corroborate.</t>
  </si>
  <si>
    <t xml:space="preserve">Glorious. | PC(USA) authority page and direct Book of Confessions PDF repaired in v2.9. | PC(USA) Text URL repaired to live Book of Confessions PDF in v2.10.</t>
  </si>
  <si>
    <t xml:space="preserve">Q-157</t>
  </si>
  <si>
    <t xml:space="preserve">Q-158</t>
  </si>
  <si>
    <t xml:space="preserve">Q-159</t>
  </si>
  <si>
    <t xml:space="preserve">Q-160</t>
  </si>
  <si>
    <t xml:space="preserve">Q-161</t>
  </si>
  <si>
    <t xml:space="preserve">Q-162</t>
  </si>
  <si>
    <t xml:space="preserve">Q-163</t>
  </si>
  <si>
    <t xml:space="preserve">Q-164</t>
  </si>
  <si>
    <t xml:space="preserve">RNR-H21a</t>
  </si>
  <si>
    <t xml:space="preserve">Second Helvetic Confession</t>
  </si>
  <si>
    <t xml:space="preserve">5.001 onward; chapter III</t>
  </si>
  <si>
    <t xml:space="preserve">S9-IA-0174 / S8-IA-0174.</t>
  </si>
  <si>
    <t xml:space="preserve">PC(USA) constitutional edition.</t>
  </si>
  <si>
    <t xml:space="preserve">Life-giving. | PC(USA) authority page and direct Book of Confessions PDF repaired in v2.9. | PC(USA) Text URL repaired to live Book of Confessions PDF in v2.10.</t>
  </si>
  <si>
    <t xml:space="preserve">Q-165</t>
  </si>
  <si>
    <t xml:space="preserve">Q-166</t>
  </si>
  <si>
    <t xml:space="preserve">Q-167</t>
  </si>
  <si>
    <t xml:space="preserve">Q-168</t>
  </si>
  <si>
    <t xml:space="preserve">Q-169</t>
  </si>
  <si>
    <t xml:space="preserve">RNR-H22a</t>
  </si>
  <si>
    <t xml:space="preserve">Niceno-Constantinopolitan Creed (Vatican-hosted Credo)</t>
  </si>
  <si>
    <t xml:space="preserve">Maker/Creator clause</t>
  </si>
  <si>
    <t xml:space="preserve">Recovered institution ledger/source report; Baptist and Mennonite creation clauses independently rechecked</t>
  </si>
  <si>
    <t xml:space="preserve">Q applies to the Latter-day Saint comparison at the controlled creation semantic floor, not to every branch's complete creation theology.</t>
  </si>
  <si>
    <t xml:space="preserve">Corrects SR-R Baptist NL artifact; H22 is now source-attested in all eight initial case-study branches. | v2.12 assertion witness: server-rendered Vatican News Nicene Creed text used for content validation.</t>
  </si>
  <si>
    <t xml:space="preserve">Q-170</t>
  </si>
  <si>
    <t xml:space="preserve">Maker of heaven and earth</t>
  </si>
  <si>
    <t xml:space="preserve">Corrects SR-R Baptist NL artifact; H22 is now source-attested in all eight initial case-study branches.</t>
  </si>
  <si>
    <t xml:space="preserve">Q-171</t>
  </si>
  <si>
    <t xml:space="preserve">Q-172</t>
  </si>
  <si>
    <t xml:space="preserve">Chapter IV, Of Creation</t>
  </si>
  <si>
    <t xml:space="preserve">Q-173</t>
  </si>
  <si>
    <t xml:space="preserve">Q-174</t>
  </si>
  <si>
    <t xml:space="preserve">II. God — Creator of the universe</t>
  </si>
  <si>
    <t xml:space="preserve">Current SBC Creator confession is source-attested; current Latter-day Saint comparison remains Q because creation ontology is materially redefined.</t>
  </si>
  <si>
    <t xml:space="preserve">Q-175</t>
  </si>
  <si>
    <t xml:space="preserve">Q-176</t>
  </si>
  <si>
    <t xml:space="preserve">Article 5 — God has created the heavens and the earth and all that is in them</t>
  </si>
  <si>
    <t xml:space="preserve">Current Mennonite Creator confession is source-attested; current Latter-day Saint comparison remains Q because creation ontology differs.</t>
  </si>
  <si>
    <t xml:space="preserve">Q-177</t>
  </si>
  <si>
    <t xml:space="preserve">Q-178</t>
  </si>
  <si>
    <t xml:space="preserve">Q-179</t>
  </si>
  <si>
    <t xml:space="preserve">Q-180</t>
  </si>
  <si>
    <t xml:space="preserve">RNR-H23a</t>
  </si>
  <si>
    <t xml:space="preserve">Session 9 row exposed in source-ledger recovery</t>
  </si>
  <si>
    <t xml:space="preserve">PC(USA) constitutional scope.</t>
  </si>
  <si>
    <t xml:space="preserve">Q-181</t>
  </si>
  <si>
    <t xml:space="preserve">Church of England only.</t>
  </si>
  <si>
    <t xml:space="preserve">Q-182</t>
  </si>
  <si>
    <t xml:space="preserve">II. God — Preserver of the universe</t>
  </si>
  <si>
    <t xml:space="preserve">Current SBC source explicitly attests Preserver.</t>
  </si>
  <si>
    <t xml:space="preserve">Q-183</t>
  </si>
  <si>
    <t xml:space="preserve">S9-IA-0198 / S8-IA-0198; EUB S9-IA-0199 corroborates.</t>
  </si>
  <si>
    <t xml:space="preserve">Preserver / Sustainer.</t>
  </si>
  <si>
    <t xml:space="preserve">Q-184</t>
  </si>
  <si>
    <t xml:space="preserve">Article 5 — God preserves and renews what has been made; sustains creation</t>
  </si>
  <si>
    <t xml:space="preserve">Current Mennonite source explicitly attests preservation/sustaining.</t>
  </si>
  <si>
    <t xml:space="preserve">Q-185</t>
  </si>
  <si>
    <t xml:space="preserve">RNR-H24a</t>
  </si>
  <si>
    <t xml:space="preserve">S9-IA-0204 / S8-IA-0204.</t>
  </si>
  <si>
    <t xml:space="preserve">Governor / Ruler.</t>
  </si>
  <si>
    <t xml:space="preserve">Q-186</t>
  </si>
  <si>
    <t xml:space="preserve">Q-187</t>
  </si>
  <si>
    <t xml:space="preserve">Q-188</t>
  </si>
  <si>
    <t xml:space="preserve">Heidelberg Catechism</t>
  </si>
  <si>
    <t xml:space="preserve">Lord's Days 9–10, Q&amp;A 26–28</t>
  </si>
  <si>
    <t xml:space="preserve">https://www.crcna.org/welcome/beliefs/confessions/heidelberg-catechism</t>
  </si>
  <si>
    <t xml:space="preserve">S9-IA-0201 / S8-IA-0201; RCA and PC(USA) Heidelberg rows corroborate.</t>
  </si>
  <si>
    <t xml:space="preserve">CRCNA primary; related Heidelberg witnesses are not counted as separate votes.</t>
  </si>
  <si>
    <t xml:space="preserve">Q-189</t>
  </si>
  <si>
    <t xml:space="preserve">Q-190</t>
  </si>
  <si>
    <t xml:space="preserve">II. God — Ruler of the universe</t>
  </si>
  <si>
    <t xml:space="preserve">Current SBC source explicitly attests Ruler.</t>
  </si>
  <si>
    <t xml:space="preserve">Q-191</t>
  </si>
  <si>
    <t xml:space="preserve">S9-IA-0205 / S8-IA-0205.</t>
  </si>
  <si>
    <t xml:space="preserve">Q-192</t>
  </si>
  <si>
    <t xml:space="preserve">Q-193</t>
  </si>
  <si>
    <t xml:space="preserve">Q-194</t>
  </si>
  <si>
    <t xml:space="preserve">Q-195</t>
  </si>
  <si>
    <t xml:space="preserve">Q-196</t>
  </si>
  <si>
    <t xml:space="preserve">RNR-H25a</t>
  </si>
  <si>
    <t xml:space="preserve">S9-IA-0206 / S8-IA-0206; PC(USA) S9-IA-0207 corroborates.</t>
  </si>
  <si>
    <t xml:space="preserve">Sovereign.</t>
  </si>
  <si>
    <t xml:space="preserve">Q-197</t>
  </si>
  <si>
    <t xml:space="preserve">Q-198</t>
  </si>
  <si>
    <t xml:space="preserve">Q-199</t>
  </si>
  <si>
    <t xml:space="preserve">S9-IA-0208 / S8-IA-0208.</t>
  </si>
  <si>
    <t xml:space="preserve">Q-200</t>
  </si>
  <si>
    <t xml:space="preserve">Q-201</t>
  </si>
  <si>
    <t xml:space="preserve">RNR-H26a</t>
  </si>
  <si>
    <t xml:space="preserve">Apostles' Creed (Vatican Credo)</t>
  </si>
  <si>
    <t xml:space="preserve">He will come to judge the living and the dead</t>
  </si>
  <si>
    <t xml:space="preserve">Recovered institution-specific ledger</t>
  </si>
  <si>
    <t xml:space="preserve">Catholic evidence only; other branch cells not yet recertified here.</t>
  </si>
  <si>
    <t xml:space="preserve">Corrects prior SR-R zero-attestation artifact for Judge.</t>
  </si>
  <si>
    <t xml:space="preserve">Q-202</t>
  </si>
  <si>
    <t xml:space="preserve">Q-203</t>
  </si>
  <si>
    <t xml:space="preserve">Q-204</t>
  </si>
  <si>
    <t xml:space="preserve">Q-205</t>
  </si>
  <si>
    <t xml:space="preserve">Q-206</t>
  </si>
  <si>
    <t xml:space="preserve">II.B. God the Son — will return to judge the world</t>
  </si>
  <si>
    <t xml:space="preserve">Current SBC source explicitly attests divine judgment.</t>
  </si>
  <si>
    <t xml:space="preserve">Q-207</t>
  </si>
  <si>
    <t xml:space="preserve">Q-208</t>
  </si>
  <si>
    <t xml:space="preserve">Q-209</t>
  </si>
  <si>
    <t xml:space="preserve">RNR-H27a</t>
  </si>
  <si>
    <t xml:space="preserve">Apostles' Creed / Credo</t>
  </si>
  <si>
    <t xml:space="preserve">Jesus Christ, salvific confession</t>
  </si>
  <si>
    <t xml:space="preserve">Catholic cell only.</t>
  </si>
  <si>
    <t xml:space="preserve">Corrects prior SR-R zero-attestation artifact for Savior.</t>
  </si>
  <si>
    <t xml:space="preserve">Q-210</t>
  </si>
  <si>
    <t xml:space="preserve">Q-211</t>
  </si>
  <si>
    <t xml:space="preserve">Q-212</t>
  </si>
  <si>
    <t xml:space="preserve">Q-213</t>
  </si>
  <si>
    <t xml:space="preserve">Q-214</t>
  </si>
  <si>
    <t xml:space="preserve">II. God — Redeemer; II.B redemptive mission</t>
  </si>
  <si>
    <t xml:space="preserve">Current SBC source explicitly attests Redeemer/Savior function.</t>
  </si>
  <si>
    <t xml:space="preserve">Q-215</t>
  </si>
  <si>
    <t xml:space="preserve">EUB Confession of Faith</t>
  </si>
  <si>
    <t xml:space="preserve">Q-216</t>
  </si>
  <si>
    <t xml:space="preserve">Current Mennonite source explicitly attests Savior.</t>
  </si>
  <si>
    <t xml:space="preserve">Q-217</t>
  </si>
  <si>
    <t xml:space="preserve">Q-218</t>
  </si>
  <si>
    <t xml:space="preserve">Q-219</t>
  </si>
  <si>
    <t xml:space="preserve">Q-220</t>
  </si>
  <si>
    <t xml:space="preserve">RNR-H28a</t>
  </si>
  <si>
    <t xml:space="preserve">S9-IA-0216 / S8-IA-0216; RCA S9-IA-0217 and PC(USA) Nicene row corroborate.</t>
  </si>
  <si>
    <t xml:space="preserve">CRCNA primary; related Reformed/Presbyterian evidence corroborates.</t>
  </si>
  <si>
    <t xml:space="preserve">Revealer.</t>
  </si>
  <si>
    <t xml:space="preserve">Q-221</t>
  </si>
  <si>
    <t xml:space="preserve">Q-222</t>
  </si>
  <si>
    <t xml:space="preserve">II. God — eternal triune God reveals Himself</t>
  </si>
  <si>
    <t xml:space="preserve">Current SBC source explicitly attests divine revelation/self-disclosure.</t>
  </si>
  <si>
    <t xml:space="preserve">Q-223</t>
  </si>
  <si>
    <t xml:space="preserve">Q-224</t>
  </si>
  <si>
    <t xml:space="preserve">Article 1 — God has spoken; the Son/Word revealed the divine being and character</t>
  </si>
  <si>
    <t xml:space="preserve">Current Mennonite source explicitly attests divine self-revelation.</t>
  </si>
  <si>
    <t xml:space="preserve">Q-225</t>
  </si>
  <si>
    <t xml:space="preserve">Q-226</t>
  </si>
  <si>
    <t xml:space="preserve">Q-227</t>
  </si>
  <si>
    <t xml:space="preserve">Q-228</t>
  </si>
  <si>
    <t xml:space="preserve">RNR-H29a</t>
  </si>
  <si>
    <t xml:space="preserve">S9-IA-0218 / S8-IA-0218; PC(USA) S9-IA-0219 corroborates.</t>
  </si>
  <si>
    <t xml:space="preserve">MEDIUM</t>
  </si>
  <si>
    <t xml:space="preserve">OPC primary; Q is the current family comparison at the shared-concern/differentiated-ontology layer.</t>
  </si>
  <si>
    <t xml:space="preserve">Fountain of being.</t>
  </si>
  <si>
    <t xml:space="preserve">Q-229</t>
  </si>
  <si>
    <t xml:space="preserve">Q-230</t>
  </si>
  <si>
    <t xml:space="preserve">Q-231</t>
  </si>
  <si>
    <t xml:space="preserve">Q-232</t>
  </si>
  <si>
    <t xml:space="preserve">Q-233</t>
  </si>
  <si>
    <t xml:space="preserve">Q-234</t>
  </si>
  <si>
    <t xml:space="preserve">Q-235</t>
  </si>
  <si>
    <t xml:space="preserve">Q-236</t>
  </si>
  <si>
    <t xml:space="preserve">RNR-H30a</t>
  </si>
  <si>
    <t xml:space="preserve">S9-IA-0220 / S8-IA-0220; RCA S9-IA-0221 corroborates.</t>
  </si>
  <si>
    <t xml:space="preserve">CRCNA primary; RCA corroboration.</t>
  </si>
  <si>
    <t xml:space="preserve">Word / Logos.</t>
  </si>
  <si>
    <t xml:space="preserve">Q-237</t>
  </si>
  <si>
    <t xml:space="preserve">Q-238</t>
  </si>
  <si>
    <t xml:space="preserve">Q-239</t>
  </si>
  <si>
    <t xml:space="preserve">Q-240</t>
  </si>
  <si>
    <t xml:space="preserve">Article 1 — the only Son, the Word who became flesh</t>
  </si>
  <si>
    <t xml:space="preserve">Current Mennonite source explicitly attests Word/Logos title.</t>
  </si>
  <si>
    <t xml:space="preserve">Q-241</t>
  </si>
  <si>
    <t xml:space="preserve">Q-242</t>
  </si>
  <si>
    <t xml:space="preserve">Q-243</t>
  </si>
  <si>
    <t xml:space="preserve">Q-244</t>
  </si>
  <si>
    <t xml:space="preserve">RNR-H31a</t>
  </si>
  <si>
    <t xml:space="preserve">S9-IA-0222 / S8-IA-0222; RCA S9-IA-0223 corroborates.</t>
  </si>
  <si>
    <t xml:space="preserve">Wisdom.</t>
  </si>
  <si>
    <t xml:space="preserve">Q-245</t>
  </si>
  <si>
    <t xml:space="preserve">Q-246</t>
  </si>
  <si>
    <t xml:space="preserve">Q-247</t>
  </si>
  <si>
    <t xml:space="preserve">Q-248</t>
  </si>
  <si>
    <t xml:space="preserve">Q-249</t>
  </si>
  <si>
    <t xml:space="preserve">ATOMIC VECTOR — COMPLETE</t>
  </si>
  <si>
    <t xml:space="preserve">RNR-H32a + RNR-H32b</t>
  </si>
  <si>
    <t xml:space="preserve">A + Q</t>
  </si>
  <si>
    <t xml:space="preserve">H32a S9-IA-0224 / S8-IA-0224; H32b S9-IA-0228 / S8-IA-0228.</t>
  </si>
  <si>
    <t xml:space="preserve">H32a Christ is Light = A; H32b Light-from-Light relational formula = Q. Do not flatten to one family tile.</t>
  </si>
  <si>
    <t xml:space="preserve">Q-250</t>
  </si>
  <si>
    <t xml:space="preserve">Q-251</t>
  </si>
  <si>
    <t xml:space="preserve">Q-252</t>
  </si>
  <si>
    <t xml:space="preserve">H32a S9-IA-0227 / S8-IA-0227; H32b Session 9 PC(USA) Nicene row recovered, numeric ID truncated in File Library snippet.</t>
  </si>
  <si>
    <t xml:space="preserve">H32a = A; H32b = Q. Vector complete at the two semantic layers, not a single A/Q/D tile. | PC(USA) authority page and direct Book of Confessions PDF repaired in v2.9. | PC(USA) Text URL repaired to live Book of Confessions PDF in v2.10.</t>
  </si>
  <si>
    <t xml:space="preserve">Q-253</t>
  </si>
  <si>
    <t xml:space="preserve">Q-254</t>
  </si>
  <si>
    <t xml:space="preserve">Q-255</t>
  </si>
  <si>
    <t xml:space="preserve">Q-256</t>
  </si>
  <si>
    <t xml:space="preserve">Q-257</t>
  </si>
  <si>
    <t xml:space="preserve">Q-258</t>
  </si>
  <si>
    <t xml:space="preserve">Q-259</t>
  </si>
  <si>
    <t xml:space="preserve">Q-260</t>
  </si>
  <si>
    <t xml:space="preserve">RNR-H33a</t>
  </si>
  <si>
    <t xml:space="preserve">S9-IA-0232 / S8-IA-0232; RCA S9-IA-0233 corroborates.</t>
  </si>
  <si>
    <t xml:space="preserve">Image of the Father.</t>
  </si>
  <si>
    <t xml:space="preserve">Q-261</t>
  </si>
  <si>
    <t xml:space="preserve">Q-262</t>
  </si>
  <si>
    <t xml:space="preserve">Q-263</t>
  </si>
  <si>
    <t xml:space="preserve">Q-264</t>
  </si>
  <si>
    <t xml:space="preserve">Q-265</t>
  </si>
  <si>
    <t xml:space="preserve">RNR-H34a</t>
  </si>
  <si>
    <t xml:space="preserve">S9-IA-0234 / S8-IA-0234.</t>
  </si>
  <si>
    <t xml:space="preserve">Giver of life.</t>
  </si>
  <si>
    <t xml:space="preserve">Q-266</t>
  </si>
  <si>
    <t xml:space="preserve">S9-IA-0235 / S8-IA-0235.</t>
  </si>
  <si>
    <t xml:space="preserve">Q-267</t>
  </si>
  <si>
    <t xml:space="preserve">S9-IA-0236 / S8-IA-0236.</t>
  </si>
  <si>
    <t xml:space="preserve">LCMS adoption page controls institutional scope.</t>
  </si>
  <si>
    <t xml:space="preserve">Q-268</t>
  </si>
  <si>
    <t xml:space="preserve">Q-269</t>
  </si>
  <si>
    <t xml:space="preserve">Q-270</t>
  </si>
  <si>
    <t xml:space="preserve">Q-271</t>
  </si>
  <si>
    <t xml:space="preserve">Q-272</t>
  </si>
  <si>
    <t xml:space="preserve">Q-273</t>
  </si>
  <si>
    <t xml:space="preserve">Q-274</t>
  </si>
  <si>
    <t xml:space="preserve">Q-275</t>
  </si>
  <si>
    <t xml:space="preserve">Q-276</t>
  </si>
  <si>
    <t xml:space="preserve">RNR-H35a</t>
  </si>
  <si>
    <t xml:space="preserve">Session 9 H35 CRCNA row recovered (S8-IA-0238; S9 numeric prefix truncated); RCA S9-IA-0239 corroborates.</t>
  </si>
  <si>
    <t xml:space="preserve">Eternal power and might.</t>
  </si>
  <si>
    <t xml:space="preserve">Q-277</t>
  </si>
  <si>
    <t xml:space="preserve">Q-278</t>
  </si>
  <si>
    <t xml:space="preserve">Q-279</t>
  </si>
  <si>
    <t xml:space="preserve">Q-280</t>
  </si>
  <si>
    <t xml:space="preserve">Q-281</t>
  </si>
  <si>
    <t xml:space="preserve">Q-282</t>
  </si>
  <si>
    <t xml:space="preserve">Q-283</t>
  </si>
  <si>
    <t xml:space="preserve">Q-284</t>
  </si>
  <si>
    <t xml:space="preserve">Q-285</t>
  </si>
  <si>
    <t xml:space="preserve">Q-286</t>
  </si>
  <si>
    <t xml:space="preserve">Q-287</t>
  </si>
  <si>
    <t xml:space="preserve">Q-288</t>
  </si>
  <si>
    <t xml:space="preserve">Q-289</t>
  </si>
  <si>
    <t xml:space="preserve">LATER RECODE</t>
  </si>
  <si>
    <t xml:space="preserve">PUBLIC-CERTIFIED — RECONCILED</t>
  </si>
  <si>
    <t xml:space="preserve">Q47 — Father as 'principle without a principle' and origin of all trinitarian life</t>
  </si>
  <si>
    <t xml:space="preserve">Universal Catholic Church; Compendium summarizes Catechism teaching.</t>
  </si>
  <si>
    <t xml:space="preserve">RECONCILED</t>
  </si>
  <si>
    <t xml:space="preserve">RNR-H37: historical Session 9 comparison state (U / U-HOLD) differs from current family state (Q); branch display prohibited until reconciliation is completed. | Source reaches current H37 source-status/origin floor.</t>
  </si>
  <si>
    <t xml:space="preserve">CERTIFIED — RECONCILED</t>
  </si>
  <si>
    <t xml:space="preserve">Q-290</t>
  </si>
  <si>
    <t xml:space="preserve">CURRENT OFFICIAL CATECHETICAL SOURCE RECOVERED — WEB VERIFIED</t>
  </si>
  <si>
    <t xml:space="preserve">The Orthodox Faith, Vol. I — The Holy Trinity: One God, One Father (OCA official catechesis)</t>
  </si>
  <si>
    <t xml:space="preserve">"One God, One Father" — the Son is born from the Father and the Spirit proceeds from the Father in the timeless and eternal action of the Father's own being</t>
  </si>
  <si>
    <t xml:space="preserve">https://www.oca.org/orthodoxy/the-orthodox-faith/doctrine-scripture/the-holy-trinity/one-god-one-father</t>
  </si>
  <si>
    <t xml:space="preserve">Orthodox Church in America (official catechetical witness) — jurisdictional scope</t>
  </si>
  <si>
    <t xml:space="preserve">Quoted phrase: "There is only one God because there is only one Father". Supplemental (https://www.oca.org/orthodoxy/the-orthodox-faith/doctrine-scripture/the-symbol-of-faith/son-of-god): "God is an eternal Father by nature".</t>
  </si>
  <si>
    <t xml:space="preserve">AJP 2026-09-09: source strengthened. Controlling witness replaced — OCA official catechetical text (The Orthodox Faith, Vol. I) instead of the Gregory the Theologian saint's-life page. Floor: the Father is the unoriginate source from whom the Son is born and the Spirit proceeds (monarchy of the Father); the lexeme "unbegotten" does not appear on OCA catechetical pages and is not claimed. Supplemental: Symbol of Faith — Son of God: "God is an eternal Father by nature".</t>
  </si>
  <si>
    <t xml:space="preserve">Q-291</t>
  </si>
  <si>
    <t xml:space="preserve">RNR-H37a</t>
  </si>
  <si>
    <t xml:space="preserve">U</t>
  </si>
  <si>
    <t xml:space="preserve">S9-IA-0241 / S8-IA-0241</t>
  </si>
  <si>
    <t xml:space="preserve">Session 9 held exact 'unbegotten/from none' layer.</t>
  </si>
  <si>
    <t xml:space="preserve">Current family H37 is Q; historical Session 9 row remained U/U-HOLD. | RNR-H37: historical Session 9 comparison state (U / U-HOLD) differs from current family state (Q); branch display prohibited until reconciliation is completed. | Reconciliation pass v2.7: The Athanasian source explicitly places the Father 'of none' / neither created nor begotten. The current H37 floor shares beginninglessness/source-status but materially qualifies absolute-from-none language by antecedent-divine-lineage teaching. Session 9 U reflected an underpowered Latter-day Saint comparator, not unresolved historical attestation.</t>
  </si>
  <si>
    <t xml:space="preserve">Technical reconciliation completed against the author-approved current semantic floor; no master-family recode made.</t>
  </si>
  <si>
    <t xml:space="preserve">Q-292</t>
  </si>
  <si>
    <t xml:space="preserve">Chapters II.1–3 etc.</t>
  </si>
  <si>
    <t xml:space="preserve">S9-IA-0242 / S8-IA-0242</t>
  </si>
  <si>
    <t xml:space="preserve">OPC scope; Session 9 held exact layer.</t>
  </si>
  <si>
    <t xml:space="preserve">Current family H37 is Q; must reconcile later source reasoning before public tile. | RNR-H37: historical Session 9 comparison state (U / U-HOLD) differs from current family state (Q); branch display prohibited until reconciliation is completed. | Reconciliation pass v2.7: The Westminster source attests the Father as 'of none' / neither begotten nor proceeding. The current H37 floor therefore applies: beginninglessness/source-status is shared, while absolute-from-none is materially qualified by antecedent-divine-lineage teaching.</t>
  </si>
  <si>
    <t xml:space="preserve">Q-293</t>
  </si>
  <si>
    <t xml:space="preserve">CURRENT AUTHORIZED FORMULARY RECOVERED — WEB VERIFIED</t>
  </si>
  <si>
    <t xml:space="preserve">Creed of S. Athanasius, Book of Common Prayer</t>
  </si>
  <si>
    <t xml:space="preserve">The Father is made of none: neither created, nor begotten</t>
  </si>
  <si>
    <t xml:space="preserve">Church of England only; not automatically Anglican Communion-wide.</t>
  </si>
  <si>
    <t xml:space="preserve">RNR-H37: historical Session 9 comparison state (U / U-HOLD) differs from current family state (Q); branch display prohibited until reconciliation is completed. | Exact H37 wording recovered.</t>
  </si>
  <si>
    <t xml:space="preserve">Q-294</t>
  </si>
  <si>
    <t xml:space="preserve">CURRENT STANDARD REVIEWED — PROPOSITION NOT ATTESTED</t>
  </si>
  <si>
    <t xml:space="preserve">NO PUBLIC TILE — CURRENT STANDARD REVIEWED</t>
  </si>
  <si>
    <t xml:space="preserve">Article II: God</t>
  </si>
  <si>
    <t xml:space="preserve">SBC cooperative identity; not all Baptists.</t>
  </si>
  <si>
    <t xml:space="preserve">CLOSED — NOT ATTESTED IN CURRENT STANDARD</t>
  </si>
  <si>
    <t xml:space="preserve">RNR-H37: historical Session 9 comparison state (U / U-HOLD) differs from current family state (Q); branch display prohibited until reconciliation is completed. | Current standard reviewed; exact predicate not attested. Comparison gap, not denial.</t>
  </si>
  <si>
    <t xml:space="preserve">CLOSED — NOT ATTESTED</t>
  </si>
  <si>
    <t xml:space="preserve">Q-295</t>
  </si>
  <si>
    <t xml:space="preserve">Articles of Religion + Confession of Faith</t>
  </si>
  <si>
    <t xml:space="preserve">Article I / Article I</t>
  </si>
  <si>
    <t xml:space="preserve">https://www.umc.org/en/content/foundational-documents</t>
  </si>
  <si>
    <t xml:space="preserve">UMC doctrinal-standard scope; not every Wesleyan body.</t>
  </si>
  <si>
    <t xml:space="preserve">Q-296</t>
  </si>
  <si>
    <t xml:space="preserve">Article 1: God</t>
  </si>
  <si>
    <t xml:space="preserve">MC USA / adopting-body scope; not all Mennonite or Anabaptist bodies.</t>
  </si>
  <si>
    <t xml:space="preserve">Q-297</t>
  </si>
  <si>
    <t xml:space="preserve">SUBJECT LOCK + GUARD</t>
  </si>
  <si>
    <t xml:space="preserve">Q-298</t>
  </si>
  <si>
    <t xml:space="preserve">Q-299</t>
  </si>
  <si>
    <t xml:space="preserve">Q-300</t>
  </si>
  <si>
    <t xml:space="preserve">Q-301</t>
  </si>
  <si>
    <t xml:space="preserve">Q-302</t>
  </si>
  <si>
    <t xml:space="preserve">Q-303</t>
  </si>
  <si>
    <t xml:space="preserve">Q-304</t>
  </si>
  <si>
    <t xml:space="preserve">Q-305</t>
  </si>
  <si>
    <t xml:space="preserve">S9-IA-0256 / S8-IA-0256</t>
  </si>
  <si>
    <t xml:space="preserve">RNR-H39: historical Session 9 comparison state (A) differs from current family state (Q); branch display prohibited until reconciliation is completed. | Reconciliation pass v2.7: Dei Filius attests infinity of intellect, will, and every perfection. At that source-limited perfection floor, substantive agreement is retained. The master H39 family remains Q because blanket non-finitude of divine personal being is too thick; that broader issue is not established by this H39 wording alone.</t>
  </si>
  <si>
    <t xml:space="preserve">Q-306</t>
  </si>
  <si>
    <t xml:space="preserve">The Orthodox Faith, Vol. I — The Holy Trinity</t>
  </si>
  <si>
    <t xml:space="preserve">Timeless, spaceless, sizeless super-essential existence; absolute divine perfection</t>
  </si>
  <si>
    <t xml:space="preserve">https://www.oca.org/orthodoxy/the-orthodox-faith/doctrine-scripture/the-holy-trinity/the-three-divine-persons</t>
  </si>
  <si>
    <t xml:space="preserve">OCA catechetical witness; not a proxy for every autocephalous church.</t>
  </si>
  <si>
    <t xml:space="preserve">RNR-H39: historical Session 9 comparison state (A) differs from current family state (Q); branch display prohibited until reconciliation is completed. | Broad ontological non-finitude reaches H39 Q boundary.</t>
  </si>
  <si>
    <t xml:space="preserve">Q-307</t>
  </si>
  <si>
    <t xml:space="preserve">RNR-H39: historical Session 9 comparison state (A) differs from current family state (Q); branch display prohibited until reconciliation is completed. | Infinite power, wisdom, goodness supports A-SF.</t>
  </si>
  <si>
    <t xml:space="preserve">Q-308</t>
  </si>
  <si>
    <t xml:space="preserve">Q&amp;A 1 and 4–6 as applicable</t>
  </si>
  <si>
    <t xml:space="preserve">S9-IA-0253 / S8-IA-0253; PC(USA) WSC S9-IA-0254 corroborates</t>
  </si>
  <si>
    <t xml:space="preserve">OPC primary; PC(USA) constitutional WSC corroborates; teaching-family scope remains broader than either institution.</t>
  </si>
  <si>
    <t xml:space="preserve">RNR-H39: historical Session 9 comparison state (A) differs from current family state (Q); branch display prohibited until reconciliation is completed. | Reconciliation pass v2.7: The Westminster Shorter Catechism describes God as infinite not only in wisdom, power, holiness, and other attributes but in being. That broader ontological scope reaches the current H39 qualification boundary, so Q is warranted.</t>
  </si>
  <si>
    <t xml:space="preserve">Q-309</t>
  </si>
  <si>
    <t xml:space="preserve">Article I — infinite power, wisdom, and goodness</t>
  </si>
  <si>
    <t xml:space="preserve">RNR-H39: historical Session 9 comparison state (A) differs from current family state (Q); branch display prohibited until reconciliation is completed. | Perfection-scope infinity supports A-SF.</t>
  </si>
  <si>
    <t xml:space="preserve">Q-310</t>
  </si>
  <si>
    <t xml:space="preserve">RNR-H39a</t>
  </si>
  <si>
    <t xml:space="preserve">II. God — infinite in holiness and all other perfections</t>
  </si>
  <si>
    <t xml:space="preserve">Current SBC source contains explicit infinite language; current master H39 comparison is Q at the accepted semantic floor. | RNR-H39: historical Session 9 comparison state (A) differs from current family state (Q); branch display prohibited until reconciliation is completed. | Reconciliation pass v2.7: BF&amp;M 2000 states that God is infinite in holiness and all other perfections. This supports agreement at the perfection floor but does not itself assert the blanket non-finitude that drives the master H39 Q classification.</t>
  </si>
  <si>
    <t xml:space="preserve">Q-311</t>
  </si>
  <si>
    <t xml:space="preserve">S9-IA-0255 / S8-IA-0255</t>
  </si>
  <si>
    <t xml:space="preserve">UMC institutional scope; not every Wesleyan body.</t>
  </si>
  <si>
    <t xml:space="preserve">RNR-H39: historical Session 9 comparison state (A) differs from current family state (Q); branch display prohibited until reconciliation is completed. | Reconciliation pass v2.7: Methodist Article I attests infinite power, wisdom, and goodness. That source-limited divine-perfection claim lies within the accepted shared H39 floor. The master family remains Q because unrestricted non-finitude of embodied/determinate personal presence is not established by this source wording.</t>
  </si>
  <si>
    <t xml:space="preserve">Q-312</t>
  </si>
  <si>
    <t xml:space="preserve">Article 1 — infinite freedom; unlimited justice; sovereign power and knowledge</t>
  </si>
  <si>
    <t xml:space="preserve">Q-313</t>
  </si>
  <si>
    <t xml:space="preserve">Q-314</t>
  </si>
  <si>
    <t xml:space="preserve">Q-315</t>
  </si>
  <si>
    <t xml:space="preserve">Q-316</t>
  </si>
  <si>
    <t xml:space="preserve">Q-317</t>
  </si>
  <si>
    <t xml:space="preserve">Q-318</t>
  </si>
  <si>
    <t xml:space="preserve">Q-319</t>
  </si>
  <si>
    <t xml:space="preserve">Q-320</t>
  </si>
  <si>
    <t xml:space="preserve">Q-321</t>
  </si>
  <si>
    <t xml:space="preserve">Q-322</t>
  </si>
  <si>
    <t xml:space="preserve">Q-323</t>
  </si>
  <si>
    <t xml:space="preserve">Q-324</t>
  </si>
  <si>
    <t xml:space="preserve">RNR-H41a</t>
  </si>
  <si>
    <t xml:space="preserve">S9-IA-0265 / S8-IA-0265</t>
  </si>
  <si>
    <t xml:space="preserve">CRCNA source; other Reformed/Presbyterian attestations also exist.</t>
  </si>
  <si>
    <t xml:space="preserve">Q-325</t>
  </si>
  <si>
    <t xml:space="preserve">Q-326</t>
  </si>
  <si>
    <t xml:space="preserve">Q-327</t>
  </si>
  <si>
    <t xml:space="preserve">Q-328</t>
  </si>
  <si>
    <t xml:space="preserve">Q-329</t>
  </si>
  <si>
    <t xml:space="preserve">Q-330</t>
  </si>
  <si>
    <t xml:space="preserve">Q-331</t>
  </si>
  <si>
    <t xml:space="preserve">RNR-H42a</t>
  </si>
  <si>
    <t xml:space="preserve">S9-IA-0270 / S8-IA-0270</t>
  </si>
  <si>
    <t xml:space="preserve">Incorporeal / without body.</t>
  </si>
  <si>
    <t xml:space="preserve">Q-332</t>
  </si>
  <si>
    <t xml:space="preserve">S9-IA-0273 / S8-IA-0273; PC(USA) Second Helvetic and Westminster rows corroborate.</t>
  </si>
  <si>
    <t xml:space="preserve">Q-333</t>
  </si>
  <si>
    <t xml:space="preserve">Session 9 H42 Church of England row recovered; exact numeric row prefix truncated.</t>
  </si>
  <si>
    <t xml:space="preserve">Q-334</t>
  </si>
  <si>
    <t xml:space="preserve">Q-335</t>
  </si>
  <si>
    <t xml:space="preserve">S9-IA-0275 / S8-IA-0275.</t>
  </si>
  <si>
    <t xml:space="preserve">Q-336</t>
  </si>
  <si>
    <t xml:space="preserve">Q-337</t>
  </si>
  <si>
    <t xml:space="preserve">RNR-H43a</t>
  </si>
  <si>
    <t xml:space="preserve">Official Latin control / recovered institution ledger</t>
  </si>
  <si>
    <t xml:space="preserve">Eastern Orthodox row remains jurisdictional/pending at exact H43 floor; Mennonite row remains not located.</t>
  </si>
  <si>
    <t xml:space="preserve">Prevents the prior 6/8 reconstruction from being mistaken for an evidence-complete breadth statistic.</t>
  </si>
  <si>
    <t xml:space="preserve">Q-338</t>
  </si>
  <si>
    <t xml:space="preserve">The Orthodox Faith — God</t>
  </si>
  <si>
    <t xml:space="preserve">Divine simplicity discussion</t>
  </si>
  <si>
    <t xml:space="preserve">https://www.oca.org/orthodoxy/the-orthodox-faith/doctrine-scripture/the-symbol-of-faith/god</t>
  </si>
  <si>
    <t xml:space="preserve">Official OCA catechetical witness supports simplicity, but exact 'without parts' equivalence has not yet been promoted.</t>
  </si>
  <si>
    <t xml:space="preserve">REVIEW</t>
  </si>
  <si>
    <t xml:space="preserve">Eastern Orthodox teaching affirms divine simplicity, but the Orthodox distinction between God's essence and His energies means the Western formula "without parts" is not simply equivalent; this cell stays pending review rather than being coded D.</t>
  </si>
  <si>
    <t xml:space="preserve">AJP 2026-09-09: keep PENDING (AUTH-ORTH-H43 opt 2). Eastern Orthodox teaching affirms divine simplicity, but the Orthodox distinction between God's essence and His energies means the Western formula "without parts" is not simply equivalent; this cell stays pending review rather than being coded D.</t>
  </si>
  <si>
    <t xml:space="preserve">Q-339</t>
  </si>
  <si>
    <t xml:space="preserve">Recovered institution ledger</t>
  </si>
  <si>
    <t xml:space="preserve">Q-340</t>
  </si>
  <si>
    <t xml:space="preserve">Q-341</t>
  </si>
  <si>
    <t xml:space="preserve">Q-342</t>
  </si>
  <si>
    <t xml:space="preserve">Historical Particular Baptist witness</t>
  </si>
  <si>
    <t xml:space="preserve">Second London Baptist Confession (1689)</t>
  </si>
  <si>
    <t xml:space="preserve">Chapter 2.1</t>
  </si>
  <si>
    <t xml:space="preserve">https://baptistconfession.org/</t>
  </si>
  <si>
    <t xml:space="preserve">Direct document; 'without body, parts, or passions'</t>
  </si>
  <si>
    <t xml:space="preserve">Second London Baptist Confession remains a historical Particular Baptist witness, but the project authority roster does not permit it to stand for the Southern Baptist Convention or all Baptists.</t>
  </si>
  <si>
    <t xml:space="preserve">Q-343</t>
  </si>
  <si>
    <t xml:space="preserve">Q-344</t>
  </si>
  <si>
    <t xml:space="preserve">NL</t>
  </si>
  <si>
    <t xml:space="preserve">Current admitted text supports Almighty/Creator but not an exact H43 'without parts/simple' predicate.</t>
  </si>
  <si>
    <t xml:space="preserve">No current Mennonite Church USA/Canada source for H43 has been certified; Dordrecht 1632 cannot establish the current branch cell.</t>
  </si>
  <si>
    <t xml:space="preserve">Q-345</t>
  </si>
  <si>
    <t xml:space="preserve">Q-346</t>
  </si>
  <si>
    <t xml:space="preserve">Q-347</t>
  </si>
  <si>
    <t xml:space="preserve">Q-348</t>
  </si>
  <si>
    <t xml:space="preserve">RNR-H44a</t>
  </si>
  <si>
    <t xml:space="preserve">S9-IA-0284 / S8-IA-0284; PC(USA) S9-IA-0285 corroborates.</t>
  </si>
  <si>
    <t xml:space="preserve">Without passions / strong impassibility; Session 9 conflict class GT.</t>
  </si>
  <si>
    <t xml:space="preserve">Q-349</t>
  </si>
  <si>
    <t xml:space="preserve">S9-IA-0283 / S8-IA-0283</t>
  </si>
  <si>
    <t xml:space="preserve">Q-350</t>
  </si>
  <si>
    <t xml:space="preserve">Q-351</t>
  </si>
  <si>
    <t xml:space="preserve">Q-352</t>
  </si>
  <si>
    <t xml:space="preserve">Q-353</t>
  </si>
  <si>
    <t xml:space="preserve">RNR-H45a</t>
  </si>
  <si>
    <t xml:space="preserve">A (Session 9) → current Q</t>
  </si>
  <si>
    <t xml:space="preserve">S9-IA-0286 / S8-IA-0286.</t>
  </si>
  <si>
    <t xml:space="preserve">Universal Catholic Church; official Latin norm controls, repository English is T1 witness.</t>
  </si>
  <si>
    <t xml:space="preserve">Session 9 treated substantive immutability as A; current master H45 is Q. Reconcile scope before public display. | RNR-H45: historical Session 9 comparison state (A) differs from current family state (Q); branch display prohibited until reconciliation is completed. | Reconciliation pass v2.7: Lateran/Vatican Catholic usage places divine unchangeability inside a classical metaphysical account of divine being. Latter-day Saint teaching shares constancy of character, purpose, covenant faithfulness, and moral perfection but does not import maximal metaphysical immutability. Q therefore applies.</t>
  </si>
  <si>
    <t xml:space="preserve">Q-354</t>
  </si>
  <si>
    <t xml:space="preserve">CURRENT OFFICIAL CATECHETICAL/LITURGICAL SOURCE RECOVERED — WEB VERIFIED</t>
  </si>
  <si>
    <t xml:space="preserve">The Orthodox Faith / Divine Liturgy</t>
  </si>
  <si>
    <t xml:space="preserve">Ever-existing and eternally the same; perfect and unchanging</t>
  </si>
  <si>
    <t xml:space="preserve">https://www.oca.org/orthodoxy/the-orthodox-faith/doctrine-scripture/the-holy-trinity/one-god-one-divine-nature-and-being</t>
  </si>
  <si>
    <t xml:space="preserve">OCA witness; not proxy for every autocephalous Orthodox church.</t>
  </si>
  <si>
    <t xml:space="preserve">RNR-H45: historical Session 9 comparison state (A) differs from current family state (Q); branch display prohibited until reconciliation is completed. | Strong sameness/unchangeability supports Q.</t>
  </si>
  <si>
    <t xml:space="preserve">Q-355</t>
  </si>
  <si>
    <t xml:space="preserve">CURRENT CONFESSIONAL SOURCE RECOVERED — WEB VERIFIED</t>
  </si>
  <si>
    <t xml:space="preserve">Formula of Concord, Solid Declaration</t>
  </si>
  <si>
    <t xml:space="preserve">Divine nature: 'since in God there is no change'</t>
  </si>
  <si>
    <t xml:space="preserve">https://bookofconcord.org/solid-declaration/</t>
  </si>
  <si>
    <t xml:space="preserve">RNR-H45: historical Session 9 comparison state (A) differs from current family state (Q); branch display prohibited until reconciliation is completed. | Explicit no-change claim supports Q.</t>
  </si>
  <si>
    <t xml:space="preserve">Q-356</t>
  </si>
  <si>
    <t xml:space="preserve">S9-IA-0287 / S8-IA-0287.</t>
  </si>
  <si>
    <t xml:space="preserve">CRCNA institutional scope.</t>
  </si>
  <si>
    <t xml:space="preserve">Session 9 A must be reconciled to current H45 Q semantic floor. | RNR-H45: historical Session 9 comparison state (A) differs from current family state (Q); branch display prohibited until reconciliation is completed. | Reconciliation pass v2.7: Belgic/Westminster usage treats immutability or unchangeability as a property of divine being as well as attributes. Latter-day Saint teaching shares divine constancy while qualifying strong metaphysical immutability, so Q applies.</t>
  </si>
  <si>
    <t xml:space="preserve">Q-357</t>
  </si>
  <si>
    <t xml:space="preserve">Thirty-Nine Articles + received Athanasian Creed</t>
  </si>
  <si>
    <t xml:space="preserve">Article I / Article VIII + Athanasian Creed</t>
  </si>
  <si>
    <t xml:space="preserve">Church of England only; not all Anglican Communion provinces.</t>
  </si>
  <si>
    <t xml:space="preserve">RNR-H45: historical Session 9 comparison state (A) differs from current family state (Q); branch display prohibited until reconciliation is completed. | Current standard reviewed; exact predicate not attested. Comparison gap, not denial.</t>
  </si>
  <si>
    <t xml:space="preserve">Q-358</t>
  </si>
  <si>
    <t xml:space="preserve">Q-359</t>
  </si>
  <si>
    <t xml:space="preserve">Q-360</t>
  </si>
  <si>
    <t xml:space="preserve">Q-361</t>
  </si>
  <si>
    <t xml:space="preserve">Q-362</t>
  </si>
  <si>
    <t xml:space="preserve">Q-363</t>
  </si>
  <si>
    <t xml:space="preserve">RNR-H46a</t>
  </si>
  <si>
    <t xml:space="preserve">S8-IA-0294 + Session 9 H46a atomic A decision; adjacent Session 9 lineage confirms unit.</t>
  </si>
  <si>
    <t xml:space="preserve">LCMS scope; text witness external to adoption page.</t>
  </si>
  <si>
    <t xml:space="preserve">Eternal at beginningless/endless duration floor.</t>
  </si>
  <si>
    <t xml:space="preserve">Q-364</t>
  </si>
  <si>
    <t xml:space="preserve">S9-IA-0297 / S8-IA-0297; CRCNA/RCA/PC(USA) rows corroborate.</t>
  </si>
  <si>
    <t xml:space="preserve">OPC primary; multiple Reformed/Presbyterian witnesses corroborate.</t>
  </si>
  <si>
    <t xml:space="preserve">Q-365</t>
  </si>
  <si>
    <t xml:space="preserve">Q-366</t>
  </si>
  <si>
    <t xml:space="preserve">II. God — eternal triune God</t>
  </si>
  <si>
    <t xml:space="preserve">Current SBC source explicitly attests eternal divine existence.</t>
  </si>
  <si>
    <t xml:space="preserve">Q-367</t>
  </si>
  <si>
    <t xml:space="preserve">S9-IA-0302 / S8-IA-0302; UMC Articles row also recovered.</t>
  </si>
  <si>
    <t xml:space="preserve">Q-368</t>
  </si>
  <si>
    <t xml:space="preserve">Q-369</t>
  </si>
  <si>
    <t xml:space="preserve">RNR-H47a</t>
  </si>
  <si>
    <t xml:space="preserve">S9-IA-0309 / S8-IA-0309; Fourth Lateran S9-IA-0303 also corroborates.</t>
  </si>
  <si>
    <t xml:space="preserve">Incomprehensible.</t>
  </si>
  <si>
    <t xml:space="preserve">Q-370</t>
  </si>
  <si>
    <t xml:space="preserve">Q-371</t>
  </si>
  <si>
    <t xml:space="preserve">Q-372</t>
  </si>
  <si>
    <t xml:space="preserve">S9-IA-0307 / S8-IA-0307; PC(USA) Scots/Westminster and CRCNA/RCA rows corroborate.</t>
  </si>
  <si>
    <t xml:space="preserve">OPC primary; multiple Reformed/Presbyterian corroborating rows.</t>
  </si>
  <si>
    <t xml:space="preserve">Q-373</t>
  </si>
  <si>
    <t xml:space="preserve">Q-374</t>
  </si>
  <si>
    <t xml:space="preserve">Q-375</t>
  </si>
  <si>
    <t xml:space="preserve">Q-376</t>
  </si>
  <si>
    <t xml:space="preserve">Article 1 — God far surpasses human comprehension and understanding</t>
  </si>
  <si>
    <t xml:space="preserve">Current Mennonite source explicitly attests incomprehensibility.</t>
  </si>
  <si>
    <t xml:space="preserve">Q-377</t>
  </si>
  <si>
    <t xml:space="preserve">RNR-H48a</t>
  </si>
  <si>
    <t xml:space="preserve">S9-IA-0310 / S8-IA-0310; Vatican I S9-IA-0311 corroborates.</t>
  </si>
  <si>
    <t xml:space="preserve">Universal Catholic Church; official Latin norm controls, English repository is T1 witness.</t>
  </si>
  <si>
    <t xml:space="preserve">Ineffable.</t>
  </si>
  <si>
    <t xml:space="preserve">Q-378</t>
  </si>
  <si>
    <t xml:space="preserve">Q-379</t>
  </si>
  <si>
    <t xml:space="preserve">Q-380</t>
  </si>
  <si>
    <t xml:space="preserve">Q-381</t>
  </si>
  <si>
    <t xml:space="preserve">Q-382</t>
  </si>
  <si>
    <t xml:space="preserve">Q-383</t>
  </si>
  <si>
    <t xml:space="preserve">Q-384</t>
  </si>
  <si>
    <t xml:space="preserve">Q-385</t>
  </si>
  <si>
    <t xml:space="preserve">Q-386</t>
  </si>
  <si>
    <t xml:space="preserve">Q-387</t>
  </si>
  <si>
    <t xml:space="preserve">Q-388</t>
  </si>
  <si>
    <t xml:space="preserve">RNR-H49a</t>
  </si>
  <si>
    <t xml:space="preserve">S9-IA-0312 / S8-IA-0312.</t>
  </si>
  <si>
    <t xml:space="preserve">Inscrutable. | PC(USA) authority page and direct Book of Confessions PDF repaired in v2.9. | PC(USA) Text URL repaired to live Book of Confessions PDF in v2.10.</t>
  </si>
  <si>
    <t xml:space="preserve">Q-389</t>
  </si>
  <si>
    <t xml:space="preserve">Q-390</t>
  </si>
  <si>
    <t xml:space="preserve">Q-391</t>
  </si>
  <si>
    <t xml:space="preserve">Q-392</t>
  </si>
  <si>
    <t xml:space="preserve">Q-393</t>
  </si>
  <si>
    <t xml:space="preserve">HISTORICAL ONLY</t>
  </si>
  <si>
    <t xml:space="preserve">OUT OF SCOPE — HISTORICAL ONLY</t>
  </si>
  <si>
    <t xml:space="preserve">EXCLUDED FROM CURRENT BRANCH MAP</t>
  </si>
  <si>
    <t xml:space="preserve">NOT APPLICABLE</t>
  </si>
  <si>
    <t xml:space="preserve">H50 historical-only under Session 7/8 source controls.</t>
  </si>
  <si>
    <t xml:space="preserve">Q-394</t>
  </si>
  <si>
    <t xml:space="preserve">Q-395</t>
  </si>
  <si>
    <t xml:space="preserve">Q-396</t>
  </si>
  <si>
    <t xml:space="preserve">Q-397</t>
  </si>
  <si>
    <t xml:space="preserve">Q-398</t>
  </si>
  <si>
    <t xml:space="preserve">Q-399</t>
  </si>
  <si>
    <t xml:space="preserve">Q-400</t>
  </si>
  <si>
    <t xml:space="preserve">Q-401</t>
  </si>
  <si>
    <t xml:space="preserve">EPISTEMIC + GUARD</t>
  </si>
  <si>
    <t xml:space="preserve">Q-402</t>
  </si>
  <si>
    <t xml:space="preserve">Q-403</t>
  </si>
  <si>
    <t xml:space="preserve">Q-404</t>
  </si>
  <si>
    <t xml:space="preserve">Q-405</t>
  </si>
  <si>
    <t xml:space="preserve">Q-406</t>
  </si>
  <si>
    <t xml:space="preserve">Q-407</t>
  </si>
  <si>
    <t xml:space="preserve">Q-408</t>
  </si>
  <si>
    <t xml:space="preserve">Q-409</t>
  </si>
  <si>
    <t xml:space="preserve">Q-410</t>
  </si>
  <si>
    <t xml:space="preserve">Q-411</t>
  </si>
  <si>
    <t xml:space="preserve">Q-412</t>
  </si>
  <si>
    <t xml:space="preserve">Q-413</t>
  </si>
  <si>
    <t xml:space="preserve">Q-414</t>
  </si>
  <si>
    <t xml:space="preserve">Q-415</t>
  </si>
  <si>
    <t xml:space="preserve">Q-416</t>
  </si>
  <si>
    <t xml:space="preserve">Q-417</t>
  </si>
  <si>
    <t xml:space="preserve">Q-418</t>
  </si>
  <si>
    <t xml:space="preserve">Q-419</t>
  </si>
  <si>
    <t xml:space="preserve">Q-420</t>
  </si>
  <si>
    <t xml:space="preserve">Q-421</t>
  </si>
  <si>
    <t xml:space="preserve">Q-422</t>
  </si>
  <si>
    <t xml:space="preserve">Q-423</t>
  </si>
  <si>
    <t xml:space="preserve">Q-424</t>
  </si>
  <si>
    <t xml:space="preserve">Q-425</t>
  </si>
  <si>
    <t xml:space="preserve">Q-426</t>
  </si>
  <si>
    <t xml:space="preserve">Q-427</t>
  </si>
  <si>
    <t xml:space="preserve">Q-428</t>
  </si>
  <si>
    <t xml:space="preserve">Q-429</t>
  </si>
  <si>
    <t xml:space="preserve">Q-430</t>
  </si>
  <si>
    <t xml:space="preserve">Q-431</t>
  </si>
  <si>
    <t xml:space="preserve">Q-432</t>
  </si>
  <si>
    <t xml:space="preserve">Q-433</t>
  </si>
  <si>
    <t xml:space="preserve">RNR-H55a</t>
  </si>
  <si>
    <t xml:space="preserve">CCC 475</t>
  </si>
  <si>
    <t xml:space="preserve">S9-IA-0328 / S8-IA-0328</t>
  </si>
  <si>
    <t xml:space="preserve">Catholic scope.</t>
  </si>
  <si>
    <t xml:space="preserve">Q-434</t>
  </si>
  <si>
    <t xml:space="preserve">S9-IA-0329 / S8-IA-0329</t>
  </si>
  <si>
    <t xml:space="preserve">Q-435</t>
  </si>
  <si>
    <t xml:space="preserve">Q-436</t>
  </si>
  <si>
    <t xml:space="preserve">Q-437</t>
  </si>
  <si>
    <t xml:space="preserve">Q-438</t>
  </si>
  <si>
    <t xml:space="preserve">Q-439</t>
  </si>
  <si>
    <t xml:space="preserve">Q-440</t>
  </si>
  <si>
    <t xml:space="preserve">Q-441</t>
  </si>
  <si>
    <t xml:space="preserve">Q-442</t>
  </si>
  <si>
    <t xml:space="preserve">Q-443</t>
  </si>
  <si>
    <t xml:space="preserve">ATOMIC VECTOR — NOT YET FAMILY TILE</t>
  </si>
  <si>
    <t xml:space="preserve">RNR-H56a + RNR-H56b</t>
  </si>
  <si>
    <t xml:space="preserve">A + D</t>
  </si>
  <si>
    <t xml:space="preserve">S9-IA-0330 &amp; S9-IA-0332</t>
  </si>
  <si>
    <t xml:space="preserve">LCMS scope; two distinct semantic layers.</t>
  </si>
  <si>
    <t xml:space="preserve">H56a relational distinction = A; H56b one-substance metaphysics = D. Public family must be vector.</t>
  </si>
  <si>
    <t xml:space="preserve">Q-444</t>
  </si>
  <si>
    <t xml:space="preserve">Chapter III / 5.001 onward</t>
  </si>
  <si>
    <t xml:space="preserve">S9-IA-0331 &amp; S9-IA-0333</t>
  </si>
  <si>
    <t xml:space="preserve">PC(USA) scope; two distinct semantic layers.</t>
  </si>
  <si>
    <t xml:space="preserve">H56a relational distinction = A; H56b one-substance metaphysics = D. Public family must be vector. | PC(USA) authority page and direct Book of Confessions PDF repaired in v2.9. | PC(USA) Text URL repaired to live Book of Confessions PDF in v2.10.</t>
  </si>
  <si>
    <t xml:space="preserve">Q-445</t>
  </si>
  <si>
    <t xml:space="preserve">Q-446</t>
  </si>
  <si>
    <t xml:space="preserve">II. God — distinct personal attributes; without division of nature, essence, or being</t>
  </si>
  <si>
    <t xml:space="preserve">Vector complete: relational distinction/unity layer = A; one-nature/essence/being metaphysical layer = D.</t>
  </si>
  <si>
    <t xml:space="preserve">Q-447</t>
  </si>
  <si>
    <t xml:space="preserve">Q-448</t>
  </si>
  <si>
    <t xml:space="preserve">Q-449</t>
  </si>
  <si>
    <t xml:space="preserve">RNR-H57a</t>
  </si>
  <si>
    <t xml:space="preserve">S9-IA-0334 / S8-IA-0334</t>
  </si>
  <si>
    <t xml:space="preserve">Official Latin controls; English repository is non-controlling witness.</t>
  </si>
  <si>
    <t xml:space="preserve">Q-450</t>
  </si>
  <si>
    <t xml:space="preserve">Q-451</t>
  </si>
  <si>
    <t xml:space="preserve">Q-452</t>
  </si>
  <si>
    <t xml:space="preserve">Q-453</t>
  </si>
  <si>
    <t xml:space="preserve">Q-454</t>
  </si>
  <si>
    <t xml:space="preserve">Q-455</t>
  </si>
  <si>
    <t xml:space="preserve">Q-456</t>
  </si>
  <si>
    <t xml:space="preserve">Final decision</t>
  </si>
  <si>
    <t xml:space="preserve">Master family</t>
  </si>
  <si>
    <t xml:space="preserve">Recovery / source status</t>
  </si>
  <si>
    <t xml:space="preserve">Public use</t>
  </si>
  <si>
    <t xml:space="preserve">RELEASE</t>
  </si>
  <si>
    <t xml:space="preserve">RECONCILED — AUTHOR SOURCE-ROLE APPROVAL</t>
  </si>
  <si>
    <t xml:space="preserve">OCA official catechesis (The Orthodox Faith Vol. I); web verified 2026-09-09</t>
  </si>
  <si>
    <t xml:space="preserve">Release (OCA scope)</t>
  </si>
  <si>
    <t xml:space="preserve">GAP ONLY</t>
  </si>
  <si>
    <t xml:space="preserve">Institution</t>
  </si>
  <si>
    <t xml:space="preserve">Authority URL</t>
  </si>
  <si>
    <t xml:space="preserve">Scope</t>
  </si>
  <si>
    <t xml:space="preserve">Reasoning / source note</t>
  </si>
  <si>
    <t xml:space="preserve">OCA official catechetical witness — jurisdictional</t>
  </si>
  <si>
    <t xml:space="preserve">RECONCILED — AUTHOR SOURCE-ROLE APPROVAL; SOURCE STRENGTHENED</t>
  </si>
  <si>
    <t xml:space="preserve">Father as unoriginate source (monarchy of the Father) reaches the H37 source-status floor; absolute from-none vs antecedent divine lineage remains the Q qualification. There is only one God because there is only one Father</t>
  </si>
  <si>
    <t xml:space="preserve">Vector complete</t>
  </si>
  <si>
    <t xml:space="preserve">Vector pending</t>
  </si>
  <si>
    <t xml:space="preserve">Pending review</t>
  </si>
  <si>
    <t xml:space="preserve">Source-role hold</t>
  </si>
  <si>
    <t xml:space="preserve">Not located</t>
  </si>
  <si>
    <t xml:space="preserve">Out of scope</t>
  </si>
  <si>
    <t xml:space="preserve">Total states</t>
  </si>
  <si>
    <t xml:space="preserve">Released results</t>
  </si>
  <si>
    <t xml:space="preserve">QA</t>
  </si>
  <si>
    <t xml:space="preserve">QA interpretation</t>
  </si>
  <si>
    <t xml:space="preserve">Meaning</t>
  </si>
  <si>
    <t xml:space="preserve">MATCH</t>
  </si>
  <si>
    <t xml:space="preserve">Partition/completeness check only: the explicit states sum to 57.</t>
  </si>
  <si>
    <t xml:space="preserve">Not a result-validation check</t>
  </si>
  <si>
    <t xml:space="preserve">It does not verify correctness of individual branch classifications.</t>
  </si>
  <si>
    <t xml:space="preserve">Inference Support Layer — Data → Observation → Defensible Inference → Boundary</t>
  </si>
  <si>
    <t xml:space="preserve">Purpose: teach learners how to reason from the comparative dataset without turning descriptive counts into stronger historical or theological claims than the evidence warrants. Metrics are formula-linked to the controlled workbook. Branch-level inferences using the 57×8 matrix inherit the SR-R provenance limitation.</t>
  </si>
  <si>
    <t xml:space="preserve">Inference ID</t>
  </si>
  <si>
    <t xml:space="preserve">Theme</t>
  </si>
  <si>
    <t xml:space="preserve">Evidence layer</t>
  </si>
  <si>
    <t xml:space="preserve">Metric</t>
  </si>
  <si>
    <t xml:space="preserve">Denominator</t>
  </si>
  <si>
    <t xml:space="preserve">Rate</t>
  </si>
  <si>
    <t xml:space="preserve">Direct observation</t>
  </si>
  <si>
    <t xml:space="preserve">Defensible inference</t>
  </si>
  <si>
    <t xml:space="preserve">Alternative interpretation / challenge</t>
  </si>
  <si>
    <t xml:space="preserve">What the data DO NOT support</t>
  </si>
  <si>
    <t xml:space="preserve">Drill-down key</t>
  </si>
  <si>
    <t xml:space="preserve">Evidence status</t>
  </si>
  <si>
    <t xml:space="preserve">Teaching priority</t>
  </si>
  <si>
    <t xml:space="preserve">Reasoning move</t>
  </si>
  <si>
    <t xml:space="preserve">Interactive prompt</t>
  </si>
  <si>
    <t xml:space="preserve">Public use status</t>
  </si>
  <si>
    <t xml:space="preserve">INF-01</t>
  </si>
  <si>
    <t xml:space="preserve">Broad inherited common ground</t>
  </si>
  <si>
    <t xml:space="preserve">Inherited 57</t>
  </si>
  <si>
    <t xml:space="preserve">Inherited predicates coded A or Q</t>
  </si>
  <si>
    <t xml:space="preserve">Most inherited predicate families fall in A or Q rather than D.</t>
  </si>
  <si>
    <t xml:space="preserve">Within this bounded corpus, identifiable conceptual common ground is broad even when some shared concepts are materially redefined.</t>
  </si>
  <si>
    <t xml:space="preserve">Predicate normalization and semantic floors affect the count; broad conceptual overlap need not mean shallow theological difference.</t>
  </si>
  <si>
    <t xml:space="preserve">It does not mean 91% identical doctrine, 91% of Christianity, or 91% agreement with any one communion.</t>
  </si>
  <si>
    <t xml:space="preserve">Inherited 57: filter Current A/Q/D/U = A or Q</t>
  </si>
  <si>
    <t xml:space="preserve">Internally accepted; external scholarly coding pending</t>
  </si>
  <si>
    <t xml:space="preserve">Core</t>
  </si>
  <si>
    <t xml:space="preserve">Aggregate count → bounded generalization</t>
  </si>
  <si>
    <t xml:space="preserve">What changes when Q is separated from A rather than counted as identical agreement?</t>
  </si>
  <si>
    <t xml:space="preserve">AVAILABLE FOR MINISTRY REVIEW — retain internal/provisional caveats</t>
  </si>
  <si>
    <t xml:space="preserve">INF-02</t>
  </si>
  <si>
    <t xml:space="preserve">Positive / kataphatic continuity</t>
  </si>
  <si>
    <t xml:space="preserve">Positive predicates with A or Q</t>
  </si>
  <si>
    <t xml:space="preserve">All 35 positive/kataphatic families are A or Q; none are D.</t>
  </si>
  <si>
    <t xml:space="preserve">Continuity is especially strong in positive descriptions of divine character, identity, power, and action.</t>
  </si>
  <si>
    <t xml:space="preserve">The positive corpus may contain many morally/relationally familiar predicates while harder metaphysical claims appear disproportionately in negative formulations.</t>
  </si>
  <si>
    <t xml:space="preserve">It does not prove that all positive theological meanings are identical or that metaphysics is unimportant.</t>
  </si>
  <si>
    <t xml:space="preserve">Inherited 57: Original mode = Kataphatic</t>
  </si>
  <si>
    <t xml:space="preserve">Subset comparison → pattern inference</t>
  </si>
  <si>
    <t xml:space="preserve">Why might two traditions agree strongly on 'God is loving' while disagreeing sharply about divine embodiment?</t>
  </si>
  <si>
    <t xml:space="preserve">INF-03</t>
  </si>
  <si>
    <t xml:space="preserve">Negative / metaphysical concentration</t>
  </si>
  <si>
    <t xml:space="preserve">Negative/apophatic families coded Q or D</t>
  </si>
  <si>
    <t xml:space="preserve">The negative/apophatic/delimiter corpus contains far more Q and all five D classifications.</t>
  </si>
  <si>
    <t xml:space="preserve">The principal semantic friction is disproportionately concentrated in negative metaphysical delimiters rather than distributed evenly across all God-language.</t>
  </si>
  <si>
    <t xml:space="preserve">Some of this asymmetry may reflect how the historical corpus itself is constructed and how apophatic propositions encode thicker metaphysical commitments.</t>
  </si>
  <si>
    <t xml:space="preserve">It does not prove that apophatic theology is false, pagan, politically invented, or intrinsically less Christian.</t>
  </si>
  <si>
    <t xml:space="preserve">Inherited 57: Original mode ≠ Kataphatic</t>
  </si>
  <si>
    <t xml:space="preserve">Contrast subsets → concentration inference</t>
  </si>
  <si>
    <t xml:space="preserve">Which negative predicates are Q rather than D, and what shared concern survives in each?</t>
  </si>
  <si>
    <t xml:space="preserve">INF-04</t>
  </si>
  <si>
    <t xml:space="preserve">Localization of hard divergence</t>
  </si>
  <si>
    <t xml:space="preserve">Direct-divergence predicates</t>
  </si>
  <si>
    <t xml:space="preserve">Only five inherited families are coded D, and all belong to the negative/metaphysical side of the corpus.</t>
  </si>
  <si>
    <t xml:space="preserve">Direct contradiction is limited in count and concentrated in a small metaphysical cluster.</t>
  </si>
  <si>
    <t xml:space="preserve">A small number of architectonic doctrines can influence the interpretation of many other propositions.</t>
  </si>
  <si>
    <t xml:space="preserve">It does not support calling the differences minor merely because there are only five D rows.</t>
  </si>
  <si>
    <t xml:space="preserve">Predicate IDs H41, H42, H43, H44, H57</t>
  </si>
  <si>
    <t xml:space="preserve">Internally accepted; centrality analysis says significance may exceed count</t>
  </si>
  <si>
    <t xml:space="preserve">Localization → significance-with-caution</t>
  </si>
  <si>
    <t xml:space="preserve">Can a small cluster of doctrines matter more than its raw count suggests?</t>
  </si>
  <si>
    <t xml:space="preserve">INF-05</t>
  </si>
  <si>
    <t xml:space="preserve">Evidence-first branch coverage</t>
  </si>
  <si>
    <t xml:space="preserve">Evidence-First Cell Queue</t>
  </si>
  <si>
    <t xml:space="preserve">Released theological-result cells in the 456-cell evidence-first queue</t>
  </si>
  <si>
    <t xml:space="preserve">The queue contains 141 released A/Q/D metric cells and 315 cells that are explicitly excluded because they are pending, vector, not located, held, or out of scope.</t>
  </si>
  <si>
    <t xml:space="preserve">The current branch layer is primarily an evidence-recovery map, not yet a complete denomination-concordance dataset.</t>
  </si>
  <si>
    <t xml:space="preserve">Coverage can increase materially as source recovery continues; released-result counts should not be confused with doctrinal importance.</t>
  </si>
  <si>
    <t xml:space="preserve">It does not support a denomination similarity percentage, a population estimate of Christian doctrine, or closest/furthest ranking.</t>
  </si>
  <si>
    <t xml:space="preserve">Evidence-First Cell Queue: Metric Class = A/Q/D vs EXCLUDED</t>
  </si>
  <si>
    <t xml:space="preserve">QUEUE-DERIVED — merged v2.9 hardening</t>
  </si>
  <si>
    <t xml:space="preserve">Coverage accounting → publication restraint</t>
  </si>
  <si>
    <t xml:space="preserve">How much of the 456-cell branch universe is actually source-ready, and what remains unresolved?</t>
  </si>
  <si>
    <t xml:space="preserve">AVAILABLE FOR MINISTRY REVIEW — coverage inference only</t>
  </si>
  <si>
    <t xml:space="preserve">INF-06</t>
  </si>
  <si>
    <t xml:space="preserve">Unequal evidence coverage</t>
  </si>
  <si>
    <t xml:space="preserve">Branch State Summary</t>
  </si>
  <si>
    <t xml:space="preserve">Range of released-result counts (max − min)</t>
  </si>
  <si>
    <t xml:space="preserve">Released A/Q/D results range from 10 to 37 cells across branches (spread 27), while each branch still displays all 57 explicit states.</t>
  </si>
  <si>
    <t xml:space="preserve">Branch comparisons must display evidence completeness alongside theological states; raw result counts are not comparable without the missingness context.</t>
  </si>
  <si>
    <t xml:space="preserve">Differences reflect admitted-source recovery as well as genuine formulation differences.</t>
  </si>
  <si>
    <t xml:space="preserve">It does not support ranking traditions by closeness or interpreting a sparse branch as unusually harmonious.</t>
  </si>
  <si>
    <t xml:space="preserve">Branch State Summary: Released results and Not located columns</t>
  </si>
  <si>
    <t xml:space="preserve">Denominator/missingness audit → ranking restraint</t>
  </si>
  <si>
    <t xml:space="preserve">Why is a branch with 9 released cells not directly comparable to one with 37?</t>
  </si>
  <si>
    <t xml:space="preserve">INF-07</t>
  </si>
  <si>
    <t xml:space="preserve">Explicit missingness</t>
  </si>
  <si>
    <t xml:space="preserve">Explicit NOT LOCATED states</t>
  </si>
  <si>
    <t xml:space="preserve">The repaired queue contains 294 explicit NOT LOCATED states rather than blank cells.</t>
  </si>
  <si>
    <t xml:space="preserve">Missingness is part of the evidence model and must be visually represented in any branch view.</t>
  </si>
  <si>
    <t xml:space="preserve">Some missingness reflects incomplete recovery; other rows are reviewed current-standard gaps.</t>
  </si>
  <si>
    <t xml:space="preserve">A NOT LOCATED state never establishes doctrinal denial, contradiction, or historical absence.</t>
  </si>
  <si>
    <t xml:space="preserve">Evidence-First Cell Queue: Rendered State begins NOT LOCATED</t>
  </si>
  <si>
    <t xml:space="preserve">Missingness audit → absence/denial distinction</t>
  </si>
  <si>
    <t xml:space="preserve">What changes when the learner can see exactly which cells are evidence gaps?</t>
  </si>
  <si>
    <t xml:space="preserve">AVAILABLE FOR MINISTRY REVIEW — explicit missingness</t>
  </si>
  <si>
    <t xml:space="preserve">INF-08</t>
  </si>
  <si>
    <t xml:space="preserve">Broad Son continuity</t>
  </si>
  <si>
    <t xml:space="preserve">H05 Son certified A across eight teaching branches</t>
  </si>
  <si>
    <t xml:space="preserve">H05 Son is public-certified A in all eight teaching branches.</t>
  </si>
  <si>
    <t xml:space="preserve">At the controlled filial identity/relationship floor, Christ-centered positive continuity is broadly attested across the current admitted branch sources.</t>
  </si>
  <si>
    <t xml:space="preserve">The shared 'Son' predicate does not erase differences in Nicene, Chalcedonian, or Restoration metaphysical explanations of sonship.</t>
  </si>
  <si>
    <t xml:space="preserve">It does not prove identical Christology or identical Father-Son ontology.</t>
  </si>
  <si>
    <t xml:space="preserve">Evidence-First Cell Queue: Family ID = RNR-H05; Rendered State = A</t>
  </si>
  <si>
    <t xml:space="preserve">QUEUE-DERIVED — complete eight-branch case</t>
  </si>
  <si>
    <t xml:space="preserve">Complete case study → bounded ecumenical inference</t>
  </si>
  <si>
    <t xml:space="preserve">What can eight A cells establish about shared confession of Jesus as Son, and what can they not establish?</t>
  </si>
  <si>
    <t xml:space="preserve">AVAILABLE FOR MINISTRY REVIEW — complete case</t>
  </si>
  <si>
    <t xml:space="preserve">INF-09</t>
  </si>
  <si>
    <t xml:space="preserve">Shared Creator confession, reconstructed ontology</t>
  </si>
  <si>
    <t xml:space="preserve">H22 Creator / Maker certified Q across eight teaching branches</t>
  </si>
  <si>
    <t xml:space="preserve">H22 Creator/Maker is Q in all eight teaching branches.</t>
  </si>
  <si>
    <t xml:space="preserve">A concept can be universally attested across the current eight-branch teaching set and genuinely shared while the Restoration materially reconstructs its creation ontology.</t>
  </si>
  <si>
    <t xml:space="preserve">Individual historical Christian traditions also differ in how they articulate creation, causality, and metaphysics.</t>
  </si>
  <si>
    <t xml:space="preserve">Shared Creator language does not establish identical creatio-ex-nihilo commitments; Q also does not reduce the overlap to mere vocabulary.</t>
  </si>
  <si>
    <t xml:space="preserve">Evidence-First Cell Queue: Family ID = RNR-H22; Rendered State = Q</t>
  </si>
  <si>
    <t xml:space="preserve">Complete case study → semantic-depth inference</t>
  </si>
  <si>
    <t xml:space="preserve">How can 'God is Creator' be both fully attested across the branches and still require Q rather than A?</t>
  </si>
  <si>
    <t xml:space="preserve">INF-10</t>
  </si>
  <si>
    <t xml:space="preserve">Simplicity divergence with visible gaps</t>
  </si>
  <si>
    <t xml:space="preserve">H43 Without parts / simple explicit-state distribution</t>
  </si>
  <si>
    <t xml:space="preserve">H43 currently shows five D cells, one PENDING REVIEW cell, and two NOT LOCATED — CURRENT SOURCE cells across the eight teaching branches.</t>
  </si>
  <si>
    <t xml:space="preserve">Divine simplicity is a real hard-divergence locus where certified, but the evidence-first display must preserve the unresolved Orthodox semantic review and current-source gaps for Baptist and Mennonite branches.</t>
  </si>
  <si>
    <t xml:space="preserve">More source recovery or semantic-floor review could alter the non-D cells without changing the already certified D cells.</t>
  </si>
  <si>
    <t xml:space="preserve">It does not support saying 'six of eight traditions reject the Latter-day Saint view' or treating pending/gap states as D.</t>
  </si>
  <si>
    <t xml:space="preserve">Evidence-First Cell Queue: Family ID = RNR-H43; inspect all eight Rendered States</t>
  </si>
  <si>
    <t xml:space="preserve">QUEUE-DERIVED — explicit-state case</t>
  </si>
  <si>
    <t xml:space="preserve">Mixed complete/incomplete case → divergence-with-missingness</t>
  </si>
  <si>
    <t xml:space="preserve">What does H43 teach differently when pending and missing cells remain visible instead of being colored as disagreements?</t>
  </si>
  <si>
    <t xml:space="preserve">AVAILABLE FOR MINISTRY REVIEW — explicit-state case</t>
  </si>
  <si>
    <t xml:space="preserve">INF-11</t>
  </si>
  <si>
    <t xml:space="preserve">Anthropological concentration of expansion</t>
  </si>
  <si>
    <t xml:space="preserve">Restoration 26</t>
  </si>
  <si>
    <t xml:space="preserve">Kinship/premortality + exaltation/family/progression additions</t>
  </si>
  <si>
    <t xml:space="preserve">The two human-destiny domains contain 15 of the 26 Restoration-addition families.</t>
  </si>
  <si>
    <t xml:space="preserve">Within this bounded addition corpus, the largest conceptual expansion concerns human origin, divine kinship, premortality, eternal family, exaltation, and progression.</t>
  </si>
  <si>
    <t xml:space="preserve">The domain scheme is itself an analytical grouping, and historical antecedents exist for some component ideas.</t>
  </si>
  <si>
    <t xml:space="preserve">It does not prove those 15 teachings were wholly absent from all previous Christianity or uniquely originated after 1830.</t>
  </si>
  <si>
    <t xml:space="preserve">Restoration 26: domains = Divine-human kinship / premortality OR Exaltation / eternal family / progression</t>
  </si>
  <si>
    <t xml:space="preserve">Internally accepted grouping; historical novelty separate</t>
  </si>
  <si>
    <t xml:space="preserve">Domain aggregation → thematic concentration</t>
  </si>
  <si>
    <t xml:space="preserve">What does the Restoration appear to add most strongly: more abstract divine attributes, or a larger story of human identity and destiny?</t>
  </si>
  <si>
    <t xml:space="preserve">INF-12</t>
  </si>
  <si>
    <t xml:space="preserve">Authority robustness of additions</t>
  </si>
  <si>
    <t xml:space="preserve">Tier I + Tier II additions</t>
  </si>
  <si>
    <t xml:space="preserve">Most Restoration additions in the corpus rest on canonical or high-level collective/official sources rather than Tier III exposition alone.</t>
  </si>
  <si>
    <t xml:space="preserve">The addition pattern is not dependent primarily on comparatively lower-authority prophetic exposition.</t>
  </si>
  <si>
    <t xml:space="preserve">Authority tiers describe source role, not truth value, historical novelty, or equal doctrinal centrality.</t>
  </si>
  <si>
    <t xml:space="preserve">It does not make every Tier II proposition canonical or every Tier III proposition dispensable.</t>
  </si>
  <si>
    <t xml:space="preserve">Restoration 26: Current authority tier = Tier I or Tier II</t>
  </si>
  <si>
    <t xml:space="preserve">Internally accepted authority-role model</t>
  </si>
  <si>
    <t xml:space="preserve">Supporting</t>
  </si>
  <si>
    <t xml:space="preserve">Authority sensitivity → robustness check</t>
  </si>
  <si>
    <t xml:space="preserve">Would the expansion pattern disappear if Tier III rows were removed?</t>
  </si>
  <si>
    <t xml:space="preserve">INF-13</t>
  </si>
  <si>
    <t xml:space="preserve">Constructive vs. subtractive distinctiveness</t>
  </si>
  <si>
    <t xml:space="preserve">Inherited 57 + Restoration 26</t>
  </si>
  <si>
    <t xml:space="preserve">Q + additions versus D among distinctive actions</t>
  </si>
  <si>
    <t xml:space="preserve">Among rows where the Restoration does something distinctive relative to the inherited corpus, reconstruction plus expansion greatly outnumber direct rejection.</t>
  </si>
  <si>
    <t xml:space="preserve">The comparative pattern is more reconstructive/additive than purely subtractive in raw predicate-action counts.</t>
  </si>
  <si>
    <t xml:space="preserve">Raw counts do not weight doctrinal centrality, and 'constructive' is a descriptive analytical category rather than a value judgment.</t>
  </si>
  <si>
    <t xml:space="preserve">It does not prove the title 'Restoration, Not Replacement,' nor that reconstruction/addition is more important than divergence.</t>
  </si>
  <si>
    <t xml:space="preserve">Inherited 57 codes Q/D + all Restoration 26 rows</t>
  </si>
  <si>
    <t xml:space="preserve">Internally accepted counts; interpretation remains bounded</t>
  </si>
  <si>
    <t xml:space="preserve">Action-type composition → bounded title support</t>
  </si>
  <si>
    <t xml:space="preserve">How does the picture change when Q is treated as reconstruction rather than simply agreement or disagreement?</t>
  </si>
  <si>
    <t xml:space="preserve">Evidence Link ID</t>
  </si>
  <si>
    <t xml:space="preserve">Evidence type</t>
  </si>
  <si>
    <t xml:space="preserve">Source sheet</t>
  </si>
  <si>
    <t xml:space="preserve">Source subset / filter</t>
  </si>
  <si>
    <t xml:space="preserve">Predicate IDs / rows</t>
  </si>
  <si>
    <t xml:space="preserve">Matrix scope</t>
  </si>
  <si>
    <t xml:space="preserve">Measure contributed</t>
  </si>
  <si>
    <t xml:space="preserve">Why relevant</t>
  </si>
  <si>
    <t xml:space="preserve">Provenance grade</t>
  </si>
  <si>
    <t xml:space="preserve">Reconstruction caveat</t>
  </si>
  <si>
    <t xml:space="preserve">EVL-001</t>
  </si>
  <si>
    <t xml:space="preserve">Aggregate</t>
  </si>
  <si>
    <t xml:space="preserve">F = A or Q</t>
  </si>
  <si>
    <t xml:space="preserve">H01–H57</t>
  </si>
  <si>
    <t xml:space="preserve">N/A</t>
  </si>
  <si>
    <t xml:space="preserve">52 of 57 shared-concept floor</t>
  </si>
  <si>
    <t xml:space="preserve">Counts all inherited families with substantive or qualified common ground.</t>
  </si>
  <si>
    <t xml:space="preserve">Accepted internal</t>
  </si>
  <si>
    <t xml:space="preserve">External coder replication pending.</t>
  </si>
  <si>
    <t xml:space="preserve">EVL-002</t>
  </si>
  <si>
    <t xml:space="preserve">Subset</t>
  </si>
  <si>
    <t xml:space="preserve">B = Kataphatic</t>
  </si>
  <si>
    <t xml:space="preserve">H01–H35</t>
  </si>
  <si>
    <t xml:space="preserve">32 A + 3 Q + 0 D</t>
  </si>
  <si>
    <t xml:space="preserve">Shows positive divine-language pattern.</t>
  </si>
  <si>
    <t xml:space="preserve">Positive/negative normalization is corpus-dependent.</t>
  </si>
  <si>
    <t xml:space="preserve">EVL-003</t>
  </si>
  <si>
    <t xml:space="preserve">B ≠ Kataphatic</t>
  </si>
  <si>
    <t xml:space="preserve">H36–H57</t>
  </si>
  <si>
    <t xml:space="preserve">4 A + 13 Q + 5 D</t>
  </si>
  <si>
    <t xml:space="preserve">Locates semantic friction in negative/delimiter corpus.</t>
  </si>
  <si>
    <t xml:space="preserve">Do not infer historical origin from coding pattern.</t>
  </si>
  <si>
    <t xml:space="preserve">EVL-004</t>
  </si>
  <si>
    <t xml:space="preserve">Predicate set</t>
  </si>
  <si>
    <t xml:space="preserve">F = D</t>
  </si>
  <si>
    <t xml:space="preserve">H41,H42,H43,H44,H57</t>
  </si>
  <si>
    <t xml:space="preserve">5 direct divergences</t>
  </si>
  <si>
    <t xml:space="preserve">Shows hard-divergence cluster.</t>
  </si>
  <si>
    <t xml:space="preserve">Centrality may make the cluster more important than raw count.</t>
  </si>
  <si>
    <t xml:space="preserve">EVL-005</t>
  </si>
  <si>
    <t xml:space="preserve">Queue aggregate</t>
  </si>
  <si>
    <t xml:space="preserve">Metric Class = A/Q/D versus EXCLUDED</t>
  </si>
  <si>
    <t xml:space="preserve">All 456 queue cells</t>
  </si>
  <si>
    <t xml:space="preserve">456 family×branch cells</t>
  </si>
  <si>
    <t xml:space="preserve">141 released result cells / 315 excluded</t>
  </si>
  <si>
    <t xml:space="preserve">Establishes current evidence coverage rather than concordance.</t>
  </si>
  <si>
    <t xml:space="preserve">QUEUE-DERIVED</t>
  </si>
  <si>
    <t xml:space="preserve">No denomination percentage or ranking.</t>
  </si>
  <si>
    <t xml:space="preserve">EVL-006</t>
  </si>
  <si>
    <t xml:space="preserve">Branch coverage</t>
  </si>
  <si>
    <t xml:space="preserve">Released-result counts by teaching branch</t>
  </si>
  <si>
    <t xml:space="preserve">8 branch summaries</t>
  </si>
  <si>
    <t xml:space="preserve">8 × 57 explicit states</t>
  </si>
  <si>
    <t xml:space="preserve">released-result range 10–37 (spread 27)</t>
  </si>
  <si>
    <t xml:space="preserve">Shows material coverage imbalance across branches.</t>
  </si>
  <si>
    <t xml:space="preserve">Missingness and recovery density affect branch comparability.</t>
  </si>
  <si>
    <t xml:space="preserve">EVL-007</t>
  </si>
  <si>
    <t xml:space="preserve">Missingness</t>
  </si>
  <si>
    <t xml:space="preserve">Rendered State begins NOT LOCATED</t>
  </si>
  <si>
    <t xml:space="preserve">456 cells</t>
  </si>
  <si>
    <t xml:space="preserve">294 explicit NOT LOCATED states</t>
  </si>
  <si>
    <t xml:space="preserve">Makes evidence gaps visible instead of treating blanks as theological data.</t>
  </si>
  <si>
    <t xml:space="preserve">NOT LOCATED never means denial.</t>
  </si>
  <si>
    <t xml:space="preserve">EVL-008</t>
  </si>
  <si>
    <t xml:space="preserve">Complete case study</t>
  </si>
  <si>
    <t xml:space="preserve">Family ID = RNR-H05</t>
  </si>
  <si>
    <t xml:space="preserve">H05</t>
  </si>
  <si>
    <t xml:space="preserve">8 branches</t>
  </si>
  <si>
    <t xml:space="preserve">8 A</t>
  </si>
  <si>
    <t xml:space="preserve">Shows broad attested continuity in confessing Jesus as Son.</t>
  </si>
  <si>
    <t xml:space="preserve">Does not establish identical Son-metaphysics.</t>
  </si>
  <si>
    <t xml:space="preserve">EVL-009</t>
  </si>
  <si>
    <t xml:space="preserve">Family ID = RNR-H22</t>
  </si>
  <si>
    <t xml:space="preserve">H22</t>
  </si>
  <si>
    <t xml:space="preserve">8 Q</t>
  </si>
  <si>
    <t xml:space="preserve">Shows universally attested Creator confession with materially reconstructed Latter-day Saint creation ontology.</t>
  </si>
  <si>
    <t xml:space="preserve">Q is shared concept plus reinterpretation, not mere word overlap.</t>
  </si>
  <si>
    <t xml:space="preserve">EVL-010</t>
  </si>
  <si>
    <t xml:space="preserve">Explicit-state case study</t>
  </si>
  <si>
    <t xml:space="preserve">Family ID = RNR-H43</t>
  </si>
  <si>
    <t xml:space="preserve">H43</t>
  </si>
  <si>
    <t xml:space="preserve">5 D / 1 pending / 2 current-source gaps</t>
  </si>
  <si>
    <t xml:space="preserve">Shows real simplicity divergence without converting unresolved/gap cells into D.</t>
  </si>
  <si>
    <t xml:space="preserve">Pending and not-located cells must remain visible.</t>
  </si>
  <si>
    <t xml:space="preserve">EVL-011</t>
  </si>
  <si>
    <t xml:space="preserve">Domain aggregate</t>
  </si>
  <si>
    <t xml:space="preserve">B = kinship/premortality or exaltation/family/progression</t>
  </si>
  <si>
    <t xml:space="preserve">A06–A12,A19–A26</t>
  </si>
  <si>
    <t xml:space="preserve">15 of 26</t>
  </si>
  <si>
    <t xml:space="preserve">Shows anthropological/human-destiny concentration.</t>
  </si>
  <si>
    <t xml:space="preserve">Corpus-relative additions; antecedence separate.</t>
  </si>
  <si>
    <t xml:space="preserve">EVL-012</t>
  </si>
  <si>
    <t xml:space="preserve">Authority sensitivity</t>
  </si>
  <si>
    <t xml:space="preserve">E = Tier I or Tier II</t>
  </si>
  <si>
    <t xml:space="preserve">22 addition rows</t>
  </si>
  <si>
    <t xml:space="preserve">22 of 26</t>
  </si>
  <si>
    <t xml:space="preserve">Shows additions do not depend primarily on Tier III.</t>
  </si>
  <si>
    <t xml:space="preserve">Authority role ≠ truth or centrality.</t>
  </si>
  <si>
    <t xml:space="preserve">EVL-013</t>
  </si>
  <si>
    <t xml:space="preserve">Action composition</t>
  </si>
  <si>
    <t xml:space="preserve">Q + additions versus D</t>
  </si>
  <si>
    <t xml:space="preserve">16 Q, 5 D, 26 additions</t>
  </si>
  <si>
    <t xml:space="preserve">42 constructive / 47 distinctive actions</t>
  </si>
  <si>
    <t xml:space="preserve">Supports reconstructive/additive pattern in raw counts.</t>
  </si>
  <si>
    <t xml:space="preserve">Unweighted count; do not convert directly to theological importance.</t>
  </si>
  <si>
    <t xml:space="preserve">Case</t>
  </si>
  <si>
    <t xml:space="preserve">Teaching use</t>
  </si>
  <si>
    <t xml:space="preserve">Display rule</t>
  </si>
  <si>
    <t xml:space="preserve">CASE-A</t>
  </si>
  <si>
    <t xml:space="preserve">Complete positive-continuity anchor: Jesus as Son is A across all eight teaching branches.</t>
  </si>
  <si>
    <t xml:space="preserve">Render all eight A cells with source drill-down; do not infer identical Nicene/Restoration metaphysics.</t>
  </si>
  <si>
    <t xml:space="preserve">CASE-Q</t>
  </si>
  <si>
    <t xml:space="preserve">Complete qualified-continuity anchor: Creator/Maker is Q across all eight teaching branches.</t>
  </si>
  <si>
    <t xml:space="preserve">Render all eight Q cells and explain shared Creator confession plus reconstructed creation ontology.</t>
  </si>
  <si>
    <t xml:space="preserve">CASE-D</t>
  </si>
  <si>
    <t xml:space="preserve">Hard-divergence anchor with explicit incompleteness: certified D where supported, pending/gaps left visible.</t>
  </si>
  <si>
    <t xml:space="preserve">Never color pending or NOT LOCATED cells as D.</t>
  </si>
  <si>
    <t xml:space="preserve">GATE 1 — 83-Row Public Wording Ratification</t>
  </si>
  <si>
    <t xml:space="preserve">This gate is for public/ministry presentation wording. It does not replace external scholarly semantic validation. Author should review each normalized summary, comparison scope, caution, and source-role label, then mark APPROVE / REVISE / HOLD.</t>
  </si>
  <si>
    <t xml:space="preserve">Family / domain</t>
  </si>
  <si>
    <t xml:space="preserve">Predicate / public summary</t>
  </si>
  <si>
    <t xml:space="preserve">Current code / tier</t>
  </si>
  <si>
    <t xml:space="preserve">Current provenance</t>
  </si>
  <si>
    <t xml:space="preserve">Source URL / pointer</t>
  </si>
  <si>
    <t xml:space="preserve">Locator / source note</t>
  </si>
  <si>
    <t xml:space="preserve">Public scope caution</t>
  </si>
  <si>
    <t xml:space="preserve">Research status</t>
  </si>
  <si>
    <t xml:space="preserve">Author decision</t>
  </si>
  <si>
    <t xml:space="preserve">Author initials</t>
  </si>
  <si>
    <t xml:space="preserve">Decision date</t>
  </si>
  <si>
    <t xml:space="preserve">Revision notes</t>
  </si>
  <si>
    <t xml:space="preserve">See inherited source report / recovered institution ledgers</t>
  </si>
  <si>
    <t xml:space="preserve">RECONSTRUCTED — source-level/master-family recertification remains publication-critical</t>
  </si>
  <si>
    <t xml:space="preserve">CONTROLLED INTERNAL — still requires public wording signoff</t>
  </si>
  <si>
    <t xml:space="preserve">CONTROLLED INTERNAL — addition authority/source wording should be author-ratified for public display</t>
  </si>
  <si>
    <t xml:space="preserve">GODHEAD / TRINITY CONTEXT PANEL — NOT COUNTED IN THE 57 OR 26 DENOMINATORS</t>
  </si>
  <si>
    <t xml:space="preserve">Purpose: address a doctrinal-locus gap in the attribute-vocabulary corpus without silently adding quantitative rows. This panel is explanatory context only. It may accompany the interactive app, but it must never change 57/26/83 counts.</t>
  </si>
  <si>
    <t xml:space="preserve">Panel ID</t>
  </si>
  <si>
    <t xml:space="preserve">Context proposition</t>
  </si>
  <si>
    <t xml:space="preserve">Historic-Christian source/example</t>
  </si>
  <si>
    <t xml:space="preserve">Historic source URL</t>
  </si>
  <si>
    <t xml:space="preserve">Latter-day Saint source/example</t>
  </si>
  <si>
    <t xml:space="preserve">Latter-day Saint URL</t>
  </si>
  <si>
    <t xml:space="preserve">Relationship to counted predicates</t>
  </si>
  <si>
    <t xml:space="preserve">Quantitative status</t>
  </si>
  <si>
    <t xml:space="preserve">Caution</t>
  </si>
  <si>
    <t xml:space="preserve">Author revision / notes</t>
  </si>
  <si>
    <t xml:space="preserve">GOD-01</t>
  </si>
  <si>
    <t xml:space="preserve">Father, Son, and Holy Spirit are explicitly named in Christian confession — in the Nicene Creed and in the Articles of Faith alike. Shared naming does not establish identical Trinity/Godhead ontology.</t>
  </si>
  <si>
    <t xml:space="preserve">Nicene-Constantinopolitan Creed / Westminster Shorter Catechism Q4–6</t>
  </si>
  <si>
    <t xml:space="preserve">Related to H04 Father, H05 Son, H34–H35 Spirit language</t>
  </si>
  <si>
    <t xml:space="preserve">NOT COUNTED</t>
  </si>
  <si>
    <t xml:space="preserve">Establish shared threefold God-language before discussing structural differences.</t>
  </si>
  <si>
    <t xml:space="preserve">Shared naming does not establish identical Trinity/Godhead ontology.</t>
  </si>
  <si>
    <t xml:space="preserve">GOD-02</t>
  </si>
  <si>
    <t xml:space="preserve">Historic conciliar and confessional Christianity commonly affirms one divine essence or nature shared by Father, Son, and Spirit. Do not reduce all Christian Trinitarian traditions to one philosophical theory.</t>
  </si>
  <si>
    <t xml:space="preserve">Nicene Creed; Augsburg Confession I; Westminster Shorter Catechism Q4–6</t>
  </si>
  <si>
    <t xml:space="preserve">H56 is the nearest counted delimiter and remains Q</t>
  </si>
  <si>
    <t xml:space="preserve">Explain why the dataset is not a complete Trinity census.</t>
  </si>
  <si>
    <t xml:space="preserve">Do not reduce all Christian Trinitarian traditions to one philosophical theory.</t>
  </si>
  <si>
    <t xml:space="preserve">GOD-03</t>
  </si>
  <si>
    <t xml:space="preserve">Restoration teaching distinguishes the Father, Son, and Holy Ghost personally and gives a distinctive embodied account of the Father and the Son. This panel is explanatory; it does not create a new A/Q/D row.</t>
  </si>
  <si>
    <t xml:space="preserve">Contextual contrast, not an inherited predicate row</t>
  </si>
  <si>
    <t xml:space="preserve">D&amp;C 130:22; Gospel Topics: Godhead</t>
  </si>
  <si>
    <t xml:space="preserve">Related to H41–H43, H56, A01–A03</t>
  </si>
  <si>
    <t xml:space="preserve">Connect Godhead structure to embodiment and unity without denominator drift.</t>
  </si>
  <si>
    <t xml:space="preserve">This panel is explanatory; it does not create a new A/Q/D row.</t>
  </si>
  <si>
    <t xml:space="preserve">GOD-04</t>
  </si>
  <si>
    <t xml:space="preserve">Unity and distinction are shared concerns even where the metaphysical account differs. The exact meaning of divine unity must be stated tradition by tradition.</t>
  </si>
  <si>
    <t xml:space="preserve">Historic Trinity language guards both distinction and unity.</t>
  </si>
  <si>
    <t xml:space="preserve">H56 Neither confounding nor dividing = Q</t>
  </si>
  <si>
    <t xml:space="preserve">Teach 'unity of faith' without pretending doctrinal conformity.</t>
  </si>
  <si>
    <t xml:space="preserve">The exact meaning of divine unity must be stated tradition by tradition.</t>
  </si>
  <si>
    <t xml:space="preserve">Current Institutional Source Recovery — Baptist and Mennonite branches</t>
  </si>
  <si>
    <t xml:space="preserve">These rows are intentionally separate from Session 8/9 rematerialization. The earlier project controls classified the Second London Baptist Confession and Dordrecht Mennonite Confession as historical witnesses rather than current institutional standards. Current branch cells therefore use the ratified present source anchors: Baptist Faith &amp; Message 2000 for SBC scope and the 1995 Mennonite Confession for adopting Mennonite bodies.</t>
  </si>
  <si>
    <t xml:space="preserve">Branch teaching label</t>
  </si>
  <si>
    <t xml:space="preserve">Current institution</t>
  </si>
  <si>
    <t xml:space="preserve">Current authoritative source</t>
  </si>
  <si>
    <t xml:space="preserve">Project role</t>
  </si>
  <si>
    <t xml:space="preserve">Permitted scope</t>
  </si>
  <si>
    <t xml:space="preserve">Official URL</t>
  </si>
  <si>
    <t xml:space="preserve">Predicates recovered</t>
  </si>
  <si>
    <t xml:space="preserve">Vector / caution</t>
  </si>
  <si>
    <t xml:space="preserve">Historical source retired</t>
  </si>
  <si>
    <t xml:space="preserve">Recovery status</t>
  </si>
  <si>
    <t xml:space="preserve">N2</t>
  </si>
  <si>
    <t xml:space="preserve">SBC cooperative identity; autonomous congregations; not all Baptists</t>
  </si>
  <si>
    <t xml:space="preserve">H01,H02,H04,H05,H06,H07a,H08,H12,H14,H22,H23,H24,H26,H27,H28,H39,H46,H56a,H56b</t>
  </si>
  <si>
    <t xml:space="preserve">H07 remains incomplete vector; H56 is complete vector; H39 uses current Q semantic floor.</t>
  </si>
  <si>
    <t xml:space="preserve">Second London Baptist Confession may remain historical corpus evidence but not a current SBC branch witness.</t>
  </si>
  <si>
    <t xml:space="preserve">WEB VERIFIED</t>
  </si>
  <si>
    <t xml:space="preserve">Current-source cells must display institution/scope on click.</t>
  </si>
  <si>
    <t xml:space="preserve">Confession of Faith in a Mennonite Perspective (1995), Articles 1 &amp; 5</t>
  </si>
  <si>
    <t xml:space="preserve">MC USA / adopting-body scope; not all Mennonite or Anabaptist bodies</t>
  </si>
  <si>
    <t xml:space="preserve">https://www.mennoniteusa.org/who-are-mennonites/what-we-believe/confession-of-faith/god/ ; https://www.mennoniteusa.org/who-are-mennonites/what-we-believe/confession-of-faith/creation-and-divine-providence/</t>
  </si>
  <si>
    <t xml:space="preserve">H04,H05,H06,H09,H12,H14,H22,H23,H27,H28,H30,H47</t>
  </si>
  <si>
    <t xml:space="preserve">No H07 or H43 current cell certified in this pass.</t>
  </si>
  <si>
    <t xml:space="preserve">Dordrecht 1632 remains historical antecedent only and is not a current institutional witness.</t>
  </si>
  <si>
    <t xml:space="preserve">Article text, not commentary, carries the primary recovered predicates unless otherwise stated.</t>
  </si>
  <si>
    <t xml:space="preserve">Tradition family</t>
  </si>
  <si>
    <t xml:space="preserve">Institution / scope anchor</t>
  </si>
  <si>
    <t xml:space="preserve">Admitted source basis</t>
  </si>
  <si>
    <t xml:space="preserve">Source role</t>
  </si>
  <si>
    <t xml:space="preserve">Permitted scope / attribution control</t>
  </si>
  <si>
    <t xml:space="preserve">Reconstruction caution</t>
  </si>
  <si>
    <t xml:space="preserve">Evidence grade</t>
  </si>
  <si>
    <t xml:space="preserve">Apostles' &amp; Nicene Creeds; Lateran IV; Vatican I (Dei Filius); CCC where admitted</t>
  </si>
  <si>
    <t xml:space="preserve">Ecumenical creed / conciliar definition / magisterial exposition</t>
  </si>
  <si>
    <t xml:space="preserve">Universal Catholic Church within document-level authority; distinguish magisterial levels</t>
  </si>
  <si>
    <t xml:space="preserve">Source-report reconstruction; some Session 19B locators used official Latin or CCC restatements.</t>
  </si>
  <si>
    <t xml:space="preserve">SR-R</t>
  </si>
  <si>
    <t xml:space="preserve">Eastern Orthodox reception layer / OCA witness</t>
  </si>
  <si>
    <t xml:space="preserve">Nicene-Constantinopolitan Creed; Chalcedon; Constantinople III; admitted Orthodox witnesses</t>
  </si>
  <si>
    <t xml:space="preserve">Received ecumenical creed/council; OCA official catechetical witness where used</t>
  </si>
  <si>
    <t xml:space="preserve">Pan-Orthodox only where reception is established; OCA cannot stand for every autocephalous church</t>
  </si>
  <si>
    <t xml:space="preserve">Source-report reconstruction; avoid inflating local/historical Orthodox confessions to communion-wide dogma.</t>
  </si>
  <si>
    <t xml:space="preserve">Lutheran (LCMS scope for institutional controls)</t>
  </si>
  <si>
    <t xml:space="preserve">Book of Concord; especially Augsburg Confession and received ecumenical creeds</t>
  </si>
  <si>
    <t xml:space="preserve">Denomination/church confession</t>
  </si>
  <si>
    <t xml:space="preserve">LCMS confessional subscription; not all Lutherans</t>
  </si>
  <si>
    <t xml:space="preserve">Source-report reconstruction; Augsburg Article I is a major admitted source.</t>
  </si>
  <si>
    <t xml:space="preserve">Reformed / Presbyterian family</t>
  </si>
  <si>
    <t xml:space="preserve">French/Gallican; Scots; Belgic; Heidelberg; Second Helvetic; Westminster/WSC; admitted Reformed sources</t>
  </si>
  <si>
    <t xml:space="preserve">Historical and institutionally adopted confessions/catechisms</t>
  </si>
  <si>
    <t xml:space="preserve">Mixed historical-family and current institutional scopes; genealogical dependence must remain visible</t>
  </si>
  <si>
    <t xml:space="preserve">Source-report reconstruction aggregates multiple Reformed/Presbyterian witnesses; not one communion.</t>
  </si>
  <si>
    <t xml:space="preserve">Thirty-Nine Articles; Book of Common Prayer tradition</t>
  </si>
  <si>
    <t xml:space="preserve">Church confession / liturgical-doctrinal standard</t>
  </si>
  <si>
    <t xml:space="preserve">Church of England scope; not automatically Anglican Communion-wide</t>
  </si>
  <si>
    <t xml:space="preserve">Source-report reconstruction; Article I is the principal admitted God-language source.</t>
  </si>
  <si>
    <t xml:space="preserve">Second London Baptist Confession (1677/1689)</t>
  </si>
  <si>
    <t xml:space="preserve">Historical denomination/church confession</t>
  </si>
  <si>
    <t xml:space="preserve">Historical Particular Baptist scope; not Southern Baptist Convention or all Baptists</t>
  </si>
  <si>
    <t xml:space="preserve">Source-report reconstruction; current SBC BF&amp;M is a different document and authority context.</t>
  </si>
  <si>
    <t xml:space="preserve">Articles of Religion; EUB Confession of Faith; admitted Methodist standards</t>
  </si>
  <si>
    <t xml:space="preserve">Denominational doctrinal standards</t>
  </si>
  <si>
    <t xml:space="preserve">UMC scope for current institutional sources</t>
  </si>
  <si>
    <t xml:space="preserve">Source-report reconstruction; multiple UMC doctrinal standards contribute.</t>
  </si>
  <si>
    <t xml:space="preserve">Historical Mennonite/Anabaptist witness</t>
  </si>
  <si>
    <t xml:space="preserve">Dordrecht Confession and admitted Anabaptist/Mennonite witness</t>
  </si>
  <si>
    <t xml:space="preserve">Historical confession</t>
  </si>
  <si>
    <t xml:space="preserve">Historical family witness; not automatically current Mennonite Church USA/Canada doctrine</t>
  </si>
  <si>
    <t xml:space="preserve">Source-report reconstruction; adoption chains must be preserved for current-institution claims.</t>
  </si>
  <si>
    <t xml:space="preserve">Term</t>
  </si>
  <si>
    <t xml:space="preserve">Working definition</t>
  </si>
  <si>
    <t xml:space="preserve">A normalized theological proposition/concept counted once even when similar language recurs in multiple documents.</t>
  </si>
  <si>
    <t xml:space="preserve">Kataphatic / positive</t>
  </si>
  <si>
    <t xml:space="preserve">Affirmative language about who God is or what God does.</t>
  </si>
  <si>
    <t xml:space="preserve">Language describing God by negation, denial, or limits placed on creaturely categories.</t>
  </si>
  <si>
    <t xml:space="preserve">A — Substantive Agreement</t>
  </si>
  <si>
    <t xml:space="preserve">The same or substantially equivalent proposition is affirmed at the controlling semantic floor.</t>
  </si>
  <si>
    <t xml:space="preserve">Q — Qualified / Redefined Agreement</t>
  </si>
  <si>
    <t xml:space="preserve">A genuine concern is shared, but ontology, mechanism, scope, or metaphysical interpretation is materially changed.</t>
  </si>
  <si>
    <t xml:space="preserve">D — Direct Divergence</t>
  </si>
  <si>
    <t xml:space="preserve">The historical proposition, at its accepted scope, is incompatible with authoritative Restoration teaching.</t>
  </si>
  <si>
    <t xml:space="preserve">U — Underdetermined</t>
  </si>
  <si>
    <t xml:space="preserve">Available evidence is insufficient for a responsible classification.</t>
  </si>
  <si>
    <t xml:space="preserve">Teaching label for inherited A rows.</t>
  </si>
  <si>
    <t xml:space="preserve">Teaching label for inherited Q rows; descriptive comparison, not proof of primitive-Christian recovery.</t>
  </si>
  <si>
    <t xml:space="preserve">Teaching label for inherited D rows; does not establish historical origin or corruption.</t>
  </si>
  <si>
    <t xml:space="preserve">Teaching label for A01–A26 Restoration additions relative to the admitted historical creed/confession corpus.</t>
  </si>
  <si>
    <t xml:space="preserve">Semantic floor</t>
  </si>
  <si>
    <t xml:space="preserve">The minimum proposition that controls a comparison; prevents a shared term from importing all of a tradition's thicker metaphysical entailments.</t>
  </si>
  <si>
    <t xml:space="preserve">Authority Tier I</t>
  </si>
  <si>
    <t xml:space="preserve">Canonical scripture in the project source-role model.</t>
  </si>
  <si>
    <t xml:space="preserve">Authority Tier II</t>
  </si>
  <si>
    <t xml:space="preserve">Collective / strongly authoritative official doctrine in the project source-role model.</t>
  </si>
  <si>
    <t xml:space="preserve">Authority Tier III</t>
  </si>
  <si>
    <t xml:space="preserve">Attributable prophetic / apostolic exposition in the project source-role model.</t>
  </si>
  <si>
    <t xml:space="preserve">Corpus-relative addition</t>
  </si>
  <si>
    <t xml:space="preserve">Present as a positive Restoration proposition but absent as a substantive positive doctrine from the admitted historical creed/confession corpus.</t>
  </si>
  <si>
    <t xml:space="preserve">Historical antecedent</t>
  </si>
  <si>
    <t xml:space="preserve">An earlier biblical, patristic, medieval, or later-Christian analogue; analogue does not automatically mean exact equivalence.</t>
  </si>
  <si>
    <t xml:space="preserve">External validation</t>
  </si>
  <si>
    <t xml:space="preserve">Independent blinded coding planned for scholarly publication; not yet completed in the current project state.</t>
  </si>
  <si>
    <t xml:space="preserve">Unity of faith</t>
  </si>
  <si>
    <t xml:space="preserve">For teaching use: shared discipleship and common faith need not imply total conformity of doctrinal interpretation.</t>
  </si>
  <si>
    <t xml:space="preserve">Tradition matrix cell</t>
  </si>
  <si>
    <t xml:space="preserve">A/Q/D means the inherited predicate is source-attested for that tradition in the working source-report reconstruction and carries the current Latter-day Saint comparison code; NL means not located.</t>
  </si>
  <si>
    <t xml:space="preserve">NL — Not located</t>
  </si>
  <si>
    <t xml:space="preserve">No admitted source in the working reconstruction was located for the predicate. It is a comparison gap, not a denial and not proof of absence from the tradition.</t>
  </si>
  <si>
    <t xml:space="preserve">Minimum-attestation denominator</t>
  </si>
  <si>
    <t xml:space="preserve">A tradition denominator includes only inherited predicates explicitly attested by an admitted tradition-specific source.</t>
  </si>
  <si>
    <t xml:space="preserve">Source-report reconstruction. Used where the accepted aggregate/profile controls are known but the exact Session 19B final cell artifact is not currently recovered.</t>
  </si>
  <si>
    <t xml:space="preserve">Tradition scope</t>
  </si>
  <si>
    <t xml:space="preserve">The institution, jurisdiction, or historical confessional family to which a source can responsibly be attributed; broad family inflation is prohibited.</t>
  </si>
  <si>
    <t xml:space="preserve">Branch profile</t>
  </si>
  <si>
    <t xml:space="preserve">Provisional A/Q/D distribution among source-attested predicates for one tradition family; not a publication-final closeness ranking.</t>
  </si>
  <si>
    <t xml:space="preserve">A statement limited to what the controlled cells, counts, proportions, or source-attested breadth directly display.</t>
  </si>
  <si>
    <t xml:space="preserve">A bounded interpretation that follows from the observed pattern if the corpus, coding, and source-scope assumptions are accepted.</t>
  </si>
  <si>
    <t xml:space="preserve">Alternative interpretation</t>
  </si>
  <si>
    <t xml:space="preserve">A plausible competing explanation or methodological challenge that should be considered before treating an inference as settled.</t>
  </si>
  <si>
    <t xml:space="preserve">Prohibited over-inference</t>
  </si>
  <si>
    <t xml:space="preserve">A stronger claim the current data do not establish, such as treating NL as denial or predicate counts as proof of historical causation.</t>
  </si>
  <si>
    <t xml:space="preserve">Inference support layer</t>
  </si>
  <si>
    <t xml:space="preserve">The workbook layer connecting formula-derived metrics to observations, bounded inferences, counterinterpretations, drill-down evidence, and teaching prompts.</t>
  </si>
  <si>
    <t xml:space="preserve">H43 Eastern Orthodox note (learner-facing)</t>
  </si>
  <si>
    <t xml:space="preserve">Predicate link</t>
  </si>
  <si>
    <t xml:space="preserve">Topic</t>
  </si>
  <si>
    <t xml:space="preserve">Historical analogue / source stream</t>
  </si>
  <si>
    <t xml:space="preserve">What is genuinely analogous</t>
  </si>
  <si>
    <t xml:space="preserve">Material difference that must remain explicit</t>
  </si>
  <si>
    <t xml:space="preserve">Theosis / deification</t>
  </si>
  <si>
    <t xml:space="preserve">Irenaeus and Athanasius</t>
  </si>
  <si>
    <t xml:space="preserve">Strong patristic evidence for participation in God and deification language.</t>
  </si>
  <si>
    <t xml:space="preserve">Does not by itself supply Latter-day Saint literal divine kinship, sealing, eternal family, or the broader exaltational ontology.</t>
  </si>
  <si>
    <t xml:space="preserve">Premortal existence</t>
  </si>
  <si>
    <t xml:space="preserve">Origen</t>
  </si>
  <si>
    <t xml:space="preserve">Substantial early-Christian precedent for pre-bodily rational-soul existence and moral history.</t>
  </si>
  <si>
    <t xml:space="preserve">Origen's cosmology of souls, fall, embodiment, and restoration differs materially from Latter-day Saint spirit-child ontology.</t>
  </si>
  <si>
    <t xml:space="preserve">RNR-A14 / RNR-A01</t>
  </si>
  <si>
    <t xml:space="preserve">Corporealist language</t>
  </si>
  <si>
    <t xml:space="preserve">Tertullian</t>
  </si>
  <si>
    <t xml:space="preserve">Real early Latin Christian corporealist precedent concerning the soul.</t>
  </si>
  <si>
    <t xml:space="preserve">A corporeal soul is not equivalent to an embodied, tangible Father; divine-corporeality claims require separate argument.</t>
  </si>
  <si>
    <t xml:space="preserve">RNR-A13 / RNR-A15</t>
  </si>
  <si>
    <t xml:space="preserve">Creation and preexistent matter</t>
  </si>
  <si>
    <t xml:space="preserve">Early Christian creation/matter debate</t>
  </si>
  <si>
    <t xml:space="preserve">Shows that creation from preexistent matter was a real early debate.</t>
  </si>
  <si>
    <t xml:space="preserve">The debate does not establish Latter-day Saint–like ex-materia ontology as early Christian consensus; counterevidence also exists.</t>
  </si>
  <si>
    <t xml:space="preserve">Monarchy / taxis of the Father</t>
  </si>
  <si>
    <t xml:space="preserve">Cappadocian pro-Nicene theology</t>
  </si>
  <si>
    <t xml:space="preserve">Strong analogue for relational order and the Father as source/cause.</t>
  </si>
  <si>
    <t xml:space="preserve">Cappadocians simultaneously affirm one divine essence and consubstantiality, unlike Latter-day Saint social-Godhead ontology.</t>
  </si>
  <si>
    <t xml:space="preserve">Divine maternal imagery</t>
  </si>
  <si>
    <t xml:space="preserve">Early feminine/maternal Spirit language</t>
  </si>
  <si>
    <t xml:space="preserve">Early Christian sources can contain feminine or maternal language for the Spirit.</t>
  </si>
  <si>
    <t xml:space="preserve">At most remote divine-maternal imagery; not a distinct Heavenly Mother, divine co-parent, or direct antecedent.</t>
  </si>
  <si>
    <t xml:space="preserve">Unending progress</t>
  </si>
  <si>
    <t xml:space="preserve">Gregory of Nyssa (epektasis)</t>
  </si>
  <si>
    <t xml:space="preserve">Substantial analogue for unending ascent or progress in the good.</t>
  </si>
  <si>
    <t xml:space="preserve">Concerns endless creaturely participation in infinite God, not the full Latter-day Saint complex of eternal increase/divine parenthood/ontological lineage.</t>
  </si>
  <si>
    <t xml:space="preserve">RNR-A20 / RNR-A22</t>
  </si>
  <si>
    <t xml:space="preserve">Heavenly marriage</t>
  </si>
  <si>
    <t xml:space="preserve">Swedenborg</t>
  </si>
  <si>
    <t xml:space="preserve">Later-Christian analogue for postmortem marriage and marital continuity.</t>
  </si>
  <si>
    <t xml:space="preserve">Not Latter-day Saint priesthood sealing, celestial degrees, exaltation requirements, or spirit-parenthood mechanics.</t>
  </si>
  <si>
    <t xml:space="preserve">Control: these are selected publication-priority examples, not a complete antecedent census of all 26 additions.</t>
  </si>
  <si>
    <t xml:space="preserve">CTA parent</t>
  </si>
  <si>
    <t xml:space="preserve">Teaching topic</t>
  </si>
  <si>
    <t xml:space="preserve">Readiness</t>
  </si>
  <si>
    <t xml:space="preserve">Core-predicate crosswalk</t>
  </si>
  <si>
    <t xml:space="preserve">Teaching control</t>
  </si>
  <si>
    <t xml:space="preserve">P01</t>
  </si>
  <si>
    <t xml:space="preserve">Divine goodness and love</t>
  </si>
  <si>
    <t xml:space="preserve">Ready</t>
  </si>
  <si>
    <t xml:space="preserve">H09, H14</t>
  </si>
  <si>
    <t xml:space="preserve">Contextual teaching map only; not an 83-predicate denominator row.</t>
  </si>
  <si>
    <t xml:space="preserve">P02</t>
  </si>
  <si>
    <t xml:space="preserve">God as Father</t>
  </si>
  <si>
    <t xml:space="preserve">H04; A06 only at thicker layer</t>
  </si>
  <si>
    <t xml:space="preserve">Contextual teaching map only; distinguish general Father-language from literal spirit parentage.</t>
  </si>
  <si>
    <t xml:space="preserve">P03</t>
  </si>
  <si>
    <t xml:space="preserve">Father of spirits</t>
  </si>
  <si>
    <t xml:space="preserve">Ready with layer control</t>
  </si>
  <si>
    <t xml:space="preserve">H04; A06, A11</t>
  </si>
  <si>
    <t xml:space="preserve">Contextual teaching map only; semantic layer matters.</t>
  </si>
  <si>
    <t xml:space="preserve">P04</t>
  </si>
  <si>
    <t xml:space="preserve">Heavenly council participants</t>
  </si>
  <si>
    <t xml:space="preserve">Not ready — U-HOLD</t>
  </si>
  <si>
    <t xml:space="preserve">A08, A12 contextual only</t>
  </si>
  <si>
    <t xml:space="preserve">Council motif may be taught carefully; named identities/roles require separate evidence.</t>
  </si>
  <si>
    <t xml:space="preserve">P05</t>
  </si>
  <si>
    <t xml:space="preserve">Preexistent Son and appointment</t>
  </si>
  <si>
    <t xml:space="preserve">H05, H22, H27, H28, H30</t>
  </si>
  <si>
    <t xml:space="preserve">Contextual teaching map only.</t>
  </si>
  <si>
    <t xml:space="preserve">P06</t>
  </si>
  <si>
    <t xml:space="preserve">Divine embodiment</t>
  </si>
  <si>
    <t xml:space="preserve">H41, H42; A01</t>
  </si>
  <si>
    <t xml:space="preserve">High-value contrast topic.</t>
  </si>
  <si>
    <t xml:space="preserve">P07</t>
  </si>
  <si>
    <t xml:space="preserve">Creation mechanics</t>
  </si>
  <si>
    <t xml:space="preserve">H22, H29; A13–A15</t>
  </si>
  <si>
    <t xml:space="preserve">High-value reconstruction topic.</t>
  </si>
  <si>
    <t xml:space="preserve">P08</t>
  </si>
  <si>
    <t xml:space="preserve">Providential status of the Fall</t>
  </si>
  <si>
    <t xml:space="preserve">Partial</t>
  </si>
  <si>
    <t xml:space="preserve">No exact H or A family</t>
  </si>
  <si>
    <t xml:space="preserve">Not an exact normalized family in the 83-row core.</t>
  </si>
  <si>
    <t xml:space="preserve">P09</t>
  </si>
  <si>
    <t xml:space="preserve">Agency and opposition</t>
  </si>
  <si>
    <t xml:space="preserve">H36 / A10 related, not identical</t>
  </si>
  <si>
    <t xml:space="preserve">Related concepts only; do not collapse agency/opposition into 'uncreated' ontology.</t>
  </si>
  <si>
    <t xml:space="preserve">P10</t>
  </si>
  <si>
    <t xml:space="preserve">Mortal developmental formation</t>
  </si>
  <si>
    <t xml:space="preserve">A11, A17, A26 thematic</t>
  </si>
  <si>
    <t xml:space="preserve">Thematic rather than exact crosswalk.</t>
  </si>
  <si>
    <t xml:space="preserve">P11</t>
  </si>
  <si>
    <t xml:space="preserve">Glorification and exaltation</t>
  </si>
  <si>
    <t xml:space="preserve">Ready; atomization required</t>
  </si>
  <si>
    <t xml:space="preserve">H20, H57; A19–A26</t>
  </si>
  <si>
    <t xml:space="preserve">Rich teaching topic; keep separate propositions distinct.</t>
  </si>
  <si>
    <t xml:space="preserve">P12</t>
  </si>
  <si>
    <t xml:space="preserve">John 17 unity and glory</t>
  </si>
  <si>
    <t xml:space="preserve">H04, H05, H14, H20; A19 partial</t>
  </si>
  <si>
    <t xml:space="preserve">Textual unity/glory does not automatically establish identical metaphysical conclusions.</t>
  </si>
  <si>
    <t xml:space="preserve">These 12 CTA parents are thematic/contextual analysis units. They do not vote into the 57 inherited predicates, the 26 additions, or the 83-concept teaching universe.</t>
  </si>
  <si>
    <t xml:space="preserve">Public Interactive App Readiness — v2.14 author-workflow controlled</t>
  </si>
  <si>
    <t xml:space="preserve">Gate</t>
  </si>
  <si>
    <t xml:space="preserve">App behavior</t>
  </si>
  <si>
    <t xml:space="preserve">Reason</t>
  </si>
  <si>
    <t xml:space="preserve">Next condition</t>
  </si>
  <si>
    <t xml:space="preserve">Public now?</t>
  </si>
  <si>
    <t xml:space="preserve">Gate 2 pipeline development</t>
  </si>
  <si>
    <t xml:space="preserve">Use v2.13 workbook; re-execute P001–P026.</t>
  </si>
  <si>
    <t xml:space="preserve">Existing quantitative/citation pipeline remains intact and ICL is isolated as NOT COUNTED.</t>
  </si>
  <si>
    <t xml:space="preserve">Code pipeline implements all build gates.</t>
  </si>
  <si>
    <t xml:space="preserve">Pipeline Validation Spec</t>
  </si>
  <si>
    <t xml:space="preserve">ICL expansion does not reopen Gate 2.</t>
  </si>
  <si>
    <t xml:space="preserve">83-row public wording ratification</t>
  </si>
  <si>
    <t xml:space="preserve">OPEN</t>
  </si>
  <si>
    <t xml:space="preserve">Do not treat row explanatory summaries as author-approved learner copy.</t>
  </si>
  <si>
    <t xml:space="preserve">83/83 remain PENDING.</t>
  </si>
  <si>
    <t xml:space="preserve">Author reviews Row Ratification.</t>
  </si>
  <si>
    <t xml:space="preserve">Row Ratification</t>
  </si>
  <si>
    <t xml:space="preserve">NO for M1/M2 copy</t>
  </si>
  <si>
    <t xml:space="preserve">Author-owned long pole.</t>
  </si>
  <si>
    <t xml:space="preserve">Inherited two-sided citations</t>
  </si>
  <si>
    <t xml:space="preserve">READY EXCEPT H50 HISTORICAL GAP</t>
  </si>
  <si>
    <t xml:space="preserve">Validate both historical and Restoration phrase targets before rendering.</t>
  </si>
  <si>
    <t xml:space="preserve">56 historical public targets + 63 Restoration assertions.</t>
  </si>
  <si>
    <t xml:space="preserve">P018/P019/P020 pass.</t>
  </si>
  <si>
    <t xml:space="preserve">Citation Phrase Targets / Restoration Phrase Targets</t>
  </si>
  <si>
    <t xml:space="preserve">YES WITH H50 GAP</t>
  </si>
  <si>
    <t xml:space="preserve">Four comparator review flags unchanged.</t>
  </si>
  <si>
    <t xml:space="preserve">Case-study evidence</t>
  </si>
  <si>
    <t xml:space="preserve">READY WITH EXPLICIT UNRELEASED STATES</t>
  </si>
  <si>
    <t xml:space="preserve">M3a uses 24 Queue-ID phrase records.</t>
  </si>
  <si>
    <t xml:space="preserve">21 released assertions; 3 explicit no-target unreleased states.</t>
  </si>
  <si>
    <t xml:space="preserve">P021 passes.</t>
  </si>
  <si>
    <t xml:space="preserve">No target invented for unreleased cells.</t>
  </si>
  <si>
    <t xml:space="preserve">Vector-family cards</t>
  </si>
  <si>
    <t xml:space="preserve">H07/H32/H56 render as VECTOR with learner captions.</t>
  </si>
  <si>
    <t xml:space="preserve">Atomic evidence must not look like a single family tile.</t>
  </si>
  <si>
    <t xml:space="preserve">P022 passes.</t>
  </si>
  <si>
    <t xml:space="preserve">Master family codes unchanged.</t>
  </si>
  <si>
    <t xml:space="preserve">Interpretive Clarification architecture</t>
  </si>
  <si>
    <t xml:space="preserve">App may ingest cases/triggers/sources; only APPROVED cases can auto-cue or become preferred answer authority.</t>
  </si>
  <si>
    <t xml:space="preserve">Layer is structurally isolated and NOT COUNTED.</t>
  </si>
  <si>
    <t xml:space="preserve">Author approves ICC-001 and future cases individually.</t>
  </si>
  <si>
    <t xml:space="preserve">ARCHITECTURE YES; ICC-001 NO</t>
  </si>
  <si>
    <t xml:space="preserve">Prototype is author-review pending.</t>
  </si>
  <si>
    <t xml:space="preserve">Clarification auto-surface policy</t>
  </si>
  <si>
    <t xml:space="preserve">HIGH relevance → one automatic cue; full explanation requires user expansion. MEDIUM/LOW stay related/explorer.</t>
  </si>
  <si>
    <t xml:space="preserve">Prevents under-explanation without turning the app into a footnote swarm.</t>
  </si>
  <si>
    <t xml:space="preserve">P024 passes.</t>
  </si>
  <si>
    <t xml:space="preserve">YES AFTER CASE APPROVAL</t>
  </si>
  <si>
    <t xml:space="preserve">Tradition alone never triggers automatically.</t>
  </si>
  <si>
    <t xml:space="preserve">Full denomination heat map</t>
  </si>
  <si>
    <t xml:space="preserve">No concordance percentages/ranking.</t>
  </si>
  <si>
    <t xml:space="preserve">Evidence coverage remains lopsided.</t>
  </si>
  <si>
    <t xml:space="preserve">Approve completeness threshold after recovery.</t>
  </si>
  <si>
    <t xml:space="preserve">MATCH remains partition check only.</t>
  </si>
  <si>
    <t xml:space="preserve">Author workflow control</t>
  </si>
  <si>
    <t xml:space="preserve">All 104 author decisions are registered; 101 are actionable and 3 future gates are blocked but visible.</t>
  </si>
  <si>
    <t xml:space="preserve">Console/queue/dashboard prevent overlooked decisions and false gate clearance.</t>
  </si>
  <si>
    <t xml:space="preserve">Complete current author queue; resolve holds; future gates become actionable only when prerequisites exist.</t>
  </si>
  <si>
    <t xml:space="preserve">AUTHOR REVIEW CONSOLE / Author Gate Dashboard</t>
  </si>
  <si>
    <t xml:space="preserve">INTERNAL AUTHOR TOOL</t>
  </si>
  <si>
    <t xml:space="preserve">Source of author gate clearance.</t>
  </si>
  <si>
    <t xml:space="preserve">Source artifact format</t>
  </si>
  <si>
    <t xml:space="preserve">Distribute controlled workbook as .xlsx.</t>
  </si>
  <si>
    <t xml:space="preserve">No VBA project is required; validation belongs in the pipeline.</t>
  </si>
  <si>
    <t xml:space="preserve">Keep macro-enabled formats out unless executable code is intentionally added/audited.</t>
  </si>
  <si>
    <t xml:space="preserve">Build Metadata / APP CONFIG</t>
  </si>
  <si>
    <t xml:space="preserve">.xlsx only for controlled source.</t>
  </si>
  <si>
    <t xml:space="preserve">Lineage &amp; Repair Audit — v2.9 hardened</t>
  </si>
  <si>
    <t xml:space="preserve">Item</t>
  </si>
  <si>
    <t xml:space="preserve">Source</t>
  </si>
  <si>
    <t xml:space="preserve">Repair / carry-forward</t>
  </si>
  <si>
    <t xml:space="preserve">App role</t>
  </si>
  <si>
    <t xml:space="preserve">Audit rule</t>
  </si>
  <si>
    <t xml:space="preserve">Known issue resolved?</t>
  </si>
  <si>
    <t xml:space="preserve">Evidence-first queue</t>
  </si>
  <si>
    <t xml:space="preserve">REBUILT</t>
  </si>
  <si>
    <t xml:space="preserve">v2.7 controlled base + v2.8 reconciliation</t>
  </si>
  <si>
    <t xml:space="preserve">Restored all Q-001…Q-456; H09 Anglican Q-069 and Baptist Q-070 restored.</t>
  </si>
  <si>
    <t xml:space="preserve">PRIMARY</t>
  </si>
  <si>
    <t xml:space="preserve">456 unique Queue IDs required.</t>
  </si>
  <si>
    <t xml:space="preserve">Defective v2.8 merge is retired.</t>
  </si>
  <si>
    <t xml:space="preserve">v2.7 queue + explicit fallback rules</t>
  </si>
  <si>
    <t xml:space="preserve">0 blank X states.</t>
  </si>
  <si>
    <t xml:space="preserve">Blank Rendered State is blocking FAIL.</t>
  </si>
  <si>
    <t xml:space="preserve">Never infer from null.</t>
  </si>
  <si>
    <t xml:space="preserve">authoritative vocabulary</t>
  </si>
  <si>
    <t xml:space="preserve">0 blank Y states; A-SF→A.</t>
  </si>
  <si>
    <t xml:space="preserve">Unknown/blank metric is blocking FAIL.</t>
  </si>
  <si>
    <t xml:space="preserve">Vectors/gaps/holds EXCLUDED.</t>
  </si>
  <si>
    <t xml:space="preserve">PC(USA) sources</t>
  </si>
  <si>
    <t xml:space="preserve">REPAIRED</t>
  </si>
  <si>
    <t xml:space="preserve">official PC(USA) Constitution page + Book of Confessions PDF</t>
  </si>
  <si>
    <t xml:space="preserve">Landing-page text URLs replaced.</t>
  </si>
  <si>
    <t xml:space="preserve">SOURCE</t>
  </si>
  <si>
    <t xml:space="preserve">No old landing page in Text URL.</t>
  </si>
  <si>
    <t xml:space="preserve">Authority and text paths separated.</t>
  </si>
  <si>
    <t xml:space="preserve">Truncated URLs</t>
  </si>
  <si>
    <t xml:space="preserve">rebuild from v2.7 + full source records</t>
  </si>
  <si>
    <t xml:space="preserve">No URL ending literal ellipsis.</t>
  </si>
  <si>
    <t xml:space="preserve">Ellipsis URL count must be 0.</t>
  </si>
  <si>
    <t xml:space="preserve">Protects H22 case.</t>
  </si>
  <si>
    <t xml:space="preserve">Case study A</t>
  </si>
  <si>
    <t xml:space="preserve">REPLACED</t>
  </si>
  <si>
    <t xml:space="preserve">evidence-first queue</t>
  </si>
  <si>
    <t xml:space="preserve">H05 Son replaces H07 Almighty.</t>
  </si>
  <si>
    <t xml:space="preserve">TEACHING</t>
  </si>
  <si>
    <t xml:space="preserve">H05 must show 8 A.</t>
  </si>
  <si>
    <t xml:space="preserve">H07 remains vector pending.</t>
  </si>
  <si>
    <t xml:space="preserve">Inference INF-05…10</t>
  </si>
  <si>
    <t xml:space="preserve">REWRITTEN</t>
  </si>
  <si>
    <t xml:space="preserve">Removed retired 138/155, 301/456, 6/8, 7/8 matrix logic.</t>
  </si>
  <si>
    <t xml:space="preserve">No retired-matrix strings.</t>
  </si>
  <si>
    <t xml:space="preserve">All six now queue-based.</t>
  </si>
  <si>
    <t xml:space="preserve">Inherited citations</t>
  </si>
  <si>
    <t xml:space="preserve">ADDED</t>
  </si>
  <si>
    <t xml:space="preserve">queue + Session 8/9 lineage + Latter-day Saint comparators</t>
  </si>
  <si>
    <t xml:space="preserve">57 two-sided citation rows; H43 cites D&amp;C 130:22.</t>
  </si>
  <si>
    <t xml:space="preserve">57 Latter-day Saint URLs required.</t>
  </si>
  <si>
    <t xml:space="preserve">H50 historical side is SOURCE-PACKET-REQUIRED.</t>
  </si>
  <si>
    <t xml:space="preserve">v2.9 authoritative enum</t>
  </si>
  <si>
    <t xml:space="preserve">A-SF/vector/gap/hold states and confidence enums normalized.</t>
  </si>
  <si>
    <t xml:space="preserve">SCHEMA</t>
  </si>
  <si>
    <t xml:space="preserve">Unknown state/enums blocking FAIL.</t>
  </si>
  <si>
    <t xml:space="preserve">One vocabulary sheet.</t>
  </si>
  <si>
    <t xml:space="preserve">Reconciliation keys</t>
  </si>
  <si>
    <t xml:space="preserve">REKEYED</t>
  </si>
  <si>
    <t xml:space="preserve">Final 24 and Pass 2 use Q-IDs, not row numbers.</t>
  </si>
  <si>
    <t xml:space="preserve">All reconciliation QIDs must exist in queue.</t>
  </si>
  <si>
    <t xml:space="preserve">Stable across row shifts.</t>
  </si>
  <si>
    <t xml:space="preserve">UNCHANGED</t>
  </si>
  <si>
    <t xml:space="preserve">author-owned</t>
  </si>
  <si>
    <t xml:space="preserve">83 PENDING, 0 auto-approved.</t>
  </si>
  <si>
    <t xml:space="preserve">GATE</t>
  </si>
  <si>
    <t xml:space="preserve">Must remain explicit until author action.</t>
  </si>
  <si>
    <t xml:space="preserve">Long pole for M1/M2.</t>
  </si>
  <si>
    <t xml:space="preserve">v2.10 repair</t>
  </si>
  <si>
    <t xml:space="preserve">Evidence</t>
  </si>
  <si>
    <t xml:space="preserve">Action</t>
  </si>
  <si>
    <t xml:space="preserve">Regression guard</t>
  </si>
  <si>
    <t xml:space="preserve">Result</t>
  </si>
  <si>
    <t xml:space="preserve">PC(USA) dead PDF</t>
  </si>
  <si>
    <t xml:space="preserve">10 queue cells + citation layer</t>
  </si>
  <si>
    <t xml:space="preserve">Replaced with live /sites/default/files/boc2016.pdf.</t>
  </si>
  <si>
    <t xml:space="preserve">P006/P007</t>
  </si>
  <si>
    <t xml:space="preserve">PASS</t>
  </si>
  <si>
    <t xml:space="preserve">Blocking review item closed.</t>
  </si>
  <si>
    <t xml:space="preserve">Citation derivation</t>
  </si>
  <si>
    <t xml:space="preserve">Inherited Public Citations</t>
  </si>
  <si>
    <t xml:space="preserve">Manual best-locator/direct pass; 0 LOCATOR REVIEW REQUIRED.</t>
  </si>
  <si>
    <t xml:space="preserve">M1 SOURCE</t>
  </si>
  <si>
    <t xml:space="preserve">P012</t>
  </si>
  <si>
    <t xml:space="preserve">H07/H32/H56 direct atomic-layer support.</t>
  </si>
  <si>
    <t xml:space="preserve">Dei Filius language</t>
  </si>
  <si>
    <t xml:space="preserve">Historical text URLs</t>
  </si>
  <si>
    <t xml:space="preserve">Latin stays authority; English becomes learner-facing text.</t>
  </si>
  <si>
    <t xml:space="preserve">V041</t>
  </si>
  <si>
    <t xml:space="preserve">H03 normalized too.</t>
  </si>
  <si>
    <t xml:space="preserve">H50 readiness</t>
  </si>
  <si>
    <t xml:space="preserve">H50 citation row</t>
  </si>
  <si>
    <t xml:space="preserve">NOT READY — HISTORICAL PACKET.</t>
  </si>
  <si>
    <t xml:space="preserve">App renders gap.</t>
  </si>
  <si>
    <t xml:space="preserve">Inference metrics</t>
  </si>
  <si>
    <t xml:space="preserve">INF-01…13</t>
  </si>
  <si>
    <t xml:space="preserve">E:F:G restored as live formulas.</t>
  </si>
  <si>
    <t xml:space="preserve">P009</t>
  </si>
  <si>
    <t xml:space="preserve">No static drift.</t>
  </si>
  <si>
    <t xml:space="preserve">Validation semantics</t>
  </si>
  <si>
    <t xml:space="preserve">Build Validation / Pipeline Spec</t>
  </si>
  <si>
    <t xml:space="preserve">Export snapshot labeled; pipeline re-execution required.</t>
  </si>
  <si>
    <t xml:space="preserve">PIPELINE</t>
  </si>
  <si>
    <t xml:space="preserve">P001–P017</t>
  </si>
  <si>
    <t xml:space="preserve">HTTP numeric status is a pipeline rule.</t>
  </si>
  <si>
    <t xml:space="preserve">v2.11 repair</t>
  </si>
  <si>
    <t xml:space="preserve">Dei Filius learner text</t>
  </si>
  <si>
    <t xml:space="preserve">7 former citation rows + queue witnesses</t>
  </si>
  <si>
    <t xml:space="preserve">Public citations reselected to released English witnesses; queue Dei Filius Text URL uses actual English translation.</t>
  </si>
  <si>
    <t xml:space="preserve">P006/P018</t>
  </si>
  <si>
    <t xml:space="preserve">Vatican Latin remains authority where applicable.</t>
  </si>
  <si>
    <t xml:space="preserve">Athanasian learner text</t>
  </si>
  <si>
    <t xml:space="preserve">H07/H36/H46/H56 + Anglican H37 queue</t>
  </si>
  <si>
    <t xml:space="preserve">Authority/adoption path separated from CCEL server-rendered text witness.</t>
  </si>
  <si>
    <t xml:space="preserve">No reliance on non-rendering CoE Athanasian body.</t>
  </si>
  <si>
    <t xml:space="preserve">Quoted historical phrases</t>
  </si>
  <si>
    <t xml:space="preserve">COMPLETED</t>
  </si>
  <si>
    <t xml:space="preserve">56/56 public-ready rows have ≤15-word phrase target; H50 deliberately blank.</t>
  </si>
  <si>
    <t xml:space="preserve">P018</t>
  </si>
  <si>
    <t xml:space="preserve">Content-addressable citations.</t>
  </si>
  <si>
    <t xml:space="preserve">Citation content validation</t>
  </si>
  <si>
    <t xml:space="preserve">Citation Phrase Targets + Pipeline Validation Spec</t>
  </si>
  <si>
    <t xml:space="preserve">HTTP success and phrase containment are separate blocking checks.</t>
  </si>
  <si>
    <t xml:space="preserve">PASS DESIGN</t>
  </si>
  <si>
    <t xml:space="preserve">Pipeline must perform actual fetch/extract/match.</t>
  </si>
  <si>
    <t xml:space="preserve">H50 historical citation</t>
  </si>
  <si>
    <t xml:space="preserve">UNCHANGED GAP</t>
  </si>
  <si>
    <t xml:space="preserve">No phrase or public URL fabricated.</t>
  </si>
  <si>
    <t xml:space="preserve">P012/P018 exclusion</t>
  </si>
  <si>
    <t xml:space="preserve">Render explicit gap.</t>
  </si>
  <si>
    <t xml:space="preserve">v2.12 engineering hardening</t>
  </si>
  <si>
    <t xml:space="preserve">Restoration comparator assertions</t>
  </si>
  <si>
    <t xml:space="preserve">57 primary + 6 supplemental URLs</t>
  </si>
  <si>
    <t xml:space="preserve">Added symmetric quoted phrases, fetch modes, locator rules, and target sheet.</t>
  </si>
  <si>
    <t xml:space="preserve">P019/P020</t>
  </si>
  <si>
    <t xml:space="preserve">No comparator decisions changed.</t>
  </si>
  <si>
    <t xml:space="preserve">Locator-scoped validation</t>
  </si>
  <si>
    <t xml:space="preserve">Historical + Restoration + case targets</t>
  </si>
  <si>
    <t xml:space="preserve">Phrase checks occur inside cited verse/article/section where structure permits.</t>
  </si>
  <si>
    <t xml:space="preserve">P020</t>
  </si>
  <si>
    <t xml:space="preserve">No silent whole-page fallback.</t>
  </si>
  <si>
    <t xml:space="preserve">PDF normalization</t>
  </si>
  <si>
    <t xml:space="preserve">HARDENED</t>
  </si>
  <si>
    <t xml:space="preserve">3 PC(USA) phrase targets</t>
  </si>
  <si>
    <t xml:space="preserve">Strip soft hyphens, expand ﬁ/ﬂ, join hyphenated line breaks before normalization.</t>
  </si>
  <si>
    <t xml:space="preserve">Protects PDF extraction assertions.</t>
  </si>
  <si>
    <t xml:space="preserve">Case-study content targets</t>
  </si>
  <si>
    <t xml:space="preserve">H05/H22/H43 × 8 branches</t>
  </si>
  <si>
    <t xml:space="preserve">24 Queue-ID records: 21 assertions + 3 explicit no-target unreleased.</t>
  </si>
  <si>
    <t xml:space="preserve">M3a SOURCE</t>
  </si>
  <si>
    <t xml:space="preserve">P021</t>
  </si>
  <si>
    <t xml:space="preserve">Q-034/Q-169 text witnesses strengthened without recoding.</t>
  </si>
  <si>
    <t xml:space="preserve">H07/H32/H56</t>
  </si>
  <si>
    <t xml:space="preserve">Required VECTOR card mode and learner-facing multi-layer captions.</t>
  </si>
  <si>
    <t xml:space="preserve">CARD SCHEMA</t>
  </si>
  <si>
    <t xml:space="preserve">P022</t>
  </si>
  <si>
    <t xml:space="preserve">Prevents atomic citation → family tile collapse.</t>
  </si>
  <si>
    <t xml:space="preserve">Author-owned decisions</t>
  </si>
  <si>
    <t xml:space="preserve">Row Ratification + four comparator flags + Orthodox holds</t>
  </si>
  <si>
    <t xml:space="preserve">No author decision made by engineering pass.</t>
  </si>
  <si>
    <t xml:space="preserve">P015 + existing holds</t>
  </si>
  <si>
    <t xml:space="preserve">PRESERVED</t>
  </si>
  <si>
    <t xml:space="preserve">Pure engineering hardening.</t>
  </si>
  <si>
    <t xml:space="preserve">v2.13 Interpretive Clarification Layer</t>
  </si>
  <si>
    <t xml:space="preserve">Canonical architecture</t>
  </si>
  <si>
    <t xml:space="preserve">APP CONFIG + four ICL sheets</t>
  </si>
  <si>
    <t xml:space="preserve">Workbook remains research source of truth; runtime DB is optional derived store.</t>
  </si>
  <si>
    <t xml:space="preserve">ARCHITECTURE</t>
  </si>
  <si>
    <t xml:space="preserve">P023–P026</t>
  </si>
  <si>
    <t xml:space="preserve">No second authoritative data store introduced.</t>
  </si>
  <si>
    <t xml:space="preserve">ICC-001 prototype</t>
  </si>
  <si>
    <t xml:space="preserve">Baptist sola fide / discipline case</t>
  </si>
  <si>
    <t xml:space="preserve">Added one NOT COUNTED case in AUTHOR_REVIEW state.</t>
  </si>
  <si>
    <t xml:space="preserve">CLARIFICATION</t>
  </si>
  <si>
    <t xml:space="preserve">P023/P026</t>
  </si>
  <si>
    <t xml:space="preserve">AUTHOR REVIEW</t>
  </si>
  <si>
    <t xml:space="preserve">No public auto-cue or approved-answer authority yet.</t>
  </si>
  <si>
    <t xml:space="preserve">Trigger policy</t>
  </si>
  <si>
    <t xml:space="preserve">18 trigger rows</t>
  </si>
  <si>
    <t xml:space="preserve">HIGH-priority context-bundled cues; tradition alone never auto-cues; one cue maximum.</t>
  </si>
  <si>
    <t xml:space="preserve">RUNTIME</t>
  </si>
  <si>
    <t xml:space="preserve">P024</t>
  </si>
  <si>
    <t xml:space="preserve">Automatic invitation, manual expansion.</t>
  </si>
  <si>
    <t xml:space="preserve">Clarification source control</t>
  </si>
  <si>
    <t xml:space="preserve">10 source rows</t>
  </si>
  <si>
    <t xml:space="preserve">Current SBC, historical 1689, and Free Will Baptist variation sources with phrase assertions.</t>
  </si>
  <si>
    <t xml:space="preserve">P025</t>
  </si>
  <si>
    <t xml:space="preserve">Content-addressable case evidence.</t>
  </si>
  <si>
    <t xml:space="preserve">Quantitative isolation</t>
  </si>
  <si>
    <t xml:space="preserve">Counted?=FALSE; quantitative impact NONE</t>
  </si>
  <si>
    <t xml:space="preserve">No change to 57/26/83 or branch denominators.</t>
  </si>
  <si>
    <t xml:space="preserve">RESEARCH</t>
  </si>
  <si>
    <t xml:space="preserve">P023</t>
  </si>
  <si>
    <t xml:space="preserve">Interpretive breadth without denominator drift.</t>
  </si>
  <si>
    <t xml:space="preserve">Author-owned gates</t>
  </si>
  <si>
    <t xml:space="preserve">Existing author review items</t>
  </si>
  <si>
    <t xml:space="preserve">No theological adjudication performed by architecture pass.</t>
  </si>
  <si>
    <t xml:space="preserve">Existing author gates</t>
  </si>
  <si>
    <t xml:space="preserve">Row Ratification and Orthodox holds unchanged.</t>
  </si>
  <si>
    <t xml:space="preserve">v2.14 Author Workflow System</t>
  </si>
  <si>
    <t xml:space="preserve">App / research role</t>
  </si>
  <si>
    <t xml:space="preserve">Decision inventory</t>
  </si>
  <si>
    <t xml:space="preserve">104 queue rows</t>
  </si>
  <si>
    <t xml:space="preserve">101 actionable + 3 future blocked decisions normalized into one queue.</t>
  </si>
  <si>
    <t xml:space="preserve">AUTHOR GOVERNANCE</t>
  </si>
  <si>
    <t xml:space="preserve">P027/V090–V098</t>
  </si>
  <si>
    <t xml:space="preserve">Includes all 83 row ratifications plus specialized author decisions.</t>
  </si>
  <si>
    <t xml:space="preserve">One-at-a-time console</t>
  </si>
  <si>
    <t xml:space="preserve">First unresolved READY decision is mirrored with context and suggested options.</t>
  </si>
  <si>
    <t xml:space="preserve">AUTHOR UX</t>
  </si>
  <si>
    <t xml:space="preserve">P028/V100</t>
  </si>
  <si>
    <t xml:space="preserve">Tested automatic advance and reset.</t>
  </si>
  <si>
    <t xml:space="preserve">Gate safety dashboard</t>
  </si>
  <si>
    <t xml:space="preserve">Nine author gates derive live from queue status.</t>
  </si>
  <si>
    <t xml:space="preserve">GOVERNANCE</t>
  </si>
  <si>
    <t xml:space="preserve">P028/V099</t>
  </si>
  <si>
    <t xml:space="preserve">HOLD and future dependencies remain visible.</t>
  </si>
  <si>
    <t xml:space="preserve">Auditable responses</t>
  </si>
  <si>
    <t xml:space="preserve">Response menu + custom text + initials/date</t>
  </si>
  <si>
    <t xml:space="preserve">Incomplete custom/metadata responses remain current.</t>
  </si>
  <si>
    <t xml:space="preserve">AUTHOR RECORD</t>
  </si>
  <si>
    <t xml:space="preserve">P029</t>
  </si>
  <si>
    <t xml:space="preserve">No macros or Apps Script required.</t>
  </si>
  <si>
    <t xml:space="preserve">Source propagation</t>
  </si>
  <si>
    <t xml:space="preserve">Row Ratification + Godhead Context</t>
  </si>
  <si>
    <t xml:space="preserve">Central responses mirror into author fields; research-code changes remain controlled.</t>
  </si>
  <si>
    <t xml:space="preserve">LINEAGE</t>
  </si>
  <si>
    <t xml:space="preserve">P030</t>
  </si>
  <si>
    <t xml:space="preserve">No silent comparator/semantic recoding.</t>
  </si>
  <si>
    <t xml:space="preserve">File format</t>
  </si>
  <si>
    <t xml:space="preserve">Controlled source remains non-macro workbook.</t>
  </si>
  <si>
    <t xml:space="preserve">ARTIFACT</t>
  </si>
  <si>
    <t xml:space="preserve">APP CONFIG</t>
  </si>
  <si>
    <t xml:space="preserve">Executable-code extension not used.</t>
  </si>
  <si>
    <t xml:space="preserve">Blocking Build Validation — v2.9 hardened</t>
  </si>
  <si>
    <t xml:space="preserve">Every BLOCKING rule must be PASS before the workbook is handed to the app build. Rules are intentionally redundant: some are computed from sheet formulas, others are pre-export integrity checks. Row Ratification is reported separately as an author-owned gate, not mechanically auto-resolved.</t>
  </si>
  <si>
    <t xml:space="preserve">Rule ID</t>
  </si>
  <si>
    <t xml:space="preserve">Severity</t>
  </si>
  <si>
    <t xml:space="preserve">Description</t>
  </si>
  <si>
    <t xml:space="preserve">Expected</t>
  </si>
  <si>
    <t xml:space="preserve">Actual</t>
  </si>
  <si>
    <t xml:space="preserve">Blocking</t>
  </si>
  <si>
    <t xml:space="preserve">Pipeline rule / rationale</t>
  </si>
  <si>
    <t xml:space="preserve">V001</t>
  </si>
  <si>
    <t xml:space="preserve">ERROR</t>
  </si>
  <si>
    <t xml:space="preserve">Evidence-first queue data rows</t>
  </si>
  <si>
    <t xml:space="preserve">len(queue)==456</t>
  </si>
  <si>
    <t xml:space="preserve">V002</t>
  </si>
  <si>
    <t xml:space="preserve">Unique Queue IDs</t>
  </si>
  <si>
    <t xml:space="preserve">len(set(QueueID))==456</t>
  </si>
  <si>
    <t xml:space="preserve">V003</t>
  </si>
  <si>
    <t xml:space="preserve">Missing Q-001…Q-456 IDs</t>
  </si>
  <si>
    <t xml:space="preserve">expected QueueID set minus actual set is empty</t>
  </si>
  <si>
    <t xml:space="preserve">V004</t>
  </si>
  <si>
    <t xml:space="preserve">Duplicate Queue IDs</t>
  </si>
  <si>
    <t xml:space="preserve">no duplicate QueueID</t>
  </si>
  <si>
    <t xml:space="preserve">V005</t>
  </si>
  <si>
    <t xml:space="preserve">Q-069 exists (H09 Good × Anglican)</t>
  </si>
  <si>
    <t xml:space="preserve">COUNT(Q-069)==1</t>
  </si>
  <si>
    <t xml:space="preserve">V006</t>
  </si>
  <si>
    <t xml:space="preserve">Q-070 exists (H09 Good × Baptist)</t>
  </si>
  <si>
    <t xml:space="preserve">COUNT(Q-070)==1</t>
  </si>
  <si>
    <t xml:space="preserve">V007</t>
  </si>
  <si>
    <t xml:space="preserve">Blank Rendered State cells</t>
  </si>
  <si>
    <t xml:space="preserve">COUNTBLANK(Rendered State)==0</t>
  </si>
  <si>
    <t xml:space="preserve">V008</t>
  </si>
  <si>
    <t xml:space="preserve">PUBLIC-CERTIFIED* rows with blank Rendered State</t>
  </si>
  <si>
    <t xml:space="preserve">no certified result may disappear from app rendering</t>
  </si>
  <si>
    <t xml:space="preserve">V009</t>
  </si>
  <si>
    <t xml:space="preserve">Queue URLs ending literal '...'</t>
  </si>
  <si>
    <t xml:space="preserve">reject truncated/pasted display URLs</t>
  </si>
  <si>
    <t xml:space="preserve">V010</t>
  </si>
  <si>
    <t xml:space="preserve">Old/dead PC(USA) Book of Confessions URL occurrences</t>
  </si>
  <si>
    <t xml:space="preserve">Reject the retired PC(USA) Book of Confessions text path; require the live boc2016.pdf Text URL.</t>
  </si>
  <si>
    <t xml:space="preserve">V011</t>
  </si>
  <si>
    <t xml:space="preserve">H05 Son A states</t>
  </si>
  <si>
    <t xml:space="preserve">RNR-H05 must be 8 A for CASE-A</t>
  </si>
  <si>
    <t xml:space="preserve">V012</t>
  </si>
  <si>
    <t xml:space="preserve">H22 Creator Q states</t>
  </si>
  <si>
    <t xml:space="preserve">RNR-H22 must be 8 Q for CASE-Q</t>
  </si>
  <si>
    <t xml:space="preserve">V013</t>
  </si>
  <si>
    <t xml:space="preserve">H43 D states</t>
  </si>
  <si>
    <t xml:space="preserve">current explicit-state case</t>
  </si>
  <si>
    <t xml:space="preserve">V014</t>
  </si>
  <si>
    <t xml:space="preserve">H43 PENDING REVIEW states</t>
  </si>
  <si>
    <t xml:space="preserve">Orthodox semantic review remains visible</t>
  </si>
  <si>
    <t xml:space="preserve">V015</t>
  </si>
  <si>
    <t xml:space="preserve">H43 current-source gap states</t>
  </si>
  <si>
    <t xml:space="preserve">Baptist and Mennonite gaps remain visible</t>
  </si>
  <si>
    <t xml:space="preserve">V016</t>
  </si>
  <si>
    <t xml:space="preserve">Retired-matrix strings in INF-05…INF-10</t>
  </si>
  <si>
    <t xml:space="preserve">no 138/155, 301/456, 6/8, 7/8, or SR-R logic</t>
  </si>
  <si>
    <t xml:space="preserve">V017</t>
  </si>
  <si>
    <t xml:space="preserve">Rendered States outside authoritative vocabulary</t>
  </si>
  <si>
    <t xml:space="preserve">State Vocabulary is authoritative</t>
  </si>
  <si>
    <t xml:space="preserve">V018</t>
  </si>
  <si>
    <t xml:space="preserve">Metric Classes outside A/Q/D/EXCLUDED</t>
  </si>
  <si>
    <t xml:space="preserve">reject unknown metric enums</t>
  </si>
  <si>
    <t xml:space="preserve">V019</t>
  </si>
  <si>
    <t xml:space="preserve">Confidence values outside canonical enumeration</t>
  </si>
  <si>
    <t xml:space="preserve">reject High/HIGH drift and ad-hoc values</t>
  </si>
  <si>
    <t xml:space="preserve">V020</t>
  </si>
  <si>
    <t xml:space="preserve">Final reconciliation unique Queue IDs</t>
  </si>
  <si>
    <t xml:space="preserve">24 H37/H39/H45 cells keyed by Queue ID</t>
  </si>
  <si>
    <t xml:space="preserve">V021</t>
  </si>
  <si>
    <t xml:space="preserve">Final reconciliation Queue IDs missing from queue</t>
  </si>
  <si>
    <t xml:space="preserve">foreign-key validation</t>
  </si>
  <si>
    <t xml:space="preserve">V022</t>
  </si>
  <si>
    <t xml:space="preserve">Pass-2 reconciliation unique Queue IDs</t>
  </si>
  <si>
    <t xml:space="preserve">16 pass-2 cells keyed by Queue ID</t>
  </si>
  <si>
    <t xml:space="preserve">V023</t>
  </si>
  <si>
    <t xml:space="preserve">Pass-2 Queue IDs missing from queue</t>
  </si>
  <si>
    <t xml:space="preserve">V024</t>
  </si>
  <si>
    <t xml:space="preserve">Inherited Public Citation rows</t>
  </si>
  <si>
    <t xml:space="preserve">one row per inherited family</t>
  </si>
  <si>
    <t xml:space="preserve">V025</t>
  </si>
  <si>
    <t xml:space="preserve">Inherited rows with Restoration comparator URL</t>
  </si>
  <si>
    <t xml:space="preserve">all H01–H57 require Latter-day Saint comparator source</t>
  </si>
  <si>
    <t xml:space="preserve">V026</t>
  </si>
  <si>
    <t xml:space="preserve">Truncated URLs in Inherited Public Citations</t>
  </si>
  <si>
    <t xml:space="preserve">reject literal ellipsis URLs</t>
  </si>
  <si>
    <t xml:space="preserve">V027</t>
  </si>
  <si>
    <t xml:space="preserve">H50 historical SOURCE-PACKET-REQUIRED guards</t>
  </si>
  <si>
    <t xml:space="preserve">do not fabricate H50 public historical URL</t>
  </si>
  <si>
    <t xml:space="preserve">V028</t>
  </si>
  <si>
    <t xml:space="preserve">Row Ratification rows still PENDING (author-owned gate)</t>
  </si>
  <si>
    <t xml:space="preserve">Author completed G6 on 2026-09-09; 0 PENDING is now the expected state.</t>
  </si>
  <si>
    <t xml:space="preserve">V029</t>
  </si>
  <si>
    <t xml:space="preserve">Row Ratification rows auto-approved</t>
  </si>
  <si>
    <t xml:space="preserve">All 83 decisions entered by author via Author Response Entry (AJP, 2026-09-09); none auto-approved.</t>
  </si>
  <si>
    <t xml:space="preserve">V030</t>
  </si>
  <si>
    <t xml:space="preserve">must remain FALSE while coverage is incomplete</t>
  </si>
  <si>
    <t xml:space="preserve">V031</t>
  </si>
  <si>
    <t xml:space="preserve">External validation state</t>
  </si>
  <si>
    <t xml:space="preserve">must not imply completed reliability</t>
  </si>
  <si>
    <t xml:space="preserve">V032</t>
  </si>
  <si>
    <t xml:space="preserve">Formula-derived Branch State Summary QA MATCH rows</t>
  </si>
  <si>
    <t xml:space="preserve">All eight branch summaries must total exactly 57 from queue-derived formulas.</t>
  </si>
  <si>
    <t xml:space="preserve">V033</t>
  </si>
  <si>
    <t xml:space="preserve">Distinct public URLs in URL Validation Snapshot</t>
  </si>
  <si>
    <t xml:space="preserve">Pipeline must numeric-HTTP-check every distinct URL.</t>
  </si>
  <si>
    <t xml:space="preserve">V034</t>
  </si>
  <si>
    <t xml:space="preserve">URL reachability snapshot unresolved failures</t>
  </si>
  <si>
    <t xml:space="preserve">Reachability snapshot contains no unresolved source-status flags; pipeline must perform numeric HTTP checks anew.</t>
  </si>
  <si>
    <t xml:space="preserve">V035</t>
  </si>
  <si>
    <t xml:space="preserve">Inference metric formula cells E5:G17</t>
  </si>
  <si>
    <t xml:space="preserve">Pipeline recomputes INF-01…13 from raw sheets and fails on mismatch.</t>
  </si>
  <si>
    <t xml:space="preserve">V036</t>
  </si>
  <si>
    <t xml:space="preserve">Historical Witness Retired TRUE flags</t>
  </si>
  <si>
    <t xml:space="preserve">Q-056, Q-342, Q-344 must be lineage-only.</t>
  </si>
  <si>
    <t xml:space="preserve">V037</t>
  </si>
  <si>
    <t xml:space="preserve">Inherited citation locators still marked LOCATOR REVIEW REQUIRED</t>
  </si>
  <si>
    <t xml:space="preserve">Citation derivation pass must eliminate block-level locators.</t>
  </si>
  <si>
    <t xml:space="preserve">V038</t>
  </si>
  <si>
    <t xml:space="preserve">H50 Public citation readiness</t>
  </si>
  <si>
    <t xml:space="preserve">No fabricated historical public URL.</t>
  </si>
  <si>
    <t xml:space="preserve">V039</t>
  </si>
  <si>
    <t xml:space="preserve">Comparator author-review flags</t>
  </si>
  <si>
    <t xml:space="preserve">H06, H09, H19, H20 remain author-review suggestions, not defects.</t>
  </si>
  <si>
    <t xml:space="preserve">V040</t>
  </si>
  <si>
    <t xml:space="preserve">Citation rows using dead PC(USA) URL</t>
  </si>
  <si>
    <t xml:space="preserve">Applies to historical citation Authority/Text URLs.</t>
  </si>
  <si>
    <t xml:space="preserve">Citation rows using Latin Dei Filius as Text URL</t>
  </si>
  <si>
    <t xml:space="preserve">Latin may remain Authority URL; learner-facing Text URL must be English.</t>
  </si>
  <si>
    <t xml:space="preserve">V042</t>
  </si>
  <si>
    <t xml:space="preserve">Queue rows with dead PC(USA) URL</t>
  </si>
  <si>
    <t xml:space="preserve">Blocking URL regression check.</t>
  </si>
  <si>
    <t xml:space="preserve">V043</t>
  </si>
  <si>
    <t xml:space="preserve">Build Validation mode</t>
  </si>
  <si>
    <t xml:space="preserve">Persisted PASS values are not trusted after edits.</t>
  </si>
  <si>
    <t xml:space="preserve">V044</t>
  </si>
  <si>
    <t xml:space="preserve">Public-ready inherited citations with nonblank quoted phrase</t>
  </si>
  <si>
    <t xml:space="preserve">All non-H50 public rows must carry phrase assertion.</t>
  </si>
  <si>
    <t xml:space="preserve">V045</t>
  </si>
  <si>
    <t xml:space="preserve">Quoted phrases longer than 15 words</t>
  </si>
  <si>
    <t xml:space="preserve">Keeps snippets bounded and machine-checkable.</t>
  </si>
  <si>
    <t xml:space="preserve">V046</t>
  </si>
  <si>
    <t xml:space="preserve">H50 quoted phrase blank while readiness is packet-only</t>
  </si>
  <si>
    <t xml:space="preserve">Intentional gap; no fabricated phrase.</t>
  </si>
  <si>
    <t xml:space="preserve">V047</t>
  </si>
  <si>
    <t xml:space="preserve">Citation Text URLs using false-English Vatican Dei Filius UI page</t>
  </si>
  <si>
    <t xml:space="preserve">Learner-facing Dei Filius text must be actually English.</t>
  </si>
  <si>
    <t xml:space="preserve">V048</t>
  </si>
  <si>
    <t xml:space="preserve">Citation Text URLs using non-rendering CoE Athanasian page</t>
  </si>
  <si>
    <t xml:space="preserve">Use server-rendered Athanasian text witness.</t>
  </si>
  <si>
    <t xml:space="preserve">V049</t>
  </si>
  <si>
    <t xml:space="preserve">Citation Phrase Target data rows</t>
  </si>
  <si>
    <t xml:space="preserve">56 public targets + H50 explicit no-target record.</t>
  </si>
  <si>
    <t xml:space="preserve">V050</t>
  </si>
  <si>
    <t xml:space="preserve">Public phrase targets marked FAIL/blank</t>
  </si>
  <si>
    <t xml:space="preserve">Every READY row has a content assertion target.</t>
  </si>
  <si>
    <t xml:space="preserve">V051</t>
  </si>
  <si>
    <t xml:space="preserve">Pipeline phrase-containment rule P018 present</t>
  </si>
  <si>
    <t xml:space="preserve">HTTP status alone is insufficient.</t>
  </si>
  <si>
    <t xml:space="preserve">V052</t>
  </si>
  <si>
    <t xml:space="preserve">Current distinct public URLs in reachability snapshot</t>
  </si>
  <si>
    <t xml:space="preserve">Snapshot must cover current URL set after source replacement.</t>
  </si>
  <si>
    <t xml:space="preserve">V053</t>
  </si>
  <si>
    <t xml:space="preserve">Restoration Phrase Target rows</t>
  </si>
  <si>
    <t xml:space="preserve">V054</t>
  </si>
  <si>
    <t xml:space="preserve">Restoration PRIMARY target rows</t>
  </si>
  <si>
    <t xml:space="preserve">One primary assertion per inherited predicate.</t>
  </si>
  <si>
    <t xml:space="preserve">V055</t>
  </si>
  <si>
    <t xml:space="preserve">Restoration SUPPLEMENTAL target rows</t>
  </si>
  <si>
    <t xml:space="preserve">Every supplemental comparator URL is content-asserted.</t>
  </si>
  <si>
    <t xml:space="preserve">V056</t>
  </si>
  <si>
    <t xml:space="preserve">Restoration target blank phrases</t>
  </si>
  <si>
    <t xml:space="preserve">No comparator URL may lack a phrase target.</t>
  </si>
  <si>
    <t xml:space="preserve">V057</t>
  </si>
  <si>
    <t xml:space="preserve">Restoration phrases longer than 15 words</t>
  </si>
  <si>
    <t xml:space="preserve">Keep assertion snippets bounded.</t>
  </si>
  <si>
    <t xml:space="preserve">V058</t>
  </si>
  <si>
    <t xml:space="preserve">Restoration citation primary phrase mismatches target sheet</t>
  </si>
  <si>
    <t xml:space="preserve">Citation W must equal PRIMARY target phrase.</t>
  </si>
  <si>
    <t xml:space="preserve">V059</t>
  </si>
  <si>
    <t xml:space="preserve">Pipeline Restoration content rule P019 present</t>
  </si>
  <si>
    <t xml:space="preserve">Symmetric comparator validation.</t>
  </si>
  <si>
    <t xml:space="preserve">V060</t>
  </si>
  <si>
    <t xml:space="preserve">Historical PDF phrase-target rows</t>
  </si>
  <si>
    <t xml:space="preserve">Current PDF branch comprises H04/H06/H49 PC(USA) targets.</t>
  </si>
  <si>
    <t xml:space="preserve">V061</t>
  </si>
  <si>
    <t xml:space="preserve">Historical PDF normalization rows missing soft-hyphen/ligature/line-break repair</t>
  </si>
  <si>
    <t xml:space="preserve">PDF-specific normalization required.</t>
  </si>
  <si>
    <t xml:space="preserve">V062</t>
  </si>
  <si>
    <t xml:space="preserve">Pipeline locator-scope/PDF rule P020 present</t>
  </si>
  <si>
    <t xml:space="preserve">Scoped assertion validation required.</t>
  </si>
  <si>
    <t xml:space="preserve">V063</t>
  </si>
  <si>
    <t xml:space="preserve">Case Study Phrase Target rows</t>
  </si>
  <si>
    <t xml:space="preserve">H05/H22/H43 × 8 branches (24) + Q-290 Eastern Orthodox H37 supplemental targets (2) = 26 rows in sheet.</t>
  </si>
  <si>
    <t xml:space="preserve">V064</t>
  </si>
  <si>
    <t xml:space="preserve">Case Study ASSERT targets</t>
  </si>
  <si>
    <t xml:space="preserve">All released case-study cells must be asserted.</t>
  </si>
  <si>
    <t xml:space="preserve">V065</t>
  </si>
  <si>
    <t xml:space="preserve">Case Study NO TARGET — UNRELEASED rows</t>
  </si>
  <si>
    <t xml:space="preserve">Q-338/Q-342/Q-344 remain explicit no-targets.</t>
  </si>
  <si>
    <t xml:space="preserve">V066</t>
  </si>
  <si>
    <t xml:space="preserve">Case Study phrases longer than 15 words</t>
  </si>
  <si>
    <t xml:space="preserve">Bounded phrase assertions.</t>
  </si>
  <si>
    <t xml:space="preserve">V067</t>
  </si>
  <si>
    <t xml:space="preserve">Case Study Queue-ID foreign-key failures</t>
  </si>
  <si>
    <t xml:space="preserve">Targets keyed to stable Queue ID.</t>
  </si>
  <si>
    <t xml:space="preserve">V068</t>
  </si>
  <si>
    <t xml:space="preserve">Case Study Rendered State mismatches queue</t>
  </si>
  <si>
    <t xml:space="preserve">Target status must mirror queue state.</t>
  </si>
  <si>
    <t xml:space="preserve">V069</t>
  </si>
  <si>
    <t xml:space="preserve">Pipeline case-study rule P021 present</t>
  </si>
  <si>
    <t xml:space="preserve">Case-study assertions are blocking.</t>
  </si>
  <si>
    <t xml:space="preserve">V070</t>
  </si>
  <si>
    <t xml:space="preserve">Vector Family Caption rows</t>
  </si>
  <si>
    <t xml:space="preserve">H07/H32/H56 only.</t>
  </si>
  <si>
    <t xml:space="preserve">V071</t>
  </si>
  <si>
    <t xml:space="preserve">Vector rows with Card Mode=VECTOR</t>
  </si>
  <si>
    <t xml:space="preserve">Prevent single-tile rendering.</t>
  </si>
  <si>
    <t xml:space="preserve">V072</t>
  </si>
  <si>
    <t xml:space="preserve">Vector rows with nonblank learner caption</t>
  </si>
  <si>
    <t xml:space="preserve">Caption must accompany atomic evidence.</t>
  </si>
  <si>
    <t xml:space="preserve">V073</t>
  </si>
  <si>
    <t xml:space="preserve">Pipeline vector-caption rule P022 present</t>
  </si>
  <si>
    <t xml:space="preserve">Card renderer must enforce VECTOR captions.</t>
  </si>
  <si>
    <t xml:space="preserve">V074</t>
  </si>
  <si>
    <t xml:space="preserve">Total phrase assertions across historical + Restoration + released case targets</t>
  </si>
  <si>
    <t xml:space="preserve">56 + 63 + 21 + 2 (Q-290 queue-cell) content assertions.</t>
  </si>
  <si>
    <t xml:space="preserve">V075</t>
  </si>
  <si>
    <t xml:space="preserve">Interpretive Clarification case rows</t>
  </si>
  <si>
    <t xml:space="preserve">ICC-001 and ICC-002 (paired).</t>
  </si>
  <si>
    <t xml:space="preserve">V076</t>
  </si>
  <si>
    <t xml:space="preserve">Clarification cases with Counted?=TRUE</t>
  </si>
  <si>
    <t xml:space="preserve">Interpretive cases must not enter quantitative denominators.</t>
  </si>
  <si>
    <t xml:space="preserve">V077</t>
  </si>
  <si>
    <t xml:space="preserve">Clarification cases awaiting author review</t>
  </si>
  <si>
    <t xml:space="preserve">Both cases author-approved 2026-09-09.</t>
  </si>
  <si>
    <t xml:space="preserve">V078</t>
  </si>
  <si>
    <t xml:space="preserve">Clarification Trigger Map rows</t>
  </si>
  <si>
    <t xml:space="preserve">18 ICC-001 + 17 ICC-002 triggers.</t>
  </si>
  <si>
    <t xml:space="preserve">V079</t>
  </si>
  <si>
    <t xml:space="preserve">Clarification trigger Case-ID foreign-key failures</t>
  </si>
  <si>
    <t xml:space="preserve">All triggers must resolve to a case.</t>
  </si>
  <si>
    <t xml:space="preserve">V080</t>
  </si>
  <si>
    <t xml:space="preserve">Clarification Source rows</t>
  </si>
  <si>
    <t xml:space="preserve">10 ICC-001 + 10 ICC-002 sources.</t>
  </si>
  <si>
    <t xml:space="preserve">V081</t>
  </si>
  <si>
    <t xml:space="preserve">Clarification source Case-ID foreign-key failures</t>
  </si>
  <si>
    <t xml:space="preserve">All sources must resolve to a case.</t>
  </si>
  <si>
    <t xml:space="preserve">V082</t>
  </si>
  <si>
    <t xml:space="preserve">Clarification sources with blank phrase assertion</t>
  </si>
  <si>
    <t xml:space="preserve">Every clarification source is content-addressable.</t>
  </si>
  <si>
    <t xml:space="preserve">V083</t>
  </si>
  <si>
    <t xml:space="preserve">Clarification source phrases longer than 15 words</t>
  </si>
  <si>
    <t xml:space="preserve">Bounded content assertions.</t>
  </si>
  <si>
    <t xml:space="preserve">V084</t>
  </si>
  <si>
    <t xml:space="preserve">Tradition-only triggers eligible for automatic cue</t>
  </si>
  <si>
    <t xml:space="preserve">Tradition selection alone may not create intrusive clarifications.</t>
  </si>
  <si>
    <t xml:space="preserve">V085</t>
  </si>
  <si>
    <t xml:space="preserve">Clarification auto-cue maximum per view</t>
  </si>
  <si>
    <t xml:space="preserve">One automatic invitation maximum.</t>
  </si>
  <si>
    <t xml:space="preserve">V086</t>
  </si>
  <si>
    <t xml:space="preserve">Clarification authority-state violations</t>
  </si>
  <si>
    <t xml:space="preserve">Unapproved cases may not become approved answer authority/public auto-cues.</t>
  </si>
  <si>
    <t xml:space="preserve">V087</t>
  </si>
  <si>
    <t xml:space="preserve">Clarification source phrase assertions</t>
  </si>
  <si>
    <t xml:space="preserve">P025 validates all 20; ICS-020 pending rendered fetch.</t>
  </si>
  <si>
    <t xml:space="preserve">V088</t>
  </si>
  <si>
    <t xml:space="preserve">Pipeline clarification rules P023–P026 present</t>
  </si>
  <si>
    <t xml:space="preserve">Counted, trigger-policy, source, and answer-authority guards are required.</t>
  </si>
  <si>
    <t xml:space="preserve">V089</t>
  </si>
  <si>
    <t xml:space="preserve">Total phrase assertions including clarification layer</t>
  </si>
  <si>
    <t xml:space="preserve">56 + 63 + 21 + 2 + 20 clarification assertions.</t>
  </si>
  <si>
    <t xml:space="preserve">V090</t>
  </si>
  <si>
    <t xml:space="preserve">Author Decision Queue data rows</t>
  </si>
  <si>
    <t xml:space="preserve">Complete author inventory.</t>
  </si>
  <si>
    <t xml:space="preserve">V091</t>
  </si>
  <si>
    <t xml:space="preserve">Duplicate Author Decision IDs</t>
  </si>
  <si>
    <t xml:space="preserve">No duplicate decisions.</t>
  </si>
  <si>
    <t xml:space="preserve">V092</t>
  </si>
  <si>
    <t xml:space="preserve">Currently actionable author decisions</t>
  </si>
  <si>
    <t xml:space="preserve">Ready author workload.</t>
  </si>
  <si>
    <t xml:space="preserve">V093</t>
  </si>
  <si>
    <t xml:space="preserve">Registered future blocked author decisions</t>
  </si>
  <si>
    <t xml:space="preserve">Future gates remain visible.</t>
  </si>
  <si>
    <t xml:space="preserve">V094</t>
  </si>
  <si>
    <t xml:space="preserve">Row Ratification author decisions inventoried</t>
  </si>
  <si>
    <t xml:space="preserve">Every one of 83 rows has a workflow decision.</t>
  </si>
  <si>
    <t xml:space="preserve">V095</t>
  </si>
  <si>
    <t xml:space="preserve">Restoration comparator author decisions inventoried</t>
  </si>
  <si>
    <t xml:space="preserve">H06/H09/H19/H20.</t>
  </si>
  <si>
    <t xml:space="preserve">V096</t>
  </si>
  <si>
    <t xml:space="preserve">Orthodox author adjudications inventoried</t>
  </si>
  <si>
    <t xml:space="preserve">H37 source role + H43 semantic floor.</t>
  </si>
  <si>
    <t xml:space="preserve">V097</t>
  </si>
  <si>
    <t xml:space="preserve">Godhead Context author decisions inventoried</t>
  </si>
  <si>
    <t xml:space="preserve">GOD-01–04.</t>
  </si>
  <si>
    <t xml:space="preserve">V098</t>
  </si>
  <si>
    <t xml:space="preserve">Architecture + ICC prototype decisions inventoried</t>
  </si>
  <si>
    <t xml:space="preserve">6 architecture/governance + 2 ICC-001 decisions.</t>
  </si>
  <si>
    <t xml:space="preserve">V099</t>
  </si>
  <si>
    <t xml:space="preserve">Author Gate Dashboard gate rows</t>
  </si>
  <si>
    <t xml:space="preserve">G1–G9 all represented.</t>
  </si>
  <si>
    <t xml:space="preserve">V100</t>
  </si>
  <si>
    <t xml:space="preserve">Current Item rows when author attention exists</t>
  </si>
  <si>
    <t xml:space="preserve">Exactly one current item while actionable work remains.</t>
  </si>
  <si>
    <t xml:space="preserve">V101</t>
  </si>
  <si>
    <t xml:space="preserve">Author decisions missing Source Sheet</t>
  </si>
  <si>
    <t xml:space="preserve">Every decision has provenance back to a workbook area.</t>
  </si>
  <si>
    <t xml:space="preserve">V102</t>
  </si>
  <si>
    <t xml:space="preserve">Future author decisions not BLOCKED</t>
  </si>
  <si>
    <t xml:space="preserve">Future gates cannot enter current queue prematurely.</t>
  </si>
  <si>
    <t xml:space="preserve">V103</t>
  </si>
  <si>
    <t xml:space="preserve">Row Ratification workflow-linked author rows</t>
  </si>
  <si>
    <t xml:space="preserve">K:N source fields mirror central author queue.</t>
  </si>
  <si>
    <t xml:space="preserve">V104</t>
  </si>
  <si>
    <t xml:space="preserve">Godhead Context workflow-linked author rows</t>
  </si>
  <si>
    <t xml:space="preserve">V105</t>
  </si>
  <si>
    <t xml:space="preserve">Author Response Entry data rows</t>
  </si>
  <si>
    <t xml:space="preserve">Compact response sheet mirrors all tracked decisions.</t>
  </si>
  <si>
    <t xml:space="preserve">V106</t>
  </si>
  <si>
    <t xml:space="preserve">Author Response Entry Decision-ID mismatches</t>
  </si>
  <si>
    <t xml:space="preserve">Response-entry rows must remain in exact sequence/ID alignment with Author Decision Queue.</t>
  </si>
  <si>
    <t xml:space="preserve">Priority</t>
  </si>
  <si>
    <t xml:space="preserve">Required evidence state</t>
  </si>
  <si>
    <t xml:space="preserve">Locator rule</t>
  </si>
  <si>
    <t xml:space="preserve">Tie-breaker</t>
  </si>
  <si>
    <t xml:space="preserve">Vector rule</t>
  </si>
  <si>
    <t xml:space="preserve">App consequence</t>
  </si>
  <si>
    <t xml:space="preserve">Prefer a released queue cell with a proposition-level locator that contains or directly expresses the predicate.</t>
  </si>
  <si>
    <t xml:space="preserve">Metric Class A/Q/D</t>
  </si>
  <si>
    <t xml:space="preserve">Single article, confession paragraph, catechism Q, creed clause, or equivalent.</t>
  </si>
  <si>
    <t xml:space="preserve">Prefer broader current institutional scope when two sources are equally direct.</t>
  </si>
  <si>
    <t xml:space="preserve">Use QUEUE-DERIVED / BEST-LOCATOR.</t>
  </si>
  <si>
    <t xml:space="preserve">If the best queue cell is vector/pending or its locator is not proposition-level, cite the authoritative document directly.</t>
  </si>
  <si>
    <t xml:space="preserve">Direct authoritative text</t>
  </si>
  <si>
    <t xml:space="preserve">Use the exact atomic clause; quote ≤15 words where practical.</t>
  </si>
  <si>
    <t xml:space="preserve">Prefer official current host over repository witness.</t>
  </si>
  <si>
    <t xml:space="preserve">Label DIRECT — ATOMIC LAYER SUPPORT and state that the family remains vector.</t>
  </si>
  <si>
    <t xml:space="preserve">Do not imply an A/Q/D tile from the citation alone.</t>
  </si>
  <si>
    <t xml:space="preserve">For historical confession PDFs with current adoption pages, separate Authority URL from Text URL.</t>
  </si>
  <si>
    <t xml:space="preserve">Current adoption + direct text</t>
  </si>
  <si>
    <t xml:space="preserve">Use confessional numbering (e.g., 1.2, 3.01, WCF II.1).</t>
  </si>
  <si>
    <t xml:space="preserve">Official denomination PDF over landing page.</t>
  </si>
  <si>
    <t xml:space="preserve">Learner can reach the proposition directly.</t>
  </si>
  <si>
    <t xml:space="preserve">Never use an app-excluded queue cell as a QUEUE-DERIVED public citation.</t>
  </si>
  <si>
    <t xml:space="preserve">Released metrics only</t>
  </si>
  <si>
    <t xml:space="preserve">If no released cell qualifies, use rule 2.</t>
  </si>
  <si>
    <t xml:space="preserve">—</t>
  </si>
  <si>
    <t xml:space="preserve">Applies especially H07/H32/H56.</t>
  </si>
  <si>
    <t xml:space="preserve">Prevents citation/result contradiction.</t>
  </si>
  <si>
    <t xml:space="preserve">If no public historical URL exists, preserve the source-packet requirement.</t>
  </si>
  <si>
    <t xml:space="preserve">No fabricated URL.</t>
  </si>
  <si>
    <t xml:space="preserve">Readiness = NOT READY — HISTORICAL PACKET.</t>
  </si>
  <si>
    <t xml:space="preserve">Restoration comparator must identify the actual source supporting the A/Q/D scope.</t>
  </si>
  <si>
    <t xml:space="preserve">Official/canonical Latter-day Saint source</t>
  </si>
  <si>
    <t xml:space="preserve">Prefer canonical or collective source; cite exact locator.</t>
  </si>
  <si>
    <t xml:space="preserve">Author review may replace weak but valid comparator.</t>
  </si>
  <si>
    <t xml:space="preserve">Every H01–H57 row requires comparator URL.</t>
  </si>
  <si>
    <t xml:space="preserve">A reviewed current standard that is silent is a comparison gap, not denial.</t>
  </si>
  <si>
    <t xml:space="preserve">Do not create a negative historical citation from silence.</t>
  </si>
  <si>
    <t xml:space="preserve">Render gap explicitly.</t>
  </si>
  <si>
    <t xml:space="preserve">A quoted phrase is a machine-checkable content assertion, not decorative copy.</t>
  </si>
  <si>
    <t xml:space="preserve">READY citations only</t>
  </si>
  <si>
    <t xml:space="preserve">Phrase ≤15 words; phrase must occur in fetched Historical Text URL after normalization.</t>
  </si>
  <si>
    <t xml:space="preserve">If phrase cannot be verified, choose another text witness or fail the build.</t>
  </si>
  <si>
    <t xml:space="preserve">For HTML/PDF, extract visible/textual content before matching.</t>
  </si>
  <si>
    <t xml:space="preserve">P018 blocks the build on mismatch.</t>
  </si>
  <si>
    <t xml:space="preserve">Validate the Restoration side symmetrically with the historical side.</t>
  </si>
  <si>
    <t xml:space="preserve">All 57 primary comparators; all 6 supplemental comparator URLs</t>
  </si>
  <si>
    <t xml:space="preserve">Use the cited scripture verse/range or named document section as the content scope.</t>
  </si>
  <si>
    <t xml:space="preserve">For churchofjesuschrist.org use rendered DOM or approved content API if static GET omits text.</t>
  </si>
  <si>
    <t xml:space="preserve">Supplemental URLs are assertions too, not decorative links.</t>
  </si>
  <si>
    <t xml:space="preserve">P019 blocks the build on mismatch.</t>
  </si>
  <si>
    <t xml:space="preserve">Locator scope precedes phrase matching.</t>
  </si>
  <si>
    <t xml:space="preserve">Historical, Restoration, and released case-study phrase targets</t>
  </si>
  <si>
    <t xml:space="preserve">Extract only the cited article/section/verse block when the source exposes that structure.</t>
  </si>
  <si>
    <t xml:space="preserve">No silent whole-page fallback when a scoped extractor is expected; explicit exception must be reviewed.</t>
  </si>
  <si>
    <t xml:space="preserve">Applies equally to STANDARD and VECTOR source cards.</t>
  </si>
  <si>
    <t xml:space="preserve">P020 blocks the build when scoped extraction fails.</t>
  </si>
  <si>
    <t xml:space="preserve">PDF text gets a dedicated normalization branch.</t>
  </si>
  <si>
    <t xml:space="preserve">PDF historical witnesses, currently including PC(USA) Book of Confessions</t>
  </si>
  <si>
    <t xml:space="preserve">After extraction: remove U+00AD, expand ﬁ/ﬂ, join line-break hyphenation, then NFKC/casefold/whitespace normalization.</t>
  </si>
  <si>
    <t xml:space="preserve">HTML and rendered-DOM sources do not use PDF line repair.</t>
  </si>
  <si>
    <t xml:space="preserve">P020 uses source-type-specific normalization.</t>
  </si>
  <si>
    <t xml:space="preserve">Case-study phrase assertions are keyed by Queue ID.</t>
  </si>
  <si>
    <t xml:space="preserve">H05, H22, H43 only in this hardening pass</t>
  </si>
  <si>
    <t xml:space="preserve">Released cells require phrase targets; pending/gap cells require explicit NO TARGET — UNRELEASED.</t>
  </si>
  <si>
    <t xml:space="preserve">No inferred target for unreleased cells.</t>
  </si>
  <si>
    <t xml:space="preserve">Vector families remain governed by Vector Family Captions.</t>
  </si>
  <si>
    <t xml:space="preserve">P021 blocks stale or mismatched case-study evidence.</t>
  </si>
  <si>
    <t xml:space="preserve">URL</t>
  </si>
  <si>
    <t xml:space="preserve">Last checked</t>
  </si>
  <si>
    <t xml:space="preserve">Reachability/content snapshot</t>
  </si>
  <si>
    <t xml:space="preserve">Verification method</t>
  </si>
  <si>
    <t xml:space="preserve">Historical assertion count</t>
  </si>
  <si>
    <t xml:space="preserve">Restoration assertion count</t>
  </si>
  <si>
    <t xml:space="preserve">Case-study assertion count</t>
  </si>
  <si>
    <t xml:space="preserve">Clarification assertion count</t>
  </si>
  <si>
    <t xml:space="preserve">Total phrase assertions</t>
  </si>
  <si>
    <t xml:space="preserve">Pipeline requirement</t>
  </si>
  <si>
    <t xml:space="preserve">CONTROLLED SOURCE — RECHECK ON BUILD</t>
  </si>
  <si>
    <t xml:space="preserve">PRIOR CONTROLLED SOURCE — PIPELINE RECHECK</t>
  </si>
  <si>
    <t xml:space="preserve">P006 HTTP; P018/P019/P021/P025 phrase checks as applicable</t>
  </si>
  <si>
    <t xml:space="preserve">Workbook snapshot only; pipeline must re-fetch and validate.</t>
  </si>
  <si>
    <t xml:space="preserve">REACHABLE / CONTENT WITNESS</t>
  </si>
  <si>
    <t xml:space="preserve">WEB CONTENT VERIFIED — ICC-001 SOURCE</t>
  </si>
  <si>
    <t xml:space="preserve">https://nafwb.org/site/about/what-we-believe/</t>
  </si>
  <si>
    <t xml:space="preserve">https://www.churchofjesuschrist.org/study/scriptures/bofm/1-ne/1?lang=eng&amp;id=p14#p14</t>
  </si>
  <si>
    <t xml:space="preserve">https://www.churchofjesuschrist.org/study/scriptures/bofm/3-ne/28?lang=eng&amp;id=p10#p10</t>
  </si>
  <si>
    <t xml:space="preserve">https://www.churchofjesuschrist.org/study/scriptures/ot/ps/100?lang=eng&amp;id=p5#p5</t>
  </si>
  <si>
    <t xml:space="preserve">https://www.oca.org/orthodoxy/the-orthodox-faith/doctrine-scripture/the-symbol-of-faith/nicene-creed</t>
  </si>
  <si>
    <t xml:space="preserve">https://www.oca.org/saints/lives/1981/01/25/100298-saint-gregory-the-theologian-archbishop-of-constantinople</t>
  </si>
  <si>
    <t xml:space="preserve">https://www.sbc.net/resource-library/resolutions/on-integrity-in-sbc-leadership/</t>
  </si>
  <si>
    <t xml:space="preserve">https://www.sbc.net/resource-library/resolutions/resolution-on-southern-baptists-and-roman-catholics/</t>
  </si>
  <si>
    <t xml:space="preserve">https://www.the1689confession.com/1689/chapter-11</t>
  </si>
  <si>
    <t xml:space="preserve">https://www.the1689confession.com/1689/chapter-26</t>
  </si>
  <si>
    <t xml:space="preserve">REACHABLE</t>
  </si>
  <si>
    <t xml:space="preserve">WEB OPEN OK (Claude fetch; phrase present)</t>
  </si>
  <si>
    <t xml:space="preserve">200–399 required at build</t>
  </si>
  <si>
    <t xml:space="preserve">H37 Eastern Orthodox controlling source; phrase "There is only one God because there is only one Father" verified present.</t>
  </si>
  <si>
    <t xml:space="preserve">https://www.oca.org/orthodoxy/the-orthodox-faith/doctrine-scripture/the-symbol-of-faith/son-of-god</t>
  </si>
  <si>
    <t xml:space="preserve">H37 Eastern Orthodox supplemental source; phrase "God is an eternal Father by nature" verified present.</t>
  </si>
  <si>
    <t xml:space="preserve">Raw source</t>
  </si>
  <si>
    <t xml:space="preserve">Check</t>
  </si>
  <si>
    <t xml:space="preserve">Failure behavior</t>
  </si>
  <si>
    <t xml:space="preserve">Why</t>
  </si>
  <si>
    <t xml:space="preserve">Workbook snapshot equivalent</t>
  </si>
  <si>
    <t xml:space="preserve">P001</t>
  </si>
  <si>
    <t xml:space="preserve">BLOCK</t>
  </si>
  <si>
    <t xml:space="preserve">Data row count</t>
  </si>
  <si>
    <t xml:space="preserve">FAIL BUILD</t>
  </si>
  <si>
    <t xml:space="preserve">Prevents missing merged rows.</t>
  </si>
  <si>
    <t xml:space="preserve">P002</t>
  </si>
  <si>
    <t xml:space="preserve">Queue ID set exactly Q-001…Q-456</t>
  </si>
  <si>
    <t xml:space="preserve">Exact set</t>
  </si>
  <si>
    <t xml:space="preserve">Stable foreign keys and 57×8 completeness.</t>
  </si>
  <si>
    <t xml:space="preserve">V002–V006</t>
  </si>
  <si>
    <t xml:space="preserve">P003</t>
  </si>
  <si>
    <t xml:space="preserve">Rendered State nonblank and in State Vocabulary</t>
  </si>
  <si>
    <t xml:space="preserve">456 valid</t>
  </si>
  <si>
    <t xml:space="preserve">App must never infer from null.</t>
  </si>
  <si>
    <t xml:space="preserve">V007/V017</t>
  </si>
  <si>
    <t xml:space="preserve">P004</t>
  </si>
  <si>
    <t xml:space="preserve">Metric Class in A/Q/D/EXCLUDED and consistent with Rendered State</t>
  </si>
  <si>
    <t xml:space="preserve">Prevents state/metric drift.</t>
  </si>
  <si>
    <t xml:space="preserve">P005</t>
  </si>
  <si>
    <t xml:space="preserve">Evidence-First Cell Queue + Inherited Public Citations</t>
  </si>
  <si>
    <t xml:space="preserve">Reject any URL ending literal '...'</t>
  </si>
  <si>
    <t xml:space="preserve">0</t>
  </si>
  <si>
    <t xml:space="preserve">Prevents truncated display URLs.</t>
  </si>
  <si>
    <t xml:space="preserve">V009/V026</t>
  </si>
  <si>
    <t xml:space="preserve">P006</t>
  </si>
  <si>
    <t xml:space="preserve">All distinct public URLs</t>
  </si>
  <si>
    <t xml:space="preserve">HTTP GET/HEAD with redirects; accept 200–399; retry transient errors; explicit whitelist only for access-controlled hosts</t>
  </si>
  <si>
    <t xml:space="preserve">0 unresolved failures</t>
  </si>
  <si>
    <t xml:space="preserve">String checks cannot detect dead links.</t>
  </si>
  <si>
    <t xml:space="preserve">URL Validation Snapshot is reachability log only</t>
  </si>
  <si>
    <t xml:space="preserve">P007</t>
  </si>
  <si>
    <t xml:space="preserve">PC(USA) rows</t>
  </si>
  <si>
    <t xml:space="preserve">Text URL must equal live Book of Confessions PDF</t>
  </si>
  <si>
    <t xml:space="preserve">No old/dead URL</t>
  </si>
  <si>
    <t xml:space="preserve">Repairs reviewed blocker.</t>
  </si>
  <si>
    <t xml:space="preserve">P008</t>
  </si>
  <si>
    <t xml:space="preserve">Matrix Case Studies / queue</t>
  </si>
  <si>
    <t xml:space="preserve">CASE-A=H05 8 A; CASE-Q=H22 8 Q; H43=5 D + 1 pending + 2 current-source gaps</t>
  </si>
  <si>
    <t xml:space="preserve">Exact distribution</t>
  </si>
  <si>
    <t xml:space="preserve">Prevents stale case-study claims.</t>
  </si>
  <si>
    <t xml:space="preserve">V011–V015</t>
  </si>
  <si>
    <t xml:space="preserve">Inference Support</t>
  </si>
  <si>
    <t xml:space="preserve">E:F:G for INF-01…13 must be formulas or pipeline-recomputed and equal raw-sheet recomputation</t>
  </si>
  <si>
    <t xml:space="preserve">13 exact matches</t>
  </si>
  <si>
    <t xml:space="preserve">Prevents drift after cell certification.</t>
  </si>
  <si>
    <t xml:space="preserve">New live formulas</t>
  </si>
  <si>
    <t xml:space="preserve">P010</t>
  </si>
  <si>
    <t xml:space="preserve">Derived from queue; each branch partitions to 57</t>
  </si>
  <si>
    <t xml:space="preserve">8 MATCH</t>
  </si>
  <si>
    <t xml:space="preserve">Completeness only, not theological correctness.</t>
  </si>
  <si>
    <t xml:space="preserve">P011</t>
  </si>
  <si>
    <t xml:space="preserve">Final 24 + Reconciliation Pass 2</t>
  </si>
  <si>
    <t xml:space="preserve">All reconciliation keys are Queue ID and foreign-key valid</t>
  </si>
  <si>
    <t xml:space="preserve">24 + 16 valid</t>
  </si>
  <si>
    <t xml:space="preserve">Row numbers are unstable.</t>
  </si>
  <si>
    <t xml:space="preserve">V020–V023</t>
  </si>
  <si>
    <t xml:space="preserve">57 rows; all Latter-day Saint comparator URLs present; H50 readiness NOT READY — HISTORICAL PACKET</t>
  </si>
  <si>
    <t xml:space="preserve">Exact</t>
  </si>
  <si>
    <t xml:space="preserve">M1 citation integrity.</t>
  </si>
  <si>
    <t xml:space="preserve">V024–V027 + v2.10</t>
  </si>
  <si>
    <t xml:space="preserve">P013</t>
  </si>
  <si>
    <t xml:space="preserve">Historical Witness Retired TRUE rows render lineage only</t>
  </si>
  <si>
    <t xml:space="preserve">No retired row treated as current evidence</t>
  </si>
  <si>
    <t xml:space="preserve">Prevents Second London/Dordrecht attribution drift.</t>
  </si>
  <si>
    <t xml:space="preserve">Queue Z/AA</t>
  </si>
  <si>
    <t xml:space="preserve">P014</t>
  </si>
  <si>
    <t xml:space="preserve">Canonical hash recipe</t>
  </si>
  <si>
    <t xml:space="preserve">Recompute SHA-256 using Build Metadata recipe</t>
  </si>
  <si>
    <t xml:space="preserve">Exact hash match</t>
  </si>
  <si>
    <t xml:space="preserve">Makes data hash reproducible.</t>
  </si>
  <si>
    <t xml:space="preserve">Build Metadata</t>
  </si>
  <si>
    <t xml:space="preserve">P015</t>
  </si>
  <si>
    <t xml:space="preserve">83 decisions remain explicit; do not auto-approve</t>
  </si>
  <si>
    <t xml:space="preserve">Author-controlled</t>
  </si>
  <si>
    <t xml:space="preserve">BLOCK M1/M2 PUBLIC COPY</t>
  </si>
  <si>
    <t xml:space="preserve">Only author can ratify learner-facing copy.</t>
  </si>
  <si>
    <t xml:space="preserve">P016</t>
  </si>
  <si>
    <t xml:space="preserve">full_branch_map_enabled must remain FALSE until completeness gate approved</t>
  </si>
  <si>
    <t xml:space="preserve">BLOCK FULL MAP</t>
  </si>
  <si>
    <t xml:space="preserve">Evidence coverage is lopsided.</t>
  </si>
  <si>
    <t xml:space="preserve">P017</t>
  </si>
  <si>
    <t xml:space="preserve">external_validation remains PENDING until Session 20C reliability complete</t>
  </si>
  <si>
    <t xml:space="preserve">BLOCK SCHOLARLY FINALITY</t>
  </si>
  <si>
    <t xml:space="preserve">No independent replication yet.</t>
  </si>
  <si>
    <t xml:space="preserve">Inherited Public Citations / Citation Phrase Targets</t>
  </si>
  <si>
    <t xml:space="preserve">For every READY citation with a quoted phrase: fetch Historical Text URL, extract HTML/PDF text, normalize, and assert phrase containment.</t>
  </si>
  <si>
    <t xml:space="preserve">56/56 phrase assertions match</t>
  </si>
  <si>
    <t xml:space="preserve">HTTP 200 is insufficient: the learner must land on text containing the cited proposition.</t>
  </si>
  <si>
    <t xml:space="preserve">P019</t>
  </si>
  <si>
    <t xml:space="preserve">Inherited Public Citations / Restoration Phrase Targets</t>
  </si>
  <si>
    <t xml:space="preserve">Validate every Restoration comparator target. For churchofjesuschrist.org, use Playwright-rendered text or approved Church content API when plain GET does not expose scripture text.</t>
  </si>
  <si>
    <t xml:space="preserve">63/63 Restoration targets match (57 primary + 6 supplemental)</t>
  </si>
  <si>
    <t xml:space="preserve">Symmetric content validation prevents a wrong Restoration verse/document anchor from passing silently.</t>
  </si>
  <si>
    <t xml:space="preserve">Citation Phrase Targets + Restoration Phrase Targets + Case Study Phrase Targets</t>
  </si>
  <si>
    <t xml:space="preserve">Perform locator-scoped extraction before phrase containment. PDF branch must strip soft hyphens, expand ﬁ/ﬂ, join hyphenated line breaks, then normalize.</t>
  </si>
  <si>
    <t xml:space="preserve">140 scoped assertions executable (56 historical + 63 Restoration + 21 case-study)</t>
  </si>
  <si>
    <t xml:space="preserve">Short phrases are only meaningful when checked inside the cited verse/article/section rather than anywhere on the page.</t>
  </si>
  <si>
    <t xml:space="preserve">Phrase target sheets</t>
  </si>
  <si>
    <t xml:space="preserve">Case Study Phrase Targets / Evidence-First Cell Queue</t>
  </si>
  <si>
    <t xml:space="preserve">Validate 24 queue-keyed case-study records: H05=8 ASSERT, H22=8 ASSERT, H43=5 ASSERT + 3 NO TARGET — UNRELEASED; released target states must match queue.</t>
  </si>
  <si>
    <t xml:space="preserve">24 valid; 21 assertions; 3 unreleased no-target</t>
  </si>
  <si>
    <t xml:space="preserve">M3a case-study evidence must be content-addressable without turning pending/gap cells into results.</t>
  </si>
  <si>
    <t xml:space="preserve">Vector Family Captions / app card renderer</t>
  </si>
  <si>
    <t xml:space="preserve">H07, H32, H56 must each have Card Mode=VECTOR and a nonblank learner caption rendered whenever atomic-layer citations are shown.</t>
  </si>
  <si>
    <t xml:space="preserve">3/3 VECTOR captions</t>
  </si>
  <si>
    <t xml:space="preserve">Atomic evidence must never visually masquerade as a single family-level A/Q/D tile.</t>
  </si>
  <si>
    <t xml:space="preserve">All clarification cases must have Counted?=FALSE and Quantitative impact=NONE — NOT COUNTED.</t>
  </si>
  <si>
    <t xml:space="preserve">100% NOT COUNTED</t>
  </si>
  <si>
    <t xml:space="preserve">Interpretive depth must never contaminate quantitative denominators.</t>
  </si>
  <si>
    <t xml:space="preserve">Clarification Trigger Map + APP CONFIG</t>
  </si>
  <si>
    <t xml:space="preserve">Trigger and source Case IDs must resolve; tradition-only triggers cannot auto-cue; public auto-cue requires APPROVED case + HIGH priority; max one auto cue per view.</t>
  </si>
  <si>
    <t xml:space="preserve">0 FK/policy violations</t>
  </si>
  <si>
    <t xml:space="preserve">Automatic clarification should prevent misunderstanding without becoming intrusive.</t>
  </si>
  <si>
    <t xml:space="preserve">Every clarification source must reference a valid Case ID, carry a ≤15-word quoted phrase, and pass URL + locator-scoped phrase containment.</t>
  </si>
  <si>
    <t xml:space="preserve">10/10 source assertions valid for ICC-001 prototype</t>
  </si>
  <si>
    <t xml:space="preserve">Clarification explanations must be source-controlled to the same standard as predicate citations.</t>
  </si>
  <si>
    <t xml:space="preserve">P026</t>
  </si>
  <si>
    <t xml:space="preserve">Interpretive Clarifications + conversational runtime</t>
  </si>
  <si>
    <t xml:space="preserve">Only Review State=APPROVED may use Answer Authority=APPROVED_CASE or public auto-cue. AUTHOR_REVIEW/DRAFT/HOLD remain non-authoritative.</t>
  </si>
  <si>
    <t xml:space="preserve">0 authority-state violations</t>
  </si>
  <si>
    <t xml:space="preserve">Draft clarification prose must never silently become the assistant's official answer.</t>
  </si>
  <si>
    <t xml:space="preserve">P027</t>
  </si>
  <si>
    <t xml:space="preserve">Decision IDs must be unique; inventory must contain 104 tracked author decisions: 101 currently actionable + 3 registered future dependencies.</t>
  </si>
  <si>
    <t xml:space="preserve">104 unique / 101 READY / 3 BLOCKED</t>
  </si>
  <si>
    <t xml:space="preserve">No author-required decision may exist only in an obscure source sheet or informal note.</t>
  </si>
  <si>
    <t xml:space="preserve">P028</t>
  </si>
  <si>
    <t xml:space="preserve">Author Decision Queue + Author Gate Dashboard</t>
  </si>
  <si>
    <t xml:space="preserve">Exactly one Current Item may exist while Needs Author Attention &gt;0; dependent author gate cannot report AUTHOR CLEAR while attention/hold/defer remains.</t>
  </si>
  <si>
    <t xml:space="preserve">0 gate-clearance contradictions</t>
  </si>
  <si>
    <t xml:space="preserve">Prevents partial review from being mistaken for author clearance.</t>
  </si>
  <si>
    <t xml:space="preserve">A resolved/held/deferred author response must include required custom text where specified plus author initials and decision date.</t>
  </si>
  <si>
    <t xml:space="preserve">0 incomplete author dispositions counted as complete</t>
  </si>
  <si>
    <t xml:space="preserve">Human decisions must be auditable, attributable, and complete.</t>
  </si>
  <si>
    <t xml:space="preserve">Row Ratification + Godhead Context + controlled merge workflow</t>
  </si>
  <si>
    <t xml:space="preserve">Central author queue may mirror wording approvals, but comparator/source-role/semantic decisions may not directly alter A/Q/D, tiers, or evidence states without controlled propagation and validation.</t>
  </si>
  <si>
    <t xml:space="preserve">0 silent research-code mutations</t>
  </si>
  <si>
    <t xml:space="preserve">Separates author judgment from mechanical propagation and preserves research lineage.</t>
  </si>
  <si>
    <t xml:space="preserve">Row Ratification / Godhead Context / Author Decision Queue</t>
  </si>
  <si>
    <t xml:space="preserve">P031</t>
  </si>
  <si>
    <t xml:space="preserve">Future author gates for branch-map threshold, external validation adjudication, and final publication must remain present as BLOCKED until prerequisites are explicitly satisfied.</t>
  </si>
  <si>
    <t xml:space="preserve">3 future decisions registered</t>
  </si>
  <si>
    <t xml:space="preserve">Prevents late-stage publication decisions from being forgotten.</t>
  </si>
  <si>
    <t xml:space="preserve">Quoted phrase</t>
  </si>
  <si>
    <t xml:space="preserve">Phrase word count</t>
  </si>
  <si>
    <t xml:space="preserve">Citation readiness</t>
  </si>
  <si>
    <t xml:space="preserve">Normalization</t>
  </si>
  <si>
    <t xml:space="preserve">Current review state</t>
  </si>
  <si>
    <t xml:space="preserve">Build assertion</t>
  </si>
  <si>
    <t xml:space="preserve">Source extraction type</t>
  </si>
  <si>
    <t xml:space="preserve">Locator-scoped validation rule</t>
  </si>
  <si>
    <t xml:space="preserve">HTML→visible text; Unicode NFKC; casefold; normalize whitespace; normalize curly quotes/apostrophes/dashes.</t>
  </si>
  <si>
    <t xml:space="preserve">SOURCE REVIEWED — PIPELINE RECHECK REQUIRED</t>
  </si>
  <si>
    <t xml:space="preserve">Normalized fetched text MUST contain normalized quoted phrase</t>
  </si>
  <si>
    <t xml:space="preserve">Quoted phrase is a content assertion, not merely display copy.</t>
  </si>
  <si>
    <t xml:space="preserve">HTML</t>
  </si>
  <si>
    <t xml:space="preserve">Locate the cited article/section/creed clause first; assert phrase inside that scoped block. If the source structure supports locator extraction and it fails, FAIL BUILD.</t>
  </si>
  <si>
    <t xml:space="preserve">PDF→text; Unicode NFKC; casefold; strip U+00AD soft hyphens; expand ﬁ→fi and ﬂ→fl; join hyphenated line breaks; normalize paragraph/line whitespace; normalize curly quotes/apostrophes/dashes.</t>
  </si>
  <si>
    <t xml:space="preserve">PDF</t>
  </si>
  <si>
    <t xml:space="preserve">Locate the cited confession/article/section in extracted PDF text first; assert phrase inside that scoped block. If the locator block cannot be isolated, FAIL BUILD rather than silently searching the whole PDF.</t>
  </si>
  <si>
    <t xml:space="preserve">NO PUBLIC TARGET</t>
  </si>
  <si>
    <t xml:space="preserve">Excluded from phrase check</t>
  </si>
  <si>
    <t xml:space="preserve">Render historical packet gap</t>
  </si>
  <si>
    <t xml:space="preserve">H50 intentionally lacks public historical text URL.</t>
  </si>
  <si>
    <t xml:space="preserve">Excluded: historical source packet is not publicly content-addressable.</t>
  </si>
  <si>
    <t xml:space="preserve">Target Role</t>
  </si>
  <si>
    <t xml:space="preserve">Source label</t>
  </si>
  <si>
    <t xml:space="preserve">Source URL</t>
  </si>
  <si>
    <t xml:space="preserve">Locator-scope mode</t>
  </si>
  <si>
    <t xml:space="preserve">QA status</t>
  </si>
  <si>
    <t xml:space="preserve">Author-review flag</t>
  </si>
  <si>
    <t xml:space="preserve">Rendered HTML→text; Unicode NFKC; casefold; normalize whitespace; normalize curly quotes/apostrophes/dashes.</t>
  </si>
  <si>
    <t xml:space="preserve">Use URL verse anchor/range or named document section. Assert inside scoped block; no silent whole-page fallback.</t>
  </si>
  <si>
    <t xml:space="preserve">Normalized scoped text MUST contain normalized quoted phrase</t>
  </si>
  <si>
    <t xml:space="preserve">Primary Restoration-side content assertion.</t>
  </si>
  <si>
    <t xml:space="preserve">John 4:24</t>
  </si>
  <si>
    <t xml:space="preserve">SUPPLEMENTAL</t>
  </si>
  <si>
    <t xml:space="preserve">Use supplemental source locator/anchor; assert within corresponding verse/page block where supported.</t>
  </si>
  <si>
    <t xml:space="preserve">Normalized scoped text MUST contain normalized supplemental quoted phrase</t>
  </si>
  <si>
    <t xml:space="preserve">Supplemental comparator assertion; required because the citation carries a supplemental URL.</t>
  </si>
  <si>
    <t xml:space="preserve">READY — RECHECK</t>
  </si>
  <si>
    <t xml:space="preserve">D&amp;C 88:7–13</t>
  </si>
  <si>
    <t xml:space="preserve">D&amp;C 93:21–23</t>
  </si>
  <si>
    <t xml:space="preserve">Sermon in the Grove, 16 June 1844; JSP transcript page 103</t>
  </si>
  <si>
    <t xml:space="preserve">HTML GET/RENDERED</t>
  </si>
  <si>
    <t xml:space="preserve">D&amp;C 20:17, 28</t>
  </si>
  <si>
    <t xml:space="preserve">Target Status</t>
  </si>
  <si>
    <t xml:space="preserve">Assertion Text URL</t>
  </si>
  <si>
    <t xml:space="preserve">Assertion source role</t>
  </si>
  <si>
    <t xml:space="preserve">Extraction type</t>
  </si>
  <si>
    <t xml:space="preserve">Locator-scope rule</t>
  </si>
  <si>
    <t xml:space="preserve">ASSERT</t>
  </si>
  <si>
    <t xml:space="preserve">the only begotten Son of God made flesh</t>
  </si>
  <si>
    <t xml:space="preserve">QUEUE TEXT</t>
  </si>
  <si>
    <t xml:space="preserve">HTML→visible text; NFKC; casefold; normalize whitespace; normalize curly quotes/apostrophes/dashes.</t>
  </si>
  <si>
    <t xml:space="preserve">Extract cited article/section/creed clause before matching; fail scoped extraction when target is ASSERT.</t>
  </si>
  <si>
    <t xml:space="preserve">Normalized locator-scoped text MUST contain quoted phrase</t>
  </si>
  <si>
    <t xml:space="preserve">Phrase corrected to source reading 2026-09-09 (pipeline override ratified); Released case-study cell; phrase assertion is blocking.</t>
  </si>
  <si>
    <t xml:space="preserve">Definition of Faith</t>
  </si>
  <si>
    <t xml:space="preserve">one and the same only-begotten Son of God</t>
  </si>
  <si>
    <t xml:space="preserve">SERVER-RENDERED TEXT WITNESS</t>
  </si>
  <si>
    <t xml:space="preserve">Released case-study cell; phrase assertion is blocking.</t>
  </si>
  <si>
    <t xml:space="preserve">the only-begotten Son of God</t>
  </si>
  <si>
    <t xml:space="preserve">the only Son of God</t>
  </si>
  <si>
    <t xml:space="preserve">Article II</t>
  </si>
  <si>
    <t xml:space="preserve">The Son, which is the Word of the Father</t>
  </si>
  <si>
    <t xml:space="preserve">the Father, the Son, and the Holy Ghost</t>
  </si>
  <si>
    <t xml:space="preserve">Confession of Faith in a Mennonite Perspective</t>
  </si>
  <si>
    <t xml:space="preserve">the only Son, the Word who became flesh</t>
  </si>
  <si>
    <t xml:space="preserve">the Maker and Preserver of all things, visible and invisible</t>
  </si>
  <si>
    <t xml:space="preserve">Chapter IV.1</t>
  </si>
  <si>
    <t xml:space="preserve">to create, or make of nothing, the world</t>
  </si>
  <si>
    <t xml:space="preserve">the Maker, and Preserver of all things</t>
  </si>
  <si>
    <t xml:space="preserve">the Creator, Redeemer, Preserver, and Ruler of the universe</t>
  </si>
  <si>
    <t xml:space="preserve">the maker and preserver of all things, both visible and invisible</t>
  </si>
  <si>
    <t xml:space="preserve">Article 5</t>
  </si>
  <si>
    <t xml:space="preserve">God has created the heavens and the earth</t>
  </si>
  <si>
    <t xml:space="preserve">one unique, completely simple and unchangeable spiritual substance</t>
  </si>
  <si>
    <t xml:space="preserve">NO TARGET — UNRELEASED</t>
  </si>
  <si>
    <t xml:space="preserve">UNRELEASED</t>
  </si>
  <si>
    <t xml:space="preserve">NO TARGET</t>
  </si>
  <si>
    <t xml:space="preserve">Excluded from content assertion while cell is unreleased</t>
  </si>
  <si>
    <t xml:space="preserve">Keep state visible in case study; do not infer A/Q/D.</t>
  </si>
  <si>
    <t xml:space="preserve">without body, without parts</t>
  </si>
  <si>
    <t xml:space="preserve">Second London Baptist Confession (historical retired witness)</t>
  </si>
  <si>
    <t xml:space="preserve">UNRELEASED — HISTORICAL WITNESS RETIRED</t>
  </si>
  <si>
    <t xml:space="preserve">Dordrecht Confession (historical retired witness)</t>
  </si>
  <si>
    <t xml:space="preserve">The Orthodox Faith, Vol. I — The Holy Trinity: One God, One Father</t>
  </si>
  <si>
    <t xml:space="preserve">One God, One Father (OCA official catechesis)</t>
  </si>
  <si>
    <t xml:space="preserve">There is only one God because there is only one Father</t>
  </si>
  <si>
    <t xml:space="preserve">CURRENT OFFICIAL CATECHETICAL WITNESS</t>
  </si>
  <si>
    <t xml:space="preserve">Released non-case-study cell (H37 Eastern Orthodox); primary target; author source-role approval AUTH-ORTH-H37.</t>
  </si>
  <si>
    <t xml:space="preserve">The Orthodox Faith, Vol. I — The Symbol of Faith: Son of God</t>
  </si>
  <si>
    <t xml:space="preserve">Son of God (OCA official catechesis)</t>
  </si>
  <si>
    <t xml:space="preserve">God is an eternal Father by nature</t>
  </si>
  <si>
    <t xml:space="preserve">Supplemental target for Q-290.</t>
  </si>
  <si>
    <t xml:space="preserve">Master family code</t>
  </si>
  <si>
    <t xml:space="preserve">Card mode</t>
  </si>
  <si>
    <t xml:space="preserve">Atomic-layer summary</t>
  </si>
  <si>
    <t xml:space="preserve">Learner-facing caption</t>
  </si>
  <si>
    <t xml:space="preserve">Citation display rule</t>
  </si>
  <si>
    <t xml:space="preserve">H07a Almighty/all-power = A; H07b unrestricted modal omnipotence = unresolved/U-HOLD lineage.</t>
  </si>
  <si>
    <t xml:space="preserve">Multi-layer family: the Almighty title is shared, but unrestricted modal omnipotence remains unresolved.</t>
  </si>
  <si>
    <t xml:space="preserve">Show atomic source support with this caption; never render the family as one A tile.</t>
  </si>
  <si>
    <t xml:space="preserve">Card mode must equal VECTOR and caption must be nonblank.</t>
  </si>
  <si>
    <t xml:space="preserve">H32a Christ is Light = A; H32b Light-from-Light relational formula = Q.</t>
  </si>
  <si>
    <t xml:space="preserve">Multi-layer family: Christ-as-Light is shared; the Light-from-Light relational formula is qualified.</t>
  </si>
  <si>
    <t xml:space="preserve">Render atomic layers separately; never collapse the family into a single A/Q tile.</t>
  </si>
  <si>
    <t xml:space="preserve">H56a relational distinction/unity = A; H56b one-substance metaphysics = D.</t>
  </si>
  <si>
    <t xml:space="preserve">Multi-layer family: relational distinction and unity are shared, while one-substance metaphysics directly diverges.</t>
  </si>
  <si>
    <t xml:space="preserve">Render A and D atomic layers together as a vector; never show one family-level A/Q/D tile.</t>
  </si>
  <si>
    <t xml:space="preserve">Vocabulary</t>
  </si>
  <si>
    <t xml:space="preserve">Allowed value</t>
  </si>
  <si>
    <t xml:space="preserve">App / research rule</t>
  </si>
  <si>
    <t xml:space="preserve">Case Type</t>
  </si>
  <si>
    <t xml:space="preserve">SEMANTIC_CLARIFICATION</t>
  </si>
  <si>
    <t xml:space="preserve">Explains what a term means within one or more traditions.</t>
  </si>
  <si>
    <t xml:space="preserve">NOT COUNTED.</t>
  </si>
  <si>
    <t xml:space="preserve">APPARENT_TENSION_RESOLUTION</t>
  </si>
  <si>
    <t xml:space="preserve">Explains why two teachings/practices that appear contradictory can coexist.</t>
  </si>
  <si>
    <t xml:space="preserve">FAMILY_VARIATION</t>
  </si>
  <si>
    <t xml:space="preserve">Explains material variation within a named tradition family.</t>
  </si>
  <si>
    <t xml:space="preserve">SOURCE_SCOPE_CLARIFICATION</t>
  </si>
  <si>
    <t xml:space="preserve">Explains authority/scope differences among sources or institutions.</t>
  </si>
  <si>
    <t xml:space="preserve">Hazard Type</t>
  </si>
  <si>
    <t xml:space="preserve">SLOGAN_COMPRESSION</t>
  </si>
  <si>
    <t xml:space="preserve">A short slogan is true but omits distinctions needed to predict the theology.</t>
  </si>
  <si>
    <t xml:space="preserve">May trigger automatic cue.</t>
  </si>
  <si>
    <t xml:space="preserve">SAME_WORD_DIFFERENT_MEANING</t>
  </si>
  <si>
    <t xml:space="preserve">Same term is used with materially different semantic content.</t>
  </si>
  <si>
    <t xml:space="preserve">APPARENT_CONTRADICTION</t>
  </si>
  <si>
    <t xml:space="preserve">Two teachings/practices appear inconsistent until layers are distinguished.</t>
  </si>
  <si>
    <t xml:space="preserve">ECCLESIAL_VS_SOTERIOLOGICAL</t>
  </si>
  <si>
    <t xml:space="preserve">Ecclesial recognition/status is confused with standing before God.</t>
  </si>
  <si>
    <t xml:space="preserve">SOURCE_SILENCE_VS_DENIAL</t>
  </si>
  <si>
    <t xml:space="preserve">Absence from a reviewed source is mistaken for doctrinal rejection.</t>
  </si>
  <si>
    <t xml:space="preserve">Usually contextual cue.</t>
  </si>
  <si>
    <t xml:space="preserve">HISTORICAL_ANTECEDENT_VS_EQUIVALENCE</t>
  </si>
  <si>
    <t xml:space="preserve">Historical antecedence is mistaken for identity/equivalence.</t>
  </si>
  <si>
    <t xml:space="preserve">Usually manual/related clarification.</t>
  </si>
  <si>
    <t xml:space="preserve">RELATIONAL_VS_METAPHYSICAL</t>
  </si>
  <si>
    <t xml:space="preserve">Relational language is confused with a thicker metaphysical claim.</t>
  </si>
  <si>
    <t xml:space="preserve">A tradition family is mistaken for a single uniform body.</t>
  </si>
  <si>
    <t xml:space="preserve">Often auto cue when variation is material.</t>
  </si>
  <si>
    <t xml:space="preserve">AUTHORITY_SCOPE</t>
  </si>
  <si>
    <t xml:space="preserve">A source's institutional authority or jurisdictional scope is overgeneralized.</t>
  </si>
  <si>
    <t xml:space="preserve">Contextual cue.</t>
  </si>
  <si>
    <t xml:space="preserve">SEMANTIC_FLOOR</t>
  </si>
  <si>
    <t xml:space="preserve">A broad label is mistaken for a thicker proposition than the controlled floor.</t>
  </si>
  <si>
    <t xml:space="preserve">Auto Priority</t>
  </si>
  <si>
    <t xml:space="preserve">Omission creates material risk of misunderstanding the displayed comparison.</t>
  </si>
  <si>
    <t xml:space="preserve">Eligible for automatic cue.</t>
  </si>
  <si>
    <t xml:space="preserve">Useful clarification but omission does not usually reverse the interpretation.</t>
  </si>
  <si>
    <t xml:space="preserve">Related clarifications; no automatic interruption.</t>
  </si>
  <si>
    <t xml:space="preserve">LOW</t>
  </si>
  <si>
    <t xml:space="preserve">Enrichment rather than misunderstanding prevention.</t>
  </si>
  <si>
    <t xml:space="preserve">Explorer/search only.</t>
  </si>
  <si>
    <t xml:space="preserve">Never auto-surface.</t>
  </si>
  <si>
    <t xml:space="preserve">Manual only.</t>
  </si>
  <si>
    <t xml:space="preserve">Display Mode</t>
  </si>
  <si>
    <t xml:space="preserve">Show one lightweight cue automatically; user opens full case manually.</t>
  </si>
  <si>
    <t xml:space="preserve">Preferred HIGH-priority behavior.</t>
  </si>
  <si>
    <t xml:space="preserve">RELATED_CLARIFICATION</t>
  </si>
  <si>
    <t xml:space="preserve">List under related clarifications without automatic cue.</t>
  </si>
  <si>
    <t xml:space="preserve">Preferred MEDIUM behavior.</t>
  </si>
  <si>
    <t xml:space="preserve">EXPLORER_ONLY</t>
  </si>
  <si>
    <t xml:space="preserve">Discoverable only through manual clarification explorer/search.</t>
  </si>
  <si>
    <t xml:space="preserve">Preferred LOW behavior.</t>
  </si>
  <si>
    <t xml:space="preserve">Review State</t>
  </si>
  <si>
    <t xml:space="preserve">DRAFT</t>
  </si>
  <si>
    <t xml:space="preserve">Researcher/assistant working draft.</t>
  </si>
  <si>
    <t xml:space="preserve">Not public.</t>
  </si>
  <si>
    <t xml:space="preserve">AUTHOR_REVIEW</t>
  </si>
  <si>
    <t xml:space="preserve">Awaiting author approval/revision.</t>
  </si>
  <si>
    <t xml:space="preserve">Not authoritative for conversational answers.</t>
  </si>
  <si>
    <t xml:space="preserve">APPROVED</t>
  </si>
  <si>
    <t xml:space="preserve">Author-approved case.</t>
  </si>
  <si>
    <t xml:space="preserve">May be used as preferred answer authority.</t>
  </si>
  <si>
    <t xml:space="preserve">Known issue prevents release.</t>
  </si>
  <si>
    <t xml:space="preserve">No public use.</t>
  </si>
  <si>
    <t xml:space="preserve">RETIRED</t>
  </si>
  <si>
    <t xml:space="preserve">Superseded historical case.</t>
  </si>
  <si>
    <t xml:space="preserve">Lineage only.</t>
  </si>
  <si>
    <t xml:space="preserve">Trigger Type</t>
  </si>
  <si>
    <t xml:space="preserve">TERM</t>
  </si>
  <si>
    <t xml:space="preserve">Named term or phrase.</t>
  </si>
  <si>
    <t xml:space="preserve">Deterministic lexical/normalized term match.</t>
  </si>
  <si>
    <t xml:space="preserve">TOPIC</t>
  </si>
  <si>
    <t xml:space="preserve">Topic/domain tag.</t>
  </si>
  <si>
    <t xml:space="preserve">Used with conversation/card context.</t>
  </si>
  <si>
    <t xml:space="preserve">TRADITION</t>
  </si>
  <si>
    <t xml:space="preserve">Tradition or subtradition context.</t>
  </si>
  <si>
    <t xml:space="preserve">Usually a required context, not sufficient alone.</t>
  </si>
  <si>
    <t xml:space="preserve">QUESTION_PATTERN</t>
  </si>
  <si>
    <t xml:space="preserve">Common natural-language question pattern.</t>
  </si>
  <si>
    <t xml:space="preserve">Semantic or pattern match.</t>
  </si>
  <si>
    <t xml:space="preserve">PREDICATE_ID</t>
  </si>
  <si>
    <t xml:space="preserve">Direct link to a counted or context predicate.</t>
  </si>
  <si>
    <t xml:space="preserve">Strong deterministic trigger.</t>
  </si>
  <si>
    <t xml:space="preserve">HAZARD_TYPE</t>
  </si>
  <si>
    <t xml:space="preserve">Interpretive hazard classification.</t>
  </si>
  <si>
    <t xml:space="preserve">Explorer/filter and policy logic.</t>
  </si>
  <si>
    <t xml:space="preserve">Match Mode</t>
  </si>
  <si>
    <t xml:space="preserve">EXACT</t>
  </si>
  <si>
    <t xml:space="preserve">Exact normalized text.</t>
  </si>
  <si>
    <t xml:space="preserve">Deterministic.</t>
  </si>
  <si>
    <t xml:space="preserve">KEYWORD</t>
  </si>
  <si>
    <t xml:space="preserve">Keyword or normalized phrase match.</t>
  </si>
  <si>
    <t xml:space="preserve">SEMANTIC</t>
  </si>
  <si>
    <t xml:space="preserve">Meaning-level conversational match.</t>
  </si>
  <si>
    <t xml:space="preserve">Assistant/runtime only.</t>
  </si>
  <si>
    <t xml:space="preserve">CONTEXT_BUNDLED</t>
  </si>
  <si>
    <t xml:space="preserve">Requires trigger plus specified tradition/topic context.</t>
  </si>
  <si>
    <t xml:space="preserve">Preferred for auto-cues.</t>
  </si>
  <si>
    <t xml:space="preserve">Source Role</t>
  </si>
  <si>
    <t xml:space="preserve">CURRENT_INSTITUTIONAL</t>
  </si>
  <si>
    <t xml:space="preserve">Current official institutional/confessional source.</t>
  </si>
  <si>
    <t xml:space="preserve">Preferred for contemporary claims.</t>
  </si>
  <si>
    <t xml:space="preserve">HISTORICAL_CONFESSIONAL</t>
  </si>
  <si>
    <t xml:space="preserve">Historical confession or classic confessional witness.</t>
  </si>
  <si>
    <t xml:space="preserve">Use with explicit historical scope.</t>
  </si>
  <si>
    <t xml:space="preserve">ECCLESIAL_PRACTICE</t>
  </si>
  <si>
    <t xml:space="preserve">Institutional statement/practice source bearing on discipline or governance.</t>
  </si>
  <si>
    <t xml:space="preserve">Do not equate with soteriological mechanism.</t>
  </si>
  <si>
    <t xml:space="preserve">VARIATION_WITNESS</t>
  </si>
  <si>
    <t xml:space="preserve">Authoritative witness to variation within the tradition family.</t>
  </si>
  <si>
    <t xml:space="preserve">Required for family-variation claims.</t>
  </si>
  <si>
    <t xml:space="preserve">Answer Authority</t>
  </si>
  <si>
    <t xml:space="preserve">DRAFT_CASE</t>
  </si>
  <si>
    <t xml:space="preserve">Case may inform research but not override general assistant synthesis.</t>
  </si>
  <si>
    <t xml:space="preserve">Not public authority.</t>
  </si>
  <si>
    <t xml:space="preserve">APPROVED_CASE</t>
  </si>
  <si>
    <t xml:space="preserve">Author-approved case should be preferred for matching app/conversational questions.</t>
  </si>
  <si>
    <t xml:space="preserve">Use with source citations and scope.</t>
  </si>
  <si>
    <t xml:space="preserve">CANONICAL_SCRIPTURE</t>
  </si>
  <si>
    <t xml:space="preserve">Canonized scripture of the tradition (for Latter-day Saints: the standard works).</t>
  </si>
  <si>
    <t xml:space="preserve">Highest authority tier for that tradition; cite verse-level locator.</t>
  </si>
  <si>
    <t xml:space="preserve">OFFICIAL_EXPOSITION</t>
  </si>
  <si>
    <t xml:space="preserve">Official but non-canonical exposition by the tradition's authorized leaders (e.g., General Conference address published by the Church).</t>
  </si>
  <si>
    <t xml:space="preserve">Use with speaker, occasion, and date; may express current emphasis rather than dogma.</t>
  </si>
  <si>
    <t xml:space="preserve">RENDERED</t>
  </si>
  <si>
    <t xml:space="preserve">churchofjesuschrist.org pages render text client-side; phrase assertions require Playwright or the Church content API.</t>
  </si>
  <si>
    <t xml:space="preserve">P006/P020 must use rendered fetch for this host.</t>
  </si>
  <si>
    <t xml:space="preserve">Case ID</t>
  </si>
  <si>
    <t xml:space="preserve">Public title</t>
  </si>
  <si>
    <t xml:space="preserve">Short label</t>
  </si>
  <si>
    <t xml:space="preserve">Case type</t>
  </si>
  <si>
    <t xml:space="preserve">Primary tradition family</t>
  </si>
  <si>
    <t xml:space="preserve">Subtradition scope</t>
  </si>
  <si>
    <t xml:space="preserve">Counted?</t>
  </si>
  <si>
    <t xml:space="preserve">Quantitative impact</t>
  </si>
  <si>
    <t xml:space="preserve">Primary hazard</t>
  </si>
  <si>
    <t xml:space="preserve">Additional hazards</t>
  </si>
  <si>
    <t xml:space="preserve">Auto priority</t>
  </si>
  <si>
    <t xml:space="preserve">Display mode</t>
  </si>
  <si>
    <t xml:space="preserve">Max auto cues</t>
  </si>
  <si>
    <t xml:space="preserve">Review state</t>
  </si>
  <si>
    <t xml:space="preserve">App availability</t>
  </si>
  <si>
    <t xml:space="preserve">Answer authority</t>
  </si>
  <si>
    <t xml:space="preserve">Learner question / apparent tension</t>
  </si>
  <si>
    <t xml:space="preserve">Key distinction</t>
  </si>
  <si>
    <t xml:space="preserve">Resolution summary</t>
  </si>
  <si>
    <t xml:space="preserve">Internal variation</t>
  </si>
  <si>
    <t xml:space="preserve">Interfaith significance</t>
  </si>
  <si>
    <t xml:space="preserve">What this case does NOT prove</t>
  </si>
  <si>
    <t xml:space="preserve">Learner cue copy</t>
  </si>
  <si>
    <t xml:space="preserve">Manual explorer category</t>
  </si>
  <si>
    <t xml:space="preserve">Related current predicate IDs</t>
  </si>
  <si>
    <t xml:space="preserve">Author notes</t>
  </si>
  <si>
    <t xml:space="preserve">Cue author decision</t>
  </si>
  <si>
    <t xml:space="preserve">Cue author response / notes</t>
  </si>
  <si>
    <t xml:space="preserve">Case author decision</t>
  </si>
  <si>
    <t xml:space="preserve">Case author response / notes</t>
  </si>
  <si>
    <t xml:space="preserve">ICC-001</t>
  </si>
  <si>
    <t xml:space="preserve">Faith Alone, but Not Faith Without Fruit</t>
  </si>
  <si>
    <t xml:space="preserve">Baptist sola fide and church discipline</t>
  </si>
  <si>
    <t xml:space="preserve">Southern Baptist + confessional/Reformed Baptist core; Free Will Baptist variation note</t>
  </si>
  <si>
    <t xml:space="preserve">NONE — NOT COUNTED</t>
  </si>
  <si>
    <t xml:space="preserve">APPARENT_CONTRADICTION | ECCLESIAL_VS_SOTERIOLOGICAL | FAMILY_VARIATION</t>
  </si>
  <si>
    <t xml:space="preserve">AVAILABLE — PAIRED RELEASE WITH ICC-002 (engineering gates)</t>
  </si>
  <si>
    <t xml:space="preserve">If Baptists teach justification by faith alone, why can persistent sin or heresy result in church discipline or excommunication?</t>
  </si>
  <si>
    <t xml:space="preserve">Distinguish justification/standing before God from the congregation's judgment of visible profession, discipleship, and membership.</t>
  </si>
  <si>
    <t xml:space="preserve">In Southern and confessional/Reformed Baptist theology, works do not merit justification. Repentance, sanctification, perseverance, and obedience are expected fruits/evidences of regeneration. Church discipline therefore addresses visible profession and ecclesial fellowship rather than functioning as a church cancellation of God's justification.</t>
  </si>
  <si>
    <t xml:space="preserve">Southern and confessional/Reformed Baptists typically resolve the tension through perseverance and evidentiary fruit. Free Will Baptists likewise deny salvation by works but allow that a genuinely saved person may later make shipwreck of faith and be lost.</t>
  </si>
  <si>
    <t xml:space="preserve">The case shows why 'faith alone' is not equivalent to 'conduct does not matter.' It reveals substantial shared Christian concern for repentance, holiness, perseverance, accountability, and discipleship while preserving real differences in the theology of justification and security.</t>
  </si>
  <si>
    <t xml:space="preserve">It does not make Baptist and Latter-day Saint soteriology identical; it does not claim all Baptists share one perseverance model; and it does not treat excommunication as a direct determination of God's hidden judgment of regeneration.</t>
  </si>
  <si>
    <t xml:space="preserve">How can faith alone and church discipline both fit Baptist theology? See the distinction.</t>
  </si>
  <si>
    <t xml:space="preserve">Salvation &amp; discipleship</t>
  </si>
  <si>
    <t xml:space="preserve">AJP 2026-09-09: content approved (AUTH-ICC-001-CASE opt 1); cue = question form (AUTH-ICC-001-CUE opt 1); anchor = explorer category per AUTH-ARCH-003; release held for ICC-002 per AUTH-ARCH-005. 2026-09-09: lens-balance satisfied by ICC-002 approval; release hold lifted.</t>
  </si>
  <si>
    <t xml:space="preserve">ICC-002</t>
  </si>
  <si>
    <t xml:space="preserve">By Grace, After All We Can Do</t>
  </si>
  <si>
    <t xml:space="preserve">Latter-day Saint grace and "after all we can do"</t>
  </si>
  <si>
    <t xml:space="preserve">Latter-day Saint</t>
  </si>
  <si>
    <t xml:space="preserve">The Church of Jesus Christ of Latter-day Saints (canonical scripture + official General Conference and Gospel Topics teaching)</t>
  </si>
  <si>
    <t xml:space="preserve">APPARENT_CONTRADICTION | SAME_WORD_DIFFERENT_MEANING | SEMANTIC_FLOOR</t>
  </si>
  <si>
    <t xml:space="preserve">AVAILABLE — PAIRED RELEASE WITH ICC-001 (engineering gates)</t>
  </si>
  <si>
    <t xml:space="preserve">If Latter-day Saints believe they are saved by grace, why does the Book of Mormon say "after all we can do," and why do the Articles of Faith say salvation comes "by obedience to the laws and ordinances of the Gospel"? Does that mean Latter-day Saints earn salvation by works?</t>
  </si>
  <si>
    <t xml:space="preserve">Distinguish the source of salvation (the grace of Jesus Christ alone, which no one can earn) from the response salvation calls for (repentance, faith, obedience, and enduring), and distinguish "saved" in the broad sense (resurrection and redemption offered to all) from exaltation (the fulness of eternal life received through covenant).</t>
  </si>
  <si>
    <t xml:space="preserve">In Latter-day Saint teaching, no one earns salvation. The Book of Mormon states that it is "only in and through the grace of God" that anyone is saved (2 Nephi 10:24), and official teaching states plainly that "we cannot earn our way into heaven" and that salvation "cannot be bought with the currency of obedience" (Dieter F. Uchtdorf, "The Gift of Grace," April 2015 General Conference). "After all we can do" (2 Nephi 25:23) does not mean grace is paid out once human effort is exhausted; in the Book of Mormon's own usage "all we could do" is repentance (Alma 24:11). Obedience to the laws and ordinances of the gospel (Articles of Faith 1:3) is the covenant response through which a person receives and keeps receiving the gift, not a price paid for it. Official teaching describes obedience as "the reaching out of our mortal hand to receive this sacred gift" and grace as "the divine help or strength extended to us through the Atonement" (Gospel Topics: Grace) that enables the disciple to be "perfect in Christ" (Moroni 10:32).</t>
  </si>
  <si>
    <t xml:space="preserve">Latter-day Saints have read "after" in 2 Nephi 25:23 two ways: as a temporal sequence (grace completes what effort begins) and, in the reading emphasized by recent official teaching, as "in spite of" or "regardless of" all we can do. Both readings deny that salvation is earned; they differ on how to describe the relationship between effort and gift. The doctrine also uses a graded vocabulary: universal salvation from physical death through resurrection, redemption from sin through faith and repentance, and exaltation through covenant obedience. A Latter-day Saint who says "saved" may mean any of these, which is where interfaith conversations most often talk past each other.</t>
  </si>
  <si>
    <t xml:space="preserve">The case shows why "after all we can do" is not equivalent to "Latter-day Saints earn salvation by works." It reveals substantial shared Christian ground: salvation is a gift of grace through Jesus Christ that no one can merit, and true faith is expected to bear fruit in repentance and obedience. It preserves the real difference, which is not grace versus works but the covenantal structure through which grace is received and the distinction between salvation and exaltation. Read beside ICC-001, it shows both traditions carrying the same fault line in mirror image: a Baptist slogan that sounds like conduct is irrelevant, and a Latter-day Saint slogan that sounds like grace is a reward.</t>
  </si>
  <si>
    <t xml:space="preserve">It does not make Latter-day Saint and Baptist or Reformed soteriology identical; it does not resolve the differences over imputed versus infused righteousness, ordinances as conditions of covenant, or the doctrine of exaltation; and it does not claim that every Latter-day Saint has always articulated grace without a works-emphasis. It settles what the sources teach, not how every member has spoken.</t>
  </si>
  <si>
    <t xml:space="preserve">How can Latter-day Saints say they are saved by grace "after all we can do"? See the distinction.</t>
  </si>
  <si>
    <t xml:space="preserve">RNR-H16 (Gracious); RNR-H27 (Savior); RNR-A19 (become like God — exaltation vocabulary)</t>
  </si>
  <si>
    <t xml:space="preserve">AJP 2026-09-09: case content approved; cue approved; vocabulary additions CANONICAL_SCRIPTURE and OFFICIAL_EXPOSITION confirmed. Mirror of ICC-001 under AUTH-ARCH-005.</t>
  </si>
  <si>
    <t xml:space="preserve">AJP 2026-09-09</t>
  </si>
  <si>
    <t xml:space="preserve">Trigger ID</t>
  </si>
  <si>
    <t xml:space="preserve">Trigger type</t>
  </si>
  <si>
    <t xml:space="preserve">Trigger value</t>
  </si>
  <si>
    <t xml:space="preserve">Match mode</t>
  </si>
  <si>
    <t xml:space="preserve">Required tradition context</t>
  </si>
  <si>
    <t xml:space="preserve">Required topic context</t>
  </si>
  <si>
    <t xml:space="preserve">Auto-cue eligible?</t>
  </si>
  <si>
    <t xml:space="preserve">Relevance weight</t>
  </si>
  <si>
    <t xml:space="preserve">Manual explorer?</t>
  </si>
  <si>
    <t xml:space="preserve">Trigger note</t>
  </si>
  <si>
    <t xml:space="preserve">Active?</t>
  </si>
  <si>
    <t xml:space="preserve">ICT-001</t>
  </si>
  <si>
    <t xml:space="preserve">sola fide</t>
  </si>
  <si>
    <t xml:space="preserve">Primary slogan trigger; require Baptist context.</t>
  </si>
  <si>
    <t xml:space="preserve">ICT-002</t>
  </si>
  <si>
    <t xml:space="preserve">faith alone</t>
  </si>
  <si>
    <t xml:space="preserve">ICT-003</t>
  </si>
  <si>
    <t xml:space="preserve">excommunication</t>
  </si>
  <si>
    <t xml:space="preserve">Apparent tension with faith-alone language.</t>
  </si>
  <si>
    <t xml:space="preserve">ICT-004</t>
  </si>
  <si>
    <t xml:space="preserve">church discipline</t>
  </si>
  <si>
    <t xml:space="preserve">ICT-005</t>
  </si>
  <si>
    <t xml:space="preserve">eternal security</t>
  </si>
  <si>
    <t xml:space="preserve">Relevant to Southern/confessional perseverance solution.</t>
  </si>
  <si>
    <t xml:space="preserve">ICT-006</t>
  </si>
  <si>
    <t xml:space="preserve">perseverance</t>
  </si>
  <si>
    <t xml:space="preserve">Relevant to security/discipline relationship.</t>
  </si>
  <si>
    <t xml:space="preserve">ICT-007</t>
  </si>
  <si>
    <t xml:space="preserve">sanctification</t>
  </si>
  <si>
    <t xml:space="preserve">Salvation</t>
  </si>
  <si>
    <t xml:space="preserve">Clarifies fruit/evidence versus basis of justification.</t>
  </si>
  <si>
    <t xml:space="preserve">ICT-008</t>
  </si>
  <si>
    <t xml:space="preserve">repentance</t>
  </si>
  <si>
    <t xml:space="preserve">Clarifies inseparable grace response versus merit.</t>
  </si>
  <si>
    <t xml:space="preserve">ICT-009</t>
  </si>
  <si>
    <t xml:space="preserve">works</t>
  </si>
  <si>
    <t xml:space="preserve">Use only with Baptist + salvation context to avoid over-triggering.</t>
  </si>
  <si>
    <t xml:space="preserve">ICT-010</t>
  </si>
  <si>
    <t xml:space="preserve">Justification</t>
  </si>
  <si>
    <t xml:space="preserve">Topic trigger when Baptist tradition is selected.</t>
  </si>
  <si>
    <t xml:space="preserve">ICT-011</t>
  </si>
  <si>
    <t xml:space="preserve">Church discipline</t>
  </si>
  <si>
    <t xml:space="preserve">ICT-012</t>
  </si>
  <si>
    <t xml:space="preserve">Southern Baptist</t>
  </si>
  <si>
    <t xml:space="preserve">Justification or discipline</t>
  </si>
  <si>
    <t xml:space="preserve">Tradition alone never auto-surfaces; context is required.</t>
  </si>
  <si>
    <t xml:space="preserve">ICT-013</t>
  </si>
  <si>
    <t xml:space="preserve">Reformed Baptist</t>
  </si>
  <si>
    <t xml:space="preserve">ICT-014</t>
  </si>
  <si>
    <t xml:space="preserve">Free Will Baptist</t>
  </si>
  <si>
    <t xml:space="preserve">Perseverance or security</t>
  </si>
  <si>
    <t xml:space="preserve">Variation branch; manual/related access unless question context matches.</t>
  </si>
  <si>
    <t xml:space="preserve">ICT-015</t>
  </si>
  <si>
    <t xml:space="preserve">If faith alone saves, why does conduct matter?</t>
  </si>
  <si>
    <t xml:space="preserve">Conversational trigger.</t>
  </si>
  <si>
    <t xml:space="preserve">DEFERRED</t>
  </si>
  <si>
    <t xml:space="preserve">ICT-016</t>
  </si>
  <si>
    <t xml:space="preserve">Can a Baptist be excommunicated and still be saved?</t>
  </si>
  <si>
    <t xml:space="preserve">ICT-017</t>
  </si>
  <si>
    <t xml:space="preserve">Does excommunication cancel justification?</t>
  </si>
  <si>
    <t xml:space="preserve">ICT-018</t>
  </si>
  <si>
    <t xml:space="preserve">Explorer/filter classification.</t>
  </si>
  <si>
    <t xml:space="preserve">ICT-019</t>
  </si>
  <si>
    <t xml:space="preserve">after all we can do</t>
  </si>
  <si>
    <t xml:space="preserve">Primary slogan trigger; require Latter-day Saint context.</t>
  </si>
  <si>
    <t xml:space="preserve">ICT-020</t>
  </si>
  <si>
    <t xml:space="preserve">saved by grace</t>
  </si>
  <si>
    <t xml:space="preserve">Apparent tension with obedience language.</t>
  </si>
  <si>
    <t xml:space="preserve">ICT-021</t>
  </si>
  <si>
    <t xml:space="preserve">earn salvation</t>
  </si>
  <si>
    <t xml:space="preserve">Common misreading the case corrects.</t>
  </si>
  <si>
    <t xml:space="preserve">ICT-022</t>
  </si>
  <si>
    <t xml:space="preserve">Use only with Latter-day Saint + salvation context to avoid over-triggering.</t>
  </si>
  <si>
    <t xml:space="preserve">ICT-023</t>
  </si>
  <si>
    <t xml:space="preserve">obedience</t>
  </si>
  <si>
    <t xml:space="preserve">Articles of Faith 1:3 language; clarifies covenant response versus price.</t>
  </si>
  <si>
    <t xml:space="preserve">ICT-024</t>
  </si>
  <si>
    <t xml:space="preserve">exaltation</t>
  </si>
  <si>
    <t xml:space="preserve">Clarifies salvation/exaltation vocabulary layer.</t>
  </si>
  <si>
    <t xml:space="preserve">ICT-025</t>
  </si>
  <si>
    <t xml:space="preserve">laws and ordinances</t>
  </si>
  <si>
    <t xml:space="preserve">Articles of Faith 1:3 phrase.</t>
  </si>
  <si>
    <t xml:space="preserve">ICT-026</t>
  </si>
  <si>
    <t xml:space="preserve">Grace</t>
  </si>
  <si>
    <t xml:space="preserve">Topic trigger when Latter-day Saint lens is selected.</t>
  </si>
  <si>
    <t xml:space="preserve">ICT-027</t>
  </si>
  <si>
    <t xml:space="preserve">Salvation &amp; exaltation</t>
  </si>
  <si>
    <t xml:space="preserve">ICT-028</t>
  </si>
  <si>
    <t xml:space="preserve">Grace or salvation</t>
  </si>
  <si>
    <t xml:space="preserve">ICT-029</t>
  </si>
  <si>
    <t xml:space="preserve">Related clarification on the Gracious card (no auto-cue; the card is A).</t>
  </si>
  <si>
    <t xml:space="preserve">ICT-030</t>
  </si>
  <si>
    <t xml:space="preserve">Related clarification on the Savior card.</t>
  </si>
  <si>
    <t xml:space="preserve">ICT-031</t>
  </si>
  <si>
    <t xml:space="preserve">Related clarification on the exaltation addition card.</t>
  </si>
  <si>
    <t xml:space="preserve">ICT-032</t>
  </si>
  <si>
    <t xml:space="preserve">Do Latter-day Saints believe they earn salvation by works?</t>
  </si>
  <si>
    <t xml:space="preserve">ICT-033</t>
  </si>
  <si>
    <t xml:space="preserve">What does "after all we can do" mean?</t>
  </si>
  <si>
    <t xml:space="preserve">ICT-034</t>
  </si>
  <si>
    <t xml:space="preserve">Do Mormons believe in grace?</t>
  </si>
  <si>
    <t xml:space="preserve">Conversational trigger; learner phrasing retained verbatim for matching only — never rendered.</t>
  </si>
  <si>
    <t xml:space="preserve">ICT-035</t>
  </si>
  <si>
    <t xml:space="preserve">Source ID</t>
  </si>
  <si>
    <t xml:space="preserve">Tradition / institution</t>
  </si>
  <si>
    <t xml:space="preserve">Document / statement</t>
  </si>
  <si>
    <t xml:space="preserve">Quoted phrase (≤15 words)</t>
  </si>
  <si>
    <t xml:space="preserve">Claim supported</t>
  </si>
  <si>
    <t xml:space="preserve">Authority note</t>
  </si>
  <si>
    <t xml:space="preserve">Content assertion mode</t>
  </si>
  <si>
    <t xml:space="preserve">Review status</t>
  </si>
  <si>
    <t xml:space="preserve">Source date / historical period</t>
  </si>
  <si>
    <t xml:space="preserve">Current?</t>
  </si>
  <si>
    <t xml:space="preserve">ICS-001</t>
  </si>
  <si>
    <t xml:space="preserve">Article IV — Salvation</t>
  </si>
  <si>
    <t xml:space="preserve">Repentance and faith are inseparable experiences of grace</t>
  </si>
  <si>
    <t xml:space="preserve">Saving response includes inseparable repentance and faith; sanctification follows regeneration.</t>
  </si>
  <si>
    <t xml:space="preserve">Current SBC confession / cooperative doctrinal standard.</t>
  </si>
  <si>
    <t xml:space="preserve">HTML locator-scoped phrase containment</t>
  </si>
  <si>
    <t xml:space="preserve">VERIFIED</t>
  </si>
  <si>
    <t xml:space="preserve">2000</t>
  </si>
  <si>
    <t xml:space="preserve">Use for justification/sanctification distinction.</t>
  </si>
  <si>
    <t xml:space="preserve">ICS-002</t>
  </si>
  <si>
    <t xml:space="preserve">Article V — God's Purpose of Grace</t>
  </si>
  <si>
    <t xml:space="preserve">All true believers endure to the end</t>
  </si>
  <si>
    <t xml:space="preserve">Southern Baptist perseverance/eternal-security model.</t>
  </si>
  <si>
    <t xml:space="preserve">Use for perseverance branch of case.</t>
  </si>
  <si>
    <t xml:space="preserve">ICS-003</t>
  </si>
  <si>
    <t xml:space="preserve">Resolution on Southern Baptists and Roman Catholics</t>
  </si>
  <si>
    <t xml:space="preserve">1994 Annual Meeting resolution</t>
  </si>
  <si>
    <t xml:space="preserve">by grace alone through faith alone in Christ alone</t>
  </si>
  <si>
    <t xml:space="preserve">Explicit Southern Baptist faith-alone formulation.</t>
  </si>
  <si>
    <t xml:space="preserve">Convention resolution; expression of SBC messengers, not a local-church magisterium.</t>
  </si>
  <si>
    <t xml:space="preserve">1994</t>
  </si>
  <si>
    <t xml:space="preserve">Use to document explicit sola fide language.</t>
  </si>
  <si>
    <t xml:space="preserve">ICS-004</t>
  </si>
  <si>
    <t xml:space="preserve">On Integrity in SBC Leadership</t>
  </si>
  <si>
    <t xml:space="preserve">2024 Annual Meeting resolution</t>
  </si>
  <si>
    <t xml:space="preserve">subject those in unrepentant sin to church discipline</t>
  </si>
  <si>
    <t xml:space="preserve">Contemporary SBC affirmation of church discipline for unrepentant sin.</t>
  </si>
  <si>
    <t xml:space="preserve">Convention resolution; local churches remain autonomous.</t>
  </si>
  <si>
    <t xml:space="preserve">2024</t>
  </si>
  <si>
    <t xml:space="preserve">Practice/governance witness, not a soteriological revocation mechanism.</t>
  </si>
  <si>
    <t xml:space="preserve">ICS-005</t>
  </si>
  <si>
    <t xml:space="preserve">Particular / Reformed Baptist</t>
  </si>
  <si>
    <t xml:space="preserve">Confessional Baptist</t>
  </si>
  <si>
    <t xml:space="preserve">Chapter 11, paragraph 2</t>
  </si>
  <si>
    <t xml:space="preserve">the alone instrument of justification</t>
  </si>
  <si>
    <t xml:space="preserve">Faith is the sole instrument of justification in the historic confession.</t>
  </si>
  <si>
    <t xml:space="preserve">Historical confessional witness; not a current universal Baptist standard.</t>
  </si>
  <si>
    <t xml:space="preserve">1689</t>
  </si>
  <si>
    <t xml:space="preserve">HISTORICAL</t>
  </si>
  <si>
    <t xml:space="preserve">Use with explicit historical/confessional scope.</t>
  </si>
  <si>
    <t xml:space="preserve">ICS-006</t>
  </si>
  <si>
    <t xml:space="preserve">yet is not alone in the person justified</t>
  </si>
  <si>
    <t xml:space="preserve">Justifying faith is accompanied by saving graces and works by love.</t>
  </si>
  <si>
    <t xml:space="preserve">Historical confessional witness; semantic complement to ICS-005.</t>
  </si>
  <si>
    <t xml:space="preserve">Teaching paraphrase may say faith alone justifies but does not remain alone.</t>
  </si>
  <si>
    <t xml:space="preserve">ICS-007</t>
  </si>
  <si>
    <t xml:space="preserve">Chapter 26, paragraph 2</t>
  </si>
  <si>
    <t xml:space="preserve">not destroying their own profession</t>
  </si>
  <si>
    <t xml:space="preserve">Visible sainthood/church membership is tied to a credible profession not destroyed by foundational error or unholy living.</t>
  </si>
  <si>
    <t xml:space="preserve">Historical ecclesiology witness.</t>
  </si>
  <si>
    <t xml:space="preserve">Supports visible-profession distinction.</t>
  </si>
  <si>
    <t xml:space="preserve">ICS-008</t>
  </si>
  <si>
    <t xml:space="preserve">Chapter 26, paragraph 7</t>
  </si>
  <si>
    <t xml:space="preserve">order in worship and discipline</t>
  </si>
  <si>
    <t xml:space="preserve">Local churches possess authority for ecclesial discipline.</t>
  </si>
  <si>
    <t xml:space="preserve">Supports ecclesial discipline layer.</t>
  </si>
  <si>
    <t xml:space="preserve">ICS-009</t>
  </si>
  <si>
    <t xml:space="preserve">National Association of Free Will Baptists</t>
  </si>
  <si>
    <t xml:space="preserve">What We Believe</t>
  </si>
  <si>
    <t xml:space="preserve">a salvation by grace alone and not of works</t>
  </si>
  <si>
    <t xml:space="preserve">Free Will Baptist variation also denies salvation by works.</t>
  </si>
  <si>
    <t xml:space="preserve">Current denominational explanatory source.</t>
  </si>
  <si>
    <t xml:space="preserve">current</t>
  </si>
  <si>
    <t xml:space="preserve">Variation witness.</t>
  </si>
  <si>
    <t xml:space="preserve">ICS-010</t>
  </si>
  <si>
    <t xml:space="preserve">Perseverance</t>
  </si>
  <si>
    <t xml:space="preserve">make shipwreck of his faith and be lost</t>
  </si>
  <si>
    <t xml:space="preserve">Free Will Baptist conditional-security variation.</t>
  </si>
  <si>
    <t xml:space="preserve">Shows Baptist-family variation without changing grace-not-works premise.</t>
  </si>
  <si>
    <t xml:space="preserve">ICS-011</t>
  </si>
  <si>
    <t xml:space="preserve">The Church of Jesus Christ of Latter-day Saints</t>
  </si>
  <si>
    <t xml:space="preserve">Churchwide (canonical/official)</t>
  </si>
  <si>
    <t xml:space="preserve">2 Nephi 25:23</t>
  </si>
  <si>
    <t xml:space="preserve">https://www.churchofjesuschrist.org/study/scriptures/bofm/2-ne/25?lang=eng&amp;id=p23#p23</t>
  </si>
  <si>
    <t xml:space="preserve">it is by grace that we are saved, after all we can do</t>
  </si>
  <si>
    <t xml:space="preserve">The slogan itself in its canonical setting.</t>
  </si>
  <si>
    <t xml:space="preserve">Canonical scripture.</t>
  </si>
  <si>
    <t xml:space="preserve">RENDERED HTML locator-scoped phrase containment (Playwright/Church content API)</t>
  </si>
  <si>
    <t xml:space="preserve">c. 559–545 BC (Nephi); published 1830</t>
  </si>
  <si>
    <t xml:space="preserve">Slogan source; read with ICS-012 and ICS-013.</t>
  </si>
  <si>
    <t xml:space="preserve">ICS-012</t>
  </si>
  <si>
    <t xml:space="preserve">2 Nephi 10:24</t>
  </si>
  <si>
    <t xml:space="preserve">https://www.churchofjesuschrist.org/study/scriptures/bofm/2-ne/10?lang=eng&amp;id=p24#p24</t>
  </si>
  <si>
    <t xml:space="preserve">only in and through the grace of God that ye are saved</t>
  </si>
  <si>
    <t xml:space="preserve">Salvation is by grace alone in the same book that contains the slogan.</t>
  </si>
  <si>
    <t xml:space="preserve">c. 559–545 BC (Jacob); published 1830</t>
  </si>
  <si>
    <t xml:space="preserve">Controls the reading of 2 Nephi 25:23.</t>
  </si>
  <si>
    <t xml:space="preserve">ICS-013</t>
  </si>
  <si>
    <t xml:space="preserve">Alma 24:11</t>
  </si>
  <si>
    <t xml:space="preserve">https://www.churchofjesuschrist.org/study/scriptures/bofm/alma/24?lang=eng&amp;id=p10-p11#p10</t>
  </si>
  <si>
    <t xml:space="preserve">it was all we could do to repent sufficiently before God</t>
  </si>
  <si>
    <t xml:space="preserve">In Book of Mormon usage, "all we could do" is repentance, not merit.</t>
  </si>
  <si>
    <t xml:space="preserve">c. 90–77 BC; published 1830</t>
  </si>
  <si>
    <t xml:space="preserve">Semantic control on "all we can do."</t>
  </si>
  <si>
    <t xml:space="preserve">ICS-014</t>
  </si>
  <si>
    <t xml:space="preserve">Moroni 10:32</t>
  </si>
  <si>
    <t xml:space="preserve">https://www.churchofjesuschrist.org/study/scriptures/bofm/moro/10?lang=eng&amp;id=p32#p32</t>
  </si>
  <si>
    <t xml:space="preserve">then is his grace sufficient for you</t>
  </si>
  <si>
    <t xml:space="preserve">Grace enables the disciple to be perfect in Christ; effort is response, not price.</t>
  </si>
  <si>
    <t xml:space="preserve">c. AD 421; published 1830</t>
  </si>
  <si>
    <t xml:space="preserve">Enabling-grace witness.</t>
  </si>
  <si>
    <t xml:space="preserve">ICS-015</t>
  </si>
  <si>
    <t xml:space="preserve">Articles of Faith 1:3</t>
  </si>
  <si>
    <t xml:space="preserve">https://www.churchofjesuschrist.org/study/scriptures/pgp/a-of-f/1?lang=eng&amp;id=p3#p3</t>
  </si>
  <si>
    <t xml:space="preserve">by obedience to the laws and ordinances of the Gospel</t>
  </si>
  <si>
    <t xml:space="preserve">The obedience clause that creates the apparent tension.</t>
  </si>
  <si>
    <t xml:space="preserve">Canonical scripture (1842 Wentworth letter; canonized 1880).</t>
  </si>
  <si>
    <t xml:space="preserve">1842</t>
  </si>
  <si>
    <t xml:space="preserve">Tension side; read with ICS-018.</t>
  </si>
  <si>
    <t xml:space="preserve">ICS-016</t>
  </si>
  <si>
    <t xml:space="preserve">Gospel Topics: Grace</t>
  </si>
  <si>
    <t xml:space="preserve">Opening definition</t>
  </si>
  <si>
    <t xml:space="preserve">https://www.churchofjesuschrist.org/study/manual/gospel-topics/grace?lang=eng</t>
  </si>
  <si>
    <t xml:space="preserve">the divine help or strength extended to us through the Atonement</t>
  </si>
  <si>
    <t xml:space="preserve">Official definition: grace as enabling help, not reward.</t>
  </si>
  <si>
    <t xml:space="preserve">Official Church doctrinal summary.</t>
  </si>
  <si>
    <t xml:space="preserve">Use for definition of grace.</t>
  </si>
  <si>
    <t xml:space="preserve">ICS-017</t>
  </si>
  <si>
    <t xml:space="preserve">Dieter F. Uchtdorf, "The Gift of Grace," April 2015 General Conference</t>
  </si>
  <si>
    <t xml:space="preserve">Section "The Gift of Grace"</t>
  </si>
  <si>
    <t xml:space="preserve">https://www.churchofjesuschrist.org/study/general-conference/2015/04/the-gift-of-grace?lang=eng</t>
  </si>
  <si>
    <t xml:space="preserve">We cannot earn our way into heaven</t>
  </si>
  <si>
    <t xml:space="preserve">Explicit official denial that salvation is earned.</t>
  </si>
  <si>
    <t xml:space="preserve">General Conference address by a member of the First Presidency; official publication.</t>
  </si>
  <si>
    <t xml:space="preserve">2015</t>
  </si>
  <si>
    <t xml:space="preserve">Primary "not earned" witness.</t>
  </si>
  <si>
    <t xml:space="preserve">ICS-018</t>
  </si>
  <si>
    <t xml:space="preserve">Salvation cannot be bought with the currency of obedience</t>
  </si>
  <si>
    <t xml:space="preserve">Obedience is not a purchase price.</t>
  </si>
  <si>
    <t xml:space="preserve">General Conference address; official publication.</t>
  </si>
  <si>
    <t xml:space="preserve">Pairs with Articles of Faith 1:3.</t>
  </si>
  <si>
    <t xml:space="preserve">ICS-019</t>
  </si>
  <si>
    <t xml:space="preserve">Section "Why Then Obey?"</t>
  </si>
  <si>
    <t xml:space="preserve">the reaching out of our mortal hand to receive this sacred gift</t>
  </si>
  <si>
    <t xml:space="preserve">Obedience as the receiving response to grace.</t>
  </si>
  <si>
    <t xml:space="preserve">Key distinction witness.</t>
  </si>
  <si>
    <t xml:space="preserve">Bible Dictionary: Grace</t>
  </si>
  <si>
    <t xml:space="preserve">Entry "Grace"</t>
  </si>
  <si>
    <t xml:space="preserve">https://www.churchofjesuschrist.org/study/scriptures/bd/grace?lang=eng</t>
  </si>
  <si>
    <t xml:space="preserve">after they have expended their own best efforts</t>
  </si>
  <si>
    <t xml:space="preserve">Church study-aid gloss on 2 Nephi 25:23; states the temporal reading.</t>
  </si>
  <si>
    <t xml:space="preserve">Study aid published with the Church edition of the KJV; not canonical.</t>
  </si>
  <si>
    <t xml:space="preserve">PENDING FETCH — page is client-rendered; verify with Playwright</t>
  </si>
  <si>
    <t xml:space="preserve">1979 ed.; current</t>
  </si>
  <si>
    <t xml:space="preserve">Represents the temporal-sequence reading in Internal variation.</t>
  </si>
  <si>
    <t xml:space="preserve">Sequence</t>
  </si>
  <si>
    <t xml:space="preserve">Decision ID</t>
  </si>
  <si>
    <t xml:space="preserve">Category</t>
  </si>
  <si>
    <t xml:space="preserve">Actionability</t>
  </si>
  <si>
    <t xml:space="preserve">Source Sheet</t>
  </si>
  <si>
    <t xml:space="preserve">Source Key</t>
  </si>
  <si>
    <t xml:space="preserve">Source Range</t>
  </si>
  <si>
    <t xml:space="preserve">Decision Title</t>
  </si>
  <si>
    <t xml:space="preserve">Author Question</t>
  </si>
  <si>
    <t xml:space="preserve">Relevant Context</t>
  </si>
  <si>
    <t xml:space="preserve">Current State / Evidence</t>
  </si>
  <si>
    <t xml:space="preserve">Gate Impact</t>
  </si>
  <si>
    <t xml:space="preserve">Suggested Option 1</t>
  </si>
  <si>
    <t xml:space="preserve">Suggested Option 2</t>
  </si>
  <si>
    <t xml:space="preserve">Suggested Option 3</t>
  </si>
  <si>
    <t xml:space="preserve">Suggested Option 4</t>
  </si>
  <si>
    <t xml:space="preserve">Custom Required For</t>
  </si>
  <si>
    <t xml:space="preserve">Response Menu</t>
  </si>
  <si>
    <t xml:space="preserve">Custom Response</t>
  </si>
  <si>
    <t xml:space="preserve">Author Notes</t>
  </si>
  <si>
    <t xml:space="preserve">Author Initials</t>
  </si>
  <si>
    <t xml:space="preserve">Decision Date</t>
  </si>
  <si>
    <t xml:space="preserve">Resolved Response</t>
  </si>
  <si>
    <t xml:space="preserve">Workflow Status</t>
  </si>
  <si>
    <t xml:space="preserve">Gate Blocking?</t>
  </si>
  <si>
    <t xml:space="preserve">Propagation / Follow-up</t>
  </si>
  <si>
    <t xml:space="preserve">Review Batch</t>
  </si>
  <si>
    <t xml:space="preserve">Source Caution</t>
  </si>
  <si>
    <t xml:space="preserve">Needs Author Attention</t>
  </si>
  <si>
    <t xml:space="preserve">Current Item</t>
  </si>
  <si>
    <t xml:space="preserve">Duplicate Decision ID?</t>
  </si>
  <si>
    <t xml:space="preserve">G1 — Architecture &amp; ICL governance</t>
  </si>
  <si>
    <t xml:space="preserve">Data architecture</t>
  </si>
  <si>
    <t xml:space="preserve">canonical_research_source / runtime_database_policy</t>
  </si>
  <si>
    <t xml:space="preserve">A51:C55</t>
  </si>
  <si>
    <t xml:space="preserve">Confirm the canonical data-source architecture</t>
  </si>
  <si>
    <t xml:space="preserve">What should remain the authoritative research source for Seeking Jesus of Nazareth?</t>
  </si>
  <si>
    <t xml:space="preserve">The project is now relational enough that a database could be introduced, but the learning objective favors a single auditable scholarly corpus. The current architecture treats the workbook as canonical and any JSON/database as a reproducible runtime derivative.</t>
  </si>
  <si>
    <t xml:space="preserve">WORKBOOK canonical; runtime database optional derived store; database not required.</t>
  </si>
  <si>
    <t xml:space="preserve">Clears the governing source-of-truth policy before further app implementation.</t>
  </si>
  <si>
    <t xml:space="preserve">APPROVE — workbook remains canonical; runtime JSON/database is derived</t>
  </si>
  <si>
    <t xml:space="preserve">APPROVE — workbook canonical and v1 uses static JSON only; no database</t>
  </si>
  <si>
    <t xml:space="preserve">MOVE canonical authority to a database now</t>
  </si>
  <si>
    <t xml:space="preserve">DEFER architecture decision</t>
  </si>
  <si>
    <t xml:space="preserve">Update APP CONFIG architecture policy; no research rows change.</t>
  </si>
  <si>
    <t xml:space="preserve">Architecture</t>
  </si>
  <si>
    <t xml:space="preserve">Recommended: preserve one authoritative research corpus and compile runtime data from it.</t>
  </si>
  <si>
    <t xml:space="preserve">AUTH-ARCH-002</t>
  </si>
  <si>
    <t xml:space="preserve">Clarification runtime</t>
  </si>
  <si>
    <t xml:space="preserve">SEMANTIC / QUESTION_PATTERN policy</t>
  </si>
  <si>
    <t xml:space="preserve">A1:M19</t>
  </si>
  <si>
    <t xml:space="preserve">Choose the v1 clarification-trigger engine</t>
  </si>
  <si>
    <t xml:space="preserve">Should v1 use only deterministic client-side clarification triggers, or also semantic/conversational triggers?</t>
  </si>
  <si>
    <t xml:space="preserve">Gate 0 chose static Eleventy with no server. Four trigger rows are semantic question-pattern triggers. Deterministic term/topic/context triggers can run entirely client-side. Semantic matching naturally belongs with a later ministry RAG/backend.</t>
  </si>
  <si>
    <t xml:space="preserve">v2.13 contains deterministic and SEMANTIC trigger types, but unapproved cases do not auto-surface.</t>
  </si>
  <si>
    <t xml:space="preserve">Determines whether the static v1 app acquires an unnecessary conversational backend.</t>
  </si>
  <si>
    <t xml:space="preserve">V1 DETERMINISTIC ONLY — keep semantic/question-pattern rows inactive until later RAG</t>
  </si>
  <si>
    <t xml:space="preserve">V1 MANUAL EXPLORER ONLY — no automatic clarification cues</t>
  </si>
  <si>
    <t xml:space="preserve">ENABLE semantic triggering in v1 with a new backend</t>
  </si>
  <si>
    <t xml:space="preserve">CUSTOM runtime policy</t>
  </si>
  <si>
    <t xml:space="preserve">OPTION 4</t>
  </si>
  <si>
    <t xml:space="preserve">Set v1 Active? flags / runtime policy; retain semantic rows as future lineage if deferred.</t>
  </si>
  <si>
    <t xml:space="preserve">Recommended: deterministic-only for static v1; preserve semantic rows for later RAG.</t>
  </si>
  <si>
    <t xml:space="preserve">AUTH-ARCH-003</t>
  </si>
  <si>
    <t xml:space="preserve">Clarification anchoring</t>
  </si>
  <si>
    <t xml:space="preserve">Related current predicate IDs / explorer category</t>
  </si>
  <si>
    <t xml:space="preserve">Y2 / X2</t>
  </si>
  <si>
    <t xml:space="preserve">Set the required anchor rule for every clarification case</t>
  </si>
  <si>
    <t xml:space="preserve">Where must an Interpretive Clarification Case attach so it cannot appear out of context?</t>
  </si>
  <si>
    <t xml:space="preserve">ICC-001 concerns justification and discipline, outside the current God-language counted map. The reviewer recommends every case anchor to a counted predicate, a Godhead proposition, or a declared explorer category, with orientation explaining that the explorer reaches beyond the counted corpus.</t>
  </si>
  <si>
    <t xml:space="preserve">ICC-001 has Manual explorer category = Salvation &amp; discipleship and no related current predicate IDs.</t>
  </si>
  <si>
    <t xml:space="preserve">Prevents a Baptist sola-fide cue from appearing merely because a learner selected the Baptist lens on a divine-attributes map.</t>
  </si>
  <si>
    <t xml:space="preserve">REQUIRE predicate/Godhead/explorer anchor; ICC-001 = explorer-only 'Salvation &amp; discipleship'</t>
  </si>
  <si>
    <t xml:space="preserve">REQUIRE counted predicate or Godhead anchor only; keep ICC-001 out of v1</t>
  </si>
  <si>
    <t xml:space="preserve">ALLOW unanchored clarification cases when tradition context matches</t>
  </si>
  <si>
    <t xml:space="preserve">CUSTOM anchoring rule</t>
  </si>
  <si>
    <t xml:space="preserve">Add required Anchor Type/Anchor ID policy to ICL schema and orientation copy.</t>
  </si>
  <si>
    <t xml:space="preserve">Recommended: three-way anchor rule with explorer category for out-of-corpus cases.</t>
  </si>
  <si>
    <t xml:space="preserve">AUTH-ARCH-004</t>
  </si>
  <si>
    <t xml:space="preserve">Orientation teaching</t>
  </si>
  <si>
    <t xml:space="preserve">Hazard Type taxonomy</t>
  </si>
  <si>
    <t xml:space="preserve">A6:D15</t>
  </si>
  <si>
    <t xml:space="preserve">Decide whether the interpretive-hazard taxonomy belongs in Orientation</t>
  </si>
  <si>
    <t xml:space="preserve">Should the ten clarification hazard types be taught explicitly to learners in the orientation module?</t>
  </si>
  <si>
    <t xml:space="preserve">The hazard taxonomy names recurring interpretive errors the project method is designed to prevent: slogan compression, same-word/different-meaning, apparent contradiction, ecclesial vs soteriological, source silence vs denial, historical antecedent vs equivalence, relational vs metaphysical, family variation, authority scope, and semantic floor.</t>
  </si>
  <si>
    <t xml:space="preserve">Taxonomy exists in the workbook as internal/app vocabulary.</t>
  </si>
  <si>
    <t xml:space="preserve">Controls whether the methodology itself becomes learner-facing literacy rather than invisible machinery.</t>
  </si>
  <si>
    <t xml:space="preserve">APPROVE all ten hazards as Orientation teaching content</t>
  </si>
  <si>
    <t xml:space="preserve">APPROVE a shorter learner-facing subset; enter selected hazards in Custom Response</t>
  </si>
  <si>
    <t xml:space="preserve">KEEP taxonomy internal; do not teach it explicitly</t>
  </si>
  <si>
    <t xml:space="preserve">CUSTOM orientation treatment</t>
  </si>
  <si>
    <t xml:space="preserve">OPTION 2 | OPTION 4</t>
  </si>
  <si>
    <t xml:space="preserve">Create orientation copy only after author choice; quantitative corpus remains unchanged.</t>
  </si>
  <si>
    <t xml:space="preserve">Recommended: teach the taxonomy in accessible language because it explains how to read the map responsibly.</t>
  </si>
  <si>
    <t xml:space="preserve">AUTH-ARCH-005</t>
  </si>
  <si>
    <t xml:space="preserve">Lens balance</t>
  </si>
  <si>
    <t xml:space="preserve">ICC release symmetry policy</t>
  </si>
  <si>
    <t xml:space="preserve">A1:AA2</t>
  </si>
  <si>
    <t xml:space="preserve">Choose the lens-balance policy for clarification cases</t>
  </si>
  <si>
    <t xml:space="preserve">Should v1 clarification cases be released in interfaith-balanced pairs or batches?</t>
  </si>
  <si>
    <t xml:space="preserve">With ICC-001 clarifying a Baptist misunderstanding, a dual-audience app could appear to explain only other traditions. A natural Latter-day Saint mirror is the slogan-compression problem around 2 Nephi 25:23 ('after all we can do') and grace/works.</t>
  </si>
  <si>
    <t xml:space="preserve">Only ICC-001 exists; no Latter-day Saint mirror case yet.</t>
  </si>
  <si>
    <t xml:space="preserve">Affects perceived fairness and whether the clarification explorer models mutual rather than one-directional interpretation.</t>
  </si>
  <si>
    <t xml:space="preserve">REQUIRE balanced pair for v1 — create ICC-002 LDS grace/'after all we can do' before ICC-001 public release</t>
  </si>
  <si>
    <t xml:space="preserve">BALANCE by release batch, not strict one-for-one pairing</t>
  </si>
  <si>
    <t xml:space="preserve">NO formal symmetry rule; approve cases solely by need</t>
  </si>
  <si>
    <t xml:space="preserve">CUSTOM balance policy</t>
  </si>
  <si>
    <t xml:space="preserve">Set ICL release policy; if Option 1, create ICC-002 as next case.</t>
  </si>
  <si>
    <t xml:space="preserve">Recommended: balanced pair for the prototype so the feature begins visibly reciprocal.</t>
  </si>
  <si>
    <t xml:space="preserve">AUTH-ARCH-006</t>
  </si>
  <si>
    <t xml:space="preserve">Clarification volume</t>
  </si>
  <si>
    <t xml:space="preserve">v1 case-volume policy</t>
  </si>
  <si>
    <t xml:space="preserve">Set the v1 clarification-case volume rule</t>
  </si>
  <si>
    <t xml:space="preserve">How many clarification cases should v1 allow, and what earns a case?</t>
  </si>
  <si>
    <t xml:space="preserve">Each case carries a substantial source and trigger footprint. The review recommends cases be earned by observed misunderstanding rather than authored speculatively, with a v1 cap of six.</t>
  </si>
  <si>
    <t xml:space="preserve">No formal v1 cap is yet encoded.</t>
  </si>
  <si>
    <t xml:space="preserve">Prevents the clarification layer from becoming a second encyclopedia that dilutes the map's learning objective.</t>
  </si>
  <si>
    <t xml:space="preserve">CAP v1 at 6 APPROVED cases; require observed/recurrent misunderstanding</t>
  </si>
  <si>
    <t xml:space="preserve">CAP v1 at 4 APPROVED cases; require observed/recurrent misunderstanding</t>
  </si>
  <si>
    <t xml:space="preserve">CAP v1 at 10 APPROVED cases; require author approval but not observed use</t>
  </si>
  <si>
    <t xml:space="preserve">NO numeric cap; rely on author approval</t>
  </si>
  <si>
    <t xml:space="preserve">Add case-volume and admission-policy fields to APP CONFIG / ICL governance.</t>
  </si>
  <si>
    <t xml:space="preserve">Recommended: six-case cap and evidence of actual misunderstanding.</t>
  </si>
  <si>
    <t xml:space="preserve">AUTH-ICC-001-CUE</t>
  </si>
  <si>
    <t xml:space="preserve">G2 — ICC prototype release</t>
  </si>
  <si>
    <t xml:space="preserve">ICC-001 learner wording</t>
  </si>
  <si>
    <t xml:space="preserve">ICC-001 Learner cue copy</t>
  </si>
  <si>
    <t xml:space="preserve">W2</t>
  </si>
  <si>
    <t xml:space="preserve">Approve or replace the ICC-001 automatic cue wording</t>
  </si>
  <si>
    <t xml:space="preserve">What short learner-facing cue should invite clarification without sounding managerial or corrective?</t>
  </si>
  <si>
    <t xml:space="preserve">Current cue: “Important clarification: 'faith alone' does not mean repentance, holiness, perseverance, or conduct are irrelevant in Baptist theology.” The review found it accurate but managerial in tone.</t>
  </si>
  <si>
    <t xml:space="preserve">ICC-001 is AUTHOR_REVIEW and cannot auto-surface yet.</t>
  </si>
  <si>
    <t xml:space="preserve">The cue is the only automatically visible text; tone strongly shapes whether the learner feels invited or corrected.</t>
  </si>
  <si>
    <t xml:space="preserve">“How can faith alone and church discipline both fit Baptist theology? See the distinction.”</t>
  </si>
  <si>
    <t xml:space="preserve">“In Baptist theology, faith alone and church discipline answer different questions. Explore the distinction.”</t>
  </si>
  <si>
    <t xml:space="preserve">“‘Faith alone’ does not mean Christian conduct is irrelevant. See how Baptists distinguish justification from discipleship.”</t>
  </si>
  <si>
    <t xml:space="preserve">CUSTOM cue wording</t>
  </si>
  <si>
    <t xml:space="preserve">Replace ICC-001 Learner cue copy after author choice.</t>
  </si>
  <si>
    <t xml:space="preserve">ICC prototype</t>
  </si>
  <si>
    <t xml:space="preserve">Recommended: a question/invitation rather than a corrective announcement.</t>
  </si>
  <si>
    <t xml:space="preserve">AUTH-ICC-001-CASE</t>
  </si>
  <si>
    <t xml:space="preserve">ICC-001 case approval</t>
  </si>
  <si>
    <t xml:space="preserve">A2:AA2</t>
  </si>
  <si>
    <t xml:space="preserve">Author-review the full ICC-001 case</t>
  </si>
  <si>
    <t xml:space="preserve">Is ICC-001's scope, resolution, variation note, interfaith significance, and boundary language suitable for author approval?</t>
  </si>
  <si>
    <t xml:space="preserve">ICC-001 distinguishes justification from ecclesial recognition, preserves Southern/confessional Baptist perseverance, and includes Free Will Baptist conditional-security variation. Ten source records are content-addressable. It is NOT COUNTED.</t>
  </si>
  <si>
    <t xml:space="preserve">Review state = AUTHOR_REVIEW; app availability = HOLD UNTIL AUTHOR APPROVAL; answer authority = DRAFT_CASE.</t>
  </si>
  <si>
    <t xml:space="preserve">An APPROVED case may become a public clarification and preferred answer authority within its registered scope.</t>
  </si>
  <si>
    <t xml:space="preserve">APPROVE CONTENT — keep public release held until the lens-balance policy is satisfied</t>
  </si>
  <si>
    <t xml:space="preserve">APPROVE CONTENT AND ALLOW standalone release when engineering gates pass</t>
  </si>
  <si>
    <t xml:space="preserve">REVISE CASE — enter replacement/change instructions in Custom Response</t>
  </si>
  <si>
    <t xml:space="preserve">HOLD — more source or theological review required</t>
  </si>
  <si>
    <t xml:space="preserve">OPTION 3</t>
  </si>
  <si>
    <t xml:space="preserve">Update ICC-001 Review State / availability / answer authority only after resolving any release-policy dependency.</t>
  </si>
  <si>
    <t xml:space="preserve">Case approval is separate from automatic-release policy.</t>
  </si>
  <si>
    <t xml:space="preserve">AUTH-COMP-H06</t>
  </si>
  <si>
    <t xml:space="preserve">G3 — Restoration comparator review</t>
  </si>
  <si>
    <t xml:space="preserve">Restoration comparator</t>
  </si>
  <si>
    <t xml:space="preserve">A7:AC7</t>
  </si>
  <si>
    <t xml:space="preserve">Review H06 Lord Restoration comparator</t>
  </si>
  <si>
    <t xml:space="preserve">Which Restoration-side source should control the public comparator for H06 Lord?</t>
  </si>
  <si>
    <t xml:space="preserve">Current comparator: Moses 1:6 (Moses 1:6).</t>
  </si>
  <si>
    <t xml:space="preserve">Moses 1:6 is indirect; the existing review suggests D&amp;C 20:24 or Mosiah 3:5.</t>
  </si>
  <si>
    <t xml:space="preserve">Must resolve before the corresponding two-sided citation is treated as fully author-reviewed.</t>
  </si>
  <si>
    <t xml:space="preserve">RETAIN Moses 1:6</t>
  </si>
  <si>
    <t xml:space="preserve">REPLACE with D&amp;C 20:24</t>
  </si>
  <si>
    <t xml:space="preserve">REPLACE with Mosiah 3:5</t>
  </si>
  <si>
    <t xml:space="preserve">REPLACE with custom source</t>
  </si>
  <si>
    <t xml:space="preserve">Cascade approved replacement through citation label/locator/URL and Restoration phrase target in next controlled merge.</t>
  </si>
  <si>
    <t xml:space="preserve">Comparator review</t>
  </si>
  <si>
    <t xml:space="preserve">AUTH-COMP-H09</t>
  </si>
  <si>
    <t xml:space="preserve">A10:AC10</t>
  </si>
  <si>
    <t xml:space="preserve">Review H09 Good Restoration comparator</t>
  </si>
  <si>
    <t xml:space="preserve">Which Restoration-side source should control the public comparator for H09 Good?</t>
  </si>
  <si>
    <t xml:space="preserve">Current comparator: Psalm 100:5 (Psalm 100:5).</t>
  </si>
  <si>
    <t xml:space="preserve">Psalm 100:5 is valid, but Moroni 7:12 would keep the comparator in Restoration scripture.</t>
  </si>
  <si>
    <t xml:space="preserve">RETAIN Psalm 100:5</t>
  </si>
  <si>
    <t xml:space="preserve">REPLACE with Moroni 7:12</t>
  </si>
  <si>
    <t xml:space="preserve">USE BOTH Psalm 100:5 and Moroni 7:12</t>
  </si>
  <si>
    <t xml:space="preserve">AUTH-COMP-H19</t>
  </si>
  <si>
    <t xml:space="preserve">A20:AC20</t>
  </si>
  <si>
    <t xml:space="preserve">Review H19 Blessed Restoration comparator</t>
  </si>
  <si>
    <t xml:space="preserve">Which Restoration-side source should control the public comparator for H19 Blessed?</t>
  </si>
  <si>
    <t xml:space="preserve">Current comparator: 3 Nephi 28:10 (3 Nephi 28:10).</t>
  </si>
  <si>
    <t xml:space="preserve">3 Nephi 28:10 concerns the disciples' joy and is weak evidence that God is blessed.</t>
  </si>
  <si>
    <t xml:space="preserve">RETAIN 3 Nephi 28:10 despite weakness</t>
  </si>
  <si>
    <t xml:space="preserve">REPLACE — enter a direct divine-blessedness source in Custom Response</t>
  </si>
  <si>
    <t xml:space="preserve">HOLD comparator pending targeted source research</t>
  </si>
  <si>
    <t xml:space="preserve">REMOVE public comparator until a direct source is approved</t>
  </si>
  <si>
    <t xml:space="preserve">OPTION 2</t>
  </si>
  <si>
    <t xml:space="preserve">AUTH-COMP-H20</t>
  </si>
  <si>
    <t xml:space="preserve">A21:AC21</t>
  </si>
  <si>
    <t xml:space="preserve">Review H20 Glorious Restoration comparator</t>
  </si>
  <si>
    <t xml:space="preserve">Which Restoration-side source should control the public comparator for H20 Glorious?</t>
  </si>
  <si>
    <t xml:space="preserve">Current comparator: 1 Nephi 1:14 (1 Nephi 1:14).</t>
  </si>
  <si>
    <t xml:space="preserve">1 Nephi 1:14 is contextual; Moses 1:2 or D&amp;C 76:19–20 are more direct divine-glory witnesses.</t>
  </si>
  <si>
    <t xml:space="preserve">RETAIN 1 Nephi 1:14</t>
  </si>
  <si>
    <t xml:space="preserve">REPLACE with Moses 1:2</t>
  </si>
  <si>
    <t xml:space="preserve">REPLACE with D&amp;C 76:19–20</t>
  </si>
  <si>
    <t xml:space="preserve">AUTH-ORTH-H37</t>
  </si>
  <si>
    <t xml:space="preserve">G4 — Orthodox adjudications</t>
  </si>
  <si>
    <t xml:space="preserve">Source-role adjudication</t>
  </si>
  <si>
    <t xml:space="preserve">Final 24 Reconciliation</t>
  </si>
  <si>
    <t xml:space="preserve">Q-290 / RNR-H37 Eastern Orthodox</t>
  </si>
  <si>
    <t xml:space="preserve">A3:J3</t>
  </si>
  <si>
    <t xml:space="preserve">Adjudicate Eastern Orthodox H37 source role</t>
  </si>
  <si>
    <t xml:space="preserve">May the recovered OCA-hosted patristic/liturgical witness support a jurisdictionally scoped Eastern Orthodox H37 branch result?</t>
  </si>
  <si>
    <t xml:space="preserve">H37 Unbegotten. Concept evidence was recovered, but the source role has not been promoted to a controlling branch doctrinal source.</t>
  </si>
  <si>
    <t xml:space="preserve">Q-290 = PENDING SOURCE-ROLE REVIEW; Rendered State = RECONCILIATION HOLD — SOURCE ROLE; master H37 remains Q.</t>
  </si>
  <si>
    <t xml:space="preserve">Controls whether the Eastern Orthodox H37 tile remains excluded or may resolve to Q at the accepted floor.</t>
  </si>
  <si>
    <t xml:space="preserve">APPROVE source role — resolve Eastern Orthodox H37 to Q with explicit OCA/jurisdictional scope</t>
  </si>
  <si>
    <t xml:space="preserve">KEEP source-role hold — current witness is insufficient</t>
  </si>
  <si>
    <t xml:space="preserve">REQUIRE stronger controlling Orthodox source before decision</t>
  </si>
  <si>
    <t xml:space="preserve">CUSTOM source-role disposition</t>
  </si>
  <si>
    <t xml:space="preserve">Propagate only after author decision; do not generalize OCA witness to all Orthodoxy.</t>
  </si>
  <si>
    <t xml:space="preserve">Orthodox adjudication</t>
  </si>
  <si>
    <t xml:space="preserve">Question is source authority/scope, not whether 'unbegotten' exists in Orthodox tradition.</t>
  </si>
  <si>
    <t xml:space="preserve">AUTH-ORTH-H43</t>
  </si>
  <si>
    <t xml:space="preserve">Semantic-floor adjudication</t>
  </si>
  <si>
    <t xml:space="preserve">Q-338 / RNR-H43 Eastern Orthodox</t>
  </si>
  <si>
    <t xml:space="preserve">A343:AA343</t>
  </si>
  <si>
    <t xml:space="preserve">Adjudicate Eastern Orthodox H43 semantic floor</t>
  </si>
  <si>
    <t xml:space="preserve">Does the cited OCA simplicity teaching reach the project's exact H43 'without parts / strong divine simplicity' floor?</t>
  </si>
  <si>
    <t xml:space="preserve">OCA The Orthodox Faith — God contains a divine-simplicity discussion. The row is jurisdictional and evidence exists, but exact equivalence to the project's 'without parts' floor has not been promoted.</t>
  </si>
  <si>
    <t xml:space="preserve">Q-338 Rendered State = PENDING REVIEW; Metric Class = EXCLUDED. H43 currently remains 5 D + 1 pending + 2 current-source gaps.</t>
  </si>
  <si>
    <t xml:space="preserve">Controls whether H43 Eastern Orthodox becomes D or remains explicitly unresolved.</t>
  </si>
  <si>
    <t xml:space="preserve">APPROVE D at the current H43 floor</t>
  </si>
  <si>
    <t xml:space="preserve">KEEP PENDING — source does not establish exact 'without parts' equivalence</t>
  </si>
  <si>
    <t xml:space="preserve">REVISE/NARROW H43 semantic floor — enter exact replacement rule in Custom Response</t>
  </si>
  <si>
    <t xml:space="preserve">REQUIRE targeted Orthodox source recovery before decision</t>
  </si>
  <si>
    <t xml:space="preserve">If semantic floor changes, flag broader research-code propagation rather than silently recoding one cell.</t>
  </si>
  <si>
    <t xml:space="preserve">AUTH-GOD-01</t>
  </si>
  <si>
    <t xml:space="preserve">G5 — Godhead Context wording</t>
  </si>
  <si>
    <t xml:space="preserve">Godhead Context</t>
  </si>
  <si>
    <t xml:space="preserve">A6:J6</t>
  </si>
  <si>
    <t xml:space="preserve">Review GOD-01 learner-facing Godhead Context wording</t>
  </si>
  <si>
    <t xml:space="preserve">Approve the proposition, teaching use, and caution for GOD-01?</t>
  </si>
  <si>
    <t xml:space="preserve">Proposition: Father, Son, and Holy Spirit are explicitly named in Christian confession.
Historic example: Nicene-Constantinopolitan Creed / Westminster Shorter Catechism Q4–6
LDS example: Articles of Faith 1:1
Relationship to counted predicates: Related to H04 Father, H05 Son, H34–H35 Spirit language
Teaching use: Establish shared threefold God-language before discussing structural differences.
Caution: Shared naming does not establish identical Trinity/Godhead ontology.</t>
  </si>
  <si>
    <t xml:space="preserve">Quantitative status = NOT COUNTED.</t>
  </si>
  <si>
    <t xml:space="preserve">Required before the learner-facing Trinity/Godhead context panel is author-approved.</t>
  </si>
  <si>
    <t xml:space="preserve">APPROVE AS WRITTEN</t>
  </si>
  <si>
    <t xml:space="preserve">REVISE proposition/teaching/caution — enter complete replacement in Custom Response</t>
  </si>
  <si>
    <t xml:space="preserve">APPROVE proposition but REVISE caution — enter replacement caution in Custom Response</t>
  </si>
  <si>
    <t xml:space="preserve">HOLD — more theological/source review required</t>
  </si>
  <si>
    <t xml:space="preserve">OPTION 2 | OPTION 3</t>
  </si>
  <si>
    <t xml:space="preserve">Apply author wording only; preserve NOT COUNTED status and source fields unless explicitly changed.</t>
  </si>
  <si>
    <t xml:space="preserve">AUTH-GOD-02</t>
  </si>
  <si>
    <t xml:space="preserve">A7:J7</t>
  </si>
  <si>
    <t xml:space="preserve">Review GOD-02 learner-facing Godhead Context wording</t>
  </si>
  <si>
    <t xml:space="preserve">Approve the proposition, teaching use, and caution for GOD-02?</t>
  </si>
  <si>
    <t xml:space="preserve">Proposition: Historic conciliar/confessional Christianity commonly affirms one divine essence/nature shared by Father, Son, and Spirit.
Historic example: Nicene Creed; Augsburg Confession I; Westminster Shorter Catechism Q4–6
LDS example: Gospel Topics: Godhead
Relationship to counted predicates: H56 is the nearest counted delimiter and remains Q
Teaching use: Explain why the dataset is not a complete Trinity census.
Caution: Do not reduce all Christian Trinitarian traditions to one philosophical theory.</t>
  </si>
  <si>
    <t xml:space="preserve">AUTH-GOD-03</t>
  </si>
  <si>
    <t xml:space="preserve">A8:J8</t>
  </si>
  <si>
    <t xml:space="preserve">Review GOD-03 learner-facing Godhead Context wording</t>
  </si>
  <si>
    <t xml:space="preserve">Approve the proposition, teaching use, and caution for GOD-03?</t>
  </si>
  <si>
    <t xml:space="preserve">Proposition: Restoration teaching distinguishes the Father, Son, and Holy Ghost personally and gives a distinctive embodied/personage account.
Historic example: Contextual contrast, not an inherited predicate row
LDS example: D&amp;C 130:22; Gospel Topics: Godhead
Relationship to counted predicates: Related to H41–H43, H56, A01–A03
Teaching use: Connect Godhead structure to embodiment and unity without denominator drift.
Caution: This panel is explanatory; it does not create a new A/Q/D row.</t>
  </si>
  <si>
    <t xml:space="preserve">AUTH-GOD-04</t>
  </si>
  <si>
    <t xml:space="preserve">A9:J9</t>
  </si>
  <si>
    <t xml:space="preserve">Review GOD-04 learner-facing Godhead Context wording</t>
  </si>
  <si>
    <t xml:space="preserve">Approve the proposition, teaching use, and caution for GOD-04?</t>
  </si>
  <si>
    <t xml:space="preserve">Proposition: Unity and distinction are shared concerns even where the metaphysical account differs.
Historic example: Historic Trinity language guards both distinction and unity.
LDS example: Gospel Topics: Godhead
Relationship to counted predicates: H56 Neither confounding nor dividing = Q
Teaching use: Teach 'unity of faith' without pretending doctrinal conformity.
Caution: The exact meaning of divine unity must be stated tradition by tradition.</t>
  </si>
  <si>
    <t xml:space="preserve">AUTH-RAT-RNR-H01</t>
  </si>
  <si>
    <t xml:space="preserve">G6 — Row Ratification</t>
  </si>
  <si>
    <t xml:space="preserve">Predicate/addition wording</t>
  </si>
  <si>
    <t xml:space="preserve">A6:N6</t>
  </si>
  <si>
    <t xml:space="preserve">Ratify RNR-H01: Living</t>
  </si>
  <si>
    <t xml:space="preserve">Is this public/ministry wording accurate, appropriately scoped, and fair enough to approve?</t>
  </si>
  <si>
    <t xml:space="preserve">Corpus: Inherited 57
Family/domain: Divine identity &amp; relation
Public summary: Living
Current code/tier: A
Provenance: Count-constrained reconstruction
Source/pointer: See inherited source report / recovered institution ledgers
Locator/source note: Recurring Kataphatic Vocabulary table
Public scope caution: Positive continuity at the controlling proposition floor.
Research status: RECONSTRUCTED — source-level/master-family recertification remains publication-critical</t>
  </si>
  <si>
    <t xml:space="preserve">Author decision = PENDING.</t>
  </si>
  <si>
    <t xml:space="preserve">Blocks M1/M2 public row copy until the row is APPROVED, REVISED, or intentionally HELD.</t>
  </si>
  <si>
    <t xml:space="preserve">REVISE — enter complete replacement wording/scope note in Custom Response</t>
  </si>
  <si>
    <t xml:space="preserve">HOLD — research-code review required before wording approval</t>
  </si>
  <si>
    <t xml:space="preserve">HOLD — source/scope review required before wording approval</t>
  </si>
  <si>
    <t xml:space="preserve">Next controlled merge propagates decision to Row Ratification K:N. A wording review must not silently recode A/Q/D or authority tier.</t>
  </si>
  <si>
    <t xml:space="preserve">Inherited H01–H20 — identity &amp; positive attributes</t>
  </si>
  <si>
    <t xml:space="preserve">AUTH-RAT-RNR-H02</t>
  </si>
  <si>
    <t xml:space="preserve">A7:N7</t>
  </si>
  <si>
    <t xml:space="preserve">Ratify RNR-H02: True</t>
  </si>
  <si>
    <t xml:space="preserve">Corpus: Inherited 57
Family/domain: Divine identity &amp; relation
Public summary: True
Current code/tier: A
Provenance: Count-constrained reconstruction
Source/pointer: See inherited source report / recovered institution ledgers
Locator/source note: Recurring Kataphatic Vocabulary table
Public scope caution: Positive continuity at the controlling proposition floor.
Research status: RECONSTRUCTED — source-level/master-family recertification remains publication-critical</t>
  </si>
  <si>
    <t xml:space="preserve">AUTH-RAT-RNR-H03</t>
  </si>
  <si>
    <t xml:space="preserve">A8:N8</t>
  </si>
  <si>
    <t xml:space="preserve">Ratify RNR-H03: Spirit</t>
  </si>
  <si>
    <t xml:space="preserve">Corpus: Inherited 57
Family/domain: Divine identity &amp; relation
Public summary: Spirit
Current code/tier: Q
Provenance: Count-constrained reconstruction
Source/pointer: See inherited source report / recovered institution ledgers
Locator/source note: Recurring Kataphatic Vocabulary table
Public scope caution: Shared spiritual language; Restoration materially redefines spirit as refined matter (D&amp;C 131:7–8).
Research status: RECONSTRUCTED — source-level/master-family recertification remains publication-critical</t>
  </si>
  <si>
    <t xml:space="preserve">AUTH-RAT-RNR-H04</t>
  </si>
  <si>
    <t xml:space="preserve">A9:N9</t>
  </si>
  <si>
    <t xml:space="preserve">Ratify RNR-H04: Father</t>
  </si>
  <si>
    <t xml:space="preserve">Corpus: Inherited 57
Family/domain: Divine identity &amp; relation
Public summary: Father
Current code/tier: A
Provenance: Count-constrained reconstruction
Source/pointer: See inherited source report / recovered institution ledgers
Locator/source note: Recurring Kataphatic Vocabulary table
Public scope caution: Shared divine paternity/relational identity at the controlling floor.
Research status: RECONSTRUCTED — source-level/master-family recertification remains publication-critical</t>
  </si>
  <si>
    <t xml:space="preserve">AUTH-RAT-RNR-H05</t>
  </si>
  <si>
    <t xml:space="preserve">A10:N10</t>
  </si>
  <si>
    <t xml:space="preserve">Ratify RNR-H05: Son</t>
  </si>
  <si>
    <t xml:space="preserve">Corpus: Inherited 57
Family/domain: Divine identity &amp; relation
Public summary: Son
Current code/tier: A
Provenance: Count-constrained reconstruction
Source/pointer: See inherited source report / recovered institution ledgers
Locator/source note: Recurring Kataphatic Vocabulary table
Public scope caution: Shared filial identity/relationship controls A; thick Nicene metaphysical entailments are not imported automatically.
Research status: RECONSTRUCTED — source-level/master-family recertification remains publication-critical</t>
  </si>
  <si>
    <t xml:space="preserve">AUTH-RAT-RNR-H06</t>
  </si>
  <si>
    <t xml:space="preserve">A11:N11</t>
  </si>
  <si>
    <t xml:space="preserve">Ratify RNR-H06: Lord</t>
  </si>
  <si>
    <t xml:space="preserve">Corpus: Inherited 57
Family/domain: Divine identity &amp; relation
Public summary: Lord
Current code/tier: A
Provenance: Count-constrained reconstruction
Source/pointer: See inherited source report / recovered institution ledgers
Locator/source note: Recurring Kataphatic Vocabulary table
Public scope caution: Shared authority and lordship.
Research status: RECONSTRUCTED — source-level/master-family recertification remains publication-critical</t>
  </si>
  <si>
    <t xml:space="preserve">AUTH-RAT-RNR-H07</t>
  </si>
  <si>
    <t xml:space="preserve">A12:N12</t>
  </si>
  <si>
    <t xml:space="preserve">Ratify RNR-H07: Almighty / omnipotent</t>
  </si>
  <si>
    <t xml:space="preserve">Corpus: Inherited 57
Family/domain: Power, wisdom, goodness &amp; holiness
Public summary: Almighty / omnipotent
Current code/tier: A
Provenance: Count-constrained reconstruction
Source/pointer: See inherited source report / recovered institution ledgers
Locator/source note: Recurring Kataphatic Vocabulary table
Public scope caution: Shared supreme divine power; absolute modal or creatio-ex-nihilo implications are not imported automatically.
Research status: RECONSTRUCTED — source-level/master-family recertification remains publication-critical</t>
  </si>
  <si>
    <t xml:space="preserve">AUTH-RAT-RNR-H08</t>
  </si>
  <si>
    <t xml:space="preserve">A13:N13</t>
  </si>
  <si>
    <t xml:space="preserve">Ratify RNR-H08: Wise / all-wise</t>
  </si>
  <si>
    <t xml:space="preserve">Corpus: Inherited 57
Family/domain: Power, wisdom, goodness &amp; holiness
Public summary: Wise / all-wise
Current code/tier: A
Provenance: Count-constrained reconstruction
Source/pointer: See inherited source report / recovered institution ledgers
Locator/source note: Recurring Kataphatic Vocabulary table
Public scope caution: Shared divine wisdom.
Research status: RECONSTRUCTED — source-level/master-family recertification remains publication-critical</t>
  </si>
  <si>
    <t xml:space="preserve">AUTH-RAT-RNR-H09</t>
  </si>
  <si>
    <t xml:space="preserve">A14:N14</t>
  </si>
  <si>
    <t xml:space="preserve">Ratify RNR-H09: Good</t>
  </si>
  <si>
    <t xml:space="preserve">Corpus: Inherited 57
Family/domain: Power, wisdom, goodness &amp; holiness
Public summary: Good
Current code/tier: A
Provenance: Count-constrained reconstruction
Source/pointer: See inherited source report / recovered institution ledgers
Locator/source note: Recurring Kataphatic Vocabulary table
Public scope caution: Shared divine goodness.
Research status: RECONSTRUCTED — source-level/master-family recertification remains publication-critical</t>
  </si>
  <si>
    <t xml:space="preserve">AUTH-RAT-RNR-H10</t>
  </si>
  <si>
    <t xml:space="preserve">A15:N15</t>
  </si>
  <si>
    <t xml:space="preserve">Ratify RNR-H10: Source of all good</t>
  </si>
  <si>
    <t xml:space="preserve">Corpus: Inherited 57
Family/domain: Power, wisdom, goodness &amp; holiness
Public summary: Source of all good
Current code/tier: A
Provenance: Count-constrained reconstruction
Source/pointer: See inherited source report / recovered institution ledgers
Locator/source note: Recurring Kataphatic Vocabulary table
Public scope caution: No material conflict identified at the accepted floor.
Research status: RECONSTRUCTED — source-level/master-family recertification remains publication-critical</t>
  </si>
  <si>
    <t xml:space="preserve">AUTH-RAT-RNR-H11</t>
  </si>
  <si>
    <t xml:space="preserve">A16:N16</t>
  </si>
  <si>
    <t xml:space="preserve">Ratify RNR-H11: Just / righteous</t>
  </si>
  <si>
    <t xml:space="preserve">Corpus: Inherited 57
Family/domain: Power, wisdom, goodness &amp; holiness
Public summary: Just / righteous
Current code/tier: A
Provenance: Count-constrained reconstruction
Source/pointer: See inherited source report / recovered institution ledgers
Locator/source note: Recurring Kataphatic Vocabulary table
Public scope caution: Shared divine justice/righteousness.
Research status: RECONSTRUCTED — source-level/master-family recertification remains publication-critical</t>
  </si>
  <si>
    <t xml:space="preserve">AUTH-RAT-RNR-H12</t>
  </si>
  <si>
    <t xml:space="preserve">A17:N17</t>
  </si>
  <si>
    <t xml:space="preserve">Ratify RNR-H12: Holy</t>
  </si>
  <si>
    <t xml:space="preserve">Corpus: Inherited 57
Family/domain: Power, wisdom, goodness &amp; holiness
Public summary: Holy
Current code/tier: A
Provenance: Count-constrained reconstruction
Source/pointer: See inherited source report / recovered institution ledgers
Locator/source note: Recurring Kataphatic Vocabulary table
Public scope caution: Shared holiness.
Research status: RECONSTRUCTED — source-level/master-family recertification remains publication-critical</t>
  </si>
  <si>
    <t xml:space="preserve">AUTH-RAT-RNR-H13</t>
  </si>
  <si>
    <t xml:space="preserve">A18:N18</t>
  </si>
  <si>
    <t xml:space="preserve">Ratify RNR-H13: Truthful / faithful</t>
  </si>
  <si>
    <t xml:space="preserve">Corpus: Inherited 57
Family/domain: Power, wisdom, goodness &amp; holiness
Public summary: Truthful / faithful
Current code/tier: A
Provenance: Count-constrained reconstruction
Source/pointer: See inherited source report / recovered institution ledgers
Locator/source note: Recurring Kataphatic Vocabulary table
Public scope caution: Shared faithfulness and truthfulness.
Research status: RECONSTRUCTED — source-level/master-family recertification remains publication-critical</t>
  </si>
  <si>
    <t xml:space="preserve">AUTH-RAT-RNR-H14</t>
  </si>
  <si>
    <t xml:space="preserve">A19:N19</t>
  </si>
  <si>
    <t xml:space="preserve">Ratify RNR-H14: Love / loving</t>
  </si>
  <si>
    <t xml:space="preserve">Corpus: Inherited 57
Family/domain: Love, mercy, grace &amp; glory
Public summary: Love / loving
Current code/tier: A
Provenance: Count-constrained reconstruction
Source/pointer: See inherited source report / recovered institution ledgers
Locator/source note: Recurring Kataphatic Vocabulary table
Public scope caution: Shared divine love.
Research status: RECONSTRUCTED — source-level/master-family recertification remains publication-critical</t>
  </si>
  <si>
    <t xml:space="preserve">AUTH-RAT-RNR-H15</t>
  </si>
  <si>
    <t xml:space="preserve">A20:N20</t>
  </si>
  <si>
    <t xml:space="preserve">Ratify RNR-H15: Merciful</t>
  </si>
  <si>
    <t xml:space="preserve">Corpus: Inherited 57
Family/domain: Love, mercy, grace &amp; glory
Public summary: Merciful
Current code/tier: A
Provenance: Count-constrained reconstruction
Source/pointer: See inherited source report / recovered institution ledgers
Locator/source note: Recurring Kataphatic Vocabulary table
Public scope caution: Shared mercy.
Research status: RECONSTRUCTED — source-level/master-family recertification remains publication-critical</t>
  </si>
  <si>
    <t xml:space="preserve">AUTH-RAT-RNR-H16</t>
  </si>
  <si>
    <t xml:space="preserve">A21:N21</t>
  </si>
  <si>
    <t xml:space="preserve">Ratify RNR-H16: Gracious</t>
  </si>
  <si>
    <t xml:space="preserve">Corpus: Inherited 57
Family/domain: Love, mercy, grace &amp; glory
Public summary: Gracious
Current code/tier: A
Provenance: Count-constrained reconstruction
Source/pointer: See inherited source report / recovered institution ledgers
Locator/source note: Recurring Kataphatic Vocabulary table
Public scope caution: Shared grace/gracious action.
Research status: RECONSTRUCTED — source-level/master-family recertification remains publication-critical</t>
  </si>
  <si>
    <t xml:space="preserve">AUTH-RAT-RNR-H17</t>
  </si>
  <si>
    <t xml:space="preserve">A22:N22</t>
  </si>
  <si>
    <t xml:space="preserve">Ratify RNR-H17: Long-suffering / patient</t>
  </si>
  <si>
    <t xml:space="preserve">Corpus: Inherited 57
Family/domain: Love, mercy, grace &amp; glory
Public summary: Long-suffering / patient
Current code/tier: A
Provenance: Count-constrained reconstruction
Source/pointer: See inherited source report / recovered institution ledgers
Locator/source note: Recurring Kataphatic Vocabulary table
Public scope caution: Shared divine patience/forbearance.
Research status: RECONSTRUCTED — source-level/master-family recertification remains publication-critical</t>
  </si>
  <si>
    <t xml:space="preserve">AUTH-RAT-RNR-H18</t>
  </si>
  <si>
    <t xml:space="preserve">A23:N23</t>
  </si>
  <si>
    <t xml:space="preserve">Ratify RNR-H18: Forgiving</t>
  </si>
  <si>
    <t xml:space="preserve">Corpus: Inherited 57
Family/domain: Love, mercy, grace &amp; glory
Public summary: Forgiving
Current code/tier: A
Provenance: Count-constrained reconstruction
Source/pointer: See inherited source report / recovered institution ledgers
Locator/source note: Recurring Kataphatic Vocabulary table
Public scope caution: Shared forgiving action.
Research status: RECONSTRUCTED — source-level/master-family recertification remains publication-critical</t>
  </si>
  <si>
    <t xml:space="preserve">AUTH-RAT-RNR-H19</t>
  </si>
  <si>
    <t xml:space="preserve">A24:N24</t>
  </si>
  <si>
    <t xml:space="preserve">Ratify RNR-H19: Blessed</t>
  </si>
  <si>
    <t xml:space="preserve">Corpus: Inherited 57
Family/domain: Love, mercy, grace &amp; glory
Public summary: Blessed
Current code/tier: A
Provenance: Count-constrained reconstruction
Source/pointer: See inherited source report / recovered institution ledgers
Locator/source note: Recurring Kataphatic Vocabulary table
Public scope caution: No material conflict identified at the accepted floor.
Research status: RECONSTRUCTED — source-level/master-family recertification remains publication-critical</t>
  </si>
  <si>
    <t xml:space="preserve">AUTH-RAT-RNR-H20</t>
  </si>
  <si>
    <t xml:space="preserve">A25:N25</t>
  </si>
  <si>
    <t xml:space="preserve">Ratify RNR-H20: Glorious</t>
  </si>
  <si>
    <t xml:space="preserve">Corpus: Inherited 57
Family/domain: Love, mercy, grace &amp; glory
Public summary: Glorious
Current code/tier: A
Provenance: Count-constrained reconstruction
Source/pointer: See inherited source report / recovered institution ledgers
Locator/source note: Recurring Kataphatic Vocabulary table
Public scope caution: Shared divine glory.
Research status: RECONSTRUCTED — source-level/master-family recertification remains publication-critical</t>
  </si>
  <si>
    <t xml:space="preserve">AUTH-RAT-RNR-H21</t>
  </si>
  <si>
    <t xml:space="preserve">A26:N26</t>
  </si>
  <si>
    <t xml:space="preserve">Ratify RNR-H21: Life-giving</t>
  </si>
  <si>
    <t xml:space="preserve">Corpus: Inherited 57
Family/domain: Divine action, providence &amp; salvation
Public summary: Life-giving
Current code/tier: A
Provenance: Count-constrained reconstruction
Source/pointer: See inherited source report / recovered institution ledgers
Locator/source note: Recurring Kataphatic Vocabulary table
Public scope caution: Shared life-giving divine action.
Research status: RECONSTRUCTED — source-level/master-family recertification remains publication-critical</t>
  </si>
  <si>
    <t xml:space="preserve">Inherited H21–H35 — action &amp; Christ/Spirit titles</t>
  </si>
  <si>
    <t xml:space="preserve">AUTH-RAT-RNR-H22</t>
  </si>
  <si>
    <t xml:space="preserve">A27:N27</t>
  </si>
  <si>
    <t xml:space="preserve">Ratify RNR-H22: Creator / Maker</t>
  </si>
  <si>
    <t xml:space="preserve">Corpus: Inherited 57
Family/domain: Divine action, providence &amp; salvation
Public summary: Creator / Maker
Current code/tier: Q
Provenance: Explicit in master handoff
Source/pointer: See inherited source report / recovered institution ledgers
Locator/source note: Recurring Kataphatic Vocabulary table
Public scope caution: Creator/Maker confession is shared; creation ontology/mechanics are materially redefined around preexistent reality.
Research status: CONTROLLED INTERNAL — still requires public wording signoff</t>
  </si>
  <si>
    <t xml:space="preserve">AUTH-RAT-RNR-H23</t>
  </si>
  <si>
    <t xml:space="preserve">A28:N28</t>
  </si>
  <si>
    <t xml:space="preserve">Ratify RNR-H23: Preserver / Sustainer</t>
  </si>
  <si>
    <t xml:space="preserve">Corpus: Inherited 57
Family/domain: Divine action, providence &amp; salvation
Public summary: Preserver / Sustainer
Current code/tier: A
Provenance: Count-constrained reconstruction
Source/pointer: See inherited source report / recovered institution ledgers
Locator/source note: Recurring Kataphatic Vocabulary table
Public scope caution: Shared sustaining/preserving action; stronger continuous ontological-conservation theory remains a thick-layer issue.
Research status: RECONSTRUCTED — source-level/master-family recertification remains publication-critical</t>
  </si>
  <si>
    <t xml:space="preserve">AUTH-RAT-RNR-H24</t>
  </si>
  <si>
    <t xml:space="preserve">A29:N29</t>
  </si>
  <si>
    <t xml:space="preserve">Ratify RNR-H24: Governor / Ruler</t>
  </si>
  <si>
    <t xml:space="preserve">Corpus: Inherited 57
Family/domain: Divine action, providence &amp; salvation
Public summary: Governor / Ruler
Current code/tier: A
Provenance: Count-constrained reconstruction
Source/pointer: See inherited source report / recovered institution ledgers
Locator/source note: Recurring Kataphatic Vocabulary table
Public scope caution: Shared providential governance.
Research status: RECONSTRUCTED — source-level/master-family recertification remains publication-critical</t>
  </si>
  <si>
    <t xml:space="preserve">AUTH-RAT-RNR-H25</t>
  </si>
  <si>
    <t xml:space="preserve">A30:N30</t>
  </si>
  <si>
    <t xml:space="preserve">Ratify RNR-H25: Sovereign</t>
  </si>
  <si>
    <t xml:space="preserve">Corpus: Inherited 57
Family/domain: Divine action, providence &amp; salvation
Public summary: Sovereign
Current code/tier: A
Provenance: Count-constrained reconstruction
Source/pointer: See inherited source report / recovered institution ledgers
Locator/source note: Recurring Kataphatic Vocabulary table
Public scope caution: Shared divine sovereignty.
Research status: RECONSTRUCTED — source-level/master-family recertification remains publication-critical</t>
  </si>
  <si>
    <t xml:space="preserve">AUTH-RAT-RNR-H26</t>
  </si>
  <si>
    <t xml:space="preserve">A31:N31</t>
  </si>
  <si>
    <t xml:space="preserve">Ratify RNR-H26: Judge</t>
  </si>
  <si>
    <t xml:space="preserve">Corpus: Inherited 57
Family/domain: Divine action, providence &amp; salvation
Public summary: Judge
Current code/tier: A
Provenance: Count-constrained reconstruction
Source/pointer: See inherited source report / recovered institution ledgers
Locator/source note: Recurring Kataphatic Vocabulary table
Public scope caution: Shared divine judgment.
Research status: RECONSTRUCTED — source-level/master-family recertification remains publication-critical</t>
  </si>
  <si>
    <t xml:space="preserve">AUTH-RAT-RNR-H27</t>
  </si>
  <si>
    <t xml:space="preserve">A32:N32</t>
  </si>
  <si>
    <t xml:space="preserve">Ratify RNR-H27: Savior</t>
  </si>
  <si>
    <t xml:space="preserve">Corpus: Inherited 57
Family/domain: Divine action, providence &amp; salvation
Public summary: Savior
Current code/tier: A
Provenance: Count-constrained reconstruction
Source/pointer: See inherited source report / recovered institution ledgers
Locator/source note: Recurring Kataphatic Vocabulary table
Public scope caution: Shared saving/redemptive action.
Research status: RECONSTRUCTED — source-level/master-family recertification remains publication-critical</t>
  </si>
  <si>
    <t xml:space="preserve">AUTH-RAT-RNR-H28</t>
  </si>
  <si>
    <t xml:space="preserve">A33:N33</t>
  </si>
  <si>
    <t xml:space="preserve">Ratify RNR-H28: Revealer</t>
  </si>
  <si>
    <t xml:space="preserve">Corpus: Inherited 57
Family/domain: Divine action, providence &amp; salvation
Public summary: Revealer
Current code/tier: A
Provenance: Count-constrained reconstruction
Source/pointer: See inherited source report / recovered institution ledgers
Locator/source note: Recurring Kataphatic Vocabulary table
Public scope caution: Shared divine revelation/self-communication.
Research status: RECONSTRUCTED — source-level/master-family recertification remains publication-critical</t>
  </si>
  <si>
    <t xml:space="preserve">AUTH-RAT-RNR-H29</t>
  </si>
  <si>
    <t xml:space="preserve">A34:N34</t>
  </si>
  <si>
    <t xml:space="preserve">Ratify RNR-H29: Fountain of being</t>
  </si>
  <si>
    <t xml:space="preserve">Corpus: Inherited 57
Family/domain: Divine action, providence &amp; salvation
Public summary: Fountain of being
Current code/tier: Q
Provenance: Count-constrained reconstruction
Source/pointer: See inherited source report / recovered institution ledgers
Locator/source note: Recurring Kataphatic Vocabulary table
Public scope caution: Qualified because Restoration ontology affirms coeternal intelligence and elements rather than an exhaustive creator-created binary.
Research status: RECONSTRUCTED — source-level/master-family recertification remains publication-critical</t>
  </si>
  <si>
    <t xml:space="preserve">AUTH-RAT-RNR-H30</t>
  </si>
  <si>
    <t xml:space="preserve">A35:N35</t>
  </si>
  <si>
    <t xml:space="preserve">Ratify RNR-H30: Word / Logos</t>
  </si>
  <si>
    <t xml:space="preserve">Corpus: Inherited 57
Family/domain: Christ &amp; Spirit titles
Public summary: Word / Logos
Current code/tier: A
Provenance: Count-constrained reconstruction
Source/pointer: See inherited source report / recovered institution ledgers
Locator/source note: Recurring Kataphatic Vocabulary table
Public scope caution: Shared identification/title of Christ.
Research status: RECONSTRUCTED — source-level/master-family recertification remains publication-critical</t>
  </si>
  <si>
    <t xml:space="preserve">AUTH-RAT-RNR-H31</t>
  </si>
  <si>
    <t xml:space="preserve">A36:N36</t>
  </si>
  <si>
    <t xml:space="preserve">Ratify RNR-H31: Wisdom</t>
  </si>
  <si>
    <t xml:space="preserve">Corpus: Inherited 57
Family/domain: Christ &amp; Spirit titles
Public summary: Wisdom
Current code/tier: A
Provenance: Count-constrained reconstruction
Source/pointer: See inherited source report / recovered institution ledgers
Locator/source note: Recurring Kataphatic Vocabulary table
Public scope caution: Shared christological title/metaphor at the accepted floor.
Research status: RECONSTRUCTED — source-level/master-family recertification remains publication-critical</t>
  </si>
  <si>
    <t xml:space="preserve">AUTH-RAT-RNR-H32</t>
  </si>
  <si>
    <t xml:space="preserve">A37:N37</t>
  </si>
  <si>
    <t xml:space="preserve">Ratify RNR-H32: Light</t>
  </si>
  <si>
    <t xml:space="preserve">Corpus: Inherited 57
Family/domain: Christ &amp; Spirit titles
Public summary: Light
Current code/tier: A
Provenance: Count-constrained reconstruction
Source/pointer: See inherited source report / recovered institution ledgers
Locator/source note: Recurring Kataphatic Vocabulary table
Public scope caution: Shared christological light language at the accepted floor.
Research status: RECONSTRUCTED — source-level/master-family recertification remains publication-critical</t>
  </si>
  <si>
    <t xml:space="preserve">AUTH-RAT-RNR-H33</t>
  </si>
  <si>
    <t xml:space="preserve">A38:N38</t>
  </si>
  <si>
    <t xml:space="preserve">Ratify RNR-H33: Image of the Father</t>
  </si>
  <si>
    <t xml:space="preserve">Corpus: Inherited 57
Family/domain: Christ &amp; Spirit titles
Public summary: Image of the Father
Current code/tier: A
Provenance: Count-constrained reconstruction
Source/pointer: See inherited source report / recovered institution ledgers
Locator/source note: Recurring Kataphatic Vocabulary table
Public scope caution: Shared image/manifestation language at the accepted floor.
Research status: RECONSTRUCTED — source-level/master-family recertification remains publication-critical</t>
  </si>
  <si>
    <t xml:space="preserve">AUTH-RAT-RNR-H34</t>
  </si>
  <si>
    <t xml:space="preserve">A39:N39</t>
  </si>
  <si>
    <t xml:space="preserve">Ratify RNR-H34: Giver of life</t>
  </si>
  <si>
    <t xml:space="preserve">Corpus: Inherited 57
Family/domain: Christ &amp; Spirit titles
Public summary: Giver of life
Current code/tier: A
Provenance: Count-constrained reconstruction
Source/pointer: See inherited source report / recovered institution ledgers
Locator/source note: Recurring Kataphatic Vocabulary table
Public scope caution: Shared life-giving agency of the Spirit.
Research status: RECONSTRUCTED — source-level/master-family recertification remains publication-critical</t>
  </si>
  <si>
    <t xml:space="preserve">AUTH-RAT-RNR-H35</t>
  </si>
  <si>
    <t xml:space="preserve">A40:N40</t>
  </si>
  <si>
    <t xml:space="preserve">Ratify RNR-H35: Eternal power and might</t>
  </si>
  <si>
    <t xml:space="preserve">Corpus: Inherited 57
Family/domain: Christ &amp; Spirit titles
Public summary: Eternal power and might
Current code/tier: A
Provenance: Count-constrained reconstruction
Source/pointer: See inherited source report / recovered institution ledgers
Locator/source note: Recurring Kataphatic Vocabulary table
Public scope caution: Shared divine power of the Spirit.
Research status: RECONSTRUCTED — source-level/master-family recertification remains publication-critical</t>
  </si>
  <si>
    <t xml:space="preserve">AUTH-RAT-RNR-H36</t>
  </si>
  <si>
    <t xml:space="preserve">A41:N41</t>
  </si>
  <si>
    <t xml:space="preserve">Ratify RNR-H36: Uncreated</t>
  </si>
  <si>
    <t xml:space="preserve">Corpus: Inherited 57
Family/domain: Beginninglessness &amp; non-finitude
Public summary: Uncreated
Current code/tier: Q
Provenance: Explicit in master handoff
Source/pointer: See inherited source report / recovered institution ledgers
Locator/source note: Recurring Apophatic Vocabulary table
Public scope caution: Beginningless divine reality is affirmed; the exhaustive God-versus-created-reality binary is rejected.
Research status: CONTROLLED INTERNAL — still requires public wording signoff</t>
  </si>
  <si>
    <t xml:space="preserve">Inherited H36–H51 — metaphysical/apophatic</t>
  </si>
  <si>
    <t xml:space="preserve">AUTH-RAT-RNR-H37</t>
  </si>
  <si>
    <t xml:space="preserve">A42:N42</t>
  </si>
  <si>
    <t xml:space="preserve">Ratify RNR-H37: Unbegotten</t>
  </si>
  <si>
    <t xml:space="preserve">Corpus: Inherited 57
Family/domain: Beginninglessness &amp; non-finitude
Public summary: Unbegotten
Current code/tier: Q
Provenance: Explicit in master handoff
Source/pointer: See inherited source report / recovered institution ledgers
Locator/source note: Recurring Apophatic Vocabulary table
Public scope caution: Beginninglessness/source-status concern is shared; absolute 'from none' versus antecedent divine lineage remains a material qualification.
Research status: CONTROLLED INTERNAL — still requires public wording signoff</t>
  </si>
  <si>
    <t xml:space="preserve">AUTH-RAT-RNR-H38</t>
  </si>
  <si>
    <t xml:space="preserve">A43:N43</t>
  </si>
  <si>
    <t xml:space="preserve">Ratify RNR-H38: Not made</t>
  </si>
  <si>
    <t xml:space="preserve">Corpus: Inherited 57
Family/domain: Beginninglessness &amp; non-finitude
Public summary: Not made
Current code/tier: Q
Provenance: Count-constrained reconstruction
Source/pointer: See inherited source report / recovered institution ledgers
Locator/source note: Recurring Apophatic Vocabulary table
Public scope caution: Qualified by Restoration distinctions among intelligence, spirit birth, embodiment, and creation.
Research status: RECONSTRUCTED — source-level/master-family recertification remains publication-critical</t>
  </si>
  <si>
    <t xml:space="preserve">AUTH-RAT-RNR-H39</t>
  </si>
  <si>
    <t xml:space="preserve">A44:N44</t>
  </si>
  <si>
    <t xml:space="preserve">Ratify RNR-H39: Infinite</t>
  </si>
  <si>
    <t xml:space="preserve">Corpus: Inherited 57
Family/domain: Beginninglessness &amp; non-finitude
Public summary: Infinite
Current code/tier: Q
Provenance: Author adjudication (Session 18A)
Source/pointer: See inherited source report / recovered institution ledgers
Locator/source note: Recurring Apophatic Vocabulary table
Public scope caution: Shared unlimited perfection/transcendence; blanket non-finitude is too thick where divine personal presence is embodied/determinate.
Research status: CONTROLLED INTERNAL — still requires public wording signoff</t>
  </si>
  <si>
    <t xml:space="preserve">AUTH-RAT-RNR-H40</t>
  </si>
  <si>
    <t xml:space="preserve">A45:N45</t>
  </si>
  <si>
    <t xml:space="preserve">Ratify RNR-H40: Immense / immeasurable</t>
  </si>
  <si>
    <t xml:space="preserve">Corpus: Inherited 57
Family/domain: Beginninglessness &amp; non-finitude
Public summary: Immense / immeasurable
Current code/tier: Q
Provenance: Explicit in master handoff
Source/pointer: See inherited source report / recovered institution ledgers
Locator/source note: Recurring Apophatic Vocabulary table
Public scope caution: Embodied personal presence is distinguished from universally operative light, knowledge, power, and governance.
Research status: CONTROLLED INTERNAL — still requires public wording signoff</t>
  </si>
  <si>
    <t xml:space="preserve">AUTH-RAT-RNR-H41</t>
  </si>
  <si>
    <t xml:space="preserve">A46:N46</t>
  </si>
  <si>
    <t xml:space="preserve">Ratify RNR-H41: Invisible</t>
  </si>
  <si>
    <t xml:space="preserve">Corpus: Inherited 57
Family/domain: Embodiment &amp; classical divine metaphysics
Public summary: Invisible
Current code/tier: D
Provenance: Explicit in master handoff
Source/pointer: See inherited source report / recovered institution ledgers
Locator/source note: Recurring Apophatic Vocabulary table
Public scope caution: Direct divergence only when invisibility is treated as an intrinsic or absolute property of divine being.
Research status: CONTROLLED INTERNAL — still requires public wording signoff</t>
  </si>
  <si>
    <t xml:space="preserve">AUTH-RAT-RNR-H42</t>
  </si>
  <si>
    <t xml:space="preserve">A47:N47</t>
  </si>
  <si>
    <t xml:space="preserve">Ratify RNR-H42: Incorporeal / without body</t>
  </si>
  <si>
    <t xml:space="preserve">Corpus: Inherited 57
Family/domain: Embodiment &amp; classical divine metaphysics
Public summary: Incorporeal / without body
Current code/tier: D
Provenance: Explicit in master handoff
Source/pointer: See inherited source report / recovered institution ledgers
Locator/source note: Recurring Apophatic Vocabulary table
Public scope caution: Directly conflicts with the Father's tangible glorified body.
Research status: CONTROLLED INTERNAL — still requires public wording signoff</t>
  </si>
  <si>
    <t xml:space="preserve">AUTH-RAT-RNR-H43</t>
  </si>
  <si>
    <t xml:space="preserve">A48:N48</t>
  </si>
  <si>
    <t xml:space="preserve">Ratify RNR-H43: Without parts / simple</t>
  </si>
  <si>
    <t xml:space="preserve">Corpus: Inherited 57
Family/domain: Embodiment &amp; classical divine metaphysics
Public summary: Without parts / simple
Current code/tier: D
Provenance: Explicit in master handoff
Source/pointer: See inherited source report / recovered institution ledgers
Locator/source note: Recurring Apophatic Vocabulary table
Public scope caution: Direct divergence in the accepted classical sense of absolute divine simplicity.
Research status: CONTROLLED INTERNAL — still requires public wording signoff</t>
  </si>
  <si>
    <t xml:space="preserve">AUTH-RAT-RNR-H44</t>
  </si>
  <si>
    <t xml:space="preserve">A49:N49</t>
  </si>
  <si>
    <t xml:space="preserve">Ratify RNR-H44: Without passions / impassible</t>
  </si>
  <si>
    <t xml:space="preserve">Corpus: Inherited 57
Family/domain: Embodiment &amp; classical divine metaphysics
Public summary: Without passions / impassible
Current code/tier: D
Provenance: Explicit in master handoff
Source/pointer: See inherited source report / recovered institution ledgers
Locator/source note: Recurring Apophatic Vocabulary table
Public scope caution: Direct divergence from strong classical impassibility.
Research status: CONTROLLED INTERNAL — still requires public wording signoff</t>
  </si>
  <si>
    <t xml:space="preserve">AUTH-RAT-RNR-H45</t>
  </si>
  <si>
    <t xml:space="preserve">A50:N50</t>
  </si>
  <si>
    <t xml:space="preserve">Ratify RNR-H45: Immutable / unchangeable</t>
  </si>
  <si>
    <t xml:space="preserve">Corpus: Inherited 57
Family/domain: Embodiment &amp; classical divine metaphysics
Public summary: Immutable / unchangeable
Current code/tier: Q
Provenance: Author adjudication (Session 18A)
Source/pointer: See inherited source report / recovered institution ledgers
Locator/source note: Recurring Apophatic Vocabulary table
Public scope caution: Constancy of character, purpose, covenant faithfulness, and moral perfection is shared; strong metaphysical immutability is not imported.
Research status: CONTROLLED INTERNAL — still requires public wording signoff</t>
  </si>
  <si>
    <t xml:space="preserve">AUTH-RAT-RNR-H46</t>
  </si>
  <si>
    <t xml:space="preserve">A51:N51</t>
  </si>
  <si>
    <t xml:space="preserve">Ratify RNR-H46: Eternal</t>
  </si>
  <si>
    <t xml:space="preserve">Corpus: Inherited 57
Family/domain: Eternity &amp; epistemic transcendence
Public summary: Eternal
Current code/tier: A
Provenance: Author adjudication retained A
Source/pointer: See inherited source report / recovered institution ledgers
Locator/source note: Recurring Apophatic Vocabulary table
Public scope caution: A controls only beginningless/endless divine existence or duration; timelessness/denial of temporal succession is excluded.
Research status: CONTROLLED INTERNAL — still requires public wording signoff</t>
  </si>
  <si>
    <t xml:space="preserve">AUTH-RAT-RNR-H47</t>
  </si>
  <si>
    <t xml:space="preserve">A52:N52</t>
  </si>
  <si>
    <t xml:space="preserve">Ratify RNR-H47: Incomprehensible</t>
  </si>
  <si>
    <t xml:space="preserve">Corpus: Inherited 57
Family/domain: Eternity &amp; epistemic transcendence
Public summary: Incomprehensible
Current code/tier: A
Provenance: Count-constrained reconstruction
Source/pointer: See inherited source report / recovered institution ledgers
Locator/source note: Recurring Apophatic Vocabulary table
Public scope caution: Compatible with Restoration epistemic humility.
Research status: RECONSTRUCTED — source-level/master-family recertification remains publication-critical</t>
  </si>
  <si>
    <t xml:space="preserve">AUTH-RAT-RNR-H48</t>
  </si>
  <si>
    <t xml:space="preserve">A53:N53</t>
  </si>
  <si>
    <t xml:space="preserve">Ratify RNR-H48: Ineffable</t>
  </si>
  <si>
    <t xml:space="preserve">Corpus: Inherited 57
Family/domain: Eternity &amp; epistemic transcendence
Public summary: Ineffable
Current code/tier: A
Provenance: Count-constrained reconstruction
Source/pointer: See inherited source report / recovered institution ledgers
Locator/source note: Recurring Apophatic Vocabulary table
Public scope caution: Compatible with Restoration epistemic humility.
Research status: RECONSTRUCTED — source-level/master-family recertification remains publication-critical</t>
  </si>
  <si>
    <t xml:space="preserve">AUTH-RAT-RNR-H49</t>
  </si>
  <si>
    <t xml:space="preserve">A54:N54</t>
  </si>
  <si>
    <t xml:space="preserve">Ratify RNR-H49: Inscrutable</t>
  </si>
  <si>
    <t xml:space="preserve">Corpus: Inherited 57
Family/domain: Eternity &amp; epistemic transcendence
Public summary: Inscrutable
Current code/tier: A
Provenance: Count-constrained reconstruction
Source/pointer: See inherited source report / recovered institution ledgers
Locator/source note: Recurring Apophatic Vocabulary table
Public scope caution: Compatible with Restoration epistemic humility.
Research status: RECONSTRUCTED — source-level/master-family recertification remains publication-critical</t>
  </si>
  <si>
    <t xml:space="preserve">AUTH-RAT-RNR-H50</t>
  </si>
  <si>
    <t xml:space="preserve">A55:N55</t>
  </si>
  <si>
    <t xml:space="preserve">Ratify RNR-H50: Not circumscribed / not contained</t>
  </si>
  <si>
    <t xml:space="preserve">Corpus: Inherited 57
Family/domain: Eternity &amp; epistemic transcendence
Public summary: Not circumscribed / not contained
Current code/tier: Q
Provenance: Explicit in master handoff
Source/pointer: See inherited source report / recovered institution ledgers
Locator/source note: Recurring Apophatic Vocabulary table
Public scope caution: Universal divine operation/omnipresence concern is shared while determinate personal presence remains materially differentiated.
Research status: CONTROLLED INTERNAL — still requires public wording signoff</t>
  </si>
  <si>
    <t xml:space="preserve">AUTH-RAT-RNR-H51</t>
  </si>
  <si>
    <t xml:space="preserve">A56:N56</t>
  </si>
  <si>
    <t xml:space="preserve">Ratify RNR-H51: No adequate likeness or comparison</t>
  </si>
  <si>
    <t xml:space="preserve">Corpus: Inherited 57
Family/domain: Eternity &amp; epistemic transcendence
Public summary: No adequate likeness or comparison
Current code/tier: Q
Provenance: Count-constrained reconstruction
Source/pointer: See inherited source report / recovered institution ledgers
Locator/source note: Recurring Apophatic Vocabulary table
Public scope caution: Epistemic restraint is shared, but literal divine-human kinship prevents an absolute denial of likeness.
Research status: RECONSTRUCTED — source-level/master-family recertification remains publication-critical</t>
  </si>
  <si>
    <t xml:space="preserve">AUTH-RAT-RNR-H52</t>
  </si>
  <si>
    <t xml:space="preserve">A57:N57</t>
  </si>
  <si>
    <t xml:space="preserve">Ratify RNR-H52: Without confusion</t>
  </si>
  <si>
    <t xml:space="preserve">Corpus: Inherited 57
Family/domain: Christological delimiters
Public summary: Without confusion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</si>
  <si>
    <t xml:space="preserve">Inherited H52–H57 — Christological/Godhead delimiters</t>
  </si>
  <si>
    <t xml:space="preserve">AUTH-RAT-RNR-H53</t>
  </si>
  <si>
    <t xml:space="preserve">A58:N58</t>
  </si>
  <si>
    <t xml:space="preserve">Ratify RNR-H53: Without change</t>
  </si>
  <si>
    <t xml:space="preserve">Corpus: Inherited 57
Family/domain: Christological delimiters
Public summary: Without change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</si>
  <si>
    <t xml:space="preserve">AUTH-RAT-RNR-H54</t>
  </si>
  <si>
    <t xml:space="preserve">A59:N59</t>
  </si>
  <si>
    <t xml:space="preserve">Ratify RNR-H54: Without division</t>
  </si>
  <si>
    <t xml:space="preserve">Corpus: Inherited 57
Family/domain: Christological delimiters
Public summary: Without division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</si>
  <si>
    <t xml:space="preserve">AUTH-RAT-RNR-H55</t>
  </si>
  <si>
    <t xml:space="preserve">A60:N60</t>
  </si>
  <si>
    <t xml:space="preserve">Ratify RNR-H55: Without separation</t>
  </si>
  <si>
    <t xml:space="preserve">Corpus: Inherited 57
Family/domain: Christological delimiters
Public summary: Without separation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</si>
  <si>
    <t xml:space="preserve">AUTH-RAT-RNR-H56</t>
  </si>
  <si>
    <t xml:space="preserve">A61:N61</t>
  </si>
  <si>
    <t xml:space="preserve">Ratify RNR-H56: Neither confounding nor dividing</t>
  </si>
  <si>
    <t xml:space="preserve">Corpus: Inherited 57
Family/domain: Godhead unity &amp; distinction
Public summary: Neither confounding nor dividing
Current code/tier: Q
Provenance: Count-constrained reconstruction
Source/pointer: See inherited source report / recovered institution ledgers
Locator/source note: Recurring Apophatic Vocabulary table
Public scope caution: Shared concern for distinction and unity, with materially different Godhead ontology.
Research status: RECONSTRUCTED — source-level/master-family recertification remains publication-critical</t>
  </si>
  <si>
    <t xml:space="preserve">AUTH-RAT-RNR-H57</t>
  </si>
  <si>
    <t xml:space="preserve">A62:N62</t>
  </si>
  <si>
    <t xml:space="preserve">Ratify RNR-H57: Greater dissimilarity than similarity</t>
  </si>
  <si>
    <t xml:space="preserve">Corpus: Inherited 57
Family/domain: Divine-human analogy &amp; kinship boundary
Public summary: Greater dissimilarity than similarity
Current code/tier: D
Provenance: Explicit in master handoff
Source/pointer: See inherited source report / recovered institution ledgers
Locator/source note: Recurring Apophatic Vocabulary table
Public scope caution: Direct divergence when the principle denies strong literal divine-human kinship and ontological continuity.
Research status: CONTROLLED INTERNAL — still requires public wording signoff</t>
  </si>
  <si>
    <t xml:space="preserve">AUTH-RAT-RNR-A01</t>
  </si>
  <si>
    <t xml:space="preserve">A63:N63</t>
  </si>
  <si>
    <t xml:space="preserve">Ratify RNR-A01: Father is an embodied, tangible, glorified person with genuinely humanlike form.</t>
  </si>
  <si>
    <t xml:space="preserve">Corpus: Restoration 26
Family/domain: Deity / Godhead
Public summary: Father is an embodied, tangible, glorified person with genuinely humanlike form.
Current code/tier: Tier I
Provenance: Canonical scripture
Source/pointer: https://www.churchofjesuschrist.org/study/scriptures/dc-testament/dc/130?lang=eng
Locator/source note: D&amp;C 130:22
Public scope caution: Corpus-relative addition only; historical antecedence is a separate question.
Research status: CONTROLLED INTERNAL — addition authority/source wording should be author-ratified for public display</t>
  </si>
  <si>
    <t xml:space="preserve">Restoration A01–A05 — Deity/Godhead</t>
  </si>
  <si>
    <t xml:space="preserve">Corpus-relative addition only; historical antecedence is a separate question.</t>
  </si>
  <si>
    <t xml:space="preserve">AUTH-RAT-RNR-A02</t>
  </si>
  <si>
    <t xml:space="preserve">A64:N64</t>
  </si>
  <si>
    <t xml:space="preserve">Ratify RNR-A02: Father presides within the Godhead.</t>
  </si>
  <si>
    <t xml:space="preserve">Corpus: Restoration 26
Family/domain: Deity / Godhead
Public summary: Father presides within the Godhead.
Current code/tier: Tier II
Provenance: Collective / strongly authoritative official doctrine
Source/pointer: https://www.churchofjesuschrist.org/study/manual/gospel-topics/godhead?lang=eng
Locator/source note: Gospel Topics: Godhead
Public scope caution: Corpus-relative addition only; historical antecedence is a separate question.
Research status: CONTROLLED INTERNAL — addition authority/source wording should be author-ratified for public display</t>
  </si>
  <si>
    <t xml:space="preserve">AUTH-RAT-RNR-A03</t>
  </si>
  <si>
    <t xml:space="preserve">A65:N65</t>
  </si>
  <si>
    <t xml:space="preserve">Ratify RNR-A03: God's determinate personal presence is distinguishable from His universally operative light, knowledge, power, and governance.</t>
  </si>
  <si>
    <t xml:space="preserve">Corpus: Restoration 26
Family/domain: Deity / Godhead
Public summary: God's determinate personal presence is distinguishable from His universally operative light, knowledge, power, and governance.
Current code/tier: Tier I
Provenance: Canonical scripture
Source/pointer: https://www.churchofjesuschrist.org/study/scriptures/dc-testament/dc/88?lang=eng
Locator/source note: D&amp;C 88:6–13; 130:22
Public scope caution: Corpus-relative addition only; historical antecedence is a separate question.
Research status: CONTROLLED INTERNAL — addition authority/source wording should be author-ratified for public display</t>
  </si>
  <si>
    <t xml:space="preserve">AUTH-RAT-RNR-A04</t>
  </si>
  <si>
    <t xml:space="preserve">A66:N66</t>
  </si>
  <si>
    <t xml:space="preserve">Ratify RNR-A04: God the Father was once as humanity now is and is an exalted man.</t>
  </si>
  <si>
    <t xml:space="preserve">Corpus: Restoration 26
Family/domain: Deity / Godhead
Public summary: God the Father was once as humanity now is and is an exalted man.
Current code/tier: Tier III
Provenance: Attributable prophetic / apostolic exposition
Source/pointer: https://www.churchofjesuschrist.org/study/manual/doctrines-of-the-gospel/chapter-3?lang=eng
Locator/source note: Joseph Smith, King Follett discourse; Doctrines of the Gospel ch. 3
Public scope caution: Corpus-relative addition only; historical antecedence is a separate question.
Research status: CONTROLLED INTERNAL — addition authority/source wording should be author-ratified for public display</t>
  </si>
  <si>
    <t xml:space="preserve">AUTH-RAT-RNR-A05</t>
  </si>
  <si>
    <t xml:space="preserve">A67:N67</t>
  </si>
  <si>
    <t xml:space="preserve">Ratify RNR-A05: God the Father had a Father, implying antecedent divine lineage while leaving the mechanics unrevealed.</t>
  </si>
  <si>
    <t xml:space="preserve">Corpus: Restoration 26
Family/domain: Deity / Godhead
Public summary: God the Father had a Father, implying antecedent divine lineage while leaving the mechanics unrevealed.
Current code/tier: Tier III
Provenance: Attributable prophetic / apostolic exposition
Source/pointer: https://www.josephsmithpapers.org/paper-summary/history-1838-1856-volume-f-1-1-may-1844-8-august-1844/109
Locator/source note: Joseph Smith, Sermon in the Grove, 16 June 1844
Public scope caution: Corpus-relative addition only; historical antecedence is a separate question.
Research status: CONTROLLED INTERNAL — addition authority/source wording should be author-ratified for public display</t>
  </si>
  <si>
    <t xml:space="preserve">AUTH-RAT-RNR-A06</t>
  </si>
  <si>
    <t xml:space="preserve">A68:N68</t>
  </si>
  <si>
    <t xml:space="preserve">Ratify RNR-A06: Humans are literal spirit children of Heavenly Parents.</t>
  </si>
  <si>
    <t xml:space="preserve">Corpus: Restoration 26
Family/domain: Divine-human kinship / premortality
Public summary: Humans are literal spirit children of Heavenly Parents.
Current code/tier: Tier II
Provenance: Collective / strongly authoritative official doctrine
Source/pointer: https://www.churchofjesuschrist.org/study/manual/eternal-marriage-student-manual/the-family-a-proclamation?lang=eng
Locator/source note: The Family: A Proclamation to the World, para. 2
Public scope caution: Corpus-relative addition only; historical antecedence is a separate question.
Research status: CONTROLLED INTERNAL — addition authority/source wording should be author-ratified for public display</t>
  </si>
  <si>
    <t xml:space="preserve">Restoration A06–A12 — kinship/premortality</t>
  </si>
  <si>
    <t xml:space="preserve">AUTH-RAT-RNR-A07</t>
  </si>
  <si>
    <t xml:space="preserve">A69:N69</t>
  </si>
  <si>
    <t xml:space="preserve">Ratify RNR-A07: Heavenly Mother exists as a divine parent.</t>
  </si>
  <si>
    <t xml:space="preserve">Corpus: Restoration 26
Family/domain: Divine-human kinship / premortality
Public summary: Heavenly Mother exists as a divine parent.
Current code/tier: Tier II
Provenance: Collective / strongly authoritative official doctrine
Source/pointer: https://www.churchofjesuschrist.org/study/manual/gospel-topics-essays/mother-in-heaven?lang=eng
Locator/source note: Gospel Topics Essay: Mother in Heaven
Public scope caution: Early feminine/maternal Spirit language is only remote divine-maternal imagery, not a close Heavenly Mother/divine co-parent analogue.
Research status: CONTROLLED INTERNAL — addition authority/source wording should be author-ratified for public display</t>
  </si>
  <si>
    <t xml:space="preserve">AUTH-RAT-RNR-A08</t>
  </si>
  <si>
    <t xml:space="preserve">A70:N70</t>
  </si>
  <si>
    <t xml:space="preserve">Ratify RNR-A08: Human beings possessed personal premortal existence.</t>
  </si>
  <si>
    <t xml:space="preserve">Corpus: Restoration 26
Family/domain: Divine-human kinship / premortality
Public summary: Human beings possessed personal premortal existence.
Current code/tier: Tier I
Provenance: Canonical scripture
Source/pointer: https://www.churchofjesuschrist.org/study/scriptures/pgp/abr/3?lang=eng
Locator/source note: Abraham 3:22–28; D&amp;C 138:56
Public scope caution: Corpus-relative addition only; historical antecedence is a separate question.
Research status: CONTROLLED INTERNAL — addition authority/source wording should be author-ratified for public display</t>
  </si>
  <si>
    <t xml:space="preserve">AUTH-RAT-RNR-A09</t>
  </si>
  <si>
    <t xml:space="preserve">A71:N71</t>
  </si>
  <si>
    <t xml:space="preserve">Ratify RNR-A09: Gender is an essential characteristic of premortal, mortal, and eternal identity.</t>
  </si>
  <si>
    <t xml:space="preserve">Corpus: Restoration 26
Family/domain: Divine-human kinship / premortality
Public summary: Gender is an essential characteristic of premortal, mortal, and eternal identity.
Current code/tier: Tier II
Provenance: Collective / strongly authoritative official doctrine
Source/pointer: https://www.churchofjesuschrist.org/study/manual/eternal-marriage-student-manual/the-family-a-proclamation?lang=eng
Locator/source note: The Family: A Proclamation to the World, para. 2
Public scope caution: Corpus-relative addition only; historical antecedence is a separate question.
Research status: CONTROLLED INTERNAL — addition authority/source wording should be author-ratified for public display</t>
  </si>
  <si>
    <t xml:space="preserve">AUTH-RAT-RNR-A10</t>
  </si>
  <si>
    <t xml:space="preserve">A72:N72</t>
  </si>
  <si>
    <t xml:space="preserve">Ratify RNR-A10: Human intelligence is uncreated/unmade and beginningless in a fundamental sense.</t>
  </si>
  <si>
    <t xml:space="preserve">Corpus: Restoration 26
Family/domain: Divine-human kinship / premortality
Public summary: Human intelligence is uncreated/unmade and beginningless in a fundamental sense.
Current code/tier: Tier I
Provenance: Canonical scripture
Source/pointer: https://www.churchofjesuschrist.org/study/scriptures/dc-testament/dc/93?lang=eng
Locator/source note: D&amp;C 93:29–30
Public scope caution: Corpus-relative addition only; historical antecedence is a separate question.
Research status: CONTROLLED INTERNAL — addition authority/source wording should be author-ratified for public display</t>
  </si>
  <si>
    <t xml:space="preserve">AUTH-RAT-RNR-A11</t>
  </si>
  <si>
    <t xml:space="preserve">A73:N73</t>
  </si>
  <si>
    <t xml:space="preserve">Ratify RNR-A11: Human divine nature and potential arise from literal heavenly parentage.</t>
  </si>
  <si>
    <t xml:space="preserve">Corpus: Restoration 26
Family/domain: Divine-human kinship / premortality
Public summary: Human divine nature and potential arise from literal heavenly parentage.
Current code/tier: Tier II
Provenance: Collective / strongly authoritative official doctrine
Source/pointer: https://www.churchofjesuschrist.org/study/manual/eternal-marriage-student-manual/the-family-a-proclamation?lang=eng
Locator/source note: The Family: A Proclamation to the World, para. 2
Public scope caution: Corpus-relative addition only; historical antecedence is a separate question.
Research status: CONTROLLED INTERNAL — addition authority/source wording should be author-ratified for public display</t>
  </si>
  <si>
    <t xml:space="preserve">AUTH-RAT-RNR-A12</t>
  </si>
  <si>
    <t xml:space="preserve">A74:N74</t>
  </si>
  <si>
    <t xml:space="preserve">Ratify RNR-A12: Christ is the Firstborn spirit Son and stands in genuine familial relation to the Father's other spirit children while remaining uniquely Savior and Redeemer.</t>
  </si>
  <si>
    <t xml:space="preserve">Corpus: Restoration 26
Family/domain: Divine-human kinship / premortality
Public summary: Christ is the Firstborn spirit Son and stands in genuine familial relation to the Father's other spirit children while remaining uniquely Savior and Redeemer.
Current code/tier: Tier II
Provenance: Collective / strongly authoritative official doctrine
Source/pointer: https://www.churchofjesuschrist.org/study/manual/eternal-marriage-student-manual/jesus-christ?lang=eng
Locator/source note: The Living Christ; D&amp;C 93:21; official doctrinal manuals
Public scope caution: Corpus-relative addition only; historical antecedence is a separate question.
Research status: CONTROLLED INTERNAL — addition authority/source wording should be author-ratified for public display</t>
  </si>
  <si>
    <t xml:space="preserve">AUTH-RAT-RNR-A13</t>
  </si>
  <si>
    <t xml:space="preserve">A75:N75</t>
  </si>
  <si>
    <t xml:space="preserve">Ratify RNR-A13: Elements are eternal.</t>
  </si>
  <si>
    <t xml:space="preserve">Corpus: Restoration 26
Family/domain: Cosmology / ontology / embodiment
Public summary: Elements are eternal.
Current code/tier: Tier I
Provenance: Canonical scripture
Source/pointer: https://www.churchofjesuschrist.org/study/scriptures/dc-testament/dc/93?lang=eng
Locator/source note: D&amp;C 93:33
Public scope caution: Corpus-relative addition only; historical antecedence is a separate question.
Research status: CONTROLLED INTERNAL — addition authority/source wording should be author-ratified for public display</t>
  </si>
  <si>
    <t xml:space="preserve">Restoration A13–A18 — cosmology/ontology/embodiment</t>
  </si>
  <si>
    <t xml:space="preserve">AUTH-RAT-RNR-A14</t>
  </si>
  <si>
    <t xml:space="preserve">A76:N76</t>
  </si>
  <si>
    <t xml:space="preserve">Ratify RNR-A14: Spirit is refined matter rather than immaterial substance.</t>
  </si>
  <si>
    <t xml:space="preserve">Corpus: Restoration 26
Family/domain: Cosmology / ontology / embodiment
Public summary: Spirit is refined matter rather than immaterial substance.
Current code/tier: Tier I
Provenance: Canonical scripture
Source/pointer: https://www.churchofjesuschrist.org/study/scriptures/dc-testament/dc/131?lang=eng
Locator/source note: D&amp;C 131:7–8
Public scope caution: Corpus-relative addition only; historical antecedence is a separate question.
Research status: CONTROLLED INTERNAL — addition authority/source wording should be author-ratified for public display</t>
  </si>
  <si>
    <t xml:space="preserve">AUTH-RAT-RNR-A15</t>
  </si>
  <si>
    <t xml:space="preserve">A77:N77</t>
  </si>
  <si>
    <t xml:space="preserve">Ratify RNR-A15: Divine creation organizes preexistent reality rather than creating all constituent reality from absolute nothing.</t>
  </si>
  <si>
    <t xml:space="preserve">Corpus: Restoration 26
Family/domain: Cosmology / ontology / embodiment
Public summary: Divine creation organizes preexistent reality rather than creating all constituent reality from absolute nothing.
Current code/tier: Tier I
Provenance: Canonical scripture
Source/pointer: https://www.churchofjesuschrist.org/study/scriptures/pgp/abr/3?lang=eng
Locator/source note: Abraham 3:24; D&amp;C 93:29, 33
Public scope caution: Corpus-relative addition only; historical antecedence is a separate question.
Research status: CONTROLLED INTERNAL — addition authority/source wording should be author-ratified for public display</t>
  </si>
  <si>
    <t xml:space="preserve">AUTH-RAT-RNR-A16</t>
  </si>
  <si>
    <t xml:space="preserve">A78:N78</t>
  </si>
  <si>
    <t xml:space="preserve">Ratify RNR-A16: The Light of Christ fills the immensity of space and functions as life, law, illumination, divine power, and governance.</t>
  </si>
  <si>
    <t xml:space="preserve">Corpus: Restoration 26
Family/domain: Cosmology / ontology / embodiment
Public summary: The Light of Christ fills the immensity of space and functions as life, law, illumination, divine power, and governance.
Current code/tier: Tier I
Provenance: Canonical scripture
Source/pointer: https://www.churchofjesuschrist.org/study/scriptures/dc-testament/dc/88?lang=eng
Locator/source note: D&amp;C 88:6–13
Public scope caution: Corpus-relative addition only; historical antecedence is a separate question.
Research status: CONTROLLED INTERNAL — addition authority/source wording should be author-ratified for public display</t>
  </si>
  <si>
    <t xml:space="preserve">AUTH-RAT-RNR-A17</t>
  </si>
  <si>
    <t xml:space="preserve">A79:N79</t>
  </si>
  <si>
    <t xml:space="preserve">Ratify RNR-A17: Spirit and element permanently and inseparably united constitute the condition for fulness of joy.</t>
  </si>
  <si>
    <t xml:space="preserve">Corpus: Restoration 26
Family/domain: Cosmology / ontology / embodiment
Public summary: Spirit and element permanently and inseparably united constitute the condition for fulness of joy.
Current code/tier: Tier I
Provenance: Canonical scripture
Source/pointer: https://www.churchofjesuschrist.org/study/scriptures/dc-testament/dc/93?lang=eng
Locator/source note: D&amp;C 93:33–35
Public scope caution: Corpus-relative addition only; historical antecedence is a separate question.
Research status: CONTROLLED INTERNAL — addition authority/source wording should be author-ratified for public display</t>
  </si>
  <si>
    <t xml:space="preserve">AUTH-RAT-RNR-A18</t>
  </si>
  <si>
    <t xml:space="preserve">A80:N80</t>
  </si>
  <si>
    <t xml:space="preserve">Ratify RNR-A18: Mortal social relationships can continue eternally when sealed and transformed by eternal glory.</t>
  </si>
  <si>
    <t xml:space="preserve">Corpus: Restoration 26
Family/domain: Cosmology / ontology / embodiment
Public summary: Mortal social relationships can continue eternally when sealed and transformed by eternal glory.
Current code/tier: Tier I
Provenance: Canonical scripture
Source/pointer: https://www.churchofjesuschrist.org/study/scriptures/dc-testament/dc/130?lang=eng
Locator/source note: D&amp;C 130:2; 132:7, 19
Public scope caution: Corpus-relative addition only; historical antecedence is a separate question.
Research status: CONTROLLED INTERNAL — addition authority/source wording should be author-ratified for public display</t>
  </si>
  <si>
    <t xml:space="preserve">AUTH-RAT-RNR-A19</t>
  </si>
  <si>
    <t xml:space="preserve">A81:N81</t>
  </si>
  <si>
    <t xml:space="preserve">Ratify RNR-A19: Human beings may receive divine fulness and become like God, canonically described as becoming gods.</t>
  </si>
  <si>
    <t xml:space="preserve">Corpus: Restoration 26
Family/domain: Exaltation / eternal family / progression
Public summary: Human beings may receive divine fulness and become like God, canonically described as becoming gods.
Current code/tier: Tier I
Provenance: Canonical scripture
Source/pointer: https://www.churchofjesuschrist.org/study/scriptures/dc-testament/dc/132?lang=eng
Locator/source note: D&amp;C 132:19–20; 76:58; John 10:34–36
Public scope caution: Corpus-relative addition only; historical antecedence is a separate question.
Research status: CONTROLLED INTERNAL — addition authority/source wording should be author-ratified for public display</t>
  </si>
  <si>
    <t xml:space="preserve">Restoration A19–A26 — exaltation/family/progression</t>
  </si>
  <si>
    <t xml:space="preserve">AUTH-RAT-RNR-A20</t>
  </si>
  <si>
    <t xml:space="preserve">A82:N82</t>
  </si>
  <si>
    <t xml:space="preserve">Ratify RNR-A20: Celestial marriage continues eternally.</t>
  </si>
  <si>
    <t xml:space="preserve">Corpus: Restoration 26
Family/domain: Exaltation / eternal family / progression
Public summary: Celestial marriage continues eternally.
Current code/tier: Tier I
Provenance: Canonical scripture
Source/pointer: https://www.churchofjesuschrist.org/study/scriptures/dc-testament/dc/132?lang=eng
Locator/source note: D&amp;C 132:19
Public scope caution: Corpus-relative addition only; historical antecedence is a separate question.
Research status: CONTROLLED INTERNAL — addition authority/source wording should be author-ratified for public display</t>
  </si>
  <si>
    <t xml:space="preserve">AUTH-RAT-RNR-A21</t>
  </si>
  <si>
    <t xml:space="preserve">A83:N83</t>
  </si>
  <si>
    <t xml:space="preserve">Ratify RNR-A21: Celestial marriage is required for the highest degree of exaltation.</t>
  </si>
  <si>
    <t xml:space="preserve">Corpus: Restoration 26
Family/domain: Exaltation / eternal family / progression
Public summary: Celestial marriage is required for the highest degree of exaltation.
Current code/tier: Tier I
Provenance: Canonical scripture
Source/pointer: https://www.churchofjesuschrist.org/study/scriptures/dc-testament/dc/131?lang=eng
Locator/source note: D&amp;C 131:1–4
Public scope caution: Corpus-relative addition only; historical antecedence is a separate question.
Research status: CONTROLLED INTERNAL — addition authority/source wording should be author-ratified for public display</t>
  </si>
  <si>
    <t xml:space="preserve">AUTH-RAT-RNR-A22</t>
  </si>
  <si>
    <t xml:space="preserve">A84:N84</t>
  </si>
  <si>
    <t xml:space="preserve">Ratify RNR-A22: Family relationships can be perpetuated eternally.</t>
  </si>
  <si>
    <t xml:space="preserve">Corpus: Restoration 26
Family/domain: Exaltation / eternal family / progression
Public summary: Family relationships can be perpetuated eternally.
Current code/tier: Tier I
Provenance: Canonical scripture
Source/pointer: https://www.churchofjesuschrist.org/study/scriptures/dc-testament/dc/132?lang=eng
Locator/source note: D&amp;C 132:7, 19
Public scope caution: Corpus-relative addition only; historical antecedence is a separate question.
Research status: CONTROLLED INTERNAL — addition authority/source wording should be author-ratified for public display</t>
  </si>
  <si>
    <t xml:space="preserve">AUTH-RAT-RNR-A23</t>
  </si>
  <si>
    <t xml:space="preserve">A85:N85</t>
  </si>
  <si>
    <t xml:space="preserve">Ratify RNR-A23: Exalted spouses receive continuation of the seeds / eternal increase.</t>
  </si>
  <si>
    <t xml:space="preserve">Corpus: Restoration 26
Family/domain: Exaltation / eternal family / progression
Public summary: Exalted spouses receive continuation of the seeds / eternal increase.
Current code/tier: Tier I
Provenance: Canonical scripture
Source/pointer: https://www.churchofjesuschrist.org/study/scriptures/dc-testament/dc/132?lang=eng
Locator/source note: D&amp;C 132:19, 30–31
Public scope caution: Corpus-relative addition only; historical antecedence is a separate question.
Research status: CONTROLLED INTERNAL — addition authority/source wording should be author-ratified for public display</t>
  </si>
  <si>
    <t xml:space="preserve">AUTH-RAT-RNR-A24</t>
  </si>
  <si>
    <t xml:space="preserve">A86:N86</t>
  </si>
  <si>
    <t xml:space="preserve">Ratify RNR-A24: Resurrected and glorified exalted beings become parents of spirit offspring.</t>
  </si>
  <si>
    <t xml:space="preserve">Corpus: Restoration 26
Family/domain: Exaltation / eternal family / progression
Public summary: Resurrected and glorified exalted beings become parents of spirit offspring.
Current code/tier: Tier II
Provenance: Collective / strongly authoritative official doctrine
Source/pointer: https://www.churchofjesuschrist.org/study/manual/gospel-principles/chapter-47-exaltation?lang=eng
Locator/source note: Gospel Principles ch. 47; related official curriculum
Public scope caution: Eternal procreative parenthood is taught in the project source set; detailed mechanism is unrevealed.
Research status: CONTROLLED INTERNAL — addition authority/source wording should be author-ratified for public display</t>
  </si>
  <si>
    <t xml:space="preserve">AUTH-RAT-RNR-A25</t>
  </si>
  <si>
    <t xml:space="preserve">A87:N87</t>
  </si>
  <si>
    <t xml:space="preserve">Ratify RNR-A25: Their spirit offspring subsequently pass through estates corresponding to those through which their glorified parents attained exaltation.</t>
  </si>
  <si>
    <t xml:space="preserve">Corpus: Restoration 26
Family/domain: Exaltation / eternal family / progression
Public summary: Their spirit offspring subsequently pass through estates corresponding to those through which their glorified parents attained exaltation.
Current code/tier: Tier III
Provenance: Attributable prophetic / apostolic exposition
Source/pointer: https://www.churchofjesuschrist.org/study/manual/teachings-of-presidents-of-the-church-lorenzo-snow/chapter-5-the-grand-destiny-of-the-faithful?lang=eng
Locator/source note: Lorenzo Snow and later prophetic exposition
Public scope caution: Tier III; detailed estate-sequence mechanics are not revealed and should be taught cautiously.
Research status: CONTROLLED INTERNAL — addition authority/source wording should be author-ratified for public display</t>
  </si>
  <si>
    <t xml:space="preserve">Tier III; detailed estate-sequence mechanics are not revealed and should be taught cautiously.</t>
  </si>
  <si>
    <t xml:space="preserve">AUTH-RAT-RNR-A26</t>
  </si>
  <si>
    <t xml:space="preserve">A88:N88</t>
  </si>
  <si>
    <t xml:space="preserve">Ratify RNR-A26: Exalted existence entails continuing increase in knowledge, wisdom, power, glory, relationship, posterity, and divine capacity.</t>
  </si>
  <si>
    <t xml:space="preserve">Corpus: Restoration 26
Family/domain: Exaltation / eternal family / progression
Public summary: Exalted existence entails continuing increase in knowledge, wisdom, power, glory, relationship, posterity, and divine capacity.
Current code/tier: Tier III
Provenance: Attributable prophetic / apostolic exposition
Source/pointer: https://www.churchofjesuschrist.org/study/manual/teachings-of-presidents-of-the-church-lorenzo-snow/chapter-5-the-grand-destiny-of-the-faithful?lang=eng
Locator/source note: Lorenzo Snow and related prophetic exposition; D&amp;C 130:18–19; 132:19–20
Public scope caution: Corpus-relative addition only; historical antecedence is a separate question.
Research status: CONTROLLED INTERNAL — addition authority/source wording should be author-ratified for public display</t>
  </si>
  <si>
    <t xml:space="preserve">AUTH-FUTURE-BRANCHMAP</t>
  </si>
  <si>
    <t xml:space="preserve">G7 — Branch-map publication</t>
  </si>
  <si>
    <t xml:space="preserve">Publication threshold</t>
  </si>
  <si>
    <t xml:space="preserve">BLOCKED</t>
  </si>
  <si>
    <t xml:space="preserve">A9:C9</t>
  </si>
  <si>
    <t xml:space="preserve">Set the public branch-map completeness threshold</t>
  </si>
  <si>
    <t xml:space="preserve">What evidence-completeness standard should authorize a public denomination heat map?</t>
  </si>
  <si>
    <t xml:space="preserve">Current evidence-first branch layer is still materially lopsided. The map is disabled, and no purely arithmetic threshold is self-justifying.</t>
  </si>
  <si>
    <t xml:space="preserve">full_branch_map_enabled = FALSE; current release coverage remains incomplete and uneven.</t>
  </si>
  <si>
    <t xml:space="preserve">Must be resolved before enabling branch-level concordance percentages or rankings.</t>
  </si>
  <si>
    <t xml:space="preserve">DEFER until source recovery substantially improves, then decide</t>
  </si>
  <si>
    <t xml:space="preserve">Require ≥80% released coverage in every branch + no critical unresolved semantic/source-role holds</t>
  </si>
  <si>
    <t xml:space="preserve">Require ≥70% released coverage in every branch + no critical unresolved semantic/source-role holds</t>
  </si>
  <si>
    <t xml:space="preserve">CUSTOM threshold / qualitative rule</t>
  </si>
  <si>
    <t xml:space="preserve">Actionability should be changed to READY only after the evidence-recovery milestone chosen by the project.</t>
  </si>
  <si>
    <t xml:space="preserve">Future gate</t>
  </si>
  <si>
    <t xml:space="preserve">Intentionally blocked so it cannot interrupt current author review.</t>
  </si>
  <si>
    <t xml:space="preserve">AUTH-FUTURE-EXTVAL</t>
  </si>
  <si>
    <t xml:space="preserve">G8 — External validation adjudication</t>
  </si>
  <si>
    <t xml:space="preserve">A21:C21</t>
  </si>
  <si>
    <t xml:space="preserve">Review and adjudicate external-validation results</t>
  </si>
  <si>
    <t xml:space="preserve">After independent coder returns and reliability are frozen, what author dispositions should be adopted?</t>
  </si>
  <si>
    <t xml:space="preserve">Session 20C external validation is authorized but semantic validation is still PENDING. No coder judgments may be fabricated or pre-adjudicated.</t>
  </si>
  <si>
    <t xml:space="preserve">external_validation = PENDING.</t>
  </si>
  <si>
    <t xml:space="preserve">Required before scholarly finality and before any author claim that the semantic coding has been independently replicated.</t>
  </si>
  <si>
    <t xml:space="preserve">ACCEPT reliability/adjudication package as recommended</t>
  </si>
  <si>
    <t xml:space="preserve">REVISE specified dispositions after reviewing coder disagreements</t>
  </si>
  <si>
    <t xml:space="preserve">HOLD — reliability or coder-independence concern</t>
  </si>
  <si>
    <t xml:space="preserve">CUSTOM adjudication</t>
  </si>
  <si>
    <t xml:space="preserve">Do not make actionable until primary returns and reliability outputs are frozen.</t>
  </si>
  <si>
    <t xml:space="preserve">Future dependency: independent coder data.</t>
  </si>
  <si>
    <t xml:space="preserve">AUTH-FUTURE-PUBLICATION</t>
  </si>
  <si>
    <t xml:space="preserve">G9 — Final publication authorization</t>
  </si>
  <si>
    <t xml:space="preserve">Publication authorization</t>
  </si>
  <si>
    <t xml:space="preserve">Public Readiness</t>
  </si>
  <si>
    <t xml:space="preserve">Final scholarly publication</t>
  </si>
  <si>
    <t xml:space="preserve">A3:H11</t>
  </si>
  <si>
    <t xml:space="preserve">Authorize final scholarly/public release</t>
  </si>
  <si>
    <t xml:space="preserve">After all author gates and external validation are complete, is the project authorized for final scholarly/public release?</t>
  </si>
  <si>
    <t xml:space="preserve">Current project posture explicitly does not authorize final scholarly publication.</t>
  </si>
  <si>
    <t xml:space="preserve">Final scholarly publication = NOT AUTHORIZED / external semantic validation pending.</t>
  </si>
  <si>
    <t xml:space="preserve">Final safeguard against accidentally treating ministry-review or internal results as fully validated scholarship.</t>
  </si>
  <si>
    <t xml:space="preserve">AUTHORIZE final release</t>
  </si>
  <si>
    <t xml:space="preserve">AUTHORIZE ministry/educational release only; scholarly finality remains withheld</t>
  </si>
  <si>
    <t xml:space="preserve">HOLD — unresolved author/external-validation issues</t>
  </si>
  <si>
    <t xml:space="preserve">CUSTOM release scope</t>
  </si>
  <si>
    <t xml:space="preserve">Actionability becomes READY only after prerequisite gates are clear.</t>
  </si>
  <si>
    <t xml:space="preserve">Future dependency: author gates + external validation.</t>
  </si>
  <si>
    <t xml:space="preserve">Author Gate Dashboard — nothing clears by accident</t>
  </si>
  <si>
    <t xml:space="preserve">This dashboard is formula-driven from Author Decision Queue. AUTHOR CLEAR means every currently actionable decision in that gate is resolved with initials/date. HOLD remains a blocker. Future gates stay visible as WAITING ON DEPENDENCY rather than disappearing.</t>
  </si>
  <si>
    <t xml:space="preserve">Purpose</t>
  </si>
  <si>
    <t xml:space="preserve">Total Items</t>
  </si>
  <si>
    <t xml:space="preserve">Ready Items</t>
  </si>
  <si>
    <t xml:space="preserve">Resolved</t>
  </si>
  <si>
    <t xml:space="preserve">Needs Attention</t>
  </si>
  <si>
    <t xml:space="preserve">Holds</t>
  </si>
  <si>
    <t xml:space="preserve">Deferred</t>
  </si>
  <si>
    <t xml:space="preserve">Blocked Future</t>
  </si>
  <si>
    <t xml:space="preserve">Gate Status</t>
  </si>
  <si>
    <t xml:space="preserve">Clearance Condition</t>
  </si>
  <si>
    <t xml:space="preserve">Confirm source-of-truth, trigger, anchoring, orientation, balance, and volume policies.</t>
  </si>
  <si>
    <t xml:space="preserve">All six architecture/governance decisions resolved.</t>
  </si>
  <si>
    <t xml:space="preserve">Approve ICC-001 cue and case content/release posture.</t>
  </si>
  <si>
    <t xml:space="preserve">ICC-001 author decisions resolved; engineering release policy then propagates.</t>
  </si>
  <si>
    <t xml:space="preserve">Resolve four flagged Restoration comparator choices.</t>
  </si>
  <si>
    <t xml:space="preserve">H06/H09/H19/H20 comparator decisions resolved.</t>
  </si>
  <si>
    <t xml:space="preserve">Resolve Eastern Orthodox H37 source-role and H43 semantic-floor questions.</t>
  </si>
  <si>
    <t xml:space="preserve">Both Orthodox author adjudications resolved or explicitly held.</t>
  </si>
  <si>
    <t xml:space="preserve">Approve/revise four NOT COUNTED learner-facing Godhead propositions.</t>
  </si>
  <si>
    <t xml:space="preserve">GOD-01–04 author wording decisions resolved.</t>
  </si>
  <si>
    <t xml:space="preserve">Ratify all 83 public predicate/addition rows.</t>
  </si>
  <si>
    <t xml:space="preserve">83/83 rows resolved; any HOLD remains a gate hold.</t>
  </si>
  <si>
    <t xml:space="preserve">Choose the completeness rule that permits a public heat map.</t>
  </si>
  <si>
    <t xml:space="preserve">Currently blocked by source recovery.</t>
  </si>
  <si>
    <t xml:space="preserve">Review independent coder reliability and adjudicate results.</t>
  </si>
  <si>
    <t xml:space="preserve">Currently blocked until external returns/reliability are frozen.</t>
  </si>
  <si>
    <t xml:space="preserve">Authorize final release scope.</t>
  </si>
  <si>
    <t xml:space="preserve">Currently blocked until all prerequisite author/external gates are complete.</t>
  </si>
  <si>
    <t xml:space="preserve">Workflow KPI</t>
  </si>
  <si>
    <t xml:space="preserve">Total tracked decisions</t>
  </si>
  <si>
    <t xml:space="preserve">Needs attention</t>
  </si>
  <si>
    <t xml:space="preserve">AUTHOR REVIEW CONSOLE — one decision at a time</t>
  </si>
  <si>
    <t xml:space="preserve">Work only from the CURRENT item below. To respond, open the Author Decision Queue row shown in the navigation box, choose OPTION 1–4 (or CUSTOM RESPONSE / HOLD / DEFER) in the yellow Response Menu cell, enter any required custom wording, then add initials and date. The console advances automatically to the next actionable item.</t>
  </si>
  <si>
    <t xml:space="preserve">NAVIGATION / PROGRESS</t>
  </si>
  <si>
    <t xml:space="preserve">Current Queue Row</t>
  </si>
  <si>
    <t xml:space="preserve">Queue location</t>
  </si>
  <si>
    <t xml:space="preserve">Current Sequence</t>
  </si>
  <si>
    <t xml:space="preserve">Current Decision ID</t>
  </si>
  <si>
    <t xml:space="preserve">Resolved / Actionable</t>
  </si>
  <si>
    <t xml:space="preserve">Source key</t>
  </si>
  <si>
    <t xml:space="preserve">CURRENT AUTHOR DECISION</t>
  </si>
  <si>
    <t xml:space="preserve">Decision title</t>
  </si>
  <si>
    <t xml:space="preserve">Author question</t>
  </si>
  <si>
    <t xml:space="preserve">Relevant context</t>
  </si>
  <si>
    <t xml:space="preserve">Current state / evidence</t>
  </si>
  <si>
    <t xml:space="preserve">Why this matters / gate impact</t>
  </si>
  <si>
    <t xml:space="preserve">SUGGESTED OPTIONS</t>
  </si>
  <si>
    <t xml:space="preserve">OPTION 1</t>
  </si>
  <si>
    <t xml:space="preserve">RESPONSE INSTRUCTIONS</t>
  </si>
  <si>
    <t xml:space="preserve">Source range</t>
  </si>
  <si>
    <t xml:space="preserve">Source caution</t>
  </si>
  <si>
    <t xml:space="preserve">Follow-up / propagation</t>
  </si>
  <si>
    <t xml:space="preserve">Review batch</t>
  </si>
  <si>
    <t xml:space="preserve">GATE SAFETY</t>
  </si>
  <si>
    <t xml:space="preserve">A gate is not cleared merely because you have moved past an item. HOLD remains visible on Author Gate Dashboard. DEFERRED remains visible. Three future author decisions are pre-registered as BLOCKED so branch-map publication, external-validation adjudication, and final release cannot be forgotten.</t>
  </si>
  <si>
    <t xml:space="preserve">Workbook canonical; v1 static JSON only. Pre-filled Option 1 in v2.14 superseded by explicit author choice.</t>
  </si>
  <si>
    <t xml:space="preserve">AJP</t>
  </si>
  <si>
    <t xml:space="preserve">SEMANTIC/QUESTION_PATTERN triggers marked DEFERRED.</t>
  </si>
  <si>
    <t xml:space="preserve">Three-way anchor; ICC-001 explorer-only under Salvation &amp; discipleship.</t>
  </si>
  <si>
    <t xml:space="preserve">All ten hazards taught in Orientation in plain language.</t>
  </si>
  <si>
    <t xml:space="preserve">ICC-002 (2 Nephi 25:23 “after all we can do”) required before ICC-001 public release.</t>
  </si>
  <si>
    <t xml:space="preserve">Cap 6; observed misunderstanding required.</t>
  </si>
  <si>
    <t xml:space="preserve">Question form adopted as learner cue copy.</t>
  </si>
  <si>
    <t xml:space="preserve">Content approved; release held for lens balance.</t>
  </si>
  <si>
    <t xml:space="preserve">D&amp;C 20:24 — “to reign with almighty power according to the will of the Father”.</t>
  </si>
  <si>
    <t xml:space="preserve">Moroni 7:12 — “all things which are good cometh of God”.</t>
  </si>
  <si>
    <t xml:space="preserve">REPLACE with Alma 26:8 — “Blessed be the name of our God” (doxological sense of blessed; scope note to say so).</t>
  </si>
  <si>
    <t xml:space="preserve">Author chose Alma 26:8 over suggested 1 Timothy 6:15.</t>
  </si>
  <si>
    <t xml:space="preserve">D&amp;C 76:19–20 — “we beheld the glory of the Son”.</t>
  </si>
  <si>
    <t xml:space="preserve">Approved over reviewer recommendation to hold; OCA jurisdictional scope; seek catechetical source before scholarly use.</t>
  </si>
  <si>
    <t xml:space="preserve">Keep PENDING; add essence–energies learner note.</t>
  </si>
  <si>
    <t xml:space="preserve">summary → God is the living God. | caution → Shared. Both traditions affirm this of God in the same sense.</t>
  </si>
  <si>
    <t xml:space="preserve">Global rules 2026-09-09: G6-1 plain "Shared…" wording on generic floors; G6-2 plain addition caution; G6-3 Tier III attributed-teaching caution; G6-4 A-row summaries in "God is/does" form; jargon rewrites H05/H38/H44/A03; A01 likeness direction; H18 phrase correction; H52–55/H57 comparator phrases.</t>
  </si>
  <si>
    <t xml:space="preserve">summary → God is true — authentic, faithful, and real. | caution → Shared. Both traditions affirm this of God in the same sense.</t>
  </si>
  <si>
    <t xml:space="preserve">Approved as written (batch sign-off 2026-09-09).</t>
  </si>
  <si>
    <t xml:space="preserve">summary → God is Father.</t>
  </si>
  <si>
    <t xml:space="preserve">summary → Names Jesus Christ as the eternal Son of God.</t>
  </si>
  <si>
    <t xml:space="preserve">summary → Jesus Christ is Lord. | Restoration comparator → D&amp;C 20:24 “to reign with almighty power according to the will of the Father”</t>
  </si>
  <si>
    <t xml:space="preserve">summary → God is almighty; all power is His.</t>
  </si>
  <si>
    <t xml:space="preserve">summary → God is all-wise.</t>
  </si>
  <si>
    <t xml:space="preserve">summary → God is good. | Restoration comparator → Moroni 7:12 “all things which are good cometh of God”</t>
  </si>
  <si>
    <t xml:space="preserve">summary → Every good thing comes from God. | caution → Shared. Both traditions affirm this of God in the same sense.</t>
  </si>
  <si>
    <t xml:space="preserve">summary → God is just and righteous.</t>
  </si>
  <si>
    <t xml:space="preserve">summary → God is holy.</t>
  </si>
  <si>
    <t xml:space="preserve">summary → God is a God of truth; He cannot lie.</t>
  </si>
  <si>
    <t xml:space="preserve">summary → God is love; He loves His children.</t>
  </si>
  <si>
    <t xml:space="preserve">summary → God is merciful.</t>
  </si>
  <si>
    <t xml:space="preserve">summary → God is gracious.</t>
  </si>
  <si>
    <t xml:space="preserve">summary → God is long-suffering and patient.</t>
  </si>
  <si>
    <t xml:space="preserve">summary → God forgives sin. | Restoration phrase → “I, the Lord, will forgive whom I will forgive”</t>
  </si>
  <si>
    <t xml:space="preserve">summary → God is blessed; all blessedness is in Him. | caution → Shared. Both traditions affirm this of God in the same sense. | Restoration comparator → Alma 26:8 “Blessed be the name of our God”</t>
  </si>
  <si>
    <t xml:space="preserve">summary → God is glorious. | Restoration comparator → D&amp;C 76:19–20 “we beheld the glory of the Son”</t>
  </si>
  <si>
    <t xml:space="preserve">summary → God gives life.</t>
  </si>
  <si>
    <t xml:space="preserve">summary → God preserves and sustains all things.</t>
  </si>
  <si>
    <t xml:space="preserve">summary → God governs all things.</t>
  </si>
  <si>
    <t xml:space="preserve">summary → God is sovereign over all.</t>
  </si>
  <si>
    <t xml:space="preserve">summary → God judges all people.</t>
  </si>
  <si>
    <t xml:space="preserve">summary → God saves; Jesus Christ is the Savior.</t>
  </si>
  <si>
    <t xml:space="preserve">summary → God reveals Himself.</t>
  </si>
  <si>
    <t xml:space="preserve">summary → Jesus Christ is the Word.</t>
  </si>
  <si>
    <t xml:space="preserve">summary → Jesus Christ is the Wisdom of God.</t>
  </si>
  <si>
    <t xml:space="preserve">summary → Names Christ as the Light.</t>
  </si>
  <si>
    <t xml:space="preserve">summary → Jesus Christ is the image of the Father.</t>
  </si>
  <si>
    <t xml:space="preserve">summary → The Holy Spirit gives life.</t>
  </si>
  <si>
    <t xml:space="preserve">summary → The Holy Spirit is eternal power and might.</t>
  </si>
  <si>
    <t xml:space="preserve">summary → Denies that the Son is a created being.</t>
  </si>
  <si>
    <t xml:space="preserve">summary → Denies that God can be moved or affected by His creatures (classical impassibility).</t>
  </si>
  <si>
    <t xml:space="preserve">summary → God is eternal — without beginning or end.</t>
  </si>
  <si>
    <t xml:space="preserve">summary → God cannot be fully comprehended.</t>
  </si>
  <si>
    <t xml:space="preserve">summary → God cannot be fully put into words.</t>
  </si>
  <si>
    <t xml:space="preserve">summary → God's counsels cannot be fully searched out.</t>
  </si>
  <si>
    <t xml:space="preserve">Restoration phrase → “the Only Begotten Son in the flesh”</t>
  </si>
  <si>
    <t xml:space="preserve">Restoration phrase → “a beloved spirit son or daughter of heavenly parents”</t>
  </si>
  <si>
    <t xml:space="preserve">summary → The Father is an embodied, tangible, glorified person; humanity is made in His image. | caution → Counted as an addition because it does not appear as a positive doctrine in the creeds and confessions studied — not because no Christian ever taught something like it.</t>
  </si>
  <si>
    <t xml:space="preserve">caution → Counted as an addition because it does not appear as a positive doctrine in the creeds and confessions studied — not because no Christian ever taught something like it.</t>
  </si>
  <si>
    <t xml:space="preserve">summary → God is personally present in one place at a time, while His light, knowledge, power, and governance fill all creation. | caution → Counted as an addition because it does not appear as a positive doctrine in the creeds and confessions studied — not because no Christian ever taught something like it.</t>
  </si>
  <si>
    <t xml:space="preserve">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</si>
  <si>
    <t xml:space="preserve">caution → Detailed mechanics are not revealed; use source-role and evidence caution. Attributed to a prophet's teaching rather than canonized scripture; the details are not revealed, and Latter-day Saints hold them with reverence and restraint.</t>
  </si>
  <si>
    <t xml:space="preserve">Metric key</t>
  </si>
  <si>
    <t xml:space="preserve">Raw percent</t>
  </si>
  <si>
    <t xml:space="preserve">Low percent</t>
  </si>
  <si>
    <t xml:space="preserve">High percent</t>
  </si>
  <si>
    <t xml:space="preserve">Basis</t>
  </si>
  <si>
    <t xml:space="preserve">shared_floor_A_plus_Q</t>
  </si>
  <si>
    <t xml:space="preserve">How this range moves: it shows where the count lands if some of the 57 descriptions are treated as more central to Christian teaching than others. Weighting them keeps the share between about 88% and 91%.</t>
  </si>
  <si>
    <t xml:space="preserve">Paper v3.2-MR1 §14, Appendix B</t>
  </si>
  <si>
    <t xml:space="preserve">count + percent + range; provisional</t>
  </si>
  <si>
    <t xml:space="preserve">strict_A</t>
  </si>
  <si>
    <t xml:space="preserve">FAMILY</t>
  </si>
  <si>
    <t xml:space="preserve">How this range moves: it shows where the count of full agreements lands if some descriptions are treated as more central than others. Weighting them keeps the share between about 52% and 63%.</t>
  </si>
  <si>
    <t xml:space="preserve">direct_D</t>
  </si>
  <si>
    <t xml:space="preserve">How this range moves: it shows where the count of direct disagreements lands if some descriptions are treated as more central than others. Weighting them keeps the share between about 9% and 12%.</t>
  </si>
  <si>
    <t xml:space="preserve">positive_A_plus_Q</t>
  </si>
  <si>
    <t xml:space="preserve">This figure is a plain count of the corpus as coded — no weighting was applied, so no range is shown, only the count and percentage.</t>
  </si>
  <si>
    <t xml:space="preserve">Paper §6</t>
  </si>
  <si>
    <t xml:space="preserve">count + percent; provisional</t>
  </si>
  <si>
    <t xml:space="preserve">negative_Q_or_D</t>
  </si>
  <si>
    <t xml:space="preserve">No weighting model was applied to this figure — only the count and percentage are shown.</t>
  </si>
  <si>
    <t xml:space="preserve">Paper §8</t>
  </si>
  <si>
    <t xml:space="preserve">human_destiny_additions</t>
  </si>
  <si>
    <t xml:space="preserve">This figure depends on how the Restoration additions are grouped by topic; no separate weighting model was applied.</t>
  </si>
  <si>
    <t xml:space="preserve">Paper §10</t>
  </si>
  <si>
    <t xml:space="preserve">tier_I_II_additions</t>
  </si>
  <si>
    <t xml:space="preserve">This figure is based on how each source is classified by its role, not on a weighting model.</t>
  </si>
  <si>
    <t xml:space="preserve">Paper §12</t>
  </si>
  <si>
    <t xml:space="preserve">constructive_vs_subtractive</t>
  </si>
  <si>
    <t xml:space="preserve">This figure is a plain tally of how each addition relates to the creeds — descriptive, not weighted.</t>
  </si>
  <si>
    <t xml:space="preserve">Paper §11</t>
  </si>
  <si>
    <t xml:space="preserve">Where a Low/High pair is blank the app shows count + percent only. Structural ranges computed by the pipeline (e.g., A-only vs A+Q) are not sensitivity ranges and must not be displayed as such.</t>
  </si>
</sst>
</file>

<file path=xl/styles.xml><?xml version="1.0" encoding="utf-8"?>
<styleSheet xmlns="http://schemas.openxmlformats.org/spreadsheetml/2006/main">
  <numFmts count="4">
    <numFmt numFmtId="164" formatCode="General"/>
    <numFmt numFmtId="165" formatCode="General"/>
    <numFmt numFmtId="166" formatCode="0.0%"/>
    <numFmt numFmtId="167" formatCode="yyyy\-mm\-dd"/>
  </numFmts>
  <fonts count="9">
    <font>
      <sz val="11"/>
      <color rgb="FF000000"/>
      <name val="Calibri"/>
      <family val="0"/>
      <charset val="1"/>
    </font>
    <font>
      <sz val="10"/>
      <name val="Arial"/>
      <family val="0"/>
    </font>
    <font>
      <sz val="10"/>
      <name val="Arial"/>
      <family val="0"/>
    </font>
    <font>
      <sz val="10"/>
      <name val="Arial"/>
      <family val="0"/>
    </font>
    <font>
      <b val="true"/>
      <sz val="15"/>
      <color rgb="FFFFFFFF"/>
      <name val="Calibri"/>
      <family val="0"/>
      <charset val="1"/>
    </font>
    <font>
      <b val="true"/>
      <sz val="11"/>
      <color theme="1"/>
      <name val="Calibri"/>
      <family val="0"/>
      <charset val="1"/>
    </font>
    <font>
      <b val="true"/>
      <sz val="11"/>
      <color rgb="FFFFFFFF"/>
      <name val="Calibri"/>
      <family val="0"/>
      <charset val="1"/>
    </font>
    <font>
      <sz val="11"/>
      <color theme="1"/>
      <name val="Calibri"/>
      <family val="0"/>
      <charset val="1"/>
    </font>
    <font>
      <b val="true"/>
      <sz val="16"/>
      <color rgb="FFFFFFFF"/>
      <name val="Calibri"/>
      <family val="0"/>
      <charset val="1"/>
    </font>
  </fonts>
  <fills count="8">
    <fill>
      <patternFill patternType="none"/>
    </fill>
    <fill>
      <patternFill patternType="gray125"/>
    </fill>
    <fill>
      <patternFill patternType="solid">
        <fgColor rgb="FF203864"/>
        <bgColor rgb="FF333333"/>
      </patternFill>
    </fill>
    <fill>
      <patternFill patternType="solid">
        <fgColor rgb="FFFFF2CC"/>
        <bgColor rgb="FFFFF9E6"/>
      </patternFill>
    </fill>
    <fill>
      <patternFill patternType="solid">
        <fgColor rgb="FFF2F2F2"/>
        <bgColor rgb="FFFFF9E6"/>
      </patternFill>
    </fill>
    <fill>
      <patternFill patternType="solid">
        <fgColor rgb="FF4472C4"/>
        <bgColor rgb="FF666666"/>
      </patternFill>
    </fill>
    <fill>
      <patternFill patternType="solid">
        <fgColor rgb="FFFFF9E6"/>
        <bgColor rgb="FFFFFFFF"/>
      </patternFill>
    </fill>
    <fill>
      <patternFill patternType="solid">
        <fgColor rgb="FFD9EAF7"/>
        <bgColor rgb="FFE7E6E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3" borderId="0" xfId="0" applyFont="true" applyBorder="true" applyAlignment="true" applyProtection="false">
      <alignment horizontal="general" vertical="bottom"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5" fontId="7"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center" textRotation="0" wrapText="true" indent="0" shrinkToFit="false"/>
      <protection locked="true" hidden="false"/>
    </xf>
    <xf numFmtId="167" fontId="7" fillId="0" borderId="0" xfId="0" applyFont="true" applyBorder="false" applyAlignment="true" applyProtection="false">
      <alignment horizontal="general" vertical="bottom" textRotation="0" wrapText="tru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center" textRotation="0" wrapText="true" indent="0" shrinkToFit="false"/>
      <protection locked="true" hidden="false"/>
    </xf>
    <xf numFmtId="164" fontId="6" fillId="2" borderId="0" xfId="0" applyFont="true" applyBorder="false" applyAlignment="true" applyProtection="false">
      <alignment horizontal="left" vertical="center" textRotation="0" wrapText="tru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center" textRotation="0" wrapText="true" indent="0" shrinkToFit="false"/>
      <protection locked="true" hidden="false"/>
    </xf>
    <xf numFmtId="165" fontId="7" fillId="4" borderId="0" xfId="0" applyFont="true" applyBorder="false" applyAlignment="true" applyProtection="false">
      <alignment horizontal="general" vertical="center" textRotation="0" wrapText="true" indent="0" shrinkToFit="false"/>
      <protection locked="true" hidden="false"/>
    </xf>
    <xf numFmtId="167" fontId="7" fillId="4" borderId="0" xfId="0" applyFont="true" applyBorder="false" applyAlignment="true" applyProtection="false">
      <alignment horizontal="general" vertical="center" textRotation="0" wrapText="true" indent="0" shrinkToFit="false"/>
      <protection locked="true" hidden="false"/>
    </xf>
    <xf numFmtId="164" fontId="7" fillId="4" borderId="0" xfId="0" applyFont="true" applyBorder="false" applyAlignment="true" applyProtection="false">
      <alignment horizontal="general" vertical="center" textRotation="0" wrapText="false" indent="0" shrinkToFit="false"/>
      <protection locked="true" hidden="false"/>
    </xf>
    <xf numFmtId="164" fontId="8" fillId="2" borderId="0" xfId="0" applyFont="true" applyBorder="true" applyAlignment="true" applyProtection="false">
      <alignment horizontal="general" vertical="center" textRotation="0" wrapText="true" indent="0" shrinkToFit="false"/>
      <protection locked="true" hidden="false"/>
    </xf>
    <xf numFmtId="164" fontId="6" fillId="5" borderId="0" xfId="0" applyFont="true" applyBorder="false" applyAlignment="true" applyProtection="false">
      <alignment horizontal="general" vertical="center" textRotation="0" wrapText="true" indent="0" shrinkToFit="false"/>
      <protection locked="true" hidden="false"/>
    </xf>
    <xf numFmtId="164" fontId="5" fillId="4" borderId="0" xfId="0" applyFont="true" applyBorder="false" applyAlignment="true" applyProtection="false">
      <alignment horizontal="general" vertical="bottom" textRotation="0" wrapText="true" indent="0" shrinkToFit="false"/>
      <protection locked="true" hidden="false"/>
    </xf>
    <xf numFmtId="165" fontId="7" fillId="0" borderId="0" xfId="0" applyFont="true" applyBorder="true" applyAlignment="true" applyProtection="false">
      <alignment horizontal="general" vertical="bottom" textRotation="0" wrapText="true" indent="0" shrinkToFit="false"/>
      <protection locked="true" hidden="false"/>
    </xf>
    <xf numFmtId="165" fontId="5" fillId="6" borderId="0" xfId="0" applyFont="true" applyBorder="true" applyAlignment="true" applyProtection="false">
      <alignment horizontal="general" vertical="bottom" textRotation="0" wrapText="true" indent="0" shrinkToFit="false"/>
      <protection locked="true" hidden="false"/>
    </xf>
    <xf numFmtId="164" fontId="5" fillId="7" borderId="0" xfId="0" applyFont="true" applyBorder="true" applyAlignment="true" applyProtection="false">
      <alignment horizontal="general" vertical="bottom" textRotation="0" wrapText="true" indent="0" shrinkToFit="false"/>
      <protection locked="true" hidden="false"/>
    </xf>
    <xf numFmtId="164" fontId="5" fillId="6" borderId="0" xfId="0" applyFont="true" applyBorder="false" applyAlignment="true" applyProtection="false">
      <alignment horizontal="general" vertical="center" textRotation="0" wrapText="true" indent="0" shrinkToFit="false"/>
      <protection locked="true" hidden="false"/>
    </xf>
    <xf numFmtId="164" fontId="7" fillId="6" borderId="0" xfId="0" applyFont="true" applyBorder="false" applyAlignment="true" applyProtection="false">
      <alignment horizontal="general" vertical="center" textRotation="0" wrapText="true" indent="0" shrinkToFit="false"/>
      <protection locked="true" hidden="false"/>
    </xf>
    <xf numFmtId="167" fontId="7" fillId="6"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8">
    <dxf>
      <fill>
        <patternFill patternType="solid">
          <fgColor rgb="FF20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D9D9D9"/>
          <bgColor rgb="FF000000"/>
        </patternFill>
      </fill>
    </dxf>
    <dxf>
      <fill>
        <patternFill patternType="solid">
          <fgColor rgb="FFE2F0D9"/>
          <bgColor rgb="FF000000"/>
        </patternFill>
      </fill>
    </dxf>
    <dxf>
      <fill>
        <patternFill patternType="solid">
          <fgColor rgb="FFE4DFEC"/>
          <bgColor rgb="FF000000"/>
        </patternFill>
      </fill>
    </dxf>
    <dxf>
      <fill>
        <patternFill patternType="solid">
          <fgColor rgb="FFF2F2F2"/>
          <bgColor rgb="FF000000"/>
        </patternFill>
      </fill>
    </dxf>
    <dxf>
      <fill>
        <patternFill patternType="solid">
          <fgColor rgb="FFF4B183"/>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666666"/>
          <bgColor rgb="FF000000"/>
        </patternFill>
      </fill>
    </dxf>
    <dxf>
      <font>
        <b val="1"/>
      </font>
      <fill>
        <patternFill>
          <bgColor rgb="FFE2F0D9"/>
        </patternFill>
      </fill>
    </dxf>
    <dxf>
      <font>
        <b val="1"/>
      </font>
      <fill>
        <patternFill>
          <bgColor rgb="FFC6E0B4"/>
        </patternFill>
      </fill>
    </dxf>
    <dxf>
      <font>
        <b val="1"/>
      </font>
      <fill>
        <patternFill>
          <bgColor rgb="FFFFF2CC"/>
        </patternFill>
      </fill>
    </dxf>
    <dxf>
      <font>
        <b val="1"/>
      </font>
      <fill>
        <patternFill>
          <bgColor rgb="FFFCE4D6"/>
        </patternFill>
      </fill>
    </dxf>
    <dxf>
      <font>
        <b val="1"/>
      </font>
      <fill>
        <patternFill>
          <bgColor rgb="FFE4DFEC"/>
        </patternFill>
      </fill>
    </dxf>
    <dxf>
      <fill>
        <patternFill>
          <bgColor rgb="FFF4B183"/>
        </patternFill>
      </fill>
    </dxf>
    <dxf>
      <font>
        <color rgb="FF666666"/>
      </font>
      <fill>
        <patternFill>
          <bgColor rgb="FFF2F2F2"/>
        </patternFill>
      </fill>
    </dxf>
    <dxf>
      <font>
        <i val="1"/>
      </font>
      <fill>
        <patternFill>
          <bgColor rgb="FFD9D9D9"/>
        </patternFill>
      </fill>
    </dxf>
    <dxf>
      <font>
        <i val="1"/>
      </font>
      <fill>
        <patternFill>
          <bgColor rgb="FFF2F2F2"/>
        </patternFill>
      </fill>
    </dxf>
    <dxf>
      <fill>
        <patternFill>
          <bgColor rgb="FFF2F2F2"/>
        </patternFill>
      </fill>
    </dxf>
    <dxf>
      <fill>
        <patternFill patternType="solid">
          <fgColor rgb="FFE7E6E6"/>
          <bgColor rgb="FF000000"/>
        </patternFill>
      </fill>
    </dxf>
    <dxf>
      <font>
        <b val="1"/>
      </font>
      <fill>
        <patternFill>
          <bgColor rgb="FFD9EAF7"/>
        </patternFill>
      </fill>
    </dxf>
    <dxf>
      <fill>
        <patternFill>
          <bgColor rgb="FFE2F0D9"/>
        </patternFill>
      </fill>
    </dxf>
    <dxf>
      <font>
        <i val="1"/>
        <color rgb="FF666666"/>
      </font>
      <fill>
        <patternFill>
          <bgColor rgb="FFE7E6E6"/>
        </patternFill>
      </fill>
    </dxf>
    <dxf>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9E6"/>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F0D9"/>
      <rgbColor rgb="FFFFF2CC"/>
      <rgbColor rgb="FFE4DFEC"/>
      <rgbColor rgb="FFFCE4D6"/>
      <rgbColor rgb="FFE7E6E6"/>
      <rgbColor rgb="FFF4B183"/>
      <rgbColor rgb="FF4472C4"/>
      <rgbColor rgb="FF33CCCC"/>
      <rgbColor rgb="FF99CC00"/>
      <rgbColor rgb="FFFFCC00"/>
      <rgbColor rgb="FFFF9900"/>
      <rgbColor rgb="FFFF6600"/>
      <rgbColor rgb="FF666666"/>
      <rgbColor rgb="FF969696"/>
      <rgbColor rgb="FF20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sharedStrings" Target="sharedStrings.xml"/>
</Relationships>
</file>

<file path=xl/tables/table1.xml><?xml version="1.0" encoding="utf-8"?>
<table xmlns="http://schemas.openxmlformats.org/spreadsheetml/2006/main" id="1" name="All83Table" displayName="All83Table" ref="A1:J84" headerRowCount="1" totalsRowCount="0" totalsRowShown="0">
  <tableColumns count="10">
    <tableColumn id="1" name="Corpus"/>
    <tableColumn id="2" name="ID"/>
    <tableColumn id="3" name="Family / mode"/>
    <tableColumn id="4" name="Teaching family"/>
    <tableColumn id="5" name="Predicate family"/>
    <tableColumn id="6" name="Comparison / authority"/>
    <tableColumn id="7" name="Teaching lens"/>
    <tableColumn id="8" name="Plain-language teaching summary"/>
    <tableColumn id="9" name="Key caution / nuance"/>
    <tableColumn id="10" name="Source pointer"/>
  </tableColumns>
</table>
</file>

<file path=xl/tables/table2.xml><?xml version="1.0" encoding="utf-8"?>
<table xmlns="http://schemas.openxmlformats.org/spreadsheetml/2006/main" id="2" name="AuthorDecisionQueueTableV214" displayName="AuthorDecisionQueueTableV214" ref="A1:AH105" headerRowCount="1" totalsRowCount="0" totalsRowShown="0">
  <tableColumns count="34">
    <tableColumn id="1" name="Sequence"/>
    <tableColumn id="2" name="Decision ID"/>
    <tableColumn id="3" name="Gate"/>
    <tableColumn id="4" name="Category"/>
    <tableColumn id="5" name="Priority"/>
    <tableColumn id="6" name="Actionability"/>
    <tableColumn id="7" name="Source Sheet"/>
    <tableColumn id="8" name="Source Key"/>
    <tableColumn id="9" name="Source Range"/>
    <tableColumn id="10" name="Decision Title"/>
    <tableColumn id="11" name="Author Question"/>
    <tableColumn id="12" name="Relevant Context"/>
    <tableColumn id="13" name="Current State / Evidence"/>
    <tableColumn id="14" name="Gate Impact"/>
    <tableColumn id="15" name="Suggested Option 1"/>
    <tableColumn id="16" name="Suggested Option 2"/>
    <tableColumn id="17" name="Suggested Option 3"/>
    <tableColumn id="18" name="Suggested Option 4"/>
    <tableColumn id="19" name="Custom Required For"/>
    <tableColumn id="20" name="Response Menu"/>
    <tableColumn id="21" name="Custom Response"/>
    <tableColumn id="22" name="Author Notes"/>
    <tableColumn id="23" name="Author Initials"/>
    <tableColumn id="24" name="Decision Date"/>
    <tableColumn id="25" name="Resolved Response"/>
    <tableColumn id="26" name="Workflow Status"/>
    <tableColumn id="27" name="Gate Blocking?"/>
    <tableColumn id="28" name="Propagation / Follow-up"/>
    <tableColumn id="29" name="Review Batch"/>
    <tableColumn id="30" name="Source URL"/>
    <tableColumn id="31" name="Source Caution"/>
    <tableColumn id="32" name="Needs Author Attention"/>
    <tableColumn id="33" name="Current Item"/>
    <tableColumn id="34" name="Duplicate Decision ID?"/>
  </tableColumns>
</table>
</file>

<file path=xl/tables/table3.xml><?xml version="1.0" encoding="utf-8"?>
<table xmlns="http://schemas.openxmlformats.org/spreadsheetml/2006/main" id="3" name="AuthorGateDashboardTable" displayName="AuthorGateDashboardTable" ref="A5:K14" headerRowCount="1" totalsRowCount="0" totalsRowShown="0">
  <tableColumns count="11">
    <tableColumn id="1" name="Gate"/>
    <tableColumn id="2" name="Purpose"/>
    <tableColumn id="3" name="Total Items"/>
    <tableColumn id="4" name="Ready Items"/>
    <tableColumn id="5" name="Resolved"/>
    <tableColumn id="6" name="Needs Attention"/>
    <tableColumn id="7" name="Holds"/>
    <tableColumn id="8" name="Deferred"/>
    <tableColumn id="9" name="Blocked Future"/>
    <tableColumn id="10" name="Gate Status"/>
    <tableColumn id="11" name="Clearance Condition"/>
  </tableColumns>
</table>
</file>

<file path=xl/tables/table4.xml><?xml version="1.0" encoding="utf-8"?>
<table xmlns="http://schemas.openxmlformats.org/spreadsheetml/2006/main" id="4" name="AuthorResponseEntryTable" displayName="AuthorResponseEntryTable" ref="A1:K105" headerRowCount="1" totalsRowCount="0" totalsRowShown="0">
  <tableColumns count="11">
    <tableColumn id="1" name="Sequence"/>
    <tableColumn id="2" name="Decision ID"/>
    <tableColumn id="3" name="Current?"/>
    <tableColumn id="4" name="Response Menu"/>
    <tableColumn id="5" name="Custom Response"/>
    <tableColumn id="6" name="Author Notes"/>
    <tableColumn id="7" name="Author Initials"/>
    <tableColumn id="8" name="Decision Date"/>
    <tableColumn id="9" name="Workflow Status"/>
    <tableColumn id="10" name="Resolved Response"/>
    <tableColumn id="11" name="Decision Title"/>
  </tableColumns>
</table>
</file>

<file path=xl/tables/table5.xml><?xml version="1.0" encoding="utf-8"?>
<table xmlns="http://schemas.openxmlformats.org/spreadsheetml/2006/main" id="5" name="BranchStateSummaryTable" displayName="BranchStateSummaryTable" ref="A1:N9" headerRowCount="1" totalsRowCount="0" totalsRowShown="0">
  <tableColumns count="14">
    <tableColumn id="1" name="Teaching branch"/>
    <tableColumn id="2" name="A"/>
    <tableColumn id="3" name="A-SF"/>
    <tableColumn id="4" name="Q"/>
    <tableColumn id="5" name="D"/>
    <tableColumn id="6" name="Vector complete"/>
    <tableColumn id="7" name="Vector pending"/>
    <tableColumn id="8" name="Pending review"/>
    <tableColumn id="9" name="Source-role hold"/>
    <tableColumn id="10" name="Not located"/>
    <tableColumn id="11" name="Out of scope"/>
    <tableColumn id="12" name="Total states"/>
    <tableColumn id="13" name="Released results"/>
    <tableColumn id="14" name="QA"/>
  </tableColumns>
</table>
</file>

<file path=xl/tables/table6.xml><?xml version="1.0" encoding="utf-8"?>
<table xmlns="http://schemas.openxmlformats.org/spreadsheetml/2006/main" id="6" name="BuildValidationTableV214Final" displayName="BuildValidationTableV214Final" ref="A5:H111" headerRowCount="1" totalsRowCount="0" totalsRowShown="0">
  <tableColumns count="8">
    <tableColumn id="1" name="Rule ID"/>
    <tableColumn id="2" name="Severity"/>
    <tableColumn id="3" name="Description"/>
    <tableColumn id="4" name="Expected"/>
    <tableColumn id="5" name="Actual"/>
    <tableColumn id="6" name="Status"/>
    <tableColumn id="7" name="Blocking"/>
    <tableColumn id="8" name="Pipeline rule / rationale"/>
  </tableColumns>
</table>
</file>

<file path=xl/tables/table7.xml><?xml version="1.0" encoding="utf-8"?>
<table xmlns="http://schemas.openxmlformats.org/spreadsheetml/2006/main" id="7" name="CaseStudyPhraseTargetsTable" displayName="CaseStudyPhraseTargetsTable" ref="A1:P27" headerRowCount="1" totalsRowCount="0" totalsRowShown="0">
  <tableColumns count="16">
    <tableColumn id="1" name="Queue ID"/>
    <tableColumn id="2" name="Family ID"/>
    <tableColumn id="3" name="Teaching branch"/>
    <tableColumn id="4" name="Rendered State"/>
    <tableColumn id="5" name="Target Status"/>
    <tableColumn id="6" name="Document"/>
    <tableColumn id="7" name="Locator"/>
    <tableColumn id="8" name="Assertion Text URL"/>
    <tableColumn id="9" name="Quoted phrase"/>
    <tableColumn id="10" name="Phrase word count"/>
    <tableColumn id="11" name="Assertion source role"/>
    <tableColumn id="12" name="Extraction type"/>
    <tableColumn id="13" name="Normalization"/>
    <tableColumn id="14" name="Locator-scope rule"/>
    <tableColumn id="15" name="Build assertion"/>
    <tableColumn id="16" name="Notes"/>
  </tableColumns>
</table>
</file>

<file path=xl/tables/table8.xml><?xml version="1.0" encoding="utf-8"?>
<table xmlns="http://schemas.openxmlformats.org/spreadsheetml/2006/main" id="8" name="CitationPhraseTargetsV212" displayName="CitationPhraseTargetsV212" ref="A1:M58" headerRowCount="1" totalsRowCount="0" totalsRowShown="0">
  <tableColumns count="13">
    <tableColumn id="1" name="Predicate ID"/>
    <tableColumn id="2" name="Historical text URL"/>
    <tableColumn id="3" name="Quoted phrase"/>
    <tableColumn id="4" name="Phrase word count"/>
    <tableColumn id="5" name="Citation readiness"/>
    <tableColumn id="6" name="Normalization"/>
    <tableColumn id="7" name="Current review state"/>
    <tableColumn id="8" name="Build assertion"/>
    <tableColumn id="9" name="Failure behavior"/>
    <tableColumn id="10" name="Notes"/>
    <tableColumn id="11" name="Historical locator"/>
    <tableColumn id="12" name="Source extraction type"/>
    <tableColumn id="13" name="Locator-scoped validation rule"/>
  </tableColumns>
</table>
</file>

<file path=xl/tables/table9.xml><?xml version="1.0" encoding="utf-8"?>
<table xmlns="http://schemas.openxmlformats.org/spreadsheetml/2006/main" id="9" name="CitationSelectionRulesV212" displayName="CitationSelectionRulesV212" ref="A1:G13" headerRowCount="1" totalsRowCount="0" totalsRowShown="0">
  <tableColumns count="7">
    <tableColumn id="1" name="Priority"/>
    <tableColumn id="2" name="Rule"/>
    <tableColumn id="3" name="Required evidence state"/>
    <tableColumn id="4" name="Locator rule"/>
    <tableColumn id="5" name="Tie-breaker"/>
    <tableColumn id="6" name="Vector rule"/>
    <tableColumn id="7" name="App consequence"/>
  </tableColumns>
</table>
</file>

<file path=xl/tables/table10.xml><?xml version="1.0" encoding="utf-8"?>
<table xmlns="http://schemas.openxmlformats.org/spreadsheetml/2006/main" id="10" name="ClarificationSourcesTable" displayName="ClarificationSourcesTable" ref="A1:R21" headerRowCount="1" totalsRowCount="0" totalsRowShown="0">
  <tableColumns count="18">
    <tableColumn id="1" name="Source ID"/>
    <tableColumn id="2" name="Case ID"/>
    <tableColumn id="3" name="Source role"/>
    <tableColumn id="4" name="Tradition / institution"/>
    <tableColumn id="5" name="Subtradition scope"/>
    <tableColumn id="6" name="Document / statement"/>
    <tableColumn id="7" name="Locator"/>
    <tableColumn id="8" name="URL"/>
    <tableColumn id="9" name="Quoted phrase (≤15 words)"/>
    <tableColumn id="10" name="Phrase word count"/>
    <tableColumn id="11" name="Claim supported"/>
    <tableColumn id="12" name="Authority note"/>
    <tableColumn id="13" name="Content assertion mode"/>
    <tableColumn id="14" name="Review status"/>
    <tableColumn id="15" name="Counted?"/>
    <tableColumn id="16" name="Source date / historical period"/>
    <tableColumn id="17" name="Current?"/>
    <tableColumn id="18" name="Notes"/>
  </tableColumns>
</table>
</file>

<file path=xl/tables/table11.xml><?xml version="1.0" encoding="utf-8"?>
<table xmlns="http://schemas.openxmlformats.org/spreadsheetml/2006/main" id="11" name="ClarificationTriggerMapTable" displayName="ClarificationTriggerMapTable" ref="A1:M36" headerRowCount="1" totalsRowCount="0" totalsRowShown="0">
  <tableColumns count="13">
    <tableColumn id="1" name="Trigger ID"/>
    <tableColumn id="2" name="Case ID"/>
    <tableColumn id="3" name="Trigger type"/>
    <tableColumn id="4" name="Trigger value"/>
    <tableColumn id="5" name="Match mode"/>
    <tableColumn id="6" name="Required tradition context"/>
    <tableColumn id="7" name="Required topic context"/>
    <tableColumn id="8" name="Auto-cue eligible?"/>
    <tableColumn id="9" name="Priority"/>
    <tableColumn id="10" name="Relevance weight"/>
    <tableColumn id="11" name="Manual explorer?"/>
    <tableColumn id="12" name="Trigger note"/>
    <tableColumn id="13" name="Active?"/>
  </tableColumns>
</table>
</file>

<file path=xl/tables/table12.xml><?xml version="1.0" encoding="utf-8"?>
<table xmlns="http://schemas.openxmlformats.org/spreadsheetml/2006/main" id="12" name="ClarificationVocabularyTable" displayName="ClarificationVocabularyTable" ref="A1:D46" headerRowCount="1" totalsRowCount="0" totalsRowShown="0">
  <tableColumns count="4">
    <tableColumn id="1" name="Vocabulary"/>
    <tableColumn id="2" name="Allowed value"/>
    <tableColumn id="3" name="Meaning"/>
    <tableColumn id="4" name="App / research rule"/>
  </tableColumns>
</table>
</file>

<file path=xl/tables/table13.xml><?xml version="1.0" encoding="utf-8"?>
<table xmlns="http://schemas.openxmlformats.org/spreadsheetml/2006/main" id="13" name="EvidenceFirstQueueTable" displayName="EvidenceFirstQueueTable" ref="A5:Y461" headerRowCount="1" totalsRowCount="0" totalsRowShown="0">
  <tableColumns count="25">
    <tableColumn id="1" name="Queue ID"/>
    <tableColumn id="2" name="Family ID"/>
    <tableColumn id="3" name="Predicate"/>
    <tableColumn id="4" name="Current family code"/>
    <tableColumn id="5" name="Teaching branch"/>
    <tableColumn id="6" name="Collapse rule"/>
    <tableColumn id="7" name="Recovery state"/>
    <tableColumn id="8" name="Public cell disposition"/>
    <tableColumn id="9" name="Atomic unit(s) recovered"/>
    <tableColumn id="10" name="Session 9 row code(s)"/>
    <tableColumn id="11" name="Institution / jurisdiction"/>
    <tableColumn id="12" name="Document"/>
    <tableColumn id="13" name="Proposition locator"/>
    <tableColumn id="14" name="Authority / adoption URL"/>
    <tableColumn id="15" name="Text URL"/>
    <tableColumn id="16" name="Session 9 row / lineage ID"/>
    <tableColumn id="17" name="Evidence confidence"/>
    <tableColumn id="18" name="Scope control"/>
    <tableColumn id="19" name="Current-family reconciliation"/>
    <tableColumn id="20" name="Public tile value"/>
    <tableColumn id="21" name="Source note"/>
    <tableColumn id="22" name="Reviewer status"/>
    <tableColumn id="23" name="Reviewer notes"/>
    <tableColumn id="24" name="Rendered State (app-safe)"/>
    <tableColumn id="25" name="Metric Class (future branch analytics)"/>
  </tableColumns>
</table>
</file>

<file path=xl/tables/table14.xml><?xml version="1.0" encoding="utf-8"?>
<table xmlns="http://schemas.openxmlformats.org/spreadsheetml/2006/main" id="14" name="Final24ReconciliationTable" displayName="Final24ReconciliationTable" ref="A1:J25" headerRowCount="1" totalsRowCount="0" totalsRowShown="0">
  <tableColumns count="10">
    <tableColumn id="1" name="Queue ID"/>
    <tableColumn id="2" name="Family ID"/>
    <tableColumn id="3" name="Predicate"/>
    <tableColumn id="4" name="Teaching branch"/>
    <tableColumn id="5" name="Final decision"/>
    <tableColumn id="6" name="Rendered State"/>
    <tableColumn id="7" name="Metric Class"/>
    <tableColumn id="8" name="Master family"/>
    <tableColumn id="9" name="Recovery / source status"/>
    <tableColumn id="10" name="Public use"/>
  </tableColumns>
</table>
</file>

<file path=xl/tables/table15.xml><?xml version="1.0" encoding="utf-8"?>
<table xmlns="http://schemas.openxmlformats.org/spreadsheetml/2006/main" id="15" name="InferenceEvidenceMapTable" displayName="InferenceEvidenceMapTable" ref="A1:K14" headerRowCount="1" totalsRowCount="0" totalsRowShown="0">
  <tableColumns count="11">
    <tableColumn id="1" name="Evidence Link ID"/>
    <tableColumn id="2" name="Inference ID"/>
    <tableColumn id="3" name="Evidence type"/>
    <tableColumn id="4" name="Source sheet"/>
    <tableColumn id="5" name="Source subset / filter"/>
    <tableColumn id="6" name="Predicate IDs / rows"/>
    <tableColumn id="7" name="Matrix scope"/>
    <tableColumn id="8" name="Measure contributed"/>
    <tableColumn id="9" name="Why relevant"/>
    <tableColumn id="10" name="Provenance grade"/>
    <tableColumn id="11" name="Reconstruction caveat"/>
  </tableColumns>
</table>
</file>

<file path=xl/tables/table16.xml><?xml version="1.0" encoding="utf-8"?>
<table xmlns="http://schemas.openxmlformats.org/spreadsheetml/2006/main" id="16" name="InferenceSupportTable" displayName="InferenceSupportTable" ref="A4:R17" headerRowCount="1" totalsRowCount="0" totalsRowShown="0">
  <tableColumns count="18">
    <tableColumn id="1" name="Inference ID"/>
    <tableColumn id="2" name="Theme"/>
    <tableColumn id="3" name="Evidence layer"/>
    <tableColumn id="4" name="Metric"/>
    <tableColumn id="5" name="Numerator"/>
    <tableColumn id="6" name="Denominator"/>
    <tableColumn id="7" name="Rate"/>
    <tableColumn id="8" name="Direct observation"/>
    <tableColumn id="9" name="Defensible inference"/>
    <tableColumn id="10" name="Alternative interpretation / challenge"/>
    <tableColumn id="11" name="What the data DO NOT support"/>
    <tableColumn id="12" name="Drill-down key"/>
    <tableColumn id="13" name="Evidence status"/>
    <tableColumn id="14" name="Teaching priority"/>
    <tableColumn id="15" name="Reasoning move"/>
    <tableColumn id="16" name="Confidence"/>
    <tableColumn id="17" name="Interactive prompt"/>
    <tableColumn id="18" name="Public use status"/>
  </tableColumns>
</table>
</file>

<file path=xl/tables/table17.xml><?xml version="1.0" encoding="utf-8"?>
<table xmlns="http://schemas.openxmlformats.org/spreadsheetml/2006/main" id="17" name="Inherited57Table" displayName="Inherited57Table" ref="A1:L58" headerRowCount="1" totalsRowCount="0" totalsRowShown="0">
  <tableColumns count="12">
    <tableColumn id="1" name="Predicate ID"/>
    <tableColumn id="2" name="Original mode"/>
    <tableColumn id="3" name="Teaching family (editorial)"/>
    <tableColumn id="4" name="Normalized predicate family"/>
    <tableColumn id="5" name="Historical source-report definition"/>
    <tableColumn id="6" name="Current A/Q/D/U"/>
    <tableColumn id="7" name="Teaching lens"/>
    <tableColumn id="8" name="Accepted comparison / semantic-floor note"/>
    <tableColumn id="9" name="Coding provenance"/>
    <tableColumn id="10" name="Confidence"/>
    <tableColumn id="11" name="Historical source record"/>
    <tableColumn id="12" name="Source locator"/>
  </tableColumns>
</table>
</file>

<file path=xl/tables/table18.xml><?xml version="1.0" encoding="utf-8"?>
<table xmlns="http://schemas.openxmlformats.org/spreadsheetml/2006/main" id="18" name="InheritedPublicCitationsV212" displayName="InheritedPublicCitationsV212" ref="A1:AC58" headerRowCount="1" totalsRowCount="0" totalsRowShown="0">
  <tableColumns count="29">
    <tableColumn id="1" name="Predicate ID"/>
    <tableColumn id="2" name="Predicate family"/>
    <tableColumn id="3" name="Current master code"/>
    <tableColumn id="4" name="Accepted scope note"/>
    <tableColumn id="5" name="Historical citation status"/>
    <tableColumn id="6" name="Historical teaching branch"/>
    <tableColumn id="7" name="Historical institution / scope"/>
    <tableColumn id="8" name="Historical document"/>
    <tableColumn id="9" name="Historical locator"/>
    <tableColumn id="10" name="Historical authority URL"/>
    <tableColumn id="11" name="Historical text URL"/>
    <tableColumn id="12" name="Restoration comparator label"/>
    <tableColumn id="13" name="Restoration source"/>
    <tableColumn id="14" name="Restoration locator"/>
    <tableColumn id="15" name="Restoration primary URL"/>
    <tableColumn id="16" name="Restoration supplemental URL"/>
    <tableColumn id="17" name="Public citation readiness"/>
    <tableColumn id="18" name="Historical quoted phrase (≤15 words)"/>
    <tableColumn id="19" name="Citation selection basis"/>
    <tableColumn id="20" name="Citation QA status"/>
    <tableColumn id="21" name="Comparator author-review flag"/>
    <tableColumn id="22" name="Historical witness retired?"/>
    <tableColumn id="23" name="Restoration quoted phrase (primary, ≤15 words)"/>
    <tableColumn id="24" name="Restoration primary phrase word count"/>
    <tableColumn id="25" name="Restoration fetch mode"/>
    <tableColumn id="26" name="Restoration locator-scope rule"/>
    <tableColumn id="27" name="Restoration phrase QA"/>
    <tableColumn id="28" name="Restoration supplemental quoted phrase"/>
    <tableColumn id="29" name="Restoration supplemental phrase QA"/>
  </tableColumns>
</table>
</file>

<file path=xl/tables/table19.xml><?xml version="1.0" encoding="utf-8"?>
<table xmlns="http://schemas.openxmlformats.org/spreadsheetml/2006/main" id="19" name="InterpretiveClarificationsTable" displayName="InterpretiveClarificationsTable" ref="A1:AE3" headerRowCount="1" totalsRowCount="0" totalsRowShown="0">
  <tableColumns count="31">
    <tableColumn id="1" name="Case ID"/>
    <tableColumn id="2" name="Public title"/>
    <tableColumn id="3" name="Short label"/>
    <tableColumn id="4" name="Case type"/>
    <tableColumn id="5" name="Primary tradition family"/>
    <tableColumn id="6" name="Subtradition scope"/>
    <tableColumn id="7" name="Counted?"/>
    <tableColumn id="8" name="Quantitative impact"/>
    <tableColumn id="9" name="Primary hazard"/>
    <tableColumn id="10" name="Additional hazards"/>
    <tableColumn id="11" name="Auto priority"/>
    <tableColumn id="12" name="Display mode"/>
    <tableColumn id="13" name="Max auto cues"/>
    <tableColumn id="14" name="Review state"/>
    <tableColumn id="15" name="App availability"/>
    <tableColumn id="16" name="Answer authority"/>
    <tableColumn id="17" name="Learner question / apparent tension"/>
    <tableColumn id="18" name="Key distinction"/>
    <tableColumn id="19" name="Resolution summary"/>
    <tableColumn id="20" name="Internal variation"/>
    <tableColumn id="21" name="Interfaith significance"/>
    <tableColumn id="22" name="What this case does NOT prove"/>
    <tableColumn id="23" name="Learner cue copy"/>
    <tableColumn id="24" name="Manual explorer category"/>
    <tableColumn id="25" name="Related current predicate IDs"/>
    <tableColumn id="26" name="Author decision"/>
    <tableColumn id="27" name="Author notes"/>
    <tableColumn id="28" name="Cue author decision"/>
    <tableColumn id="29" name="Cue author response / notes"/>
    <tableColumn id="30" name="Case author decision"/>
    <tableColumn id="31" name="Case author response / notes"/>
  </tableColumns>
</table>
</file>

<file path=xl/tables/table20.xml><?xml version="1.0" encoding="utf-8"?>
<table xmlns="http://schemas.openxmlformats.org/spreadsheetml/2006/main" id="20" name="MatrixCaseStudiesTable" displayName="MatrixCaseStudiesTable" ref="A1:N4" headerRowCount="1" totalsRowCount="0" totalsRowShown="0">
  <tableColumns count="14">
    <tableColumn id="1" name="Case"/>
    <tableColumn id="2" name="Predicate ID"/>
    <tableColumn id="3" name="Predicate"/>
    <tableColumn id="4" name="Current family code"/>
    <tableColumn id="5" name="Roman Catholic"/>
    <tableColumn id="6" name="Eastern Orthodox"/>
    <tableColumn id="7" name="Lutheran"/>
    <tableColumn id="8" name="Reformed / Presbyterian"/>
    <tableColumn id="9" name="Anglican"/>
    <tableColumn id="10" name="Baptist"/>
    <tableColumn id="11" name="Methodist / Wesleyan"/>
    <tableColumn id="12" name="Mennonite / Anabaptist"/>
    <tableColumn id="13" name="Teaching use"/>
    <tableColumn id="14" name="Display rule"/>
  </tableColumns>
</table>
</file>

<file path=xl/tables/table21.xml><?xml version="1.0" encoding="utf-8"?>
<table xmlns="http://schemas.openxmlformats.org/spreadsheetml/2006/main" id="21" name="PipelineValidationSpecV214" displayName="PipelineValidationSpecV214" ref="A1:H32" headerRowCount="1" totalsRowCount="0" totalsRowShown="0">
  <tableColumns count="8">
    <tableColumn id="1" name="Rule ID"/>
    <tableColumn id="2" name="Severity"/>
    <tableColumn id="3" name="Raw source"/>
    <tableColumn id="4" name="Check"/>
    <tableColumn id="5" name="Expected"/>
    <tableColumn id="6" name="Failure behavior"/>
    <tableColumn id="7" name="Why"/>
    <tableColumn id="8" name="Workbook snapshot equivalent"/>
  </tableColumns>
</table>
</file>

<file path=xl/tables/table22.xml><?xml version="1.0" encoding="utf-8"?>
<table xmlns="http://schemas.openxmlformats.org/spreadsheetml/2006/main" id="22" name="ReconciliationPass2Table" displayName="ReconciliationPass2Table" ref="A1:N17" headerRowCount="1" totalsRowCount="0" totalsRowShown="0">
  <tableColumns count="14">
    <tableColumn id="1" name="Queue ID"/>
    <tableColumn id="2" name="Family ID"/>
    <tableColumn id="3" name="Teaching branch"/>
    <tableColumn id="4" name="Recovery state"/>
    <tableColumn id="5" name="Institution"/>
    <tableColumn id="6" name="Document"/>
    <tableColumn id="7" name="Locator"/>
    <tableColumn id="8" name="Authority URL"/>
    <tableColumn id="9" name="Scope"/>
    <tableColumn id="10" name="Final decision"/>
    <tableColumn id="11" name="Rendered State"/>
    <tableColumn id="12" name="Metric Class"/>
    <tableColumn id="13" name="Confidence"/>
    <tableColumn id="14" name="Reasoning / source note"/>
  </tableColumns>
</table>
</file>

<file path=xl/tables/table23.xml><?xml version="1.0" encoding="utf-8"?>
<table xmlns="http://schemas.openxmlformats.org/spreadsheetml/2006/main" id="23" name="Restoration26Table" displayName="Restoration26Table" ref="A1:K27" headerRowCount="1" totalsRowCount="0" totalsRowShown="0">
  <tableColumns count="11">
    <tableColumn id="1" name="Addition ID"/>
    <tableColumn id="2" name="Domain / family"/>
    <tableColumn id="3" name="Normalized Restoration-addition family"/>
    <tableColumn id="4" name="Teaching lens"/>
    <tableColumn id="5" name="Current authority tier"/>
    <tableColumn id="6" name="Authority role"/>
    <tableColumn id="7" name="Official / primary source URL"/>
    <tableColumn id="8" name="Locator"/>
    <tableColumn id="9" name="Evidence note"/>
    <tableColumn id="10" name="Confidence"/>
    <tableColumn id="11" name="Historical-novelty caution"/>
  </tableColumns>
</table>
</file>

<file path=xl/tables/table24.xml><?xml version="1.0" encoding="utf-8"?>
<table xmlns="http://schemas.openxmlformats.org/spreadsheetml/2006/main" id="24" name="RestorationPhraseTargetsTable" displayName="RestorationPhraseTargetsTable" ref="A1:N64" headerRowCount="1" totalsRowCount="0" totalsRowShown="0">
  <tableColumns count="14">
    <tableColumn id="1" name="Predicate ID"/>
    <tableColumn id="2" name="Target Role"/>
    <tableColumn id="3" name="Source label"/>
    <tableColumn id="4" name="Source URL"/>
    <tableColumn id="5" name="Locator"/>
    <tableColumn id="6" name="Quoted phrase"/>
    <tableColumn id="7" name="Phrase word count"/>
    <tableColumn id="8" name="Fetch mode"/>
    <tableColumn id="9" name="Normalization"/>
    <tableColumn id="10" name="Locator-scope mode"/>
    <tableColumn id="11" name="Build assertion"/>
    <tableColumn id="12" name="QA status"/>
    <tableColumn id="13" name="Author-review flag"/>
    <tableColumn id="14" name="Notes"/>
  </tableColumns>
</table>
</file>

<file path=xl/tables/table25.xml><?xml version="1.0" encoding="utf-8"?>
<table xmlns="http://schemas.openxmlformats.org/spreadsheetml/2006/main" id="25" name="URLValidationSnapshotV213" displayName="URLValidationSnapshotV213" ref="A1:K90" headerRowCount="1" totalsRowCount="0" totalsRowShown="0">
  <tableColumns count="11">
    <tableColumn id="1" name="URL"/>
    <tableColumn id="2" name="Last checked"/>
    <tableColumn id="3" name="Reachability/content snapshot"/>
    <tableColumn id="4" name="Verification method"/>
    <tableColumn id="5" name="Historical assertion count"/>
    <tableColumn id="6" name="Restoration assertion count"/>
    <tableColumn id="7" name="Case-study assertion count"/>
    <tableColumn id="8" name="Clarification assertion count"/>
    <tableColumn id="9" name="Total phrase assertions"/>
    <tableColumn id="10" name="Pipeline requirement"/>
    <tableColumn id="11" name="Notes"/>
  </tableColumns>
</table>
</file>

<file path=xl/tables/table26.xml><?xml version="1.0" encoding="utf-8"?>
<table xmlns="http://schemas.openxmlformats.org/spreadsheetml/2006/main" id="26" name="VectorFamilyCaptionsTable" displayName="VectorFamilyCaptionsTable" ref="A1:H4" headerRowCount="1" totalsRowCount="0" totalsRowShown="0">
  <tableColumns count="8">
    <tableColumn id="1" name="Family ID"/>
    <tableColumn id="2" name="Predicate"/>
    <tableColumn id="3" name="Master family code"/>
    <tableColumn id="4" name="Card mode"/>
    <tableColumn id="5" name="Atomic-layer summary"/>
    <tableColumn id="6" name="Learner-facing caption"/>
    <tableColumn id="7" name="Citation display rule"/>
    <tableColumn id="8" name="Pipeline requirement"/>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pitchFamily="0" charset="1"/>
        <a:ea typeface="Carlito" pitchFamily="0" charset="1"/>
        <a:cs typeface="Carlito" pitchFamily="0" charset="1"/>
      </a:majorFont>
      <a:minorFont>
        <a:latin typeface="Carlito" pitchFamily="0" charset="1"/>
        <a:ea typeface="Carlito" pitchFamily="0" charset="1"/>
        <a:cs typeface="Carlito"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table" Target="../tables/table17.xml"/>
</Relationships>
</file>

<file path=xl/worksheets/_rels/sheet6.xml.rels><?xml version="1.0" encoding="UTF-8"?>
<Relationships xmlns="http://schemas.openxmlformats.org/package/2006/relationships"><Relationship Id="rId1" Type="http://schemas.openxmlformats.org/officeDocument/2006/relationships/table" Target="../tables/table18.xml"/>
</Relationships>
</file>

<file path=xl/worksheets/_rels/sheet7.xml.rels><?xml version="1.0" encoding="UTF-8"?>
<Relationships xmlns="http://schemas.openxmlformats.org/package/2006/relationships"><Relationship Id="rId1" Type="http://schemas.openxmlformats.org/officeDocument/2006/relationships/table" Target="../tables/table23.xml"/>
</Relationships>
</file>

<file path=xl/worksheets/_rels/sheet9.xml.rels><?xml version="1.0" encoding="UTF-8"?>
<Relationships xmlns="http://schemas.openxmlformats.org/package/2006/relationships"><Relationship Id="rId1" Type="http://schemas.openxmlformats.org/officeDocument/2006/relationships/table" Target="../tables/table13.xml"/>
</Relationships>
</file>

<file path=xl/worksheets/_rels/sheet10.xml.rels><?xml version="1.0" encoding="UTF-8"?>
<Relationships xmlns="http://schemas.openxmlformats.org/package/2006/relationships"><Relationship Id="rId1" Type="http://schemas.openxmlformats.org/officeDocument/2006/relationships/table" Target="../tables/table14.xml"/>
</Relationships>
</file>

<file path=xl/worksheets/_rels/sheet11.xml.rels><?xml version="1.0" encoding="UTF-8"?>
<Relationships xmlns="http://schemas.openxmlformats.org/package/2006/relationships"><Relationship Id="rId1" Type="http://schemas.openxmlformats.org/officeDocument/2006/relationships/table" Target="../tables/table22.xml"/>
</Relationships>
</file>

<file path=xl/worksheets/_rels/sheet12.xml.rels><?xml version="1.0" encoding="UTF-8"?>
<Relationships xmlns="http://schemas.openxmlformats.org/package/2006/relationships"><Relationship Id="rId1" Type="http://schemas.openxmlformats.org/officeDocument/2006/relationships/table" Target="../tables/table5.xml"/>
</Relationships>
</file>

<file path=xl/worksheets/_rels/sheet13.xml.rels><?xml version="1.0" encoding="UTF-8"?>
<Relationships xmlns="http://schemas.openxmlformats.org/package/2006/relationships"><Relationship Id="rId1" Type="http://schemas.openxmlformats.org/officeDocument/2006/relationships/table" Target="../tables/table16.xml"/>
</Relationships>
</file>

<file path=xl/worksheets/_rels/sheet14.xml.rels><?xml version="1.0" encoding="UTF-8"?>
<Relationships xmlns="http://schemas.openxmlformats.org/package/2006/relationships"><Relationship Id="rId1" Type="http://schemas.openxmlformats.org/officeDocument/2006/relationships/table" Target="../tables/table15.xml"/>
</Relationships>
</file>

<file path=xl/worksheets/_rels/sheet15.xml.rels><?xml version="1.0" encoding="UTF-8"?>
<Relationships xmlns="http://schemas.openxmlformats.org/package/2006/relationships"><Relationship Id="rId1" Type="http://schemas.openxmlformats.org/officeDocument/2006/relationships/table" Target="../tables/table20.xml"/>
</Relationships>
</file>

<file path=xl/worksheets/_rels/sheet25.xml.rels><?xml version="1.0" encoding="UTF-8"?>
<Relationships xmlns="http://schemas.openxmlformats.org/package/2006/relationships"><Relationship Id="rId1" Type="http://schemas.openxmlformats.org/officeDocument/2006/relationships/table" Target="../tables/table6.xml"/>
</Relationships>
</file>

<file path=xl/worksheets/_rels/sheet26.xml.rels><?xml version="1.0" encoding="UTF-8"?>
<Relationships xmlns="http://schemas.openxmlformats.org/package/2006/relationships"><Relationship Id="rId1" Type="http://schemas.openxmlformats.org/officeDocument/2006/relationships/table" Target="../tables/table9.xml"/>
</Relationships>
</file>

<file path=xl/worksheets/_rels/sheet27.xml.rels><?xml version="1.0" encoding="UTF-8"?>
<Relationships xmlns="http://schemas.openxmlformats.org/package/2006/relationships"><Relationship Id="rId1" Type="http://schemas.openxmlformats.org/officeDocument/2006/relationships/table" Target="../tables/table25.xml"/>
</Relationships>
</file>

<file path=xl/worksheets/_rels/sheet28.xml.rels><?xml version="1.0" encoding="UTF-8"?>
<Relationships xmlns="http://schemas.openxmlformats.org/package/2006/relationships"><Relationship Id="rId1" Type="http://schemas.openxmlformats.org/officeDocument/2006/relationships/table" Target="../tables/table21.xml"/>
</Relationships>
</file>

<file path=xl/worksheets/_rels/sheet29.xml.rels><?xml version="1.0" encoding="UTF-8"?>
<Relationships xmlns="http://schemas.openxmlformats.org/package/2006/relationships"><Relationship Id="rId1" Type="http://schemas.openxmlformats.org/officeDocument/2006/relationships/table" Target="../tables/table8.xml"/>
</Relationships>
</file>

<file path=xl/worksheets/_rels/sheet30.xml.rels><?xml version="1.0" encoding="UTF-8"?>
<Relationships xmlns="http://schemas.openxmlformats.org/package/2006/relationships"><Relationship Id="rId1" Type="http://schemas.openxmlformats.org/officeDocument/2006/relationships/table" Target="../tables/table24.xml"/>
</Relationships>
</file>

<file path=xl/worksheets/_rels/sheet31.xml.rels><?xml version="1.0" encoding="UTF-8"?>
<Relationships xmlns="http://schemas.openxmlformats.org/package/2006/relationships"><Relationship Id="rId1" Type="http://schemas.openxmlformats.org/officeDocument/2006/relationships/table" Target="../tables/table7.xml"/>
</Relationships>
</file>

<file path=xl/worksheets/_rels/sheet32.xml.rels><?xml version="1.0" encoding="UTF-8"?>
<Relationships xmlns="http://schemas.openxmlformats.org/package/2006/relationships"><Relationship Id="rId1" Type="http://schemas.openxmlformats.org/officeDocument/2006/relationships/table" Target="../tables/table26.xml"/>
</Relationships>
</file>

<file path=xl/worksheets/_rels/sheet33.xml.rels><?xml version="1.0" encoding="UTF-8"?>
<Relationships xmlns="http://schemas.openxmlformats.org/package/2006/relationships"><Relationship Id="rId1" Type="http://schemas.openxmlformats.org/officeDocument/2006/relationships/table" Target="../tables/table12.xml"/>
</Relationships>
</file>

<file path=xl/worksheets/_rels/sheet34.xml.rels><?xml version="1.0" encoding="UTF-8"?>
<Relationships xmlns="http://schemas.openxmlformats.org/package/2006/relationships"><Relationship Id="rId1" Type="http://schemas.openxmlformats.org/officeDocument/2006/relationships/table" Target="../tables/table19.xml"/>
</Relationships>
</file>

<file path=xl/worksheets/_rels/sheet35.xml.rels><?xml version="1.0" encoding="UTF-8"?>
<Relationships xmlns="http://schemas.openxmlformats.org/package/2006/relationships"><Relationship Id="rId1" Type="http://schemas.openxmlformats.org/officeDocument/2006/relationships/table" Target="../tables/table11.xml"/>
</Relationships>
</file>

<file path=xl/worksheets/_rels/sheet36.xml.rels><?xml version="1.0" encoding="UTF-8"?>
<Relationships xmlns="http://schemas.openxmlformats.org/package/2006/relationships"><Relationship Id="rId1" Type="http://schemas.openxmlformats.org/officeDocument/2006/relationships/table" Target="../tables/table10.xml"/>
</Relationships>
</file>

<file path=xl/worksheets/_rels/sheet37.xml.rels><?xml version="1.0" encoding="UTF-8"?>
<Relationships xmlns="http://schemas.openxmlformats.org/package/2006/relationships"><Relationship Id="rId1" Type="http://schemas.openxmlformats.org/officeDocument/2006/relationships/table" Target="../tables/table2.xml"/>
</Relationships>
</file>

<file path=xl/worksheets/_rels/sheet38.xml.rels><?xml version="1.0" encoding="UTF-8"?>
<Relationships xmlns="http://schemas.openxmlformats.org/package/2006/relationships"><Relationship Id="rId1" Type="http://schemas.openxmlformats.org/officeDocument/2006/relationships/table" Target="../tables/table3.xml"/>
</Relationships>
</file>

<file path=xl/worksheets/_rels/sheet40.xml.rels><?xml version="1.0" encoding="UTF-8"?>
<Relationships xmlns="http://schemas.openxmlformats.org/package/2006/relationships"><Relationship Id="rId1"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30"/>
    <col collapsed="false" customWidth="true" hidden="false" outlineLevel="0" max="2" min="2" style="0" width="36"/>
    <col collapsed="false" customWidth="true" hidden="false" outlineLevel="0" max="3" min="3" style="0" width="70"/>
    <col collapsed="false" customWidth="true" hidden="false" outlineLevel="0" max="26" min="4" style="0" width="8.63"/>
  </cols>
  <sheetData>
    <row r="1" customFormat="false" ht="18.55" hidden="false" customHeight="false" outlineLevel="0" collapsed="false">
      <c r="A1" s="1" t="s">
        <v>0</v>
      </c>
      <c r="B1" s="1"/>
      <c r="C1" s="1"/>
      <c r="D1" s="1"/>
      <c r="E1" s="1"/>
      <c r="F1" s="1"/>
    </row>
    <row r="2" customFormat="false" ht="15" hidden="false" customHeight="true" outlineLevel="0" collapsed="false">
      <c r="A2" s="2" t="s">
        <v>1</v>
      </c>
      <c r="B2" s="2"/>
      <c r="C2" s="2"/>
      <c r="D2" s="2"/>
      <c r="E2" s="2"/>
      <c r="F2" s="2"/>
    </row>
    <row r="3" customFormat="false" ht="15" hidden="false" customHeight="false" outlineLevel="0" collapsed="false">
      <c r="A3" s="2"/>
      <c r="B3" s="2"/>
      <c r="C3" s="2"/>
      <c r="D3" s="2"/>
      <c r="E3" s="2"/>
      <c r="F3" s="2"/>
    </row>
    <row r="5" customFormat="false" ht="15" hidden="false" customHeight="false" outlineLevel="0" collapsed="false">
      <c r="A5" s="3" t="s">
        <v>2</v>
      </c>
      <c r="B5" s="3" t="s">
        <v>3</v>
      </c>
      <c r="C5" s="3" t="s">
        <v>4</v>
      </c>
    </row>
    <row r="6" customFormat="false" ht="15" hidden="false" customHeight="false" outlineLevel="0" collapsed="false">
      <c r="A6" s="4" t="s">
        <v>5</v>
      </c>
      <c r="B6" s="4" t="s">
        <v>6</v>
      </c>
      <c r="C6" s="4" t="s">
        <v>7</v>
      </c>
    </row>
    <row r="7" customFormat="false" ht="15" hidden="false" customHeight="false" outlineLevel="0" collapsed="false">
      <c r="A7" s="4" t="s">
        <v>8</v>
      </c>
      <c r="B7" s="4" t="s">
        <v>9</v>
      </c>
      <c r="C7" s="4" t="s">
        <v>10</v>
      </c>
    </row>
    <row r="8" customFormat="false" ht="15" hidden="false" customHeight="false" outlineLevel="0" collapsed="false">
      <c r="A8" s="4" t="s">
        <v>11</v>
      </c>
      <c r="B8" s="4" t="n">
        <v>456</v>
      </c>
      <c r="C8" s="4" t="s">
        <v>12</v>
      </c>
    </row>
    <row r="9" customFormat="false" ht="15" hidden="false" customHeight="false" outlineLevel="0" collapsed="false">
      <c r="A9" s="4" t="s">
        <v>13</v>
      </c>
      <c r="B9" s="5" t="b">
        <f aca="false">FALSE()</f>
        <v>0</v>
      </c>
      <c r="C9" s="4" t="s">
        <v>14</v>
      </c>
    </row>
    <row r="10" customFormat="false" ht="15" hidden="false" customHeight="false" outlineLevel="0" collapsed="false">
      <c r="A10" s="4" t="s">
        <v>15</v>
      </c>
      <c r="B10" s="4" t="s">
        <v>16</v>
      </c>
      <c r="C10" s="4" t="s">
        <v>17</v>
      </c>
    </row>
    <row r="11" customFormat="false" ht="15" hidden="false" customHeight="false" outlineLevel="0" collapsed="false">
      <c r="A11" s="4" t="s">
        <v>18</v>
      </c>
      <c r="B11" s="4" t="s">
        <v>19</v>
      </c>
      <c r="C11" s="4" t="s">
        <v>20</v>
      </c>
    </row>
    <row r="12" customFormat="false" ht="15" hidden="false" customHeight="false" outlineLevel="0" collapsed="false">
      <c r="A12" s="4" t="s">
        <v>21</v>
      </c>
      <c r="B12" s="4" t="s">
        <v>22</v>
      </c>
      <c r="C12" s="4" t="s">
        <v>23</v>
      </c>
    </row>
    <row r="13" customFormat="false" ht="15" hidden="false" customHeight="false" outlineLevel="0" collapsed="false">
      <c r="A13" s="4" t="s">
        <v>24</v>
      </c>
      <c r="B13" s="5" t="b">
        <f aca="false">TRUE()</f>
        <v>1</v>
      </c>
      <c r="C13" s="4" t="s">
        <v>25</v>
      </c>
    </row>
    <row r="14" customFormat="false" ht="15" hidden="false" customHeight="false" outlineLevel="0" collapsed="false">
      <c r="A14" s="4" t="s">
        <v>26</v>
      </c>
      <c r="B14" s="4" t="s">
        <v>27</v>
      </c>
      <c r="C14" s="4" t="s">
        <v>28</v>
      </c>
    </row>
    <row r="15" customFormat="false" ht="15" hidden="false" customHeight="false" outlineLevel="0" collapsed="false">
      <c r="A15" s="4" t="s">
        <v>29</v>
      </c>
      <c r="B15" s="4" t="s">
        <v>30</v>
      </c>
      <c r="C15" s="4" t="s">
        <v>31</v>
      </c>
    </row>
    <row r="16" customFormat="false" ht="15" hidden="false" customHeight="false" outlineLevel="0" collapsed="false">
      <c r="A16" s="4" t="s">
        <v>32</v>
      </c>
      <c r="B16" s="4" t="s">
        <v>33</v>
      </c>
      <c r="C16" s="4" t="s">
        <v>34</v>
      </c>
    </row>
    <row r="17" customFormat="false" ht="41.75" hidden="false" customHeight="false" outlineLevel="0" collapsed="false">
      <c r="A17" s="4" t="s">
        <v>35</v>
      </c>
      <c r="B17" s="4" t="s">
        <v>36</v>
      </c>
      <c r="C17" s="4" t="s">
        <v>37</v>
      </c>
    </row>
    <row r="18" customFormat="false" ht="15" hidden="false" customHeight="false" outlineLevel="0" collapsed="false">
      <c r="A18" s="4" t="s">
        <v>38</v>
      </c>
      <c r="B18" s="4" t="n">
        <v>0</v>
      </c>
      <c r="C18" s="4" t="s">
        <v>39</v>
      </c>
    </row>
    <row r="19" customFormat="false" ht="15" hidden="false" customHeight="false" outlineLevel="0" collapsed="false">
      <c r="A19" s="4" t="s">
        <v>40</v>
      </c>
      <c r="B19" s="4" t="n">
        <v>0</v>
      </c>
      <c r="C19" s="4" t="s">
        <v>41</v>
      </c>
    </row>
    <row r="20" customFormat="false" ht="15" hidden="false" customHeight="false" outlineLevel="0" collapsed="false">
      <c r="A20" s="4" t="s">
        <v>42</v>
      </c>
      <c r="B20" s="4" t="s">
        <v>43</v>
      </c>
      <c r="C20" s="4" t="s">
        <v>44</v>
      </c>
    </row>
    <row r="21" customFormat="false" ht="15.75" hidden="false" customHeight="true" outlineLevel="0" collapsed="false">
      <c r="A21" s="4" t="s">
        <v>45</v>
      </c>
      <c r="B21" s="4" t="s">
        <v>46</v>
      </c>
      <c r="C21" s="4" t="s">
        <v>47</v>
      </c>
    </row>
    <row r="22" customFormat="false" ht="15.75" hidden="false" customHeight="true" outlineLevel="0" collapsed="false">
      <c r="A22" s="4" t="s">
        <v>48</v>
      </c>
      <c r="B22" s="5" t="b">
        <f aca="false">TRUE()</f>
        <v>1</v>
      </c>
      <c r="C22" s="4" t="s">
        <v>49</v>
      </c>
    </row>
    <row r="23" customFormat="false" ht="15.75" hidden="false" customHeight="true" outlineLevel="0" collapsed="false">
      <c r="A23" s="4" t="s">
        <v>50</v>
      </c>
      <c r="B23" s="4" t="s">
        <v>51</v>
      </c>
      <c r="C23" s="4" t="s">
        <v>52</v>
      </c>
    </row>
    <row r="24" customFormat="false" ht="15.75" hidden="false" customHeight="true" outlineLevel="0" collapsed="false">
      <c r="A24" s="4" t="s">
        <v>53</v>
      </c>
      <c r="B24" s="4" t="s">
        <v>54</v>
      </c>
      <c r="C24" s="4" t="s">
        <v>55</v>
      </c>
    </row>
    <row r="25" customFormat="false" ht="15.75" hidden="false" customHeight="true" outlineLevel="0" collapsed="false">
      <c r="A25" s="4" t="s">
        <v>56</v>
      </c>
      <c r="B25" s="4" t="s">
        <v>57</v>
      </c>
      <c r="C25" s="4" t="s">
        <v>58</v>
      </c>
    </row>
    <row r="26" customFormat="false" ht="15.75" hidden="false" customHeight="true" outlineLevel="0" collapsed="false">
      <c r="A26" s="4" t="s">
        <v>59</v>
      </c>
      <c r="B26" s="4" t="s">
        <v>60</v>
      </c>
      <c r="C26" s="4" t="s">
        <v>61</v>
      </c>
    </row>
    <row r="27" customFormat="false" ht="15.75" hidden="false" customHeight="true" outlineLevel="0" collapsed="false">
      <c r="A27" s="4" t="s">
        <v>62</v>
      </c>
      <c r="B27" s="4" t="s">
        <v>63</v>
      </c>
      <c r="C27" s="4" t="s">
        <v>64</v>
      </c>
    </row>
    <row r="28" customFormat="false" ht="15.75" hidden="false" customHeight="true" outlineLevel="0" collapsed="false">
      <c r="A28" s="4" t="s">
        <v>65</v>
      </c>
      <c r="B28" s="5" t="b">
        <f aca="false">TRUE()</f>
        <v>1</v>
      </c>
      <c r="C28" s="4" t="s">
        <v>66</v>
      </c>
    </row>
    <row r="29" customFormat="false" ht="15.75" hidden="false" customHeight="true" outlineLevel="0" collapsed="false">
      <c r="A29" s="4" t="s">
        <v>67</v>
      </c>
      <c r="B29" s="4" t="s">
        <v>68</v>
      </c>
      <c r="C29" s="4" t="s">
        <v>69</v>
      </c>
    </row>
    <row r="30" customFormat="false" ht="15.75" hidden="false" customHeight="true" outlineLevel="0" collapsed="false">
      <c r="A30" s="4" t="s">
        <v>70</v>
      </c>
      <c r="B30" s="4" t="s">
        <v>71</v>
      </c>
      <c r="C30" s="4" t="s">
        <v>72</v>
      </c>
    </row>
    <row r="31" customFormat="false" ht="15.75" hidden="false" customHeight="true" outlineLevel="0" collapsed="false">
      <c r="A31" s="4" t="s">
        <v>73</v>
      </c>
      <c r="B31" s="4" t="s">
        <v>74</v>
      </c>
      <c r="C31" s="4" t="s">
        <v>75</v>
      </c>
    </row>
    <row r="32" customFormat="false" ht="15.75" hidden="false" customHeight="true" outlineLevel="0" collapsed="false">
      <c r="A32" s="4" t="s">
        <v>76</v>
      </c>
      <c r="B32" s="4" t="s">
        <v>77</v>
      </c>
      <c r="C32" s="4" t="s">
        <v>78</v>
      </c>
    </row>
    <row r="33" customFormat="false" ht="15.75" hidden="false" customHeight="true" outlineLevel="0" collapsed="false">
      <c r="A33" s="4" t="s">
        <v>79</v>
      </c>
      <c r="B33" s="4" t="s">
        <v>80</v>
      </c>
      <c r="C33" s="4" t="s">
        <v>81</v>
      </c>
    </row>
    <row r="34" customFormat="false" ht="15.75" hidden="false" customHeight="true" outlineLevel="0" collapsed="false">
      <c r="A34" s="4" t="s">
        <v>82</v>
      </c>
      <c r="B34" s="4" t="s">
        <v>83</v>
      </c>
      <c r="C34" s="4" t="s">
        <v>84</v>
      </c>
    </row>
    <row r="35" customFormat="false" ht="15.75" hidden="false" customHeight="true" outlineLevel="0" collapsed="false">
      <c r="A35" s="4" t="s">
        <v>85</v>
      </c>
      <c r="B35" s="4" t="s">
        <v>86</v>
      </c>
      <c r="C35" s="4" t="s">
        <v>87</v>
      </c>
    </row>
    <row r="36" customFormat="false" ht="15.75" hidden="false" customHeight="true" outlineLevel="0" collapsed="false">
      <c r="A36" s="4" t="s">
        <v>88</v>
      </c>
      <c r="B36" s="4" t="s">
        <v>89</v>
      </c>
      <c r="C36" s="4" t="s">
        <v>90</v>
      </c>
    </row>
    <row r="37" customFormat="false" ht="15.75" hidden="false" customHeight="true" outlineLevel="0" collapsed="false">
      <c r="A37" s="4" t="s">
        <v>42</v>
      </c>
      <c r="B37" s="4" t="s">
        <v>91</v>
      </c>
      <c r="C37" s="4" t="s">
        <v>92</v>
      </c>
    </row>
    <row r="38" customFormat="false" ht="15.75" hidden="false" customHeight="true" outlineLevel="0" collapsed="false">
      <c r="A38" s="4" t="s">
        <v>93</v>
      </c>
      <c r="B38" s="5" t="b">
        <f aca="false">TRUE()</f>
        <v>1</v>
      </c>
      <c r="C38" s="4" t="s">
        <v>94</v>
      </c>
    </row>
    <row r="39" customFormat="false" ht="15.75" hidden="false" customHeight="true" outlineLevel="0" collapsed="false">
      <c r="A39" s="4" t="s">
        <v>95</v>
      </c>
      <c r="B39" s="4" t="s">
        <v>96</v>
      </c>
      <c r="C39" s="4" t="s">
        <v>97</v>
      </c>
    </row>
    <row r="40" customFormat="false" ht="15.75" hidden="false" customHeight="true" outlineLevel="0" collapsed="false">
      <c r="A40" s="4" t="s">
        <v>98</v>
      </c>
      <c r="B40" s="4" t="s">
        <v>99</v>
      </c>
      <c r="C40" s="4" t="s">
        <v>100</v>
      </c>
    </row>
    <row r="41" customFormat="false" ht="15.75" hidden="false" customHeight="true" outlineLevel="0" collapsed="false">
      <c r="A41" s="4" t="s">
        <v>101</v>
      </c>
      <c r="B41" s="4" t="s">
        <v>102</v>
      </c>
      <c r="C41" s="4" t="s">
        <v>103</v>
      </c>
    </row>
    <row r="42" customFormat="false" ht="15.75" hidden="false" customHeight="true" outlineLevel="0" collapsed="false">
      <c r="A42" s="4" t="s">
        <v>104</v>
      </c>
      <c r="B42" s="4" t="s">
        <v>105</v>
      </c>
      <c r="C42" s="4" t="s">
        <v>106</v>
      </c>
    </row>
    <row r="43" customFormat="false" ht="15.75" hidden="false" customHeight="true" outlineLevel="0" collapsed="false">
      <c r="A43" s="4" t="s">
        <v>107</v>
      </c>
      <c r="B43" s="5" t="b">
        <f aca="false">FALSE()</f>
        <v>0</v>
      </c>
      <c r="C43" s="4" t="s">
        <v>108</v>
      </c>
    </row>
    <row r="44" customFormat="false" ht="15.75" hidden="false" customHeight="true" outlineLevel="0" collapsed="false">
      <c r="A44" s="4" t="s">
        <v>109</v>
      </c>
      <c r="B44" s="4" t="s">
        <v>110</v>
      </c>
      <c r="C44" s="4" t="s">
        <v>111</v>
      </c>
    </row>
    <row r="45" customFormat="false" ht="15.75" hidden="false" customHeight="true" outlineLevel="0" collapsed="false">
      <c r="A45" s="4" t="s">
        <v>112</v>
      </c>
      <c r="B45" s="4" t="s">
        <v>113</v>
      </c>
      <c r="C45" s="4" t="s">
        <v>114</v>
      </c>
    </row>
    <row r="46" customFormat="false" ht="15.75" hidden="false" customHeight="true" outlineLevel="0" collapsed="false">
      <c r="A46" s="4" t="s">
        <v>115</v>
      </c>
      <c r="B46" s="4" t="n">
        <v>1</v>
      </c>
      <c r="C46" s="4" t="s">
        <v>116</v>
      </c>
    </row>
    <row r="47" customFormat="false" ht="15.75" hidden="false" customHeight="true" outlineLevel="0" collapsed="false">
      <c r="A47" s="4" t="s">
        <v>117</v>
      </c>
      <c r="B47" s="5" t="b">
        <f aca="false">TRUE()</f>
        <v>1</v>
      </c>
      <c r="C47" s="4" t="s">
        <v>118</v>
      </c>
    </row>
    <row r="48" customFormat="false" ht="15.75" hidden="false" customHeight="true" outlineLevel="0" collapsed="false">
      <c r="A48" s="4" t="s">
        <v>119</v>
      </c>
      <c r="B48" s="5" t="b">
        <f aca="false">FALSE()</f>
        <v>0</v>
      </c>
      <c r="C48" s="4" t="s">
        <v>120</v>
      </c>
    </row>
    <row r="49" customFormat="false" ht="15.75" hidden="false" customHeight="true" outlineLevel="0" collapsed="false">
      <c r="A49" s="4" t="s">
        <v>121</v>
      </c>
      <c r="B49" s="5" t="b">
        <f aca="false">TRUE()</f>
        <v>1</v>
      </c>
      <c r="C49" s="4" t="s">
        <v>122</v>
      </c>
    </row>
    <row r="50" customFormat="false" ht="15.75" hidden="false" customHeight="true" outlineLevel="0" collapsed="false">
      <c r="A50" s="4" t="s">
        <v>123</v>
      </c>
      <c r="B50" s="4" t="s">
        <v>124</v>
      </c>
      <c r="C50" s="4" t="s">
        <v>125</v>
      </c>
    </row>
    <row r="51" customFormat="false" ht="15.75" hidden="false" customHeight="true" outlineLevel="0" collapsed="false">
      <c r="A51" s="4" t="s">
        <v>126</v>
      </c>
      <c r="B51" s="4" t="s">
        <v>127</v>
      </c>
      <c r="C51" s="4" t="s">
        <v>128</v>
      </c>
    </row>
    <row r="52" customFormat="false" ht="15.75" hidden="false" customHeight="true" outlineLevel="0" collapsed="false">
      <c r="A52" s="4" t="s">
        <v>129</v>
      </c>
      <c r="B52" s="4" t="s">
        <v>130</v>
      </c>
      <c r="C52" s="4" t="s">
        <v>131</v>
      </c>
    </row>
    <row r="53" customFormat="false" ht="15.75" hidden="false" customHeight="true" outlineLevel="0" collapsed="false">
      <c r="A53" s="4" t="s">
        <v>132</v>
      </c>
      <c r="B53" s="4" t="s">
        <v>133</v>
      </c>
      <c r="C53" s="4" t="s">
        <v>134</v>
      </c>
    </row>
    <row r="54" customFormat="false" ht="15.75" hidden="false" customHeight="true" outlineLevel="0" collapsed="false">
      <c r="A54" s="4" t="s">
        <v>135</v>
      </c>
      <c r="B54" s="5" t="b">
        <f aca="false">FALSE()</f>
        <v>0</v>
      </c>
      <c r="C54" s="4" t="s">
        <v>136</v>
      </c>
    </row>
    <row r="55" customFormat="false" ht="15.75" hidden="false" customHeight="true" outlineLevel="0" collapsed="false">
      <c r="A55" s="4" t="s">
        <v>137</v>
      </c>
      <c r="B55" s="4" t="s">
        <v>138</v>
      </c>
      <c r="C55" s="4" t="s">
        <v>139</v>
      </c>
    </row>
    <row r="56" customFormat="false" ht="15.75" hidden="false" customHeight="true" outlineLevel="0" collapsed="false">
      <c r="A56" s="4" t="s">
        <v>140</v>
      </c>
      <c r="B56" s="5" t="b">
        <f aca="false">TRUE()</f>
        <v>1</v>
      </c>
      <c r="C56" s="4" t="s">
        <v>141</v>
      </c>
    </row>
    <row r="57" customFormat="false" ht="15.75" hidden="false" customHeight="true" outlineLevel="0" collapsed="false">
      <c r="A57" s="4" t="s">
        <v>142</v>
      </c>
      <c r="B57" s="4" t="s">
        <v>143</v>
      </c>
      <c r="C57" s="4" t="s">
        <v>144</v>
      </c>
    </row>
    <row r="58" customFormat="false" ht="15.75" hidden="false" customHeight="true" outlineLevel="0" collapsed="false">
      <c r="A58" s="4" t="s">
        <v>145</v>
      </c>
      <c r="B58" s="4" t="s">
        <v>146</v>
      </c>
      <c r="C58" s="4" t="s">
        <v>147</v>
      </c>
    </row>
    <row r="59" customFormat="false" ht="15.75" hidden="false" customHeight="true" outlineLevel="0" collapsed="false">
      <c r="A59" s="4" t="s">
        <v>148</v>
      </c>
      <c r="B59" s="4" t="s">
        <v>149</v>
      </c>
      <c r="C59" s="4" t="s">
        <v>150</v>
      </c>
    </row>
    <row r="60" customFormat="false" ht="15.75" hidden="false" customHeight="true" outlineLevel="0" collapsed="false">
      <c r="A60" s="4" t="s">
        <v>151</v>
      </c>
      <c r="B60" s="4" t="s">
        <v>152</v>
      </c>
      <c r="C60" s="4" t="s">
        <v>153</v>
      </c>
    </row>
    <row r="61" customFormat="false" ht="15.75" hidden="false" customHeight="true" outlineLevel="0" collapsed="false">
      <c r="A61" s="4" t="s">
        <v>154</v>
      </c>
      <c r="B61" s="4" t="s">
        <v>155</v>
      </c>
      <c r="C61" s="4" t="s">
        <v>156</v>
      </c>
    </row>
    <row r="62" customFormat="false" ht="15.75" hidden="false" customHeight="true" outlineLevel="0" collapsed="false">
      <c r="A62" s="4" t="s">
        <v>157</v>
      </c>
      <c r="B62" s="4" t="s">
        <v>158</v>
      </c>
      <c r="C62" s="4" t="s">
        <v>159</v>
      </c>
    </row>
    <row r="63" customFormat="false" ht="15.75" hidden="false" customHeight="true" outlineLevel="0" collapsed="false">
      <c r="A63" s="4" t="s">
        <v>160</v>
      </c>
      <c r="B63" s="4" t="s">
        <v>161</v>
      </c>
      <c r="C63" s="4" t="s">
        <v>162</v>
      </c>
    </row>
    <row r="64" customFormat="false" ht="15.75" hidden="false" customHeight="true" outlineLevel="0" collapsed="false">
      <c r="A64" s="4" t="s">
        <v>163</v>
      </c>
      <c r="B64" s="4" t="s">
        <v>149</v>
      </c>
      <c r="C64" s="4" t="s">
        <v>164</v>
      </c>
    </row>
    <row r="65" customFormat="false" ht="15.75" hidden="false" customHeight="true" outlineLevel="0" collapsed="false">
      <c r="A65" s="4" t="s">
        <v>165</v>
      </c>
      <c r="B65" s="4" t="s">
        <v>166</v>
      </c>
      <c r="C65" s="4" t="s">
        <v>167</v>
      </c>
    </row>
    <row r="66" customFormat="false" ht="15.75" hidden="false" customHeight="true" outlineLevel="0" collapsed="false">
      <c r="A66" s="4" t="s">
        <v>168</v>
      </c>
      <c r="B66" s="4" t="s">
        <v>169</v>
      </c>
      <c r="C66" s="4" t="s">
        <v>170</v>
      </c>
    </row>
    <row r="67" customFormat="false" ht="15.75" hidden="false" customHeight="true" outlineLevel="0" collapsed="false">
      <c r="A67" s="6" t="s">
        <v>171</v>
      </c>
      <c r="B67" s="6" t="s">
        <v>172</v>
      </c>
      <c r="C67" s="6" t="s">
        <v>173</v>
      </c>
    </row>
    <row r="68" customFormat="false" ht="15.75" hidden="false" customHeight="true" outlineLevel="0" collapsed="false">
      <c r="A68" s="6" t="s">
        <v>174</v>
      </c>
      <c r="B68" s="6" t="s">
        <v>175</v>
      </c>
      <c r="C68" s="6" t="s">
        <v>176</v>
      </c>
    </row>
    <row r="69" customFormat="false" ht="15.75" hidden="false" customHeight="true" outlineLevel="0" collapsed="false">
      <c r="A69" s="6" t="s">
        <v>177</v>
      </c>
      <c r="B69" s="6" t="s">
        <v>178</v>
      </c>
      <c r="C69" s="6" t="s">
        <v>179</v>
      </c>
    </row>
    <row r="70" customFormat="false" ht="15.75" hidden="false" customHeight="true" outlineLevel="0" collapsed="false">
      <c r="A70" s="6" t="s">
        <v>180</v>
      </c>
      <c r="B70" s="6" t="s">
        <v>181</v>
      </c>
      <c r="C70" s="6" t="s">
        <v>182</v>
      </c>
    </row>
    <row r="71" customFormat="false" ht="15.75" hidden="false" customHeight="true" outlineLevel="0" collapsed="false">
      <c r="A71" s="6" t="s">
        <v>183</v>
      </c>
      <c r="B71" s="6" t="s">
        <v>184</v>
      </c>
      <c r="C71" s="6" t="s">
        <v>185</v>
      </c>
    </row>
    <row r="72" customFormat="false" ht="15.75" hidden="false" customHeight="true" outlineLevel="0" collapsed="false">
      <c r="A72" s="6" t="s">
        <v>186</v>
      </c>
      <c r="B72" s="6" t="s">
        <v>187</v>
      </c>
      <c r="C72" s="6" t="s">
        <v>185</v>
      </c>
    </row>
    <row r="73" customFormat="false" ht="15.75" hidden="false" customHeight="true" outlineLevel="0" collapsed="false">
      <c r="A73" s="6" t="s">
        <v>188</v>
      </c>
      <c r="B73" s="6" t="s">
        <v>189</v>
      </c>
      <c r="C73" s="6" t="s">
        <v>190</v>
      </c>
    </row>
    <row r="74" customFormat="false" ht="15.75" hidden="false" customHeight="true" outlineLevel="0" collapsed="false">
      <c r="A74" s="6" t="s">
        <v>191</v>
      </c>
      <c r="B74" s="6" t="s">
        <v>192</v>
      </c>
      <c r="C74" s="6" t="s">
        <v>193</v>
      </c>
    </row>
    <row r="75" customFormat="false" ht="15.75" hidden="false" customHeight="true" outlineLevel="0" collapsed="false">
      <c r="A75" s="6" t="s">
        <v>194</v>
      </c>
      <c r="B75" s="6" t="s">
        <v>195</v>
      </c>
      <c r="C75" s="6" t="s">
        <v>196</v>
      </c>
    </row>
    <row r="76" customFormat="false" ht="15.75" hidden="false" customHeight="true" outlineLevel="0" collapsed="false">
      <c r="A76" s="6" t="s">
        <v>197</v>
      </c>
      <c r="B76" s="6" t="s">
        <v>198</v>
      </c>
      <c r="C76" s="6" t="s">
        <v>199</v>
      </c>
    </row>
    <row r="77" customFormat="false" ht="15.75" hidden="false" customHeight="true" outlineLevel="0" collapsed="false">
      <c r="A77" s="6" t="s">
        <v>200</v>
      </c>
      <c r="B77" s="6" t="s">
        <v>201</v>
      </c>
      <c r="C77" s="6" t="s">
        <v>202</v>
      </c>
    </row>
    <row r="78" customFormat="false" ht="15.75" hidden="false" customHeight="true" outlineLevel="0" collapsed="false">
      <c r="A78" s="6" t="s">
        <v>203</v>
      </c>
      <c r="B78" s="6" t="s">
        <v>204</v>
      </c>
      <c r="C78" s="6" t="s">
        <v>205</v>
      </c>
    </row>
    <row r="79" customFormat="false" ht="15.75" hidden="false" customHeight="true" outlineLevel="0" collapsed="false">
      <c r="A79" s="6" t="s">
        <v>206</v>
      </c>
      <c r="B79" s="6" t="s">
        <v>207</v>
      </c>
      <c r="C79" s="6" t="s">
        <v>208</v>
      </c>
    </row>
    <row r="80" customFormat="false" ht="15.75" hidden="false" customHeight="true" outlineLevel="0" collapsed="false">
      <c r="A80" s="6" t="s">
        <v>209</v>
      </c>
      <c r="B80" s="6" t="s">
        <v>210</v>
      </c>
      <c r="C80" s="6" t="s">
        <v>211</v>
      </c>
    </row>
    <row r="81" customFormat="false" ht="15.75" hidden="false" customHeight="true" outlineLevel="0" collapsed="false">
      <c r="A81" s="6" t="s">
        <v>212</v>
      </c>
      <c r="B81" s="6" t="s">
        <v>213</v>
      </c>
      <c r="C81" s="6" t="s">
        <v>214</v>
      </c>
    </row>
    <row r="82" customFormat="false" ht="15.75" hidden="false" customHeight="true" outlineLevel="0" collapsed="false">
      <c r="A82" s="6" t="s">
        <v>215</v>
      </c>
      <c r="B82" s="6" t="s">
        <v>216</v>
      </c>
      <c r="C82" s="6" t="s">
        <v>217</v>
      </c>
    </row>
    <row r="83" customFormat="false" ht="15.75" hidden="false" customHeight="true" outlineLevel="0" collapsed="false">
      <c r="A83" s="6" t="s">
        <v>218</v>
      </c>
      <c r="B83" s="6" t="s">
        <v>219</v>
      </c>
      <c r="C83" s="6" t="s">
        <v>220</v>
      </c>
    </row>
    <row r="84" customFormat="false" ht="15.75" hidden="false" customHeight="true" outlineLevel="0" collapsed="false">
      <c r="A84" s="6" t="s">
        <v>221</v>
      </c>
      <c r="B84" s="6" t="s">
        <v>222</v>
      </c>
      <c r="C84" s="6" t="s">
        <v>223</v>
      </c>
    </row>
    <row r="85" customFormat="false" ht="15.75" hidden="false" customHeight="true" outlineLevel="0" collapsed="false">
      <c r="A85" s="6" t="s">
        <v>224</v>
      </c>
      <c r="B85" s="6" t="s">
        <v>225</v>
      </c>
      <c r="C85" s="6" t="s">
        <v>226</v>
      </c>
    </row>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F1"/>
    <mergeCell ref="A2:F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28"/>
    <col collapsed="false" customWidth="true" hidden="false" outlineLevel="0" max="3" min="2" style="0" width="64"/>
    <col collapsed="false" customWidth="true" hidden="false" outlineLevel="0" max="4" min="4" style="0" width="16"/>
    <col collapsed="false" customWidth="true" hidden="false" outlineLevel="0" max="5" min="5" style="0" width="24"/>
    <col collapsed="false" customWidth="true" hidden="false" outlineLevel="0" max="26" min="6" style="0" width="8.63"/>
  </cols>
  <sheetData>
    <row r="1" customFormat="false" ht="18.55" hidden="false" customHeight="false" outlineLevel="0" collapsed="false">
      <c r="A1" s="1" t="s">
        <v>227</v>
      </c>
      <c r="B1" s="1"/>
      <c r="C1" s="1"/>
      <c r="D1" s="1"/>
      <c r="E1" s="1"/>
    </row>
    <row r="3" customFormat="false" ht="15" hidden="false" customHeight="false" outlineLevel="0" collapsed="false">
      <c r="A3" s="3" t="s">
        <v>228</v>
      </c>
      <c r="B3" s="3" t="s">
        <v>229</v>
      </c>
      <c r="C3" s="3" t="s">
        <v>230</v>
      </c>
      <c r="D3" s="3" t="s">
        <v>231</v>
      </c>
      <c r="E3" s="3" t="s">
        <v>232</v>
      </c>
    </row>
    <row r="4" customFormat="false" ht="41.75" hidden="false" customHeight="false" outlineLevel="0" collapsed="false">
      <c r="A4" s="4" t="s">
        <v>233</v>
      </c>
      <c r="B4" s="4" t="s">
        <v>234</v>
      </c>
      <c r="C4" s="4" t="s">
        <v>235</v>
      </c>
      <c r="D4" s="4" t="s">
        <v>236</v>
      </c>
      <c r="E4" s="4" t="s">
        <v>237</v>
      </c>
    </row>
    <row r="5" customFormat="false" ht="55.2" hidden="false" customHeight="false" outlineLevel="0" collapsed="false">
      <c r="A5" s="4" t="s">
        <v>238</v>
      </c>
      <c r="B5" s="4" t="s">
        <v>239</v>
      </c>
      <c r="C5" s="4" t="s">
        <v>240</v>
      </c>
      <c r="D5" s="4" t="s">
        <v>241</v>
      </c>
      <c r="E5" s="4" t="s">
        <v>237</v>
      </c>
    </row>
    <row r="6" customFormat="false" ht="28.35" hidden="false" customHeight="false" outlineLevel="0" collapsed="false">
      <c r="A6" s="4" t="s">
        <v>242</v>
      </c>
      <c r="B6" s="4" t="s">
        <v>243</v>
      </c>
      <c r="C6" s="4" t="s">
        <v>244</v>
      </c>
      <c r="D6" s="4" t="s">
        <v>245</v>
      </c>
      <c r="E6" s="4" t="s">
        <v>246</v>
      </c>
    </row>
    <row r="7" customFormat="false" ht="41.75" hidden="false" customHeight="false" outlineLevel="0" collapsed="false">
      <c r="A7" s="4" t="s">
        <v>247</v>
      </c>
      <c r="B7" s="4" t="s">
        <v>248</v>
      </c>
      <c r="C7" s="4" t="s">
        <v>249</v>
      </c>
      <c r="D7" s="4" t="s">
        <v>250</v>
      </c>
      <c r="E7" s="4" t="s">
        <v>251</v>
      </c>
    </row>
    <row r="8" customFormat="false" ht="28.35" hidden="false" customHeight="false" outlineLevel="0" collapsed="false">
      <c r="A8" s="4" t="s">
        <v>252</v>
      </c>
      <c r="B8" s="4" t="s">
        <v>248</v>
      </c>
      <c r="C8" s="4" t="s">
        <v>253</v>
      </c>
      <c r="D8" s="4" t="s">
        <v>254</v>
      </c>
      <c r="E8" s="4" t="s">
        <v>255</v>
      </c>
    </row>
    <row r="9" customFormat="false" ht="28.35" hidden="false" customHeight="false" outlineLevel="0" collapsed="false">
      <c r="A9" s="4" t="s">
        <v>256</v>
      </c>
      <c r="B9" s="4" t="s">
        <v>257</v>
      </c>
      <c r="C9" s="4" t="s">
        <v>46</v>
      </c>
      <c r="D9" s="4" t="s">
        <v>258</v>
      </c>
      <c r="E9" s="4" t="s">
        <v>259</v>
      </c>
    </row>
    <row r="10" customFormat="false" ht="41.75" hidden="false" customHeight="false" outlineLevel="0" collapsed="false">
      <c r="A10" s="4" t="s">
        <v>260</v>
      </c>
      <c r="B10" s="4" t="s">
        <v>261</v>
      </c>
      <c r="C10" s="4" t="s">
        <v>46</v>
      </c>
      <c r="D10" s="4" t="s">
        <v>262</v>
      </c>
      <c r="E10" s="4" t="s">
        <v>263</v>
      </c>
    </row>
    <row r="12" customFormat="false" ht="28.35" hidden="false" customHeight="false" outlineLevel="0" collapsed="false">
      <c r="A12" s="3" t="s">
        <v>264</v>
      </c>
      <c r="B12" s="3" t="s">
        <v>265</v>
      </c>
      <c r="C12" s="3" t="s">
        <v>266</v>
      </c>
      <c r="D12" s="3" t="s">
        <v>267</v>
      </c>
      <c r="E12" s="3" t="s">
        <v>232</v>
      </c>
      <c r="F12" s="3" t="s">
        <v>268</v>
      </c>
    </row>
    <row r="13" customFormat="false" ht="82.05" hidden="false" customHeight="false" outlineLevel="0" collapsed="false">
      <c r="A13" s="4" t="s">
        <v>269</v>
      </c>
      <c r="B13" s="4" t="s">
        <v>270</v>
      </c>
      <c r="C13" s="4" t="s">
        <v>271</v>
      </c>
      <c r="D13" s="4" t="s">
        <v>272</v>
      </c>
      <c r="E13" s="4" t="s">
        <v>273</v>
      </c>
      <c r="F13" s="4" t="s">
        <v>274</v>
      </c>
    </row>
    <row r="14" customFormat="false" ht="28.35" hidden="false" customHeight="false" outlineLevel="0" collapsed="false">
      <c r="A14" s="4" t="s">
        <v>275</v>
      </c>
      <c r="B14" s="4" t="s">
        <v>276</v>
      </c>
      <c r="C14" s="4" t="s">
        <v>271</v>
      </c>
      <c r="D14" s="4" t="s">
        <v>272</v>
      </c>
      <c r="E14" s="4" t="s">
        <v>273</v>
      </c>
      <c r="F14" s="4" t="s">
        <v>277</v>
      </c>
    </row>
    <row r="15" customFormat="false" ht="28.35" hidden="false" customHeight="false" outlineLevel="0" collapsed="false">
      <c r="A15" s="4" t="s">
        <v>278</v>
      </c>
      <c r="B15" s="4" t="s">
        <v>279</v>
      </c>
      <c r="C15" s="4" t="s">
        <v>271</v>
      </c>
      <c r="D15" s="4" t="s">
        <v>272</v>
      </c>
      <c r="E15" s="4" t="s">
        <v>273</v>
      </c>
      <c r="F15" s="4" t="s">
        <v>280</v>
      </c>
    </row>
    <row r="16" customFormat="false" ht="15" hidden="false" customHeight="false" outlineLevel="0" collapsed="false">
      <c r="A16" s="4" t="s">
        <v>281</v>
      </c>
      <c r="B16" s="4" t="s">
        <v>282</v>
      </c>
      <c r="C16" s="4" t="s">
        <v>271</v>
      </c>
      <c r="D16" s="4" t="s">
        <v>272</v>
      </c>
      <c r="E16" s="4" t="s">
        <v>273</v>
      </c>
      <c r="F16" s="4"/>
    </row>
    <row r="17" customFormat="false" ht="15" hidden="false" customHeight="false" outlineLevel="0" collapsed="false">
      <c r="A17" s="4" t="s">
        <v>283</v>
      </c>
      <c r="B17" s="4" t="s">
        <v>284</v>
      </c>
      <c r="C17" s="4" t="s">
        <v>271</v>
      </c>
      <c r="D17" s="4" t="s">
        <v>272</v>
      </c>
      <c r="E17" s="4" t="s">
        <v>273</v>
      </c>
      <c r="F17" s="4"/>
    </row>
    <row r="18" customFormat="false" ht="28.35" hidden="false" customHeight="false" outlineLevel="0" collapsed="false">
      <c r="A18" s="7" t="s">
        <v>285</v>
      </c>
      <c r="B18" s="7" t="s">
        <v>286</v>
      </c>
      <c r="C18" s="7" t="s">
        <v>271</v>
      </c>
      <c r="D18" s="7" t="s">
        <v>272</v>
      </c>
      <c r="E18" s="7" t="s">
        <v>273</v>
      </c>
      <c r="F18" s="4" t="s">
        <v>277</v>
      </c>
    </row>
    <row r="19" customFormat="false" ht="15" hidden="false" customHeight="false" outlineLevel="0" collapsed="false">
      <c r="A19" s="4" t="s">
        <v>287</v>
      </c>
      <c r="B19" s="4" t="s">
        <v>288</v>
      </c>
      <c r="C19" s="4" t="s">
        <v>271</v>
      </c>
      <c r="D19" s="4" t="s">
        <v>272</v>
      </c>
      <c r="E19" s="4" t="s">
        <v>273</v>
      </c>
      <c r="F19" s="4"/>
    </row>
    <row r="20" customFormat="false" ht="15" hidden="false" customHeight="false" outlineLevel="0" collapsed="false">
      <c r="A20" s="4" t="s">
        <v>289</v>
      </c>
      <c r="B20" s="4" t="s">
        <v>290</v>
      </c>
      <c r="C20" s="4" t="s">
        <v>271</v>
      </c>
      <c r="D20" s="4" t="s">
        <v>272</v>
      </c>
      <c r="E20" s="4" t="s">
        <v>273</v>
      </c>
      <c r="F20" s="4"/>
    </row>
    <row r="21" customFormat="false" ht="15.75" hidden="false" customHeight="true" outlineLevel="0" collapsed="false">
      <c r="A21" s="7" t="s">
        <v>291</v>
      </c>
      <c r="B21" s="7" t="s">
        <v>292</v>
      </c>
      <c r="C21" s="7" t="s">
        <v>293</v>
      </c>
      <c r="D21" s="7" t="s">
        <v>272</v>
      </c>
      <c r="E21" s="7" t="s">
        <v>273</v>
      </c>
      <c r="F21" s="4"/>
    </row>
    <row r="22" customFormat="false" ht="15.75" hidden="false" customHeight="true" outlineLevel="0" collapsed="false">
      <c r="A22" s="4" t="s">
        <v>294</v>
      </c>
      <c r="B22" s="4" t="s">
        <v>295</v>
      </c>
      <c r="C22" s="4" t="s">
        <v>271</v>
      </c>
      <c r="D22" s="4" t="s">
        <v>272</v>
      </c>
      <c r="E22" s="4" t="s">
        <v>273</v>
      </c>
      <c r="F22" s="4"/>
    </row>
    <row r="23" customFormat="false" ht="15.75" hidden="false" customHeight="true" outlineLevel="0" collapsed="false">
      <c r="A23" s="7" t="s">
        <v>296</v>
      </c>
      <c r="B23" s="7" t="s">
        <v>297</v>
      </c>
      <c r="C23" s="7" t="s">
        <v>271</v>
      </c>
      <c r="D23" s="7" t="s">
        <v>272</v>
      </c>
      <c r="E23" s="7" t="s">
        <v>273</v>
      </c>
      <c r="F23" s="4"/>
    </row>
    <row r="24" customFormat="false" ht="15.75" hidden="false" customHeight="true" outlineLevel="0" collapsed="false">
      <c r="A24" s="7" t="s">
        <v>298</v>
      </c>
      <c r="B24" s="7" t="s">
        <v>299</v>
      </c>
      <c r="C24" s="7" t="s">
        <v>271</v>
      </c>
      <c r="D24" s="7" t="s">
        <v>272</v>
      </c>
      <c r="E24" s="7" t="s">
        <v>273</v>
      </c>
      <c r="F24" s="4" t="s">
        <v>300</v>
      </c>
    </row>
    <row r="25" customFormat="false" ht="15.75" hidden="false" customHeight="true" outlineLevel="0" collapsed="false">
      <c r="A25" s="4" t="s">
        <v>96</v>
      </c>
      <c r="B25" s="4" t="s">
        <v>301</v>
      </c>
      <c r="C25" s="4" t="s">
        <v>271</v>
      </c>
      <c r="D25" s="4" t="s">
        <v>272</v>
      </c>
      <c r="E25" s="4" t="s">
        <v>273</v>
      </c>
      <c r="F25" s="4" t="s">
        <v>302</v>
      </c>
    </row>
    <row r="26" customFormat="false" ht="15.75" hidden="false" customHeight="true" outlineLevel="0" collapsed="false">
      <c r="A26" s="7" t="s">
        <v>99</v>
      </c>
      <c r="B26" s="7" t="s">
        <v>303</v>
      </c>
      <c r="C26" s="7" t="s">
        <v>271</v>
      </c>
      <c r="D26" s="7" t="s">
        <v>272</v>
      </c>
      <c r="E26" s="7" t="s">
        <v>273</v>
      </c>
      <c r="F26" s="4"/>
    </row>
    <row r="27" customFormat="false" ht="15.75" hidden="false" customHeight="true" outlineLevel="0" collapsed="false">
      <c r="A27" s="4" t="s">
        <v>102</v>
      </c>
      <c r="B27" s="4" t="s">
        <v>304</v>
      </c>
      <c r="C27" s="4" t="s">
        <v>271</v>
      </c>
      <c r="D27" s="4" t="s">
        <v>272</v>
      </c>
      <c r="E27" s="4" t="s">
        <v>273</v>
      </c>
      <c r="F27" s="4"/>
    </row>
    <row r="28" customFormat="false" ht="15.75" hidden="false" customHeight="true" outlineLevel="0" collapsed="false">
      <c r="A28" s="4" t="s">
        <v>105</v>
      </c>
      <c r="B28" s="4" t="s">
        <v>305</v>
      </c>
      <c r="C28" s="4" t="s">
        <v>271</v>
      </c>
      <c r="D28" s="4" t="s">
        <v>272</v>
      </c>
      <c r="E28" s="4" t="s">
        <v>273</v>
      </c>
      <c r="F28" s="4"/>
    </row>
    <row r="29" customFormat="false" ht="15.75" hidden="false" customHeight="true" outlineLevel="0" collapsed="false">
      <c r="A29" s="7" t="s">
        <v>306</v>
      </c>
      <c r="B29" s="7" t="s">
        <v>307</v>
      </c>
      <c r="C29" s="7" t="s">
        <v>271</v>
      </c>
      <c r="D29" s="7" t="s">
        <v>272</v>
      </c>
      <c r="E29" s="7" t="s">
        <v>273</v>
      </c>
      <c r="F29" s="4" t="s">
        <v>308</v>
      </c>
    </row>
    <row r="30" customFormat="false" ht="15.75" hidden="false" customHeight="true" outlineLevel="0" collapsed="false">
      <c r="A30" s="4" t="s">
        <v>309</v>
      </c>
      <c r="B30" s="4" t="s">
        <v>310</v>
      </c>
      <c r="C30" s="4" t="s">
        <v>293</v>
      </c>
      <c r="D30" s="4" t="s">
        <v>272</v>
      </c>
      <c r="E30" s="4" t="s">
        <v>273</v>
      </c>
      <c r="F30" s="4" t="s">
        <v>311</v>
      </c>
    </row>
    <row r="31" customFormat="false" ht="15.75" hidden="false" customHeight="true" outlineLevel="0" collapsed="false">
      <c r="A31" s="3" t="s">
        <v>312</v>
      </c>
      <c r="B31" s="3" t="s">
        <v>313</v>
      </c>
      <c r="C31" s="3" t="s">
        <v>271</v>
      </c>
      <c r="D31" s="3" t="s">
        <v>272</v>
      </c>
      <c r="E31" s="3" t="s">
        <v>273</v>
      </c>
      <c r="F31" s="3" t="s">
        <v>314</v>
      </c>
    </row>
    <row r="32" customFormat="false" ht="15.75" hidden="false" customHeight="true" outlineLevel="0" collapsed="false">
      <c r="A32" s="4" t="s">
        <v>315</v>
      </c>
      <c r="B32" s="4" t="s">
        <v>316</v>
      </c>
      <c r="C32" s="4" t="s">
        <v>293</v>
      </c>
      <c r="D32" s="4" t="s">
        <v>272</v>
      </c>
      <c r="E32" s="4" t="s">
        <v>273</v>
      </c>
      <c r="F32" s="4"/>
    </row>
    <row r="33" customFormat="false" ht="15.75" hidden="false" customHeight="true" outlineLevel="0" collapsed="false">
      <c r="A33" s="4" t="s">
        <v>317</v>
      </c>
      <c r="B33" s="4" t="s">
        <v>318</v>
      </c>
      <c r="C33" s="4" t="s">
        <v>271</v>
      </c>
      <c r="D33" s="4" t="s">
        <v>272</v>
      </c>
      <c r="E33" s="4" t="s">
        <v>273</v>
      </c>
      <c r="F33" s="4" t="s">
        <v>319</v>
      </c>
    </row>
    <row r="34" customFormat="false" ht="15.75" hidden="false" customHeight="true" outlineLevel="0" collapsed="false">
      <c r="A34" s="3" t="s">
        <v>320</v>
      </c>
      <c r="B34" s="3" t="s">
        <v>321</v>
      </c>
      <c r="C34" s="3" t="s">
        <v>293</v>
      </c>
      <c r="D34" s="3" t="s">
        <v>272</v>
      </c>
      <c r="E34" s="3" t="s">
        <v>273</v>
      </c>
      <c r="F34" s="4" t="s">
        <v>322</v>
      </c>
    </row>
    <row r="35" customFormat="false" ht="15.75" hidden="false" customHeight="true" outlineLevel="0" collapsed="false">
      <c r="A35" s="4" t="s">
        <v>323</v>
      </c>
      <c r="B35" s="4" t="s">
        <v>324</v>
      </c>
      <c r="C35" s="4" t="s">
        <v>325</v>
      </c>
      <c r="D35" s="4" t="s">
        <v>272</v>
      </c>
      <c r="E35" s="4" t="s">
        <v>249</v>
      </c>
      <c r="F35" s="4" t="s">
        <v>326</v>
      </c>
    </row>
    <row r="36" customFormat="false" ht="15.75" hidden="false" customHeight="true" outlineLevel="0" collapsed="false">
      <c r="A36" s="4"/>
      <c r="B36" s="4"/>
      <c r="C36" s="4"/>
      <c r="D36" s="4"/>
      <c r="E36" s="4"/>
    </row>
    <row r="37" customFormat="false" ht="15.75" hidden="false" customHeight="true" outlineLevel="0" collapsed="false">
      <c r="A37" s="3" t="s">
        <v>327</v>
      </c>
      <c r="B37" s="3" t="s">
        <v>328</v>
      </c>
      <c r="C37" s="3" t="s">
        <v>329</v>
      </c>
      <c r="D37" s="3" t="s">
        <v>330</v>
      </c>
      <c r="E37" s="3" t="s">
        <v>331</v>
      </c>
      <c r="F37" s="3" t="s">
        <v>332</v>
      </c>
    </row>
    <row r="38" customFormat="false" ht="15.75" hidden="false" customHeight="true" outlineLevel="0" collapsed="false">
      <c r="A38" s="3" t="s">
        <v>333</v>
      </c>
      <c r="B38" s="3" t="n">
        <v>104</v>
      </c>
      <c r="C38" s="3" t="n">
        <v>101</v>
      </c>
      <c r="D38" s="3" t="n">
        <v>3</v>
      </c>
      <c r="E38" s="3" t="s">
        <v>334</v>
      </c>
      <c r="F38" s="8" t="n">
        <v>0</v>
      </c>
    </row>
    <row r="39" customFormat="false" ht="15.75" hidden="false" customHeight="true" outlineLevel="0" collapsed="false">
      <c r="A39" s="4"/>
      <c r="B39" s="4"/>
      <c r="C39" s="4"/>
      <c r="D39" s="4"/>
      <c r="E39" s="4"/>
    </row>
    <row r="40" customFormat="false" ht="15.75" hidden="false" customHeight="true" outlineLevel="0" collapsed="false">
      <c r="A40" s="3" t="s">
        <v>335</v>
      </c>
      <c r="B40" s="3" t="s">
        <v>336</v>
      </c>
      <c r="C40" s="3" t="s">
        <v>337</v>
      </c>
      <c r="D40" s="3" t="s">
        <v>338</v>
      </c>
      <c r="E40" s="3" t="s">
        <v>339</v>
      </c>
    </row>
    <row r="41" customFormat="false" ht="15.75" hidden="false" customHeight="true" outlineLevel="0" collapsed="false">
      <c r="A41" s="4" t="s">
        <v>340</v>
      </c>
      <c r="B41" s="4" t="s">
        <v>341</v>
      </c>
      <c r="C41" s="4" t="s">
        <v>342</v>
      </c>
      <c r="D41" s="4" t="s">
        <v>343</v>
      </c>
      <c r="E41" s="4" t="s">
        <v>344</v>
      </c>
    </row>
    <row r="42" customFormat="false" ht="15.75" hidden="false" customHeight="true" outlineLevel="0" collapsed="false">
      <c r="A42" s="4" t="s">
        <v>345</v>
      </c>
      <c r="B42" s="4" t="s">
        <v>346</v>
      </c>
      <c r="C42" s="4" t="s">
        <v>347</v>
      </c>
      <c r="D42" s="4" t="s">
        <v>348</v>
      </c>
      <c r="E42" s="4" t="s">
        <v>349</v>
      </c>
    </row>
    <row r="43" customFormat="false" ht="15.75" hidden="false" customHeight="true" outlineLevel="0" collapsed="false">
      <c r="A43" s="6" t="s">
        <v>350</v>
      </c>
      <c r="B43" s="6" t="s">
        <v>351</v>
      </c>
      <c r="C43" s="6" t="s">
        <v>352</v>
      </c>
      <c r="D43" s="6" t="s">
        <v>353</v>
      </c>
      <c r="E43" s="6" t="s">
        <v>354</v>
      </c>
    </row>
    <row r="44" customFormat="false" ht="15.75" hidden="false" customHeight="true" outlineLevel="0" collapsed="false">
      <c r="A44" s="6" t="s">
        <v>355</v>
      </c>
      <c r="B44" s="6" t="s">
        <v>356</v>
      </c>
      <c r="C44" s="6" t="s">
        <v>352</v>
      </c>
      <c r="D44" s="6" t="s">
        <v>357</v>
      </c>
      <c r="E44" s="6" t="s">
        <v>358</v>
      </c>
    </row>
    <row r="45" customFormat="false" ht="15.75" hidden="false" customHeight="true" outlineLevel="0" collapsed="false">
      <c r="A45" s="6" t="s">
        <v>359</v>
      </c>
      <c r="B45" s="6" t="s">
        <v>360</v>
      </c>
      <c r="C45" s="6" t="s">
        <v>352</v>
      </c>
      <c r="D45" s="6" t="s">
        <v>361</v>
      </c>
      <c r="E45" s="6" t="s">
        <v>362</v>
      </c>
    </row>
    <row r="46" customFormat="false" ht="15.75" hidden="false" customHeight="true" outlineLevel="0" collapsed="false">
      <c r="A46" s="6" t="s">
        <v>363</v>
      </c>
      <c r="B46" s="6" t="s">
        <v>364</v>
      </c>
      <c r="C46" s="6" t="s">
        <v>352</v>
      </c>
      <c r="D46" s="6" t="s">
        <v>365</v>
      </c>
      <c r="E46" s="6" t="s">
        <v>366</v>
      </c>
    </row>
    <row r="47" customFormat="false" ht="15.75" hidden="false" customHeight="true" outlineLevel="0" collapsed="false">
      <c r="A47" s="0" t="s">
        <v>367</v>
      </c>
      <c r="B47" s="0" t="s">
        <v>368</v>
      </c>
      <c r="C47" s="0" t="s">
        <v>352</v>
      </c>
      <c r="D47" s="0" t="s">
        <v>369</v>
      </c>
      <c r="E47" s="0" t="s">
        <v>370</v>
      </c>
    </row>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E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3" min="3" style="0" width="64"/>
    <col collapsed="false" customWidth="true" hidden="false" outlineLevel="0" max="4" min="4" style="0" width="62"/>
    <col collapsed="false" customWidth="true" hidden="false" outlineLevel="0" max="5" min="5" style="0" width="24"/>
    <col collapsed="false" customWidth="true" hidden="false" outlineLevel="0" max="26" min="6" style="0" width="8.63"/>
  </cols>
  <sheetData>
    <row r="1" customFormat="false" ht="18.55" hidden="false" customHeight="false" outlineLevel="0" collapsed="false">
      <c r="A1" s="1" t="s">
        <v>371</v>
      </c>
      <c r="B1" s="1"/>
      <c r="C1" s="1"/>
      <c r="D1" s="1"/>
      <c r="E1" s="1"/>
    </row>
    <row r="3" customFormat="false" ht="28.35" hidden="false" customHeight="false" outlineLevel="0" collapsed="false">
      <c r="A3" s="3" t="s">
        <v>372</v>
      </c>
      <c r="B3" s="3" t="s">
        <v>373</v>
      </c>
      <c r="C3" s="3" t="s">
        <v>374</v>
      </c>
      <c r="D3" s="3" t="s">
        <v>375</v>
      </c>
      <c r="E3" s="3" t="s">
        <v>376</v>
      </c>
    </row>
    <row r="4" customFormat="false" ht="15" hidden="false" customHeight="false" outlineLevel="0" collapsed="false">
      <c r="A4" s="4" t="s">
        <v>377</v>
      </c>
      <c r="B4" s="4" t="s">
        <v>377</v>
      </c>
      <c r="C4" s="4" t="s">
        <v>378</v>
      </c>
      <c r="D4" s="4" t="s">
        <v>379</v>
      </c>
      <c r="E4" s="4" t="s">
        <v>380</v>
      </c>
    </row>
    <row r="5" customFormat="false" ht="28.35" hidden="false" customHeight="false" outlineLevel="0" collapsed="false">
      <c r="A5" s="4" t="s">
        <v>381</v>
      </c>
      <c r="B5" s="4" t="s">
        <v>377</v>
      </c>
      <c r="C5" s="4" t="s">
        <v>382</v>
      </c>
      <c r="D5" s="4" t="s">
        <v>383</v>
      </c>
      <c r="E5" s="4" t="s">
        <v>380</v>
      </c>
    </row>
    <row r="6" customFormat="false" ht="15" hidden="false" customHeight="false" outlineLevel="0" collapsed="false">
      <c r="A6" s="4" t="s">
        <v>384</v>
      </c>
      <c r="B6" s="4" t="s">
        <v>384</v>
      </c>
      <c r="C6" s="4" t="s">
        <v>385</v>
      </c>
      <c r="D6" s="4" t="s">
        <v>386</v>
      </c>
      <c r="E6" s="4" t="s">
        <v>380</v>
      </c>
    </row>
    <row r="7" customFormat="false" ht="15" hidden="false" customHeight="false" outlineLevel="0" collapsed="false">
      <c r="A7" s="4" t="s">
        <v>387</v>
      </c>
      <c r="B7" s="4" t="s">
        <v>387</v>
      </c>
      <c r="C7" s="4" t="s">
        <v>388</v>
      </c>
      <c r="D7" s="4" t="s">
        <v>389</v>
      </c>
      <c r="E7" s="4" t="s">
        <v>380</v>
      </c>
    </row>
    <row r="8" customFormat="false" ht="28.35" hidden="false" customHeight="false" outlineLevel="0" collapsed="false">
      <c r="A8" s="4" t="s">
        <v>390</v>
      </c>
      <c r="B8" s="4" t="s">
        <v>391</v>
      </c>
      <c r="C8" s="4" t="s">
        <v>392</v>
      </c>
      <c r="D8" s="4" t="s">
        <v>393</v>
      </c>
      <c r="E8" s="4" t="s">
        <v>394</v>
      </c>
    </row>
    <row r="9" customFormat="false" ht="15" hidden="false" customHeight="false" outlineLevel="0" collapsed="false">
      <c r="A9" s="4" t="s">
        <v>395</v>
      </c>
      <c r="B9" s="4" t="s">
        <v>391</v>
      </c>
      <c r="C9" s="4" t="s">
        <v>396</v>
      </c>
      <c r="D9" s="4" t="s">
        <v>397</v>
      </c>
      <c r="E9" s="4" t="s">
        <v>398</v>
      </c>
    </row>
    <row r="10" customFormat="false" ht="15" hidden="false" customHeight="false" outlineLevel="0" collapsed="false">
      <c r="A10" s="4" t="s">
        <v>399</v>
      </c>
      <c r="B10" s="4" t="s">
        <v>391</v>
      </c>
      <c r="C10" s="4" t="s">
        <v>400</v>
      </c>
      <c r="D10" s="4" t="s">
        <v>401</v>
      </c>
      <c r="E10" s="4" t="s">
        <v>398</v>
      </c>
    </row>
    <row r="11" customFormat="false" ht="15" hidden="false" customHeight="false" outlineLevel="0" collapsed="false">
      <c r="A11" s="4" t="s">
        <v>402</v>
      </c>
      <c r="B11" s="4" t="s">
        <v>391</v>
      </c>
      <c r="C11" s="4" t="s">
        <v>403</v>
      </c>
      <c r="D11" s="4" t="s">
        <v>404</v>
      </c>
      <c r="E11" s="4" t="s">
        <v>398</v>
      </c>
    </row>
    <row r="12" customFormat="false" ht="28.35" hidden="false" customHeight="false" outlineLevel="0" collapsed="false">
      <c r="A12" s="4" t="s">
        <v>405</v>
      </c>
      <c r="B12" s="4" t="s">
        <v>391</v>
      </c>
      <c r="C12" s="4" t="s">
        <v>406</v>
      </c>
      <c r="D12" s="4" t="s">
        <v>407</v>
      </c>
      <c r="E12" s="4" t="s">
        <v>398</v>
      </c>
    </row>
    <row r="13" customFormat="false" ht="15" hidden="false" customHeight="false" outlineLevel="0" collapsed="false">
      <c r="A13" s="4" t="s">
        <v>408</v>
      </c>
      <c r="B13" s="4" t="s">
        <v>391</v>
      </c>
      <c r="C13" s="4" t="s">
        <v>409</v>
      </c>
      <c r="D13" s="4" t="s">
        <v>410</v>
      </c>
      <c r="E13" s="4" t="s">
        <v>398</v>
      </c>
    </row>
    <row r="14" customFormat="false" ht="28.35" hidden="false" customHeight="false" outlineLevel="0" collapsed="false">
      <c r="A14" s="4" t="s">
        <v>411</v>
      </c>
      <c r="B14" s="4" t="s">
        <v>391</v>
      </c>
      <c r="C14" s="4" t="s">
        <v>412</v>
      </c>
      <c r="D14" s="4" t="s">
        <v>413</v>
      </c>
      <c r="E14" s="4" t="s">
        <v>398</v>
      </c>
    </row>
    <row r="15" customFormat="false" ht="15" hidden="false" customHeight="false" outlineLevel="0" collapsed="false">
      <c r="A15" s="4" t="s">
        <v>414</v>
      </c>
      <c r="B15" s="4" t="s">
        <v>391</v>
      </c>
      <c r="C15" s="4" t="s">
        <v>415</v>
      </c>
      <c r="D15" s="4" t="s">
        <v>416</v>
      </c>
      <c r="E15" s="4" t="s">
        <v>398</v>
      </c>
    </row>
    <row r="16" customFormat="false" ht="15" hidden="false" customHeight="false" outlineLevel="0" collapsed="false">
      <c r="A16" s="4" t="s">
        <v>417</v>
      </c>
      <c r="B16" s="4" t="s">
        <v>391</v>
      </c>
      <c r="C16" s="4" t="s">
        <v>418</v>
      </c>
      <c r="D16" s="4" t="s">
        <v>419</v>
      </c>
      <c r="E16" s="4" t="s">
        <v>398</v>
      </c>
    </row>
    <row r="17" customFormat="false" ht="15" hidden="false" customHeight="false" outlineLevel="0" collapsed="false">
      <c r="A17" s="4" t="s">
        <v>420</v>
      </c>
      <c r="B17" s="4" t="s">
        <v>391</v>
      </c>
      <c r="C17" s="4" t="s">
        <v>421</v>
      </c>
      <c r="D17" s="4" t="s">
        <v>422</v>
      </c>
      <c r="E17" s="4" t="s">
        <v>398</v>
      </c>
    </row>
    <row r="19" customFormat="false" ht="15" hidden="false" customHeight="false" outlineLevel="0" collapsed="false">
      <c r="A19" s="3" t="s">
        <v>423</v>
      </c>
      <c r="B19" s="3" t="s">
        <v>424</v>
      </c>
      <c r="C19" s="3" t="s">
        <v>425</v>
      </c>
    </row>
    <row r="20" customFormat="false" ht="68.65" hidden="false" customHeight="false" outlineLevel="0" collapsed="false">
      <c r="A20" s="4" t="s">
        <v>426</v>
      </c>
      <c r="B20" s="4" t="s">
        <v>427</v>
      </c>
      <c r="C20" s="4" t="s">
        <v>428</v>
      </c>
    </row>
    <row r="21" customFormat="false" ht="15.75" hidden="false" customHeight="true" outlineLevel="0" collapsed="false">
      <c r="A21" s="4" t="s">
        <v>373</v>
      </c>
      <c r="B21" s="4" t="s">
        <v>429</v>
      </c>
      <c r="C21" s="4" t="s">
        <v>430</v>
      </c>
    </row>
    <row r="22" customFormat="false" ht="15.75" hidden="false" customHeight="true" outlineLevel="0" collapsed="false">
      <c r="A22" s="4" t="s">
        <v>431</v>
      </c>
      <c r="B22" s="4" t="s">
        <v>432</v>
      </c>
      <c r="C22" s="4" t="s">
        <v>433</v>
      </c>
    </row>
    <row r="23" customFormat="false" ht="15.75" hidden="false" customHeight="true" outlineLevel="0" collapsed="false">
      <c r="A23" s="4" t="s">
        <v>434</v>
      </c>
      <c r="B23" s="4" t="s">
        <v>435</v>
      </c>
      <c r="C23" s="4" t="s">
        <v>436</v>
      </c>
    </row>
    <row r="24" customFormat="false" ht="15.75" hidden="false" customHeight="true" outlineLevel="0" collapsed="false">
      <c r="A24" s="4" t="s">
        <v>437</v>
      </c>
      <c r="B24" s="4" t="s">
        <v>438</v>
      </c>
      <c r="C24" s="4" t="s">
        <v>439</v>
      </c>
    </row>
    <row r="25" customFormat="false" ht="15.75" hidden="false" customHeight="true" outlineLevel="0" collapsed="false">
      <c r="A25" s="4" t="s">
        <v>440</v>
      </c>
      <c r="B25" s="4" t="s">
        <v>441</v>
      </c>
      <c r="C25" s="4" t="s">
        <v>442</v>
      </c>
    </row>
    <row r="26" customFormat="false" ht="15.75" hidden="false" customHeight="true" outlineLevel="0" collapsed="false">
      <c r="A26" s="4" t="s">
        <v>443</v>
      </c>
      <c r="B26" s="4" t="s">
        <v>444</v>
      </c>
      <c r="C26" s="4" t="s">
        <v>445</v>
      </c>
    </row>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E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0" width="24"/>
    <col collapsed="false" customWidth="true" hidden="false" outlineLevel="0" max="2" min="2" style="0" width="13"/>
    <col collapsed="false" customWidth="true" hidden="false" outlineLevel="0" max="3" min="3" style="0" width="23"/>
    <col collapsed="false" customWidth="true" hidden="false" outlineLevel="0" max="4" min="4" style="0" width="34"/>
    <col collapsed="false" customWidth="true" hidden="false" outlineLevel="0" max="5" min="5" style="0" width="40"/>
    <col collapsed="false" customWidth="true" hidden="false" outlineLevel="0" max="6" min="6" style="0" width="20"/>
    <col collapsed="false" customWidth="true" hidden="false" outlineLevel="0" max="7" min="7" style="0" width="18"/>
    <col collapsed="false" customWidth="true" hidden="false" outlineLevel="0" max="8" min="8" style="0" width="52"/>
    <col collapsed="false" customWidth="true" hidden="false" outlineLevel="0" max="9" min="9" style="0" width="48"/>
    <col collapsed="false" customWidth="true" hidden="false" outlineLevel="0" max="10" min="10" style="0" width="46"/>
    <col collapsed="false" customWidth="true" hidden="false" outlineLevel="0" max="26" min="11" style="0" width="8.63"/>
  </cols>
  <sheetData>
    <row r="1" customFormat="false" ht="28.35" hidden="false" customHeight="false" outlineLevel="0" collapsed="false">
      <c r="A1" s="3" t="s">
        <v>446</v>
      </c>
      <c r="B1" s="3" t="s">
        <v>447</v>
      </c>
      <c r="C1" s="3" t="s">
        <v>448</v>
      </c>
      <c r="D1" s="3" t="s">
        <v>449</v>
      </c>
      <c r="E1" s="3" t="s">
        <v>450</v>
      </c>
      <c r="F1" s="3" t="s">
        <v>451</v>
      </c>
      <c r="G1" s="3" t="s">
        <v>452</v>
      </c>
      <c r="H1" s="3" t="s">
        <v>453</v>
      </c>
      <c r="I1" s="3" t="s">
        <v>454</v>
      </c>
      <c r="J1" s="3" t="s">
        <v>455</v>
      </c>
    </row>
    <row r="2" customFormat="false" ht="28.35" hidden="false" customHeight="false" outlineLevel="0" collapsed="false">
      <c r="A2" s="9" t="s">
        <v>456</v>
      </c>
      <c r="B2" s="9" t="s">
        <v>457</v>
      </c>
      <c r="C2" s="9" t="s">
        <v>458</v>
      </c>
      <c r="D2" s="9" t="s">
        <v>459</v>
      </c>
      <c r="E2" s="9" t="s">
        <v>460</v>
      </c>
      <c r="F2" s="9" t="s">
        <v>377</v>
      </c>
      <c r="G2" s="9" t="s">
        <v>461</v>
      </c>
      <c r="H2" s="9" t="s">
        <v>462</v>
      </c>
      <c r="I2" s="9" t="s">
        <v>463</v>
      </c>
      <c r="J2" s="9" t="s">
        <v>464</v>
      </c>
    </row>
    <row r="3" customFormat="false" ht="28.35" hidden="false" customHeight="false" outlineLevel="0" collapsed="false">
      <c r="A3" s="9" t="s">
        <v>456</v>
      </c>
      <c r="B3" s="9" t="s">
        <v>465</v>
      </c>
      <c r="C3" s="9" t="s">
        <v>458</v>
      </c>
      <c r="D3" s="9" t="s">
        <v>459</v>
      </c>
      <c r="E3" s="9" t="s">
        <v>466</v>
      </c>
      <c r="F3" s="9" t="s">
        <v>377</v>
      </c>
      <c r="G3" s="9" t="s">
        <v>461</v>
      </c>
      <c r="H3" s="9" t="s">
        <v>467</v>
      </c>
      <c r="I3" s="9" t="s">
        <v>463</v>
      </c>
      <c r="J3" s="9" t="s">
        <v>464</v>
      </c>
    </row>
    <row r="4" customFormat="false" ht="28.35" hidden="false" customHeight="false" outlineLevel="0" collapsed="false">
      <c r="A4" s="9" t="s">
        <v>456</v>
      </c>
      <c r="B4" s="9" t="s">
        <v>468</v>
      </c>
      <c r="C4" s="9" t="s">
        <v>458</v>
      </c>
      <c r="D4" s="9" t="s">
        <v>459</v>
      </c>
      <c r="E4" s="9" t="s">
        <v>469</v>
      </c>
      <c r="F4" s="9" t="s">
        <v>384</v>
      </c>
      <c r="G4" s="9" t="s">
        <v>470</v>
      </c>
      <c r="H4" s="9" t="s">
        <v>471</v>
      </c>
      <c r="I4" s="9" t="s">
        <v>472</v>
      </c>
      <c r="J4" s="9" t="s">
        <v>464</v>
      </c>
    </row>
    <row r="5" customFormat="false" ht="28.35" hidden="false" customHeight="false" outlineLevel="0" collapsed="false">
      <c r="A5" s="9" t="s">
        <v>456</v>
      </c>
      <c r="B5" s="9" t="s">
        <v>473</v>
      </c>
      <c r="C5" s="9" t="s">
        <v>458</v>
      </c>
      <c r="D5" s="9" t="s">
        <v>459</v>
      </c>
      <c r="E5" s="9" t="s">
        <v>474</v>
      </c>
      <c r="F5" s="9" t="s">
        <v>377</v>
      </c>
      <c r="G5" s="9" t="s">
        <v>461</v>
      </c>
      <c r="H5" s="9" t="s">
        <v>475</v>
      </c>
      <c r="I5" s="9" t="s">
        <v>476</v>
      </c>
      <c r="J5" s="9" t="s">
        <v>464</v>
      </c>
    </row>
    <row r="6" customFormat="false" ht="41.75" hidden="false" customHeight="false" outlineLevel="0" collapsed="false">
      <c r="A6" s="9" t="s">
        <v>456</v>
      </c>
      <c r="B6" s="9" t="s">
        <v>477</v>
      </c>
      <c r="C6" s="9" t="s">
        <v>458</v>
      </c>
      <c r="D6" s="9" t="s">
        <v>459</v>
      </c>
      <c r="E6" s="9" t="s">
        <v>478</v>
      </c>
      <c r="F6" s="9" t="s">
        <v>377</v>
      </c>
      <c r="G6" s="9" t="s">
        <v>461</v>
      </c>
      <c r="H6" s="9" t="s">
        <v>479</v>
      </c>
      <c r="I6" s="9" t="s">
        <v>480</v>
      </c>
      <c r="J6" s="9" t="s">
        <v>464</v>
      </c>
    </row>
    <row r="7" customFormat="false" ht="15" hidden="false" customHeight="false" outlineLevel="0" collapsed="false">
      <c r="A7" s="9" t="s">
        <v>456</v>
      </c>
      <c r="B7" s="9" t="s">
        <v>481</v>
      </c>
      <c r="C7" s="9" t="s">
        <v>458</v>
      </c>
      <c r="D7" s="9" t="s">
        <v>459</v>
      </c>
      <c r="E7" s="9" t="s">
        <v>482</v>
      </c>
      <c r="F7" s="9" t="s">
        <v>377</v>
      </c>
      <c r="G7" s="9" t="s">
        <v>461</v>
      </c>
      <c r="H7" s="9" t="s">
        <v>483</v>
      </c>
      <c r="I7" s="9" t="s">
        <v>484</v>
      </c>
      <c r="J7" s="9" t="s">
        <v>464</v>
      </c>
    </row>
    <row r="8" customFormat="false" ht="41.75" hidden="false" customHeight="false" outlineLevel="0" collapsed="false">
      <c r="A8" s="9" t="s">
        <v>456</v>
      </c>
      <c r="B8" s="9" t="s">
        <v>485</v>
      </c>
      <c r="C8" s="9" t="s">
        <v>458</v>
      </c>
      <c r="D8" s="9" t="s">
        <v>486</v>
      </c>
      <c r="E8" s="9" t="s">
        <v>487</v>
      </c>
      <c r="F8" s="9" t="s">
        <v>377</v>
      </c>
      <c r="G8" s="9" t="s">
        <v>461</v>
      </c>
      <c r="H8" s="9" t="s">
        <v>488</v>
      </c>
      <c r="I8" s="9" t="s">
        <v>489</v>
      </c>
      <c r="J8" s="9" t="s">
        <v>464</v>
      </c>
    </row>
    <row r="9" customFormat="false" ht="15" hidden="false" customHeight="false" outlineLevel="0" collapsed="false">
      <c r="A9" s="9" t="s">
        <v>456</v>
      </c>
      <c r="B9" s="9" t="s">
        <v>490</v>
      </c>
      <c r="C9" s="9" t="s">
        <v>458</v>
      </c>
      <c r="D9" s="9" t="s">
        <v>486</v>
      </c>
      <c r="E9" s="9" t="s">
        <v>491</v>
      </c>
      <c r="F9" s="9" t="s">
        <v>377</v>
      </c>
      <c r="G9" s="9" t="s">
        <v>461</v>
      </c>
      <c r="H9" s="9" t="s">
        <v>492</v>
      </c>
      <c r="I9" s="9" t="s">
        <v>493</v>
      </c>
      <c r="J9" s="9" t="s">
        <v>464</v>
      </c>
    </row>
    <row r="10" customFormat="false" ht="15" hidden="false" customHeight="false" outlineLevel="0" collapsed="false">
      <c r="A10" s="9" t="s">
        <v>456</v>
      </c>
      <c r="B10" s="9" t="s">
        <v>494</v>
      </c>
      <c r="C10" s="9" t="s">
        <v>458</v>
      </c>
      <c r="D10" s="9" t="s">
        <v>486</v>
      </c>
      <c r="E10" s="9" t="s">
        <v>495</v>
      </c>
      <c r="F10" s="9" t="s">
        <v>377</v>
      </c>
      <c r="G10" s="9" t="s">
        <v>461</v>
      </c>
      <c r="H10" s="9" t="s">
        <v>496</v>
      </c>
      <c r="I10" s="9" t="s">
        <v>497</v>
      </c>
      <c r="J10" s="9" t="s">
        <v>464</v>
      </c>
    </row>
    <row r="11" customFormat="false" ht="28.35" hidden="false" customHeight="false" outlineLevel="0" collapsed="false">
      <c r="A11" s="9" t="s">
        <v>456</v>
      </c>
      <c r="B11" s="9" t="s">
        <v>498</v>
      </c>
      <c r="C11" s="9" t="s">
        <v>458</v>
      </c>
      <c r="D11" s="9" t="s">
        <v>486</v>
      </c>
      <c r="E11" s="9" t="s">
        <v>499</v>
      </c>
      <c r="F11" s="9" t="s">
        <v>377</v>
      </c>
      <c r="G11" s="9" t="s">
        <v>461</v>
      </c>
      <c r="H11" s="9" t="s">
        <v>500</v>
      </c>
      <c r="I11" s="9" t="s">
        <v>463</v>
      </c>
      <c r="J11" s="9" t="s">
        <v>464</v>
      </c>
    </row>
    <row r="12" customFormat="false" ht="15" hidden="false" customHeight="false" outlineLevel="0" collapsed="false">
      <c r="A12" s="9" t="s">
        <v>456</v>
      </c>
      <c r="B12" s="9" t="s">
        <v>501</v>
      </c>
      <c r="C12" s="9" t="s">
        <v>458</v>
      </c>
      <c r="D12" s="9" t="s">
        <v>486</v>
      </c>
      <c r="E12" s="9" t="s">
        <v>502</v>
      </c>
      <c r="F12" s="9" t="s">
        <v>377</v>
      </c>
      <c r="G12" s="9" t="s">
        <v>461</v>
      </c>
      <c r="H12" s="9" t="s">
        <v>503</v>
      </c>
      <c r="I12" s="9" t="s">
        <v>504</v>
      </c>
      <c r="J12" s="9" t="s">
        <v>464</v>
      </c>
    </row>
    <row r="13" customFormat="false" ht="15" hidden="false" customHeight="false" outlineLevel="0" collapsed="false">
      <c r="A13" s="9" t="s">
        <v>456</v>
      </c>
      <c r="B13" s="9" t="s">
        <v>505</v>
      </c>
      <c r="C13" s="9" t="s">
        <v>458</v>
      </c>
      <c r="D13" s="9" t="s">
        <v>486</v>
      </c>
      <c r="E13" s="9" t="s">
        <v>506</v>
      </c>
      <c r="F13" s="9" t="s">
        <v>377</v>
      </c>
      <c r="G13" s="9" t="s">
        <v>461</v>
      </c>
      <c r="H13" s="9" t="s">
        <v>507</v>
      </c>
      <c r="I13" s="9" t="s">
        <v>508</v>
      </c>
      <c r="J13" s="9" t="s">
        <v>464</v>
      </c>
    </row>
    <row r="14" customFormat="false" ht="15" hidden="false" customHeight="false" outlineLevel="0" collapsed="false">
      <c r="A14" s="9" t="s">
        <v>456</v>
      </c>
      <c r="B14" s="9" t="s">
        <v>509</v>
      </c>
      <c r="C14" s="9" t="s">
        <v>458</v>
      </c>
      <c r="D14" s="9" t="s">
        <v>486</v>
      </c>
      <c r="E14" s="9" t="s">
        <v>510</v>
      </c>
      <c r="F14" s="9" t="s">
        <v>377</v>
      </c>
      <c r="G14" s="9" t="s">
        <v>461</v>
      </c>
      <c r="H14" s="9" t="s">
        <v>511</v>
      </c>
      <c r="I14" s="9" t="s">
        <v>512</v>
      </c>
      <c r="J14" s="9" t="s">
        <v>464</v>
      </c>
    </row>
    <row r="15" customFormat="false" ht="15" hidden="false" customHeight="false" outlineLevel="0" collapsed="false">
      <c r="A15" s="9" t="s">
        <v>456</v>
      </c>
      <c r="B15" s="9" t="s">
        <v>513</v>
      </c>
      <c r="C15" s="9" t="s">
        <v>458</v>
      </c>
      <c r="D15" s="9" t="s">
        <v>514</v>
      </c>
      <c r="E15" s="9" t="s">
        <v>515</v>
      </c>
      <c r="F15" s="9" t="s">
        <v>377</v>
      </c>
      <c r="G15" s="9" t="s">
        <v>461</v>
      </c>
      <c r="H15" s="9" t="s">
        <v>516</v>
      </c>
      <c r="I15" s="9" t="s">
        <v>517</v>
      </c>
      <c r="J15" s="9" t="s">
        <v>464</v>
      </c>
    </row>
    <row r="16" customFormat="false" ht="15" hidden="false" customHeight="false" outlineLevel="0" collapsed="false">
      <c r="A16" s="9" t="s">
        <v>456</v>
      </c>
      <c r="B16" s="9" t="s">
        <v>518</v>
      </c>
      <c r="C16" s="9" t="s">
        <v>458</v>
      </c>
      <c r="D16" s="9" t="s">
        <v>514</v>
      </c>
      <c r="E16" s="9" t="s">
        <v>519</v>
      </c>
      <c r="F16" s="9" t="s">
        <v>377</v>
      </c>
      <c r="G16" s="9" t="s">
        <v>461</v>
      </c>
      <c r="H16" s="9" t="s">
        <v>520</v>
      </c>
      <c r="I16" s="9" t="s">
        <v>521</v>
      </c>
      <c r="J16" s="9" t="s">
        <v>464</v>
      </c>
    </row>
    <row r="17" customFormat="false" ht="15" hidden="false" customHeight="false" outlineLevel="0" collapsed="false">
      <c r="A17" s="9" t="s">
        <v>456</v>
      </c>
      <c r="B17" s="9" t="s">
        <v>522</v>
      </c>
      <c r="C17" s="9" t="s">
        <v>458</v>
      </c>
      <c r="D17" s="9" t="s">
        <v>514</v>
      </c>
      <c r="E17" s="9" t="s">
        <v>523</v>
      </c>
      <c r="F17" s="9" t="s">
        <v>377</v>
      </c>
      <c r="G17" s="9" t="s">
        <v>461</v>
      </c>
      <c r="H17" s="9" t="s">
        <v>524</v>
      </c>
      <c r="I17" s="9" t="s">
        <v>525</v>
      </c>
      <c r="J17" s="9" t="s">
        <v>464</v>
      </c>
    </row>
    <row r="18" customFormat="false" ht="15" hidden="false" customHeight="false" outlineLevel="0" collapsed="false">
      <c r="A18" s="9" t="s">
        <v>456</v>
      </c>
      <c r="B18" s="9" t="s">
        <v>526</v>
      </c>
      <c r="C18" s="9" t="s">
        <v>458</v>
      </c>
      <c r="D18" s="9" t="s">
        <v>514</v>
      </c>
      <c r="E18" s="9" t="s">
        <v>527</v>
      </c>
      <c r="F18" s="9" t="s">
        <v>377</v>
      </c>
      <c r="G18" s="9" t="s">
        <v>461</v>
      </c>
      <c r="H18" s="9" t="s">
        <v>528</v>
      </c>
      <c r="I18" s="9" t="s">
        <v>529</v>
      </c>
      <c r="J18" s="9" t="s">
        <v>464</v>
      </c>
    </row>
    <row r="19" customFormat="false" ht="15" hidden="false" customHeight="false" outlineLevel="0" collapsed="false">
      <c r="A19" s="9" t="s">
        <v>456</v>
      </c>
      <c r="B19" s="9" t="s">
        <v>530</v>
      </c>
      <c r="C19" s="9" t="s">
        <v>458</v>
      </c>
      <c r="D19" s="9" t="s">
        <v>514</v>
      </c>
      <c r="E19" s="9" t="s">
        <v>531</v>
      </c>
      <c r="F19" s="9" t="s">
        <v>377</v>
      </c>
      <c r="G19" s="9" t="s">
        <v>461</v>
      </c>
      <c r="H19" s="9" t="s">
        <v>532</v>
      </c>
      <c r="I19" s="9" t="s">
        <v>533</v>
      </c>
      <c r="J19" s="9" t="s">
        <v>464</v>
      </c>
    </row>
    <row r="20" customFormat="false" ht="28.35" hidden="false" customHeight="false" outlineLevel="0" collapsed="false">
      <c r="A20" s="9" t="s">
        <v>456</v>
      </c>
      <c r="B20" s="9" t="s">
        <v>534</v>
      </c>
      <c r="C20" s="9" t="s">
        <v>458</v>
      </c>
      <c r="D20" s="9" t="s">
        <v>514</v>
      </c>
      <c r="E20" s="9" t="s">
        <v>535</v>
      </c>
      <c r="F20" s="9" t="s">
        <v>377</v>
      </c>
      <c r="G20" s="9" t="s">
        <v>461</v>
      </c>
      <c r="H20" s="9" t="s">
        <v>536</v>
      </c>
      <c r="I20" s="9" t="s">
        <v>463</v>
      </c>
      <c r="J20" s="9" t="s">
        <v>464</v>
      </c>
    </row>
    <row r="21" customFormat="false" ht="15.75" hidden="false" customHeight="true" outlineLevel="0" collapsed="false">
      <c r="A21" s="9" t="s">
        <v>456</v>
      </c>
      <c r="B21" s="9" t="s">
        <v>537</v>
      </c>
      <c r="C21" s="9" t="s">
        <v>458</v>
      </c>
      <c r="D21" s="9" t="s">
        <v>514</v>
      </c>
      <c r="E21" s="9" t="s">
        <v>538</v>
      </c>
      <c r="F21" s="9" t="s">
        <v>377</v>
      </c>
      <c r="G21" s="9" t="s">
        <v>461</v>
      </c>
      <c r="H21" s="9" t="s">
        <v>539</v>
      </c>
      <c r="I21" s="9" t="s">
        <v>540</v>
      </c>
      <c r="J21" s="9" t="s">
        <v>464</v>
      </c>
    </row>
    <row r="22" customFormat="false" ht="15.75" hidden="false" customHeight="true" outlineLevel="0" collapsed="false">
      <c r="A22" s="9" t="s">
        <v>456</v>
      </c>
      <c r="B22" s="9" t="s">
        <v>541</v>
      </c>
      <c r="C22" s="9" t="s">
        <v>458</v>
      </c>
      <c r="D22" s="9" t="s">
        <v>542</v>
      </c>
      <c r="E22" s="9" t="s">
        <v>543</v>
      </c>
      <c r="F22" s="9" t="s">
        <v>377</v>
      </c>
      <c r="G22" s="9" t="s">
        <v>461</v>
      </c>
      <c r="H22" s="9" t="s">
        <v>544</v>
      </c>
      <c r="I22" s="9" t="s">
        <v>545</v>
      </c>
      <c r="J22" s="9" t="s">
        <v>464</v>
      </c>
    </row>
    <row r="23" customFormat="false" ht="15.75" hidden="false" customHeight="true" outlineLevel="0" collapsed="false">
      <c r="A23" s="9" t="s">
        <v>456</v>
      </c>
      <c r="B23" s="9" t="s">
        <v>546</v>
      </c>
      <c r="C23" s="9" t="s">
        <v>458</v>
      </c>
      <c r="D23" s="9" t="s">
        <v>542</v>
      </c>
      <c r="E23" s="9" t="s">
        <v>547</v>
      </c>
      <c r="F23" s="9" t="s">
        <v>384</v>
      </c>
      <c r="G23" s="9" t="s">
        <v>470</v>
      </c>
      <c r="H23" s="9" t="s">
        <v>548</v>
      </c>
      <c r="I23" s="9" t="s">
        <v>549</v>
      </c>
      <c r="J23" s="9" t="s">
        <v>464</v>
      </c>
    </row>
    <row r="24" customFormat="false" ht="15.75" hidden="false" customHeight="true" outlineLevel="0" collapsed="false">
      <c r="A24" s="9" t="s">
        <v>456</v>
      </c>
      <c r="B24" s="9" t="s">
        <v>550</v>
      </c>
      <c r="C24" s="9" t="s">
        <v>458</v>
      </c>
      <c r="D24" s="9" t="s">
        <v>542</v>
      </c>
      <c r="E24" s="9" t="s">
        <v>551</v>
      </c>
      <c r="F24" s="9" t="s">
        <v>377</v>
      </c>
      <c r="G24" s="9" t="s">
        <v>461</v>
      </c>
      <c r="H24" s="9" t="s">
        <v>552</v>
      </c>
      <c r="I24" s="9" t="s">
        <v>553</v>
      </c>
      <c r="J24" s="9" t="s">
        <v>464</v>
      </c>
    </row>
    <row r="25" customFormat="false" ht="15.75" hidden="false" customHeight="true" outlineLevel="0" collapsed="false">
      <c r="A25" s="9" t="s">
        <v>456</v>
      </c>
      <c r="B25" s="9" t="s">
        <v>554</v>
      </c>
      <c r="C25" s="9" t="s">
        <v>458</v>
      </c>
      <c r="D25" s="9" t="s">
        <v>542</v>
      </c>
      <c r="E25" s="9" t="s">
        <v>555</v>
      </c>
      <c r="F25" s="9" t="s">
        <v>377</v>
      </c>
      <c r="G25" s="9" t="s">
        <v>461</v>
      </c>
      <c r="H25" s="9" t="s">
        <v>556</v>
      </c>
      <c r="I25" s="9" t="s">
        <v>557</v>
      </c>
      <c r="J25" s="9" t="s">
        <v>464</v>
      </c>
    </row>
    <row r="26" customFormat="false" ht="15.75" hidden="false" customHeight="true" outlineLevel="0" collapsed="false">
      <c r="A26" s="9" t="s">
        <v>456</v>
      </c>
      <c r="B26" s="9" t="s">
        <v>558</v>
      </c>
      <c r="C26" s="9" t="s">
        <v>458</v>
      </c>
      <c r="D26" s="9" t="s">
        <v>542</v>
      </c>
      <c r="E26" s="9" t="s">
        <v>559</v>
      </c>
      <c r="F26" s="9" t="s">
        <v>377</v>
      </c>
      <c r="G26" s="9" t="s">
        <v>461</v>
      </c>
      <c r="H26" s="9" t="s">
        <v>560</v>
      </c>
      <c r="I26" s="9" t="s">
        <v>561</v>
      </c>
      <c r="J26" s="9" t="s">
        <v>464</v>
      </c>
    </row>
    <row r="27" customFormat="false" ht="15.75" hidden="false" customHeight="true" outlineLevel="0" collapsed="false">
      <c r="A27" s="9" t="s">
        <v>456</v>
      </c>
      <c r="B27" s="9" t="s">
        <v>562</v>
      </c>
      <c r="C27" s="9" t="s">
        <v>458</v>
      </c>
      <c r="D27" s="9" t="s">
        <v>542</v>
      </c>
      <c r="E27" s="9" t="s">
        <v>563</v>
      </c>
      <c r="F27" s="9" t="s">
        <v>377</v>
      </c>
      <c r="G27" s="9" t="s">
        <v>461</v>
      </c>
      <c r="H27" s="9" t="s">
        <v>564</v>
      </c>
      <c r="I27" s="9" t="s">
        <v>565</v>
      </c>
      <c r="J27" s="9" t="s">
        <v>464</v>
      </c>
    </row>
    <row r="28" customFormat="false" ht="15.75" hidden="false" customHeight="true" outlineLevel="0" collapsed="false">
      <c r="A28" s="9" t="s">
        <v>456</v>
      </c>
      <c r="B28" s="9" t="s">
        <v>566</v>
      </c>
      <c r="C28" s="9" t="s">
        <v>458</v>
      </c>
      <c r="D28" s="9" t="s">
        <v>542</v>
      </c>
      <c r="E28" s="9" t="s">
        <v>567</v>
      </c>
      <c r="F28" s="9" t="s">
        <v>377</v>
      </c>
      <c r="G28" s="9" t="s">
        <v>461</v>
      </c>
      <c r="H28" s="9" t="s">
        <v>568</v>
      </c>
      <c r="I28" s="9" t="s">
        <v>569</v>
      </c>
      <c r="J28" s="9" t="s">
        <v>464</v>
      </c>
    </row>
    <row r="29" customFormat="false" ht="15.75" hidden="false" customHeight="true" outlineLevel="0" collapsed="false">
      <c r="A29" s="9" t="s">
        <v>456</v>
      </c>
      <c r="B29" s="9" t="s">
        <v>570</v>
      </c>
      <c r="C29" s="9" t="s">
        <v>458</v>
      </c>
      <c r="D29" s="9" t="s">
        <v>542</v>
      </c>
      <c r="E29" s="9" t="s">
        <v>571</v>
      </c>
      <c r="F29" s="9" t="s">
        <v>377</v>
      </c>
      <c r="G29" s="9" t="s">
        <v>461</v>
      </c>
      <c r="H29" s="9" t="s">
        <v>572</v>
      </c>
      <c r="I29" s="9" t="s">
        <v>573</v>
      </c>
      <c r="J29" s="9" t="s">
        <v>464</v>
      </c>
    </row>
    <row r="30" customFormat="false" ht="15.75" hidden="false" customHeight="true" outlineLevel="0" collapsed="false">
      <c r="A30" s="9" t="s">
        <v>456</v>
      </c>
      <c r="B30" s="9" t="s">
        <v>574</v>
      </c>
      <c r="C30" s="9" t="s">
        <v>458</v>
      </c>
      <c r="D30" s="9" t="s">
        <v>542</v>
      </c>
      <c r="E30" s="9" t="s">
        <v>575</v>
      </c>
      <c r="F30" s="9" t="s">
        <v>384</v>
      </c>
      <c r="G30" s="9" t="s">
        <v>470</v>
      </c>
      <c r="H30" s="9" t="s">
        <v>576</v>
      </c>
      <c r="I30" s="9" t="s">
        <v>577</v>
      </c>
      <c r="J30" s="9" t="s">
        <v>464</v>
      </c>
    </row>
    <row r="31" customFormat="false" ht="15.75" hidden="false" customHeight="true" outlineLevel="0" collapsed="false">
      <c r="A31" s="9" t="s">
        <v>456</v>
      </c>
      <c r="B31" s="9" t="s">
        <v>578</v>
      </c>
      <c r="C31" s="9" t="s">
        <v>458</v>
      </c>
      <c r="D31" s="9" t="s">
        <v>579</v>
      </c>
      <c r="E31" s="9" t="s">
        <v>580</v>
      </c>
      <c r="F31" s="9" t="s">
        <v>377</v>
      </c>
      <c r="G31" s="9" t="s">
        <v>461</v>
      </c>
      <c r="H31" s="9" t="s">
        <v>581</v>
      </c>
      <c r="I31" s="9" t="s">
        <v>582</v>
      </c>
      <c r="J31" s="9" t="s">
        <v>464</v>
      </c>
    </row>
    <row r="32" customFormat="false" ht="15.75" hidden="false" customHeight="true" outlineLevel="0" collapsed="false">
      <c r="A32" s="9" t="s">
        <v>456</v>
      </c>
      <c r="B32" s="9" t="s">
        <v>583</v>
      </c>
      <c r="C32" s="9" t="s">
        <v>458</v>
      </c>
      <c r="D32" s="9" t="s">
        <v>579</v>
      </c>
      <c r="E32" s="9" t="s">
        <v>584</v>
      </c>
      <c r="F32" s="9" t="s">
        <v>377</v>
      </c>
      <c r="G32" s="9" t="s">
        <v>461</v>
      </c>
      <c r="H32" s="9" t="s">
        <v>585</v>
      </c>
      <c r="I32" s="9" t="s">
        <v>586</v>
      </c>
      <c r="J32" s="9" t="s">
        <v>464</v>
      </c>
    </row>
    <row r="33" customFormat="false" ht="15.75" hidden="false" customHeight="true" outlineLevel="0" collapsed="false">
      <c r="A33" s="9" t="s">
        <v>456</v>
      </c>
      <c r="B33" s="9" t="s">
        <v>587</v>
      </c>
      <c r="C33" s="9" t="s">
        <v>458</v>
      </c>
      <c r="D33" s="9" t="s">
        <v>579</v>
      </c>
      <c r="E33" s="9" t="s">
        <v>588</v>
      </c>
      <c r="F33" s="9" t="s">
        <v>377</v>
      </c>
      <c r="G33" s="9" t="s">
        <v>461</v>
      </c>
      <c r="H33" s="9" t="s">
        <v>589</v>
      </c>
      <c r="I33" s="9" t="s">
        <v>590</v>
      </c>
      <c r="J33" s="9" t="s">
        <v>464</v>
      </c>
    </row>
    <row r="34" customFormat="false" ht="15.75" hidden="false" customHeight="true" outlineLevel="0" collapsed="false">
      <c r="A34" s="9" t="s">
        <v>456</v>
      </c>
      <c r="B34" s="9" t="s">
        <v>591</v>
      </c>
      <c r="C34" s="9" t="s">
        <v>458</v>
      </c>
      <c r="D34" s="9" t="s">
        <v>579</v>
      </c>
      <c r="E34" s="9" t="s">
        <v>592</v>
      </c>
      <c r="F34" s="9" t="s">
        <v>377</v>
      </c>
      <c r="G34" s="9" t="s">
        <v>461</v>
      </c>
      <c r="H34" s="9" t="s">
        <v>593</v>
      </c>
      <c r="I34" s="9" t="s">
        <v>594</v>
      </c>
      <c r="J34" s="9" t="s">
        <v>464</v>
      </c>
    </row>
    <row r="35" customFormat="false" ht="15.75" hidden="false" customHeight="true" outlineLevel="0" collapsed="false">
      <c r="A35" s="9" t="s">
        <v>456</v>
      </c>
      <c r="B35" s="9" t="s">
        <v>595</v>
      </c>
      <c r="C35" s="9" t="s">
        <v>458</v>
      </c>
      <c r="D35" s="9" t="s">
        <v>579</v>
      </c>
      <c r="E35" s="9" t="s">
        <v>596</v>
      </c>
      <c r="F35" s="9" t="s">
        <v>377</v>
      </c>
      <c r="G35" s="9" t="s">
        <v>461</v>
      </c>
      <c r="H35" s="9" t="s">
        <v>597</v>
      </c>
      <c r="I35" s="9" t="s">
        <v>598</v>
      </c>
      <c r="J35" s="9" t="s">
        <v>464</v>
      </c>
    </row>
    <row r="36" customFormat="false" ht="15.75" hidden="false" customHeight="true" outlineLevel="0" collapsed="false">
      <c r="A36" s="9" t="s">
        <v>456</v>
      </c>
      <c r="B36" s="9" t="s">
        <v>599</v>
      </c>
      <c r="C36" s="9" t="s">
        <v>458</v>
      </c>
      <c r="D36" s="9" t="s">
        <v>579</v>
      </c>
      <c r="E36" s="9" t="s">
        <v>600</v>
      </c>
      <c r="F36" s="9" t="s">
        <v>377</v>
      </c>
      <c r="G36" s="9" t="s">
        <v>461</v>
      </c>
      <c r="H36" s="9" t="s">
        <v>601</v>
      </c>
      <c r="I36" s="9" t="s">
        <v>602</v>
      </c>
      <c r="J36" s="9" t="s">
        <v>464</v>
      </c>
    </row>
    <row r="37" customFormat="false" ht="15.75" hidden="false" customHeight="true" outlineLevel="0" collapsed="false">
      <c r="A37" s="9" t="s">
        <v>456</v>
      </c>
      <c r="B37" s="9" t="s">
        <v>603</v>
      </c>
      <c r="C37" s="9" t="s">
        <v>604</v>
      </c>
      <c r="D37" s="9" t="s">
        <v>605</v>
      </c>
      <c r="E37" s="9" t="s">
        <v>606</v>
      </c>
      <c r="F37" s="9" t="s">
        <v>384</v>
      </c>
      <c r="G37" s="9" t="s">
        <v>470</v>
      </c>
      <c r="H37" s="9" t="s">
        <v>607</v>
      </c>
      <c r="I37" s="9" t="s">
        <v>608</v>
      </c>
      <c r="J37" s="9" t="s">
        <v>464</v>
      </c>
    </row>
    <row r="38" customFormat="false" ht="15.75" hidden="false" customHeight="true" outlineLevel="0" collapsed="false">
      <c r="A38" s="9" t="s">
        <v>456</v>
      </c>
      <c r="B38" s="9" t="s">
        <v>609</v>
      </c>
      <c r="C38" s="9" t="s">
        <v>604</v>
      </c>
      <c r="D38" s="9" t="s">
        <v>605</v>
      </c>
      <c r="E38" s="9" t="s">
        <v>610</v>
      </c>
      <c r="F38" s="9" t="s">
        <v>384</v>
      </c>
      <c r="G38" s="9" t="s">
        <v>470</v>
      </c>
      <c r="H38" s="9" t="s">
        <v>611</v>
      </c>
      <c r="I38" s="9" t="s">
        <v>612</v>
      </c>
      <c r="J38" s="9" t="s">
        <v>464</v>
      </c>
    </row>
    <row r="39" customFormat="false" ht="15.75" hidden="false" customHeight="true" outlineLevel="0" collapsed="false">
      <c r="A39" s="9" t="s">
        <v>456</v>
      </c>
      <c r="B39" s="9" t="s">
        <v>613</v>
      </c>
      <c r="C39" s="9" t="s">
        <v>614</v>
      </c>
      <c r="D39" s="9" t="s">
        <v>605</v>
      </c>
      <c r="E39" s="9" t="s">
        <v>615</v>
      </c>
      <c r="F39" s="9" t="s">
        <v>384</v>
      </c>
      <c r="G39" s="9" t="s">
        <v>470</v>
      </c>
      <c r="H39" s="9" t="s">
        <v>616</v>
      </c>
      <c r="I39" s="9" t="s">
        <v>617</v>
      </c>
      <c r="J39" s="9" t="s">
        <v>464</v>
      </c>
    </row>
    <row r="40" customFormat="false" ht="15.75" hidden="false" customHeight="true" outlineLevel="0" collapsed="false">
      <c r="A40" s="9" t="s">
        <v>456</v>
      </c>
      <c r="B40" s="9" t="s">
        <v>618</v>
      </c>
      <c r="C40" s="9" t="s">
        <v>604</v>
      </c>
      <c r="D40" s="9" t="s">
        <v>605</v>
      </c>
      <c r="E40" s="9" t="s">
        <v>619</v>
      </c>
      <c r="F40" s="9" t="s">
        <v>384</v>
      </c>
      <c r="G40" s="9" t="s">
        <v>470</v>
      </c>
      <c r="H40" s="9" t="s">
        <v>620</v>
      </c>
      <c r="I40" s="9" t="s">
        <v>621</v>
      </c>
      <c r="J40" s="9" t="s">
        <v>464</v>
      </c>
    </row>
    <row r="41" customFormat="false" ht="15.75" hidden="false" customHeight="true" outlineLevel="0" collapsed="false">
      <c r="A41" s="9" t="s">
        <v>456</v>
      </c>
      <c r="B41" s="9" t="s">
        <v>622</v>
      </c>
      <c r="C41" s="9" t="s">
        <v>604</v>
      </c>
      <c r="D41" s="9" t="s">
        <v>605</v>
      </c>
      <c r="E41" s="9" t="s">
        <v>623</v>
      </c>
      <c r="F41" s="9" t="s">
        <v>384</v>
      </c>
      <c r="G41" s="9" t="s">
        <v>470</v>
      </c>
      <c r="H41" s="9" t="s">
        <v>624</v>
      </c>
      <c r="I41" s="9" t="s">
        <v>625</v>
      </c>
      <c r="J41" s="9" t="s">
        <v>464</v>
      </c>
    </row>
    <row r="42" customFormat="false" ht="15.75" hidden="false" customHeight="true" outlineLevel="0" collapsed="false">
      <c r="A42" s="9" t="s">
        <v>456</v>
      </c>
      <c r="B42" s="9" t="s">
        <v>626</v>
      </c>
      <c r="C42" s="9" t="s">
        <v>604</v>
      </c>
      <c r="D42" s="9" t="s">
        <v>627</v>
      </c>
      <c r="E42" s="9" t="s">
        <v>628</v>
      </c>
      <c r="F42" s="9" t="s">
        <v>387</v>
      </c>
      <c r="G42" s="9" t="s">
        <v>629</v>
      </c>
      <c r="H42" s="9" t="s">
        <v>630</v>
      </c>
      <c r="I42" s="9" t="s">
        <v>631</v>
      </c>
      <c r="J42" s="9" t="s">
        <v>464</v>
      </c>
    </row>
    <row r="43" customFormat="false" ht="15.75" hidden="false" customHeight="true" outlineLevel="0" collapsed="false">
      <c r="A43" s="9" t="s">
        <v>456</v>
      </c>
      <c r="B43" s="9" t="s">
        <v>632</v>
      </c>
      <c r="C43" s="9" t="s">
        <v>604</v>
      </c>
      <c r="D43" s="9" t="s">
        <v>627</v>
      </c>
      <c r="E43" s="9" t="s">
        <v>633</v>
      </c>
      <c r="F43" s="9" t="s">
        <v>387</v>
      </c>
      <c r="G43" s="9" t="s">
        <v>629</v>
      </c>
      <c r="H43" s="9" t="s">
        <v>634</v>
      </c>
      <c r="I43" s="9" t="s">
        <v>635</v>
      </c>
      <c r="J43" s="9" t="s">
        <v>464</v>
      </c>
    </row>
    <row r="44" customFormat="false" ht="15.75" hidden="false" customHeight="true" outlineLevel="0" collapsed="false">
      <c r="A44" s="9" t="s">
        <v>456</v>
      </c>
      <c r="B44" s="9" t="s">
        <v>636</v>
      </c>
      <c r="C44" s="9" t="s">
        <v>604</v>
      </c>
      <c r="D44" s="9" t="s">
        <v>627</v>
      </c>
      <c r="E44" s="9" t="s">
        <v>637</v>
      </c>
      <c r="F44" s="9" t="s">
        <v>387</v>
      </c>
      <c r="G44" s="9" t="s">
        <v>629</v>
      </c>
      <c r="H44" s="9" t="s">
        <v>638</v>
      </c>
      <c r="I44" s="9" t="s">
        <v>639</v>
      </c>
      <c r="J44" s="9" t="s">
        <v>464</v>
      </c>
    </row>
    <row r="45" customFormat="false" ht="15.75" hidden="false" customHeight="true" outlineLevel="0" collapsed="false">
      <c r="A45" s="9" t="s">
        <v>456</v>
      </c>
      <c r="B45" s="9" t="s">
        <v>640</v>
      </c>
      <c r="C45" s="9" t="s">
        <v>604</v>
      </c>
      <c r="D45" s="9" t="s">
        <v>627</v>
      </c>
      <c r="E45" s="9" t="s">
        <v>641</v>
      </c>
      <c r="F45" s="9" t="s">
        <v>387</v>
      </c>
      <c r="G45" s="9" t="s">
        <v>629</v>
      </c>
      <c r="H45" s="9" t="s">
        <v>642</v>
      </c>
      <c r="I45" s="9" t="s">
        <v>643</v>
      </c>
      <c r="J45" s="9" t="s">
        <v>464</v>
      </c>
    </row>
    <row r="46" customFormat="false" ht="15.75" hidden="false" customHeight="true" outlineLevel="0" collapsed="false">
      <c r="A46" s="9" t="s">
        <v>456</v>
      </c>
      <c r="B46" s="9" t="s">
        <v>644</v>
      </c>
      <c r="C46" s="9" t="s">
        <v>604</v>
      </c>
      <c r="D46" s="9" t="s">
        <v>627</v>
      </c>
      <c r="E46" s="9" t="s">
        <v>645</v>
      </c>
      <c r="F46" s="9" t="s">
        <v>384</v>
      </c>
      <c r="G46" s="9" t="s">
        <v>470</v>
      </c>
      <c r="H46" s="9" t="s">
        <v>646</v>
      </c>
      <c r="I46" s="9" t="s">
        <v>647</v>
      </c>
      <c r="J46" s="9" t="s">
        <v>464</v>
      </c>
    </row>
    <row r="47" customFormat="false" ht="15.75" hidden="false" customHeight="true" outlineLevel="0" collapsed="false">
      <c r="A47" s="9" t="s">
        <v>456</v>
      </c>
      <c r="B47" s="9" t="s">
        <v>648</v>
      </c>
      <c r="C47" s="9" t="s">
        <v>604</v>
      </c>
      <c r="D47" s="9" t="s">
        <v>649</v>
      </c>
      <c r="E47" s="9" t="s">
        <v>650</v>
      </c>
      <c r="F47" s="9" t="s">
        <v>377</v>
      </c>
      <c r="G47" s="9" t="s">
        <v>461</v>
      </c>
      <c r="H47" s="9" t="s">
        <v>651</v>
      </c>
      <c r="I47" s="9" t="s">
        <v>652</v>
      </c>
      <c r="J47" s="9" t="s">
        <v>464</v>
      </c>
    </row>
    <row r="48" customFormat="false" ht="15.75" hidden="false" customHeight="true" outlineLevel="0" collapsed="false">
      <c r="A48" s="9" t="s">
        <v>456</v>
      </c>
      <c r="B48" s="9" t="s">
        <v>653</v>
      </c>
      <c r="C48" s="9" t="s">
        <v>654</v>
      </c>
      <c r="D48" s="9" t="s">
        <v>649</v>
      </c>
      <c r="E48" s="9" t="s">
        <v>655</v>
      </c>
      <c r="F48" s="9" t="s">
        <v>377</v>
      </c>
      <c r="G48" s="9" t="s">
        <v>461</v>
      </c>
      <c r="H48" s="9" t="s">
        <v>656</v>
      </c>
      <c r="I48" s="9" t="s">
        <v>657</v>
      </c>
      <c r="J48" s="9" t="s">
        <v>464</v>
      </c>
    </row>
    <row r="49" customFormat="false" ht="15.75" hidden="false" customHeight="true" outlineLevel="0" collapsed="false">
      <c r="A49" s="9" t="s">
        <v>456</v>
      </c>
      <c r="B49" s="9" t="s">
        <v>658</v>
      </c>
      <c r="C49" s="9" t="s">
        <v>654</v>
      </c>
      <c r="D49" s="9" t="s">
        <v>649</v>
      </c>
      <c r="E49" s="9" t="s">
        <v>659</v>
      </c>
      <c r="F49" s="9" t="s">
        <v>377</v>
      </c>
      <c r="G49" s="9" t="s">
        <v>461</v>
      </c>
      <c r="H49" s="9" t="s">
        <v>660</v>
      </c>
      <c r="I49" s="9" t="s">
        <v>657</v>
      </c>
      <c r="J49" s="9" t="s">
        <v>464</v>
      </c>
    </row>
    <row r="50" customFormat="false" ht="15.75" hidden="false" customHeight="true" outlineLevel="0" collapsed="false">
      <c r="A50" s="9" t="s">
        <v>456</v>
      </c>
      <c r="B50" s="9" t="s">
        <v>661</v>
      </c>
      <c r="C50" s="9" t="s">
        <v>654</v>
      </c>
      <c r="D50" s="9" t="s">
        <v>649</v>
      </c>
      <c r="E50" s="9" t="s">
        <v>662</v>
      </c>
      <c r="F50" s="9" t="s">
        <v>377</v>
      </c>
      <c r="G50" s="9" t="s">
        <v>461</v>
      </c>
      <c r="H50" s="9" t="s">
        <v>663</v>
      </c>
      <c r="I50" s="9" t="s">
        <v>657</v>
      </c>
      <c r="J50" s="9" t="s">
        <v>464</v>
      </c>
    </row>
    <row r="51" customFormat="false" ht="15.75" hidden="false" customHeight="true" outlineLevel="0" collapsed="false">
      <c r="A51" s="9" t="s">
        <v>456</v>
      </c>
      <c r="B51" s="9" t="s">
        <v>664</v>
      </c>
      <c r="C51" s="9" t="s">
        <v>604</v>
      </c>
      <c r="D51" s="9" t="s">
        <v>649</v>
      </c>
      <c r="E51" s="9" t="s">
        <v>665</v>
      </c>
      <c r="F51" s="9" t="s">
        <v>384</v>
      </c>
      <c r="G51" s="9" t="s">
        <v>470</v>
      </c>
      <c r="H51" s="9" t="s">
        <v>666</v>
      </c>
      <c r="I51" s="9" t="s">
        <v>667</v>
      </c>
      <c r="J51" s="9" t="s">
        <v>464</v>
      </c>
    </row>
    <row r="52" customFormat="false" ht="15.75" hidden="false" customHeight="true" outlineLevel="0" collapsed="false">
      <c r="A52" s="9" t="s">
        <v>456</v>
      </c>
      <c r="B52" s="9" t="s">
        <v>668</v>
      </c>
      <c r="C52" s="9" t="s">
        <v>669</v>
      </c>
      <c r="D52" s="9" t="s">
        <v>649</v>
      </c>
      <c r="E52" s="9" t="s">
        <v>670</v>
      </c>
      <c r="F52" s="9" t="s">
        <v>384</v>
      </c>
      <c r="G52" s="9" t="s">
        <v>470</v>
      </c>
      <c r="H52" s="9" t="s">
        <v>671</v>
      </c>
      <c r="I52" s="9" t="s">
        <v>672</v>
      </c>
      <c r="J52" s="9" t="s">
        <v>464</v>
      </c>
    </row>
    <row r="53" customFormat="false" ht="15.75" hidden="false" customHeight="true" outlineLevel="0" collapsed="false">
      <c r="A53" s="9" t="s">
        <v>456</v>
      </c>
      <c r="B53" s="9" t="s">
        <v>673</v>
      </c>
      <c r="C53" s="9" t="s">
        <v>674</v>
      </c>
      <c r="D53" s="9" t="s">
        <v>675</v>
      </c>
      <c r="E53" s="9" t="s">
        <v>676</v>
      </c>
      <c r="F53" s="9" t="s">
        <v>384</v>
      </c>
      <c r="G53" s="9" t="s">
        <v>470</v>
      </c>
      <c r="H53" s="9" t="s">
        <v>677</v>
      </c>
      <c r="I53" s="9" t="s">
        <v>678</v>
      </c>
      <c r="J53" s="9" t="s">
        <v>464</v>
      </c>
    </row>
    <row r="54" customFormat="false" ht="15.75" hidden="false" customHeight="true" outlineLevel="0" collapsed="false">
      <c r="A54" s="9" t="s">
        <v>456</v>
      </c>
      <c r="B54" s="9" t="s">
        <v>679</v>
      </c>
      <c r="C54" s="9" t="s">
        <v>674</v>
      </c>
      <c r="D54" s="9" t="s">
        <v>675</v>
      </c>
      <c r="E54" s="9" t="s">
        <v>680</v>
      </c>
      <c r="F54" s="9" t="s">
        <v>384</v>
      </c>
      <c r="G54" s="9" t="s">
        <v>470</v>
      </c>
      <c r="H54" s="9" t="s">
        <v>681</v>
      </c>
      <c r="I54" s="9" t="s">
        <v>678</v>
      </c>
      <c r="J54" s="9" t="s">
        <v>464</v>
      </c>
    </row>
    <row r="55" customFormat="false" ht="15.75" hidden="false" customHeight="true" outlineLevel="0" collapsed="false">
      <c r="A55" s="9" t="s">
        <v>456</v>
      </c>
      <c r="B55" s="9" t="s">
        <v>682</v>
      </c>
      <c r="C55" s="9" t="s">
        <v>674</v>
      </c>
      <c r="D55" s="9" t="s">
        <v>675</v>
      </c>
      <c r="E55" s="9" t="s">
        <v>683</v>
      </c>
      <c r="F55" s="9" t="s">
        <v>384</v>
      </c>
      <c r="G55" s="9" t="s">
        <v>470</v>
      </c>
      <c r="H55" s="9" t="s">
        <v>684</v>
      </c>
      <c r="I55" s="9" t="s">
        <v>678</v>
      </c>
      <c r="J55" s="9" t="s">
        <v>464</v>
      </c>
    </row>
    <row r="56" customFormat="false" ht="15.75" hidden="false" customHeight="true" outlineLevel="0" collapsed="false">
      <c r="A56" s="9" t="s">
        <v>456</v>
      </c>
      <c r="B56" s="9" t="s">
        <v>685</v>
      </c>
      <c r="C56" s="9" t="s">
        <v>674</v>
      </c>
      <c r="D56" s="9" t="s">
        <v>675</v>
      </c>
      <c r="E56" s="9" t="s">
        <v>686</v>
      </c>
      <c r="F56" s="9" t="s">
        <v>384</v>
      </c>
      <c r="G56" s="9" t="s">
        <v>470</v>
      </c>
      <c r="H56" s="9" t="s">
        <v>687</v>
      </c>
      <c r="I56" s="9" t="s">
        <v>678</v>
      </c>
      <c r="J56" s="9" t="s">
        <v>464</v>
      </c>
    </row>
    <row r="57" customFormat="false" ht="15.75" hidden="false" customHeight="true" outlineLevel="0" collapsed="false">
      <c r="A57" s="9" t="s">
        <v>456</v>
      </c>
      <c r="B57" s="9" t="s">
        <v>688</v>
      </c>
      <c r="C57" s="9" t="s">
        <v>689</v>
      </c>
      <c r="D57" s="9" t="s">
        <v>690</v>
      </c>
      <c r="E57" s="9" t="s">
        <v>691</v>
      </c>
      <c r="F57" s="9" t="s">
        <v>384</v>
      </c>
      <c r="G57" s="9" t="s">
        <v>470</v>
      </c>
      <c r="H57" s="9" t="s">
        <v>692</v>
      </c>
      <c r="I57" s="9" t="s">
        <v>693</v>
      </c>
      <c r="J57" s="9" t="s">
        <v>464</v>
      </c>
    </row>
    <row r="58" customFormat="false" ht="15.75" hidden="false" customHeight="true" outlineLevel="0" collapsed="false">
      <c r="A58" s="9" t="s">
        <v>456</v>
      </c>
      <c r="B58" s="9" t="s">
        <v>694</v>
      </c>
      <c r="C58" s="9" t="s">
        <v>669</v>
      </c>
      <c r="D58" s="9" t="s">
        <v>695</v>
      </c>
      <c r="E58" s="9" t="s">
        <v>696</v>
      </c>
      <c r="F58" s="9" t="s">
        <v>387</v>
      </c>
      <c r="G58" s="9" t="s">
        <v>629</v>
      </c>
      <c r="H58" s="9" t="s">
        <v>697</v>
      </c>
      <c r="I58" s="9" t="s">
        <v>698</v>
      </c>
      <c r="J58" s="9" t="s">
        <v>464</v>
      </c>
    </row>
    <row r="59" customFormat="false" ht="15.75" hidden="false" customHeight="true" outlineLevel="0" collapsed="false">
      <c r="A59" s="9" t="s">
        <v>699</v>
      </c>
      <c r="B59" s="9" t="s">
        <v>700</v>
      </c>
      <c r="C59" s="9" t="s">
        <v>701</v>
      </c>
      <c r="D59" s="9" t="s">
        <v>701</v>
      </c>
      <c r="E59" s="9" t="s">
        <v>702</v>
      </c>
      <c r="F59" s="9" t="s">
        <v>703</v>
      </c>
      <c r="G59" s="9" t="s">
        <v>704</v>
      </c>
      <c r="H59" s="9" t="s">
        <v>702</v>
      </c>
      <c r="I59" s="9" t="s">
        <v>705</v>
      </c>
      <c r="J59" s="9" t="s">
        <v>706</v>
      </c>
    </row>
    <row r="60" customFormat="false" ht="15.75" hidden="false" customHeight="true" outlineLevel="0" collapsed="false">
      <c r="A60" s="9" t="s">
        <v>699</v>
      </c>
      <c r="B60" s="9" t="s">
        <v>707</v>
      </c>
      <c r="C60" s="9" t="s">
        <v>701</v>
      </c>
      <c r="D60" s="9" t="s">
        <v>701</v>
      </c>
      <c r="E60" s="9" t="s">
        <v>708</v>
      </c>
      <c r="F60" s="9" t="s">
        <v>709</v>
      </c>
      <c r="G60" s="9" t="s">
        <v>704</v>
      </c>
      <c r="H60" s="9" t="s">
        <v>708</v>
      </c>
      <c r="I60" s="9" t="s">
        <v>705</v>
      </c>
      <c r="J60" s="9" t="s">
        <v>710</v>
      </c>
    </row>
    <row r="61" customFormat="false" ht="15.75" hidden="false" customHeight="true" outlineLevel="0" collapsed="false">
      <c r="A61" s="9" t="s">
        <v>699</v>
      </c>
      <c r="B61" s="9" t="s">
        <v>711</v>
      </c>
      <c r="C61" s="9" t="s">
        <v>701</v>
      </c>
      <c r="D61" s="9" t="s">
        <v>701</v>
      </c>
      <c r="E61" s="9" t="s">
        <v>712</v>
      </c>
      <c r="F61" s="9" t="s">
        <v>703</v>
      </c>
      <c r="G61" s="9" t="s">
        <v>704</v>
      </c>
      <c r="H61" s="9" t="s">
        <v>712</v>
      </c>
      <c r="I61" s="9" t="s">
        <v>705</v>
      </c>
      <c r="J61" s="9" t="s">
        <v>713</v>
      </c>
    </row>
    <row r="62" customFormat="false" ht="15.75" hidden="false" customHeight="true" outlineLevel="0" collapsed="false">
      <c r="A62" s="9" t="s">
        <v>699</v>
      </c>
      <c r="B62" s="9" t="s">
        <v>714</v>
      </c>
      <c r="C62" s="9" t="s">
        <v>701</v>
      </c>
      <c r="D62" s="9" t="s">
        <v>701</v>
      </c>
      <c r="E62" s="9" t="s">
        <v>715</v>
      </c>
      <c r="F62" s="9" t="s">
        <v>716</v>
      </c>
      <c r="G62" s="9" t="s">
        <v>704</v>
      </c>
      <c r="H62" s="9" t="s">
        <v>715</v>
      </c>
      <c r="I62" s="9" t="s">
        <v>717</v>
      </c>
      <c r="J62" s="9" t="s">
        <v>718</v>
      </c>
    </row>
    <row r="63" customFormat="false" ht="15.75" hidden="false" customHeight="true" outlineLevel="0" collapsed="false">
      <c r="A63" s="9" t="s">
        <v>699</v>
      </c>
      <c r="B63" s="9" t="s">
        <v>719</v>
      </c>
      <c r="C63" s="9" t="s">
        <v>701</v>
      </c>
      <c r="D63" s="9" t="s">
        <v>701</v>
      </c>
      <c r="E63" s="9" t="s">
        <v>720</v>
      </c>
      <c r="F63" s="9" t="s">
        <v>716</v>
      </c>
      <c r="G63" s="9" t="s">
        <v>704</v>
      </c>
      <c r="H63" s="9" t="s">
        <v>720</v>
      </c>
      <c r="I63" s="9" t="s">
        <v>717</v>
      </c>
      <c r="J63" s="9" t="s">
        <v>721</v>
      </c>
    </row>
    <row r="64" customFormat="false" ht="15.75" hidden="false" customHeight="true" outlineLevel="0" collapsed="false">
      <c r="A64" s="9" t="s">
        <v>699</v>
      </c>
      <c r="B64" s="9" t="s">
        <v>722</v>
      </c>
      <c r="C64" s="9" t="s">
        <v>723</v>
      </c>
      <c r="D64" s="9" t="s">
        <v>723</v>
      </c>
      <c r="E64" s="9" t="s">
        <v>724</v>
      </c>
      <c r="F64" s="9" t="s">
        <v>709</v>
      </c>
      <c r="G64" s="9" t="s">
        <v>704</v>
      </c>
      <c r="H64" s="9" t="s">
        <v>724</v>
      </c>
      <c r="I64" s="9" t="s">
        <v>705</v>
      </c>
      <c r="J64" s="9" t="s">
        <v>725</v>
      </c>
    </row>
    <row r="65" customFormat="false" ht="15.75" hidden="false" customHeight="true" outlineLevel="0" collapsed="false">
      <c r="A65" s="9" t="s">
        <v>699</v>
      </c>
      <c r="B65" s="9" t="s">
        <v>726</v>
      </c>
      <c r="C65" s="9" t="s">
        <v>723</v>
      </c>
      <c r="D65" s="9" t="s">
        <v>723</v>
      </c>
      <c r="E65" s="9" t="s">
        <v>727</v>
      </c>
      <c r="F65" s="9" t="s">
        <v>709</v>
      </c>
      <c r="G65" s="9" t="s">
        <v>704</v>
      </c>
      <c r="H65" s="9" t="s">
        <v>727</v>
      </c>
      <c r="I65" s="9" t="s">
        <v>728</v>
      </c>
      <c r="J65" s="9" t="s">
        <v>729</v>
      </c>
    </row>
    <row r="66" customFormat="false" ht="15.75" hidden="false" customHeight="true" outlineLevel="0" collapsed="false">
      <c r="A66" s="9" t="s">
        <v>699</v>
      </c>
      <c r="B66" s="9" t="s">
        <v>730</v>
      </c>
      <c r="C66" s="9" t="s">
        <v>723</v>
      </c>
      <c r="D66" s="9" t="s">
        <v>723</v>
      </c>
      <c r="E66" s="9" t="s">
        <v>731</v>
      </c>
      <c r="F66" s="9" t="s">
        <v>703</v>
      </c>
      <c r="G66" s="9" t="s">
        <v>704</v>
      </c>
      <c r="H66" s="9" t="s">
        <v>731</v>
      </c>
      <c r="I66" s="9" t="s">
        <v>705</v>
      </c>
      <c r="J66" s="9" t="s">
        <v>732</v>
      </c>
    </row>
    <row r="67" customFormat="false" ht="15.75" hidden="false" customHeight="true" outlineLevel="0" collapsed="false">
      <c r="A67" s="9" t="s">
        <v>699</v>
      </c>
      <c r="B67" s="9" t="s">
        <v>733</v>
      </c>
      <c r="C67" s="9" t="s">
        <v>723</v>
      </c>
      <c r="D67" s="9" t="s">
        <v>723</v>
      </c>
      <c r="E67" s="9" t="s">
        <v>734</v>
      </c>
      <c r="F67" s="9" t="s">
        <v>709</v>
      </c>
      <c r="G67" s="9" t="s">
        <v>704</v>
      </c>
      <c r="H67" s="9" t="s">
        <v>734</v>
      </c>
      <c r="I67" s="9" t="s">
        <v>705</v>
      </c>
      <c r="J67" s="9" t="s">
        <v>725</v>
      </c>
    </row>
    <row r="68" customFormat="false" ht="15.75" hidden="false" customHeight="true" outlineLevel="0" collapsed="false">
      <c r="A68" s="9" t="s">
        <v>699</v>
      </c>
      <c r="B68" s="9" t="s">
        <v>735</v>
      </c>
      <c r="C68" s="9" t="s">
        <v>723</v>
      </c>
      <c r="D68" s="9" t="s">
        <v>723</v>
      </c>
      <c r="E68" s="9" t="s">
        <v>736</v>
      </c>
      <c r="F68" s="9" t="s">
        <v>703</v>
      </c>
      <c r="G68" s="9" t="s">
        <v>704</v>
      </c>
      <c r="H68" s="9" t="s">
        <v>736</v>
      </c>
      <c r="I68" s="9" t="s">
        <v>705</v>
      </c>
      <c r="J68" s="9" t="s">
        <v>737</v>
      </c>
    </row>
    <row r="69" customFormat="false" ht="15.75" hidden="false" customHeight="true" outlineLevel="0" collapsed="false">
      <c r="A69" s="9" t="s">
        <v>699</v>
      </c>
      <c r="B69" s="9" t="s">
        <v>738</v>
      </c>
      <c r="C69" s="9" t="s">
        <v>723</v>
      </c>
      <c r="D69" s="9" t="s">
        <v>723</v>
      </c>
      <c r="E69" s="9" t="s">
        <v>739</v>
      </c>
      <c r="F69" s="9" t="s">
        <v>709</v>
      </c>
      <c r="G69" s="9" t="s">
        <v>704</v>
      </c>
      <c r="H69" s="9" t="s">
        <v>739</v>
      </c>
      <c r="I69" s="9" t="s">
        <v>705</v>
      </c>
      <c r="J69" s="9" t="s">
        <v>725</v>
      </c>
    </row>
    <row r="70" customFormat="false" ht="15.75" hidden="false" customHeight="true" outlineLevel="0" collapsed="false">
      <c r="A70" s="9" t="s">
        <v>699</v>
      </c>
      <c r="B70" s="9" t="s">
        <v>740</v>
      </c>
      <c r="C70" s="9" t="s">
        <v>723</v>
      </c>
      <c r="D70" s="9" t="s">
        <v>723</v>
      </c>
      <c r="E70" s="9" t="s">
        <v>741</v>
      </c>
      <c r="F70" s="9" t="s">
        <v>709</v>
      </c>
      <c r="G70" s="9" t="s">
        <v>704</v>
      </c>
      <c r="H70" s="9" t="s">
        <v>741</v>
      </c>
      <c r="I70" s="9" t="s">
        <v>705</v>
      </c>
      <c r="J70" s="9" t="s">
        <v>742</v>
      </c>
    </row>
    <row r="71" customFormat="false" ht="15.75" hidden="false" customHeight="true" outlineLevel="0" collapsed="false">
      <c r="A71" s="9" t="s">
        <v>699</v>
      </c>
      <c r="B71" s="9" t="s">
        <v>743</v>
      </c>
      <c r="C71" s="9" t="s">
        <v>744</v>
      </c>
      <c r="D71" s="9" t="s">
        <v>744</v>
      </c>
      <c r="E71" s="9" t="s">
        <v>745</v>
      </c>
      <c r="F71" s="9" t="s">
        <v>703</v>
      </c>
      <c r="G71" s="9" t="s">
        <v>704</v>
      </c>
      <c r="H71" s="9" t="s">
        <v>745</v>
      </c>
      <c r="I71" s="9" t="s">
        <v>705</v>
      </c>
      <c r="J71" s="9" t="s">
        <v>737</v>
      </c>
    </row>
    <row r="72" customFormat="false" ht="15.75" hidden="false" customHeight="true" outlineLevel="0" collapsed="false">
      <c r="A72" s="9" t="s">
        <v>699</v>
      </c>
      <c r="B72" s="9" t="s">
        <v>746</v>
      </c>
      <c r="C72" s="9" t="s">
        <v>744</v>
      </c>
      <c r="D72" s="9" t="s">
        <v>744</v>
      </c>
      <c r="E72" s="9" t="s">
        <v>747</v>
      </c>
      <c r="F72" s="9" t="s">
        <v>703</v>
      </c>
      <c r="G72" s="9" t="s">
        <v>704</v>
      </c>
      <c r="H72" s="9" t="s">
        <v>747</v>
      </c>
      <c r="I72" s="9" t="s">
        <v>705</v>
      </c>
      <c r="J72" s="9" t="s">
        <v>748</v>
      </c>
    </row>
    <row r="73" customFormat="false" ht="15.75" hidden="false" customHeight="true" outlineLevel="0" collapsed="false">
      <c r="A73" s="9" t="s">
        <v>699</v>
      </c>
      <c r="B73" s="9" t="s">
        <v>749</v>
      </c>
      <c r="C73" s="9" t="s">
        <v>744</v>
      </c>
      <c r="D73" s="9" t="s">
        <v>744</v>
      </c>
      <c r="E73" s="9" t="s">
        <v>750</v>
      </c>
      <c r="F73" s="9" t="s">
        <v>703</v>
      </c>
      <c r="G73" s="9" t="s">
        <v>704</v>
      </c>
      <c r="H73" s="9" t="s">
        <v>750</v>
      </c>
      <c r="I73" s="9" t="s">
        <v>705</v>
      </c>
      <c r="J73" s="9" t="s">
        <v>732</v>
      </c>
    </row>
    <row r="74" customFormat="false" ht="15.75" hidden="false" customHeight="true" outlineLevel="0" collapsed="false">
      <c r="A74" s="9" t="s">
        <v>699</v>
      </c>
      <c r="B74" s="9" t="s">
        <v>751</v>
      </c>
      <c r="C74" s="9" t="s">
        <v>744</v>
      </c>
      <c r="D74" s="9" t="s">
        <v>744</v>
      </c>
      <c r="E74" s="9" t="s">
        <v>752</v>
      </c>
      <c r="F74" s="9" t="s">
        <v>703</v>
      </c>
      <c r="G74" s="9" t="s">
        <v>704</v>
      </c>
      <c r="H74" s="9" t="s">
        <v>752</v>
      </c>
      <c r="I74" s="9" t="s">
        <v>705</v>
      </c>
      <c r="J74" s="9" t="s">
        <v>713</v>
      </c>
    </row>
    <row r="75" customFormat="false" ht="15.75" hidden="false" customHeight="true" outlineLevel="0" collapsed="false">
      <c r="A75" s="9" t="s">
        <v>699</v>
      </c>
      <c r="B75" s="9" t="s">
        <v>753</v>
      </c>
      <c r="C75" s="9" t="s">
        <v>744</v>
      </c>
      <c r="D75" s="9" t="s">
        <v>744</v>
      </c>
      <c r="E75" s="9" t="s">
        <v>754</v>
      </c>
      <c r="F75" s="9" t="s">
        <v>703</v>
      </c>
      <c r="G75" s="9" t="s">
        <v>704</v>
      </c>
      <c r="H75" s="9" t="s">
        <v>754</v>
      </c>
      <c r="I75" s="9" t="s">
        <v>705</v>
      </c>
      <c r="J75" s="9" t="s">
        <v>737</v>
      </c>
    </row>
    <row r="76" customFormat="false" ht="15.75" hidden="false" customHeight="true" outlineLevel="0" collapsed="false">
      <c r="A76" s="9" t="s">
        <v>699</v>
      </c>
      <c r="B76" s="9" t="s">
        <v>755</v>
      </c>
      <c r="C76" s="9" t="s">
        <v>744</v>
      </c>
      <c r="D76" s="9" t="s">
        <v>744</v>
      </c>
      <c r="E76" s="9" t="s">
        <v>756</v>
      </c>
      <c r="F76" s="9" t="s">
        <v>703</v>
      </c>
      <c r="G76" s="9" t="s">
        <v>704</v>
      </c>
      <c r="H76" s="9" t="s">
        <v>756</v>
      </c>
      <c r="I76" s="9" t="s">
        <v>705</v>
      </c>
      <c r="J76" s="9" t="s">
        <v>706</v>
      </c>
    </row>
    <row r="77" customFormat="false" ht="15.75" hidden="false" customHeight="true" outlineLevel="0" collapsed="false">
      <c r="A77" s="9" t="s">
        <v>699</v>
      </c>
      <c r="B77" s="9" t="s">
        <v>757</v>
      </c>
      <c r="C77" s="9" t="s">
        <v>758</v>
      </c>
      <c r="D77" s="9" t="s">
        <v>758</v>
      </c>
      <c r="E77" s="9" t="s">
        <v>759</v>
      </c>
      <c r="F77" s="9" t="s">
        <v>703</v>
      </c>
      <c r="G77" s="9" t="s">
        <v>704</v>
      </c>
      <c r="H77" s="9" t="s">
        <v>759</v>
      </c>
      <c r="I77" s="9" t="s">
        <v>705</v>
      </c>
      <c r="J77" s="9" t="s">
        <v>760</v>
      </c>
    </row>
    <row r="78" customFormat="false" ht="15.75" hidden="false" customHeight="true" outlineLevel="0" collapsed="false">
      <c r="A78" s="9" t="s">
        <v>699</v>
      </c>
      <c r="B78" s="9" t="s">
        <v>761</v>
      </c>
      <c r="C78" s="9" t="s">
        <v>758</v>
      </c>
      <c r="D78" s="9" t="s">
        <v>758</v>
      </c>
      <c r="E78" s="9" t="s">
        <v>762</v>
      </c>
      <c r="F78" s="9" t="s">
        <v>703</v>
      </c>
      <c r="G78" s="9" t="s">
        <v>704</v>
      </c>
      <c r="H78" s="9" t="s">
        <v>762</v>
      </c>
      <c r="I78" s="9" t="s">
        <v>705</v>
      </c>
      <c r="J78" s="9" t="s">
        <v>760</v>
      </c>
    </row>
    <row r="79" customFormat="false" ht="15.75" hidden="false" customHeight="true" outlineLevel="0" collapsed="false">
      <c r="A79" s="9" t="s">
        <v>699</v>
      </c>
      <c r="B79" s="9" t="s">
        <v>763</v>
      </c>
      <c r="C79" s="9" t="s">
        <v>758</v>
      </c>
      <c r="D79" s="9" t="s">
        <v>758</v>
      </c>
      <c r="E79" s="9" t="s">
        <v>764</v>
      </c>
      <c r="F79" s="9" t="s">
        <v>703</v>
      </c>
      <c r="G79" s="9" t="s">
        <v>704</v>
      </c>
      <c r="H79" s="9" t="s">
        <v>764</v>
      </c>
      <c r="I79" s="9" t="s">
        <v>705</v>
      </c>
      <c r="J79" s="9" t="s">
        <v>748</v>
      </c>
    </row>
    <row r="80" customFormat="false" ht="15.75" hidden="false" customHeight="true" outlineLevel="0" collapsed="false">
      <c r="A80" s="9" t="s">
        <v>699</v>
      </c>
      <c r="B80" s="9" t="s">
        <v>765</v>
      </c>
      <c r="C80" s="9" t="s">
        <v>758</v>
      </c>
      <c r="D80" s="9" t="s">
        <v>758</v>
      </c>
      <c r="E80" s="9" t="s">
        <v>766</v>
      </c>
      <c r="F80" s="9" t="s">
        <v>703</v>
      </c>
      <c r="G80" s="9" t="s">
        <v>704</v>
      </c>
      <c r="H80" s="9" t="s">
        <v>766</v>
      </c>
      <c r="I80" s="9" t="s">
        <v>705</v>
      </c>
      <c r="J80" s="9" t="s">
        <v>760</v>
      </c>
    </row>
    <row r="81" customFormat="false" ht="15.75" hidden="false" customHeight="true" outlineLevel="0" collapsed="false">
      <c r="A81" s="9" t="s">
        <v>699</v>
      </c>
      <c r="B81" s="9" t="s">
        <v>767</v>
      </c>
      <c r="C81" s="9" t="s">
        <v>758</v>
      </c>
      <c r="D81" s="9" t="s">
        <v>758</v>
      </c>
      <c r="E81" s="9" t="s">
        <v>768</v>
      </c>
      <c r="F81" s="9" t="s">
        <v>703</v>
      </c>
      <c r="G81" s="9" t="s">
        <v>704</v>
      </c>
      <c r="H81" s="9" t="s">
        <v>768</v>
      </c>
      <c r="I81" s="9" t="s">
        <v>705</v>
      </c>
      <c r="J81" s="9" t="s">
        <v>760</v>
      </c>
    </row>
    <row r="82" customFormat="false" ht="15.75" hidden="false" customHeight="true" outlineLevel="0" collapsed="false">
      <c r="A82" s="9" t="s">
        <v>699</v>
      </c>
      <c r="B82" s="9" t="s">
        <v>769</v>
      </c>
      <c r="C82" s="9" t="s">
        <v>758</v>
      </c>
      <c r="D82" s="9" t="s">
        <v>758</v>
      </c>
      <c r="E82" s="9" t="s">
        <v>770</v>
      </c>
      <c r="F82" s="9" t="s">
        <v>709</v>
      </c>
      <c r="G82" s="9" t="s">
        <v>704</v>
      </c>
      <c r="H82" s="9" t="s">
        <v>770</v>
      </c>
      <c r="I82" s="9" t="s">
        <v>705</v>
      </c>
      <c r="J82" s="9" t="s">
        <v>771</v>
      </c>
    </row>
    <row r="83" customFormat="false" ht="15.75" hidden="false" customHeight="true" outlineLevel="0" collapsed="false">
      <c r="A83" s="9" t="s">
        <v>699</v>
      </c>
      <c r="B83" s="9" t="s">
        <v>772</v>
      </c>
      <c r="C83" s="9" t="s">
        <v>758</v>
      </c>
      <c r="D83" s="9" t="s">
        <v>758</v>
      </c>
      <c r="E83" s="9" t="s">
        <v>773</v>
      </c>
      <c r="F83" s="9" t="s">
        <v>716</v>
      </c>
      <c r="G83" s="9" t="s">
        <v>704</v>
      </c>
      <c r="H83" s="9" t="s">
        <v>773</v>
      </c>
      <c r="I83" s="9" t="s">
        <v>774</v>
      </c>
      <c r="J83" s="9" t="s">
        <v>775</v>
      </c>
    </row>
    <row r="84" customFormat="false" ht="15.75" hidden="false" customHeight="true" outlineLevel="0" collapsed="false">
      <c r="A84" s="9" t="s">
        <v>699</v>
      </c>
      <c r="B84" s="9" t="s">
        <v>776</v>
      </c>
      <c r="C84" s="9" t="s">
        <v>758</v>
      </c>
      <c r="D84" s="9" t="s">
        <v>758</v>
      </c>
      <c r="E84" s="9" t="s">
        <v>777</v>
      </c>
      <c r="F84" s="9" t="s">
        <v>716</v>
      </c>
      <c r="G84" s="9" t="s">
        <v>704</v>
      </c>
      <c r="H84" s="9" t="s">
        <v>777</v>
      </c>
      <c r="I84" s="9" t="s">
        <v>717</v>
      </c>
      <c r="J84" s="9" t="s">
        <v>775</v>
      </c>
    </row>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0" width="13"/>
    <col collapsed="false" customWidth="true" hidden="false" outlineLevel="0" max="2" min="2" style="0" width="24"/>
    <col collapsed="false" customWidth="true" hidden="false" outlineLevel="0" max="3" min="3" style="0" width="34"/>
    <col collapsed="false" customWidth="true" hidden="false" outlineLevel="0" max="4" min="4" style="0" width="38"/>
    <col collapsed="false" customWidth="true" hidden="false" outlineLevel="0" max="5" min="5" style="0" width="48"/>
    <col collapsed="false" customWidth="true" hidden="false" outlineLevel="0" max="6" min="6" style="0" width="14"/>
    <col collapsed="false" customWidth="true" hidden="false" outlineLevel="0" max="7" min="7" style="0" width="30"/>
    <col collapsed="false" customWidth="true" hidden="false" outlineLevel="0" max="8" min="8" style="0" width="62"/>
    <col collapsed="false" customWidth="true" hidden="false" outlineLevel="0" max="9" min="9" style="0" width="36"/>
    <col collapsed="false" customWidth="true" hidden="false" outlineLevel="0" max="10" min="10" style="0" width="16"/>
    <col collapsed="false" customWidth="true" hidden="false" outlineLevel="0" max="11" min="11" style="0" width="48"/>
    <col collapsed="false" customWidth="true" hidden="false" outlineLevel="0" max="12" min="12" style="0" width="42"/>
    <col collapsed="false" customWidth="true" hidden="false" outlineLevel="0" max="26" min="13" style="0" width="8.63"/>
  </cols>
  <sheetData>
    <row r="1" customFormat="false" ht="28.35" hidden="false" customHeight="false" outlineLevel="0" collapsed="false">
      <c r="A1" s="3" t="s">
        <v>778</v>
      </c>
      <c r="B1" s="3" t="s">
        <v>779</v>
      </c>
      <c r="C1" s="3" t="s">
        <v>780</v>
      </c>
      <c r="D1" s="3" t="s">
        <v>781</v>
      </c>
      <c r="E1" s="3" t="s">
        <v>782</v>
      </c>
      <c r="F1" s="3" t="s">
        <v>783</v>
      </c>
      <c r="G1" s="3" t="s">
        <v>452</v>
      </c>
      <c r="H1" s="3" t="s">
        <v>784</v>
      </c>
      <c r="I1" s="3" t="s">
        <v>785</v>
      </c>
      <c r="J1" s="3" t="s">
        <v>786</v>
      </c>
      <c r="K1" s="3" t="s">
        <v>787</v>
      </c>
      <c r="L1" s="3" t="s">
        <v>788</v>
      </c>
    </row>
    <row r="2" customFormat="false" ht="28.35" hidden="false" customHeight="false" outlineLevel="0" collapsed="false">
      <c r="A2" s="9" t="s">
        <v>457</v>
      </c>
      <c r="B2" s="9" t="s">
        <v>458</v>
      </c>
      <c r="C2" s="9" t="s">
        <v>459</v>
      </c>
      <c r="D2" s="9" t="s">
        <v>460</v>
      </c>
      <c r="E2" s="9" t="s">
        <v>789</v>
      </c>
      <c r="F2" s="9" t="s">
        <v>377</v>
      </c>
      <c r="G2" s="9" t="s">
        <v>461</v>
      </c>
      <c r="H2" s="9" t="s">
        <v>463</v>
      </c>
      <c r="I2" s="9" t="s">
        <v>790</v>
      </c>
      <c r="J2" s="9" t="s">
        <v>791</v>
      </c>
      <c r="K2" s="9" t="s">
        <v>792</v>
      </c>
      <c r="L2" s="9" t="s">
        <v>793</v>
      </c>
    </row>
    <row r="3" customFormat="false" ht="28.35" hidden="false" customHeight="false" outlineLevel="0" collapsed="false">
      <c r="A3" s="9" t="s">
        <v>465</v>
      </c>
      <c r="B3" s="9" t="s">
        <v>458</v>
      </c>
      <c r="C3" s="9" t="s">
        <v>459</v>
      </c>
      <c r="D3" s="9" t="s">
        <v>466</v>
      </c>
      <c r="E3" s="9" t="s">
        <v>794</v>
      </c>
      <c r="F3" s="9" t="s">
        <v>377</v>
      </c>
      <c r="G3" s="9" t="s">
        <v>461</v>
      </c>
      <c r="H3" s="9" t="s">
        <v>463</v>
      </c>
      <c r="I3" s="9" t="s">
        <v>790</v>
      </c>
      <c r="J3" s="9" t="s">
        <v>791</v>
      </c>
      <c r="K3" s="9" t="s">
        <v>792</v>
      </c>
      <c r="L3" s="9" t="s">
        <v>793</v>
      </c>
    </row>
    <row r="4" customFormat="false" ht="28.35" hidden="false" customHeight="false" outlineLevel="0" collapsed="false">
      <c r="A4" s="9" t="s">
        <v>468</v>
      </c>
      <c r="B4" s="9" t="s">
        <v>458</v>
      </c>
      <c r="C4" s="9" t="s">
        <v>459</v>
      </c>
      <c r="D4" s="9" t="s">
        <v>469</v>
      </c>
      <c r="E4" s="9" t="s">
        <v>471</v>
      </c>
      <c r="F4" s="9" t="s">
        <v>384</v>
      </c>
      <c r="G4" s="9" t="s">
        <v>470</v>
      </c>
      <c r="H4" s="9" t="s">
        <v>472</v>
      </c>
      <c r="I4" s="9" t="s">
        <v>790</v>
      </c>
      <c r="J4" s="9" t="s">
        <v>795</v>
      </c>
      <c r="K4" s="9" t="s">
        <v>792</v>
      </c>
      <c r="L4" s="9" t="s">
        <v>793</v>
      </c>
    </row>
    <row r="5" customFormat="false" ht="28.35" hidden="false" customHeight="false" outlineLevel="0" collapsed="false">
      <c r="A5" s="9" t="s">
        <v>473</v>
      </c>
      <c r="B5" s="9" t="s">
        <v>458</v>
      </c>
      <c r="C5" s="9" t="s">
        <v>459</v>
      </c>
      <c r="D5" s="9" t="s">
        <v>474</v>
      </c>
      <c r="E5" s="9" t="s">
        <v>796</v>
      </c>
      <c r="F5" s="9" t="s">
        <v>377</v>
      </c>
      <c r="G5" s="9" t="s">
        <v>461</v>
      </c>
      <c r="H5" s="9" t="s">
        <v>476</v>
      </c>
      <c r="I5" s="9" t="s">
        <v>790</v>
      </c>
      <c r="J5" s="9" t="s">
        <v>797</v>
      </c>
      <c r="K5" s="9" t="s">
        <v>792</v>
      </c>
      <c r="L5" s="9" t="s">
        <v>793</v>
      </c>
    </row>
    <row r="6" customFormat="false" ht="28.35" hidden="false" customHeight="false" outlineLevel="0" collapsed="false">
      <c r="A6" s="9" t="s">
        <v>477</v>
      </c>
      <c r="B6" s="9" t="s">
        <v>458</v>
      </c>
      <c r="C6" s="9" t="s">
        <v>459</v>
      </c>
      <c r="D6" s="9" t="s">
        <v>478</v>
      </c>
      <c r="E6" s="9" t="s">
        <v>798</v>
      </c>
      <c r="F6" s="9" t="s">
        <v>377</v>
      </c>
      <c r="G6" s="9" t="s">
        <v>461</v>
      </c>
      <c r="H6" s="9" t="s">
        <v>480</v>
      </c>
      <c r="I6" s="9" t="s">
        <v>790</v>
      </c>
      <c r="J6" s="9" t="s">
        <v>797</v>
      </c>
      <c r="K6" s="9" t="s">
        <v>792</v>
      </c>
      <c r="L6" s="9" t="s">
        <v>793</v>
      </c>
    </row>
    <row r="7" customFormat="false" ht="28.35" hidden="false" customHeight="false" outlineLevel="0" collapsed="false">
      <c r="A7" s="9" t="s">
        <v>481</v>
      </c>
      <c r="B7" s="9" t="s">
        <v>458</v>
      </c>
      <c r="C7" s="9" t="s">
        <v>459</v>
      </c>
      <c r="D7" s="9" t="s">
        <v>482</v>
      </c>
      <c r="E7" s="9" t="s">
        <v>799</v>
      </c>
      <c r="F7" s="9" t="s">
        <v>377</v>
      </c>
      <c r="G7" s="9" t="s">
        <v>461</v>
      </c>
      <c r="H7" s="9" t="s">
        <v>484</v>
      </c>
      <c r="I7" s="9" t="s">
        <v>790</v>
      </c>
      <c r="J7" s="9" t="s">
        <v>797</v>
      </c>
      <c r="K7" s="9" t="s">
        <v>792</v>
      </c>
      <c r="L7" s="9" t="s">
        <v>793</v>
      </c>
    </row>
    <row r="8" customFormat="false" ht="28.35" hidden="false" customHeight="false" outlineLevel="0" collapsed="false">
      <c r="A8" s="9" t="s">
        <v>485</v>
      </c>
      <c r="B8" s="9" t="s">
        <v>458</v>
      </c>
      <c r="C8" s="9" t="s">
        <v>486</v>
      </c>
      <c r="D8" s="9" t="s">
        <v>487</v>
      </c>
      <c r="E8" s="9" t="s">
        <v>800</v>
      </c>
      <c r="F8" s="9" t="s">
        <v>377</v>
      </c>
      <c r="G8" s="9" t="s">
        <v>461</v>
      </c>
      <c r="H8" s="9" t="s">
        <v>489</v>
      </c>
      <c r="I8" s="9" t="s">
        <v>790</v>
      </c>
      <c r="J8" s="9" t="s">
        <v>797</v>
      </c>
      <c r="K8" s="9" t="s">
        <v>792</v>
      </c>
      <c r="L8" s="9" t="s">
        <v>793</v>
      </c>
    </row>
    <row r="9" customFormat="false" ht="28.35" hidden="false" customHeight="false" outlineLevel="0" collapsed="false">
      <c r="A9" s="9" t="s">
        <v>490</v>
      </c>
      <c r="B9" s="9" t="s">
        <v>458</v>
      </c>
      <c r="C9" s="9" t="s">
        <v>486</v>
      </c>
      <c r="D9" s="9" t="s">
        <v>491</v>
      </c>
      <c r="E9" s="9" t="s">
        <v>801</v>
      </c>
      <c r="F9" s="9" t="s">
        <v>377</v>
      </c>
      <c r="G9" s="9" t="s">
        <v>461</v>
      </c>
      <c r="H9" s="9" t="s">
        <v>493</v>
      </c>
      <c r="I9" s="9" t="s">
        <v>790</v>
      </c>
      <c r="J9" s="9" t="s">
        <v>797</v>
      </c>
      <c r="K9" s="9" t="s">
        <v>792</v>
      </c>
      <c r="L9" s="9" t="s">
        <v>793</v>
      </c>
    </row>
    <row r="10" customFormat="false" ht="28.35" hidden="false" customHeight="false" outlineLevel="0" collapsed="false">
      <c r="A10" s="9" t="s">
        <v>494</v>
      </c>
      <c r="B10" s="9" t="s">
        <v>458</v>
      </c>
      <c r="C10" s="9" t="s">
        <v>486</v>
      </c>
      <c r="D10" s="9" t="s">
        <v>495</v>
      </c>
      <c r="E10" s="9" t="s">
        <v>802</v>
      </c>
      <c r="F10" s="9" t="s">
        <v>377</v>
      </c>
      <c r="G10" s="9" t="s">
        <v>461</v>
      </c>
      <c r="H10" s="9" t="s">
        <v>497</v>
      </c>
      <c r="I10" s="9" t="s">
        <v>790</v>
      </c>
      <c r="J10" s="9" t="s">
        <v>797</v>
      </c>
      <c r="K10" s="9" t="s">
        <v>792</v>
      </c>
      <c r="L10" s="9" t="s">
        <v>793</v>
      </c>
    </row>
    <row r="11" customFormat="false" ht="28.35" hidden="false" customHeight="false" outlineLevel="0" collapsed="false">
      <c r="A11" s="9" t="s">
        <v>498</v>
      </c>
      <c r="B11" s="9" t="s">
        <v>458</v>
      </c>
      <c r="C11" s="9" t="s">
        <v>486</v>
      </c>
      <c r="D11" s="9" t="s">
        <v>499</v>
      </c>
      <c r="E11" s="9" t="s">
        <v>803</v>
      </c>
      <c r="F11" s="9" t="s">
        <v>377</v>
      </c>
      <c r="G11" s="9" t="s">
        <v>461</v>
      </c>
      <c r="H11" s="9" t="s">
        <v>463</v>
      </c>
      <c r="I11" s="9" t="s">
        <v>790</v>
      </c>
      <c r="J11" s="9" t="s">
        <v>791</v>
      </c>
      <c r="K11" s="9" t="s">
        <v>792</v>
      </c>
      <c r="L11" s="9" t="s">
        <v>793</v>
      </c>
    </row>
    <row r="12" customFormat="false" ht="28.35" hidden="false" customHeight="false" outlineLevel="0" collapsed="false">
      <c r="A12" s="9" t="s">
        <v>501</v>
      </c>
      <c r="B12" s="9" t="s">
        <v>458</v>
      </c>
      <c r="C12" s="9" t="s">
        <v>486</v>
      </c>
      <c r="D12" s="9" t="s">
        <v>502</v>
      </c>
      <c r="E12" s="9" t="s">
        <v>804</v>
      </c>
      <c r="F12" s="9" t="s">
        <v>377</v>
      </c>
      <c r="G12" s="9" t="s">
        <v>461</v>
      </c>
      <c r="H12" s="9" t="s">
        <v>504</v>
      </c>
      <c r="I12" s="9" t="s">
        <v>790</v>
      </c>
      <c r="J12" s="9" t="s">
        <v>797</v>
      </c>
      <c r="K12" s="9" t="s">
        <v>792</v>
      </c>
      <c r="L12" s="9" t="s">
        <v>793</v>
      </c>
    </row>
    <row r="13" customFormat="false" ht="28.35" hidden="false" customHeight="false" outlineLevel="0" collapsed="false">
      <c r="A13" s="9" t="s">
        <v>505</v>
      </c>
      <c r="B13" s="9" t="s">
        <v>458</v>
      </c>
      <c r="C13" s="9" t="s">
        <v>486</v>
      </c>
      <c r="D13" s="9" t="s">
        <v>506</v>
      </c>
      <c r="E13" s="9" t="s">
        <v>805</v>
      </c>
      <c r="F13" s="9" t="s">
        <v>377</v>
      </c>
      <c r="G13" s="9" t="s">
        <v>461</v>
      </c>
      <c r="H13" s="9" t="s">
        <v>508</v>
      </c>
      <c r="I13" s="9" t="s">
        <v>790</v>
      </c>
      <c r="J13" s="9" t="s">
        <v>797</v>
      </c>
      <c r="K13" s="9" t="s">
        <v>792</v>
      </c>
      <c r="L13" s="9" t="s">
        <v>793</v>
      </c>
    </row>
    <row r="14" customFormat="false" ht="28.35" hidden="false" customHeight="false" outlineLevel="0" collapsed="false">
      <c r="A14" s="9" t="s">
        <v>509</v>
      </c>
      <c r="B14" s="9" t="s">
        <v>458</v>
      </c>
      <c r="C14" s="9" t="s">
        <v>486</v>
      </c>
      <c r="D14" s="9" t="s">
        <v>510</v>
      </c>
      <c r="E14" s="9" t="s">
        <v>806</v>
      </c>
      <c r="F14" s="9" t="s">
        <v>377</v>
      </c>
      <c r="G14" s="9" t="s">
        <v>461</v>
      </c>
      <c r="H14" s="9" t="s">
        <v>512</v>
      </c>
      <c r="I14" s="9" t="s">
        <v>790</v>
      </c>
      <c r="J14" s="9" t="s">
        <v>797</v>
      </c>
      <c r="K14" s="9" t="s">
        <v>792</v>
      </c>
      <c r="L14" s="9" t="s">
        <v>793</v>
      </c>
    </row>
    <row r="15" customFormat="false" ht="28.35" hidden="false" customHeight="false" outlineLevel="0" collapsed="false">
      <c r="A15" s="9" t="s">
        <v>513</v>
      </c>
      <c r="B15" s="9" t="s">
        <v>458</v>
      </c>
      <c r="C15" s="9" t="s">
        <v>514</v>
      </c>
      <c r="D15" s="9" t="s">
        <v>515</v>
      </c>
      <c r="E15" s="9" t="s">
        <v>807</v>
      </c>
      <c r="F15" s="9" t="s">
        <v>377</v>
      </c>
      <c r="G15" s="9" t="s">
        <v>461</v>
      </c>
      <c r="H15" s="9" t="s">
        <v>517</v>
      </c>
      <c r="I15" s="9" t="s">
        <v>790</v>
      </c>
      <c r="J15" s="9" t="s">
        <v>797</v>
      </c>
      <c r="K15" s="9" t="s">
        <v>792</v>
      </c>
      <c r="L15" s="9" t="s">
        <v>793</v>
      </c>
    </row>
    <row r="16" customFormat="false" ht="28.35" hidden="false" customHeight="false" outlineLevel="0" collapsed="false">
      <c r="A16" s="9" t="s">
        <v>518</v>
      </c>
      <c r="B16" s="9" t="s">
        <v>458</v>
      </c>
      <c r="C16" s="9" t="s">
        <v>514</v>
      </c>
      <c r="D16" s="9" t="s">
        <v>519</v>
      </c>
      <c r="E16" s="9" t="s">
        <v>808</v>
      </c>
      <c r="F16" s="9" t="s">
        <v>377</v>
      </c>
      <c r="G16" s="9" t="s">
        <v>461</v>
      </c>
      <c r="H16" s="9" t="s">
        <v>521</v>
      </c>
      <c r="I16" s="9" t="s">
        <v>790</v>
      </c>
      <c r="J16" s="9" t="s">
        <v>797</v>
      </c>
      <c r="K16" s="9" t="s">
        <v>792</v>
      </c>
      <c r="L16" s="9" t="s">
        <v>793</v>
      </c>
    </row>
    <row r="17" customFormat="false" ht="28.35" hidden="false" customHeight="false" outlineLevel="0" collapsed="false">
      <c r="A17" s="9" t="s">
        <v>522</v>
      </c>
      <c r="B17" s="9" t="s">
        <v>458</v>
      </c>
      <c r="C17" s="9" t="s">
        <v>514</v>
      </c>
      <c r="D17" s="9" t="s">
        <v>523</v>
      </c>
      <c r="E17" s="9" t="s">
        <v>809</v>
      </c>
      <c r="F17" s="9" t="s">
        <v>377</v>
      </c>
      <c r="G17" s="9" t="s">
        <v>461</v>
      </c>
      <c r="H17" s="9" t="s">
        <v>525</v>
      </c>
      <c r="I17" s="9" t="s">
        <v>790</v>
      </c>
      <c r="J17" s="9" t="s">
        <v>797</v>
      </c>
      <c r="K17" s="9" t="s">
        <v>792</v>
      </c>
      <c r="L17" s="9" t="s">
        <v>793</v>
      </c>
    </row>
    <row r="18" customFormat="false" ht="28.35" hidden="false" customHeight="false" outlineLevel="0" collapsed="false">
      <c r="A18" s="9" t="s">
        <v>526</v>
      </c>
      <c r="B18" s="9" t="s">
        <v>458</v>
      </c>
      <c r="C18" s="9" t="s">
        <v>514</v>
      </c>
      <c r="D18" s="9" t="s">
        <v>527</v>
      </c>
      <c r="E18" s="9" t="s">
        <v>810</v>
      </c>
      <c r="F18" s="9" t="s">
        <v>377</v>
      </c>
      <c r="G18" s="9" t="s">
        <v>461</v>
      </c>
      <c r="H18" s="9" t="s">
        <v>529</v>
      </c>
      <c r="I18" s="9" t="s">
        <v>790</v>
      </c>
      <c r="J18" s="9" t="s">
        <v>797</v>
      </c>
      <c r="K18" s="9" t="s">
        <v>792</v>
      </c>
      <c r="L18" s="9" t="s">
        <v>793</v>
      </c>
    </row>
    <row r="19" customFormat="false" ht="28.35" hidden="false" customHeight="false" outlineLevel="0" collapsed="false">
      <c r="A19" s="9" t="s">
        <v>530</v>
      </c>
      <c r="B19" s="9" t="s">
        <v>458</v>
      </c>
      <c r="C19" s="9" t="s">
        <v>514</v>
      </c>
      <c r="D19" s="9" t="s">
        <v>531</v>
      </c>
      <c r="E19" s="9" t="s">
        <v>811</v>
      </c>
      <c r="F19" s="9" t="s">
        <v>377</v>
      </c>
      <c r="G19" s="9" t="s">
        <v>461</v>
      </c>
      <c r="H19" s="9" t="s">
        <v>533</v>
      </c>
      <c r="I19" s="9" t="s">
        <v>790</v>
      </c>
      <c r="J19" s="9" t="s">
        <v>797</v>
      </c>
      <c r="K19" s="9" t="s">
        <v>792</v>
      </c>
      <c r="L19" s="9" t="s">
        <v>793</v>
      </c>
    </row>
    <row r="20" customFormat="false" ht="28.35" hidden="false" customHeight="false" outlineLevel="0" collapsed="false">
      <c r="A20" s="9" t="s">
        <v>534</v>
      </c>
      <c r="B20" s="9" t="s">
        <v>458</v>
      </c>
      <c r="C20" s="9" t="s">
        <v>514</v>
      </c>
      <c r="D20" s="9" t="s">
        <v>535</v>
      </c>
      <c r="E20" s="9" t="s">
        <v>812</v>
      </c>
      <c r="F20" s="9" t="s">
        <v>377</v>
      </c>
      <c r="G20" s="9" t="s">
        <v>461</v>
      </c>
      <c r="H20" s="9" t="s">
        <v>463</v>
      </c>
      <c r="I20" s="9" t="s">
        <v>790</v>
      </c>
      <c r="J20" s="9" t="s">
        <v>791</v>
      </c>
      <c r="K20" s="9" t="s">
        <v>792</v>
      </c>
      <c r="L20" s="9" t="s">
        <v>793</v>
      </c>
    </row>
    <row r="21" customFormat="false" ht="15.75" hidden="false" customHeight="true" outlineLevel="0" collapsed="false">
      <c r="A21" s="9" t="s">
        <v>537</v>
      </c>
      <c r="B21" s="9" t="s">
        <v>458</v>
      </c>
      <c r="C21" s="9" t="s">
        <v>514</v>
      </c>
      <c r="D21" s="9" t="s">
        <v>538</v>
      </c>
      <c r="E21" s="9" t="s">
        <v>813</v>
      </c>
      <c r="F21" s="9" t="s">
        <v>377</v>
      </c>
      <c r="G21" s="9" t="s">
        <v>461</v>
      </c>
      <c r="H21" s="9" t="s">
        <v>540</v>
      </c>
      <c r="I21" s="9" t="s">
        <v>790</v>
      </c>
      <c r="J21" s="9" t="s">
        <v>797</v>
      </c>
      <c r="K21" s="9" t="s">
        <v>792</v>
      </c>
      <c r="L21" s="9" t="s">
        <v>793</v>
      </c>
    </row>
    <row r="22" customFormat="false" ht="15.75" hidden="false" customHeight="true" outlineLevel="0" collapsed="false">
      <c r="A22" s="9" t="s">
        <v>541</v>
      </c>
      <c r="B22" s="9" t="s">
        <v>458</v>
      </c>
      <c r="C22" s="9" t="s">
        <v>542</v>
      </c>
      <c r="D22" s="9" t="s">
        <v>543</v>
      </c>
      <c r="E22" s="9" t="s">
        <v>814</v>
      </c>
      <c r="F22" s="9" t="s">
        <v>377</v>
      </c>
      <c r="G22" s="9" t="s">
        <v>461</v>
      </c>
      <c r="H22" s="9" t="s">
        <v>545</v>
      </c>
      <c r="I22" s="9" t="s">
        <v>790</v>
      </c>
      <c r="J22" s="9" t="s">
        <v>797</v>
      </c>
      <c r="K22" s="9" t="s">
        <v>792</v>
      </c>
      <c r="L22" s="9" t="s">
        <v>793</v>
      </c>
    </row>
    <row r="23" customFormat="false" ht="15.75" hidden="false" customHeight="true" outlineLevel="0" collapsed="false">
      <c r="A23" s="9" t="s">
        <v>546</v>
      </c>
      <c r="B23" s="9" t="s">
        <v>458</v>
      </c>
      <c r="C23" s="9" t="s">
        <v>542</v>
      </c>
      <c r="D23" s="9" t="s">
        <v>547</v>
      </c>
      <c r="E23" s="9" t="s">
        <v>548</v>
      </c>
      <c r="F23" s="9" t="s">
        <v>384</v>
      </c>
      <c r="G23" s="9" t="s">
        <v>470</v>
      </c>
      <c r="H23" s="9" t="s">
        <v>549</v>
      </c>
      <c r="I23" s="9" t="s">
        <v>815</v>
      </c>
      <c r="J23" s="9" t="s">
        <v>797</v>
      </c>
      <c r="K23" s="9" t="s">
        <v>792</v>
      </c>
      <c r="L23" s="9" t="s">
        <v>793</v>
      </c>
    </row>
    <row r="24" customFormat="false" ht="15.75" hidden="false" customHeight="true" outlineLevel="0" collapsed="false">
      <c r="A24" s="9" t="s">
        <v>550</v>
      </c>
      <c r="B24" s="9" t="s">
        <v>458</v>
      </c>
      <c r="C24" s="9" t="s">
        <v>542</v>
      </c>
      <c r="D24" s="9" t="s">
        <v>551</v>
      </c>
      <c r="E24" s="9" t="s">
        <v>816</v>
      </c>
      <c r="F24" s="9" t="s">
        <v>377</v>
      </c>
      <c r="G24" s="9" t="s">
        <v>461</v>
      </c>
      <c r="H24" s="9" t="s">
        <v>553</v>
      </c>
      <c r="I24" s="9" t="s">
        <v>790</v>
      </c>
      <c r="J24" s="9" t="s">
        <v>797</v>
      </c>
      <c r="K24" s="9" t="s">
        <v>792</v>
      </c>
      <c r="L24" s="9" t="s">
        <v>793</v>
      </c>
    </row>
    <row r="25" customFormat="false" ht="15.75" hidden="false" customHeight="true" outlineLevel="0" collapsed="false">
      <c r="A25" s="9" t="s">
        <v>554</v>
      </c>
      <c r="B25" s="9" t="s">
        <v>458</v>
      </c>
      <c r="C25" s="9" t="s">
        <v>542</v>
      </c>
      <c r="D25" s="9" t="s">
        <v>555</v>
      </c>
      <c r="E25" s="9" t="s">
        <v>817</v>
      </c>
      <c r="F25" s="9" t="s">
        <v>377</v>
      </c>
      <c r="G25" s="9" t="s">
        <v>461</v>
      </c>
      <c r="H25" s="9" t="s">
        <v>557</v>
      </c>
      <c r="I25" s="9" t="s">
        <v>790</v>
      </c>
      <c r="J25" s="9" t="s">
        <v>797</v>
      </c>
      <c r="K25" s="9" t="s">
        <v>792</v>
      </c>
      <c r="L25" s="9" t="s">
        <v>793</v>
      </c>
    </row>
    <row r="26" customFormat="false" ht="15.75" hidden="false" customHeight="true" outlineLevel="0" collapsed="false">
      <c r="A26" s="9" t="s">
        <v>558</v>
      </c>
      <c r="B26" s="9" t="s">
        <v>458</v>
      </c>
      <c r="C26" s="9" t="s">
        <v>542</v>
      </c>
      <c r="D26" s="9" t="s">
        <v>559</v>
      </c>
      <c r="E26" s="9" t="s">
        <v>818</v>
      </c>
      <c r="F26" s="9" t="s">
        <v>377</v>
      </c>
      <c r="G26" s="9" t="s">
        <v>461</v>
      </c>
      <c r="H26" s="9" t="s">
        <v>561</v>
      </c>
      <c r="I26" s="9" t="s">
        <v>790</v>
      </c>
      <c r="J26" s="9" t="s">
        <v>797</v>
      </c>
      <c r="K26" s="9" t="s">
        <v>792</v>
      </c>
      <c r="L26" s="9" t="s">
        <v>793</v>
      </c>
    </row>
    <row r="27" customFormat="false" ht="15.75" hidden="false" customHeight="true" outlineLevel="0" collapsed="false">
      <c r="A27" s="9" t="s">
        <v>562</v>
      </c>
      <c r="B27" s="9" t="s">
        <v>458</v>
      </c>
      <c r="C27" s="9" t="s">
        <v>542</v>
      </c>
      <c r="D27" s="9" t="s">
        <v>563</v>
      </c>
      <c r="E27" s="9" t="s">
        <v>819</v>
      </c>
      <c r="F27" s="9" t="s">
        <v>377</v>
      </c>
      <c r="G27" s="9" t="s">
        <v>461</v>
      </c>
      <c r="H27" s="9" t="s">
        <v>565</v>
      </c>
      <c r="I27" s="9" t="s">
        <v>790</v>
      </c>
      <c r="J27" s="9" t="s">
        <v>797</v>
      </c>
      <c r="K27" s="9" t="s">
        <v>792</v>
      </c>
      <c r="L27" s="9" t="s">
        <v>793</v>
      </c>
    </row>
    <row r="28" customFormat="false" ht="15.75" hidden="false" customHeight="true" outlineLevel="0" collapsed="false">
      <c r="A28" s="9" t="s">
        <v>566</v>
      </c>
      <c r="B28" s="9" t="s">
        <v>458</v>
      </c>
      <c r="C28" s="9" t="s">
        <v>542</v>
      </c>
      <c r="D28" s="9" t="s">
        <v>567</v>
      </c>
      <c r="E28" s="9" t="s">
        <v>820</v>
      </c>
      <c r="F28" s="9" t="s">
        <v>377</v>
      </c>
      <c r="G28" s="9" t="s">
        <v>461</v>
      </c>
      <c r="H28" s="9" t="s">
        <v>569</v>
      </c>
      <c r="I28" s="9" t="s">
        <v>790</v>
      </c>
      <c r="J28" s="9" t="s">
        <v>797</v>
      </c>
      <c r="K28" s="9" t="s">
        <v>792</v>
      </c>
      <c r="L28" s="9" t="s">
        <v>793</v>
      </c>
    </row>
    <row r="29" customFormat="false" ht="15.75" hidden="false" customHeight="true" outlineLevel="0" collapsed="false">
      <c r="A29" s="9" t="s">
        <v>570</v>
      </c>
      <c r="B29" s="9" t="s">
        <v>458</v>
      </c>
      <c r="C29" s="9" t="s">
        <v>542</v>
      </c>
      <c r="D29" s="9" t="s">
        <v>571</v>
      </c>
      <c r="E29" s="9" t="s">
        <v>821</v>
      </c>
      <c r="F29" s="9" t="s">
        <v>377</v>
      </c>
      <c r="G29" s="9" t="s">
        <v>461</v>
      </c>
      <c r="H29" s="9" t="s">
        <v>573</v>
      </c>
      <c r="I29" s="9" t="s">
        <v>790</v>
      </c>
      <c r="J29" s="9" t="s">
        <v>797</v>
      </c>
      <c r="K29" s="9" t="s">
        <v>792</v>
      </c>
      <c r="L29" s="9" t="s">
        <v>793</v>
      </c>
    </row>
    <row r="30" customFormat="false" ht="15.75" hidden="false" customHeight="true" outlineLevel="0" collapsed="false">
      <c r="A30" s="9" t="s">
        <v>574</v>
      </c>
      <c r="B30" s="9" t="s">
        <v>458</v>
      </c>
      <c r="C30" s="9" t="s">
        <v>542</v>
      </c>
      <c r="D30" s="9" t="s">
        <v>575</v>
      </c>
      <c r="E30" s="9" t="s">
        <v>576</v>
      </c>
      <c r="F30" s="9" t="s">
        <v>384</v>
      </c>
      <c r="G30" s="9" t="s">
        <v>470</v>
      </c>
      <c r="H30" s="9" t="s">
        <v>577</v>
      </c>
      <c r="I30" s="9" t="s">
        <v>790</v>
      </c>
      <c r="J30" s="9" t="s">
        <v>795</v>
      </c>
      <c r="K30" s="9" t="s">
        <v>792</v>
      </c>
      <c r="L30" s="9" t="s">
        <v>793</v>
      </c>
    </row>
    <row r="31" customFormat="false" ht="15.75" hidden="false" customHeight="true" outlineLevel="0" collapsed="false">
      <c r="A31" s="9" t="s">
        <v>578</v>
      </c>
      <c r="B31" s="9" t="s">
        <v>458</v>
      </c>
      <c r="C31" s="9" t="s">
        <v>579</v>
      </c>
      <c r="D31" s="9" t="s">
        <v>580</v>
      </c>
      <c r="E31" s="9" t="s">
        <v>822</v>
      </c>
      <c r="F31" s="9" t="s">
        <v>377</v>
      </c>
      <c r="G31" s="9" t="s">
        <v>461</v>
      </c>
      <c r="H31" s="9" t="s">
        <v>582</v>
      </c>
      <c r="I31" s="9" t="s">
        <v>790</v>
      </c>
      <c r="J31" s="9" t="s">
        <v>797</v>
      </c>
      <c r="K31" s="9" t="s">
        <v>792</v>
      </c>
      <c r="L31" s="9" t="s">
        <v>793</v>
      </c>
    </row>
    <row r="32" customFormat="false" ht="15.75" hidden="false" customHeight="true" outlineLevel="0" collapsed="false">
      <c r="A32" s="9" t="s">
        <v>583</v>
      </c>
      <c r="B32" s="9" t="s">
        <v>458</v>
      </c>
      <c r="C32" s="9" t="s">
        <v>579</v>
      </c>
      <c r="D32" s="9" t="s">
        <v>584</v>
      </c>
      <c r="E32" s="9" t="s">
        <v>823</v>
      </c>
      <c r="F32" s="9" t="s">
        <v>377</v>
      </c>
      <c r="G32" s="9" t="s">
        <v>461</v>
      </c>
      <c r="H32" s="9" t="s">
        <v>586</v>
      </c>
      <c r="I32" s="9" t="s">
        <v>790</v>
      </c>
      <c r="J32" s="9" t="s">
        <v>797</v>
      </c>
      <c r="K32" s="9" t="s">
        <v>792</v>
      </c>
      <c r="L32" s="9" t="s">
        <v>793</v>
      </c>
    </row>
    <row r="33" customFormat="false" ht="15.75" hidden="false" customHeight="true" outlineLevel="0" collapsed="false">
      <c r="A33" s="9" t="s">
        <v>587</v>
      </c>
      <c r="B33" s="9" t="s">
        <v>458</v>
      </c>
      <c r="C33" s="9" t="s">
        <v>579</v>
      </c>
      <c r="D33" s="9" t="s">
        <v>588</v>
      </c>
      <c r="E33" s="9" t="s">
        <v>824</v>
      </c>
      <c r="F33" s="9" t="s">
        <v>377</v>
      </c>
      <c r="G33" s="9" t="s">
        <v>461</v>
      </c>
      <c r="H33" s="9" t="s">
        <v>590</v>
      </c>
      <c r="I33" s="9" t="s">
        <v>790</v>
      </c>
      <c r="J33" s="9" t="s">
        <v>797</v>
      </c>
      <c r="K33" s="9" t="s">
        <v>792</v>
      </c>
      <c r="L33" s="9" t="s">
        <v>793</v>
      </c>
    </row>
    <row r="34" customFormat="false" ht="15.75" hidden="false" customHeight="true" outlineLevel="0" collapsed="false">
      <c r="A34" s="9" t="s">
        <v>591</v>
      </c>
      <c r="B34" s="9" t="s">
        <v>458</v>
      </c>
      <c r="C34" s="9" t="s">
        <v>579</v>
      </c>
      <c r="D34" s="9" t="s">
        <v>592</v>
      </c>
      <c r="E34" s="9" t="s">
        <v>825</v>
      </c>
      <c r="F34" s="9" t="s">
        <v>377</v>
      </c>
      <c r="G34" s="9" t="s">
        <v>461</v>
      </c>
      <c r="H34" s="9" t="s">
        <v>594</v>
      </c>
      <c r="I34" s="9" t="s">
        <v>790</v>
      </c>
      <c r="J34" s="9" t="s">
        <v>797</v>
      </c>
      <c r="K34" s="9" t="s">
        <v>792</v>
      </c>
      <c r="L34" s="9" t="s">
        <v>793</v>
      </c>
    </row>
    <row r="35" customFormat="false" ht="15.75" hidden="false" customHeight="true" outlineLevel="0" collapsed="false">
      <c r="A35" s="9" t="s">
        <v>595</v>
      </c>
      <c r="B35" s="9" t="s">
        <v>458</v>
      </c>
      <c r="C35" s="9" t="s">
        <v>579</v>
      </c>
      <c r="D35" s="9" t="s">
        <v>596</v>
      </c>
      <c r="E35" s="9" t="s">
        <v>826</v>
      </c>
      <c r="F35" s="9" t="s">
        <v>377</v>
      </c>
      <c r="G35" s="9" t="s">
        <v>461</v>
      </c>
      <c r="H35" s="9" t="s">
        <v>598</v>
      </c>
      <c r="I35" s="9" t="s">
        <v>790</v>
      </c>
      <c r="J35" s="9" t="s">
        <v>797</v>
      </c>
      <c r="K35" s="9" t="s">
        <v>792</v>
      </c>
      <c r="L35" s="9" t="s">
        <v>793</v>
      </c>
    </row>
    <row r="36" customFormat="false" ht="15.75" hidden="false" customHeight="true" outlineLevel="0" collapsed="false">
      <c r="A36" s="9" t="s">
        <v>599</v>
      </c>
      <c r="B36" s="9" t="s">
        <v>458</v>
      </c>
      <c r="C36" s="9" t="s">
        <v>579</v>
      </c>
      <c r="D36" s="9" t="s">
        <v>600</v>
      </c>
      <c r="E36" s="9" t="s">
        <v>827</v>
      </c>
      <c r="F36" s="9" t="s">
        <v>377</v>
      </c>
      <c r="G36" s="9" t="s">
        <v>461</v>
      </c>
      <c r="H36" s="9" t="s">
        <v>602</v>
      </c>
      <c r="I36" s="9" t="s">
        <v>790</v>
      </c>
      <c r="J36" s="9" t="s">
        <v>797</v>
      </c>
      <c r="K36" s="9" t="s">
        <v>792</v>
      </c>
      <c r="L36" s="9" t="s">
        <v>793</v>
      </c>
    </row>
    <row r="37" customFormat="false" ht="15.75" hidden="false" customHeight="true" outlineLevel="0" collapsed="false">
      <c r="A37" s="9" t="s">
        <v>603</v>
      </c>
      <c r="B37" s="9" t="s">
        <v>604</v>
      </c>
      <c r="C37" s="9" t="s">
        <v>605</v>
      </c>
      <c r="D37" s="9" t="s">
        <v>606</v>
      </c>
      <c r="E37" s="9" t="s">
        <v>607</v>
      </c>
      <c r="F37" s="9" t="s">
        <v>384</v>
      </c>
      <c r="G37" s="9" t="s">
        <v>470</v>
      </c>
      <c r="H37" s="9" t="s">
        <v>608</v>
      </c>
      <c r="I37" s="9" t="s">
        <v>815</v>
      </c>
      <c r="J37" s="9" t="s">
        <v>797</v>
      </c>
      <c r="K37" s="9" t="s">
        <v>792</v>
      </c>
      <c r="L37" s="9" t="s">
        <v>828</v>
      </c>
    </row>
    <row r="38" customFormat="false" ht="15.75" hidden="false" customHeight="true" outlineLevel="0" collapsed="false">
      <c r="A38" s="9" t="s">
        <v>609</v>
      </c>
      <c r="B38" s="9" t="s">
        <v>604</v>
      </c>
      <c r="C38" s="9" t="s">
        <v>605</v>
      </c>
      <c r="D38" s="9" t="s">
        <v>610</v>
      </c>
      <c r="E38" s="9" t="s">
        <v>611</v>
      </c>
      <c r="F38" s="9" t="s">
        <v>384</v>
      </c>
      <c r="G38" s="9" t="s">
        <v>470</v>
      </c>
      <c r="H38" s="9" t="s">
        <v>612</v>
      </c>
      <c r="I38" s="9" t="s">
        <v>815</v>
      </c>
      <c r="J38" s="9" t="s">
        <v>797</v>
      </c>
      <c r="K38" s="9" t="s">
        <v>792</v>
      </c>
      <c r="L38" s="9" t="s">
        <v>828</v>
      </c>
    </row>
    <row r="39" customFormat="false" ht="15.75" hidden="false" customHeight="true" outlineLevel="0" collapsed="false">
      <c r="A39" s="9" t="s">
        <v>613</v>
      </c>
      <c r="B39" s="9" t="s">
        <v>614</v>
      </c>
      <c r="C39" s="9" t="s">
        <v>605</v>
      </c>
      <c r="D39" s="9" t="s">
        <v>615</v>
      </c>
      <c r="E39" s="9" t="s">
        <v>829</v>
      </c>
      <c r="F39" s="9" t="s">
        <v>384</v>
      </c>
      <c r="G39" s="9" t="s">
        <v>470</v>
      </c>
      <c r="H39" s="9" t="s">
        <v>617</v>
      </c>
      <c r="I39" s="9" t="s">
        <v>790</v>
      </c>
      <c r="J39" s="9" t="s">
        <v>795</v>
      </c>
      <c r="K39" s="9" t="s">
        <v>792</v>
      </c>
      <c r="L39" s="9" t="s">
        <v>828</v>
      </c>
    </row>
    <row r="40" customFormat="false" ht="15.75" hidden="false" customHeight="true" outlineLevel="0" collapsed="false">
      <c r="A40" s="9" t="s">
        <v>618</v>
      </c>
      <c r="B40" s="9" t="s">
        <v>604</v>
      </c>
      <c r="C40" s="9" t="s">
        <v>605</v>
      </c>
      <c r="D40" s="9" t="s">
        <v>619</v>
      </c>
      <c r="E40" s="9" t="s">
        <v>620</v>
      </c>
      <c r="F40" s="9" t="s">
        <v>384</v>
      </c>
      <c r="G40" s="9" t="s">
        <v>470</v>
      </c>
      <c r="H40" s="9" t="s">
        <v>621</v>
      </c>
      <c r="I40" s="9" t="s">
        <v>830</v>
      </c>
      <c r="J40" s="9" t="s">
        <v>797</v>
      </c>
      <c r="K40" s="9" t="s">
        <v>792</v>
      </c>
      <c r="L40" s="9" t="s">
        <v>828</v>
      </c>
    </row>
    <row r="41" customFormat="false" ht="15.75" hidden="false" customHeight="true" outlineLevel="0" collapsed="false">
      <c r="A41" s="9" t="s">
        <v>622</v>
      </c>
      <c r="B41" s="9" t="s">
        <v>604</v>
      </c>
      <c r="C41" s="9" t="s">
        <v>605</v>
      </c>
      <c r="D41" s="9" t="s">
        <v>623</v>
      </c>
      <c r="E41" s="9" t="s">
        <v>624</v>
      </c>
      <c r="F41" s="9" t="s">
        <v>384</v>
      </c>
      <c r="G41" s="9" t="s">
        <v>470</v>
      </c>
      <c r="H41" s="9" t="s">
        <v>625</v>
      </c>
      <c r="I41" s="9" t="s">
        <v>815</v>
      </c>
      <c r="J41" s="9" t="s">
        <v>797</v>
      </c>
      <c r="K41" s="9" t="s">
        <v>792</v>
      </c>
      <c r="L41" s="9" t="s">
        <v>828</v>
      </c>
    </row>
    <row r="42" customFormat="false" ht="15.75" hidden="false" customHeight="true" outlineLevel="0" collapsed="false">
      <c r="A42" s="9" t="s">
        <v>626</v>
      </c>
      <c r="B42" s="9" t="s">
        <v>604</v>
      </c>
      <c r="C42" s="9" t="s">
        <v>627</v>
      </c>
      <c r="D42" s="9" t="s">
        <v>628</v>
      </c>
      <c r="E42" s="9" t="s">
        <v>630</v>
      </c>
      <c r="F42" s="9" t="s">
        <v>387</v>
      </c>
      <c r="G42" s="9" t="s">
        <v>629</v>
      </c>
      <c r="H42" s="9" t="s">
        <v>631</v>
      </c>
      <c r="I42" s="9" t="s">
        <v>815</v>
      </c>
      <c r="J42" s="9" t="s">
        <v>797</v>
      </c>
      <c r="K42" s="9" t="s">
        <v>792</v>
      </c>
      <c r="L42" s="9" t="s">
        <v>828</v>
      </c>
    </row>
    <row r="43" customFormat="false" ht="15.75" hidden="false" customHeight="true" outlineLevel="0" collapsed="false">
      <c r="A43" s="9" t="s">
        <v>632</v>
      </c>
      <c r="B43" s="9" t="s">
        <v>604</v>
      </c>
      <c r="C43" s="9" t="s">
        <v>627</v>
      </c>
      <c r="D43" s="9" t="s">
        <v>633</v>
      </c>
      <c r="E43" s="9" t="s">
        <v>634</v>
      </c>
      <c r="F43" s="9" t="s">
        <v>387</v>
      </c>
      <c r="G43" s="9" t="s">
        <v>629</v>
      </c>
      <c r="H43" s="9" t="s">
        <v>635</v>
      </c>
      <c r="I43" s="9" t="s">
        <v>815</v>
      </c>
      <c r="J43" s="9" t="s">
        <v>797</v>
      </c>
      <c r="K43" s="9" t="s">
        <v>792</v>
      </c>
      <c r="L43" s="9" t="s">
        <v>828</v>
      </c>
    </row>
    <row r="44" customFormat="false" ht="15.75" hidden="false" customHeight="true" outlineLevel="0" collapsed="false">
      <c r="A44" s="9" t="s">
        <v>636</v>
      </c>
      <c r="B44" s="9" t="s">
        <v>604</v>
      </c>
      <c r="C44" s="9" t="s">
        <v>627</v>
      </c>
      <c r="D44" s="9" t="s">
        <v>637</v>
      </c>
      <c r="E44" s="9" t="s">
        <v>638</v>
      </c>
      <c r="F44" s="9" t="s">
        <v>387</v>
      </c>
      <c r="G44" s="9" t="s">
        <v>629</v>
      </c>
      <c r="H44" s="9" t="s">
        <v>639</v>
      </c>
      <c r="I44" s="9" t="s">
        <v>815</v>
      </c>
      <c r="J44" s="9" t="s">
        <v>797</v>
      </c>
      <c r="K44" s="9" t="s">
        <v>792</v>
      </c>
      <c r="L44" s="9" t="s">
        <v>828</v>
      </c>
    </row>
    <row r="45" customFormat="false" ht="15.75" hidden="false" customHeight="true" outlineLevel="0" collapsed="false">
      <c r="A45" s="9" t="s">
        <v>640</v>
      </c>
      <c r="B45" s="9" t="s">
        <v>604</v>
      </c>
      <c r="C45" s="9" t="s">
        <v>627</v>
      </c>
      <c r="D45" s="9" t="s">
        <v>641</v>
      </c>
      <c r="E45" s="9" t="s">
        <v>831</v>
      </c>
      <c r="F45" s="9" t="s">
        <v>387</v>
      </c>
      <c r="G45" s="9" t="s">
        <v>629</v>
      </c>
      <c r="H45" s="9" t="s">
        <v>643</v>
      </c>
      <c r="I45" s="9" t="s">
        <v>815</v>
      </c>
      <c r="J45" s="9" t="s">
        <v>797</v>
      </c>
      <c r="K45" s="9" t="s">
        <v>792</v>
      </c>
      <c r="L45" s="9" t="s">
        <v>828</v>
      </c>
    </row>
    <row r="46" customFormat="false" ht="15.75" hidden="false" customHeight="true" outlineLevel="0" collapsed="false">
      <c r="A46" s="9" t="s">
        <v>644</v>
      </c>
      <c r="B46" s="9" t="s">
        <v>604</v>
      </c>
      <c r="C46" s="9" t="s">
        <v>627</v>
      </c>
      <c r="D46" s="9" t="s">
        <v>645</v>
      </c>
      <c r="E46" s="9" t="s">
        <v>646</v>
      </c>
      <c r="F46" s="9" t="s">
        <v>384</v>
      </c>
      <c r="G46" s="9" t="s">
        <v>470</v>
      </c>
      <c r="H46" s="9" t="s">
        <v>647</v>
      </c>
      <c r="I46" s="9" t="s">
        <v>830</v>
      </c>
      <c r="J46" s="9" t="s">
        <v>797</v>
      </c>
      <c r="K46" s="9" t="s">
        <v>792</v>
      </c>
      <c r="L46" s="9" t="s">
        <v>828</v>
      </c>
    </row>
    <row r="47" customFormat="false" ht="15.75" hidden="false" customHeight="true" outlineLevel="0" collapsed="false">
      <c r="A47" s="9" t="s">
        <v>648</v>
      </c>
      <c r="B47" s="9" t="s">
        <v>604</v>
      </c>
      <c r="C47" s="9" t="s">
        <v>649</v>
      </c>
      <c r="D47" s="9" t="s">
        <v>650</v>
      </c>
      <c r="E47" s="9" t="s">
        <v>832</v>
      </c>
      <c r="F47" s="9" t="s">
        <v>377</v>
      </c>
      <c r="G47" s="9" t="s">
        <v>461</v>
      </c>
      <c r="H47" s="9" t="s">
        <v>652</v>
      </c>
      <c r="I47" s="9" t="s">
        <v>833</v>
      </c>
      <c r="J47" s="9" t="s">
        <v>797</v>
      </c>
      <c r="K47" s="9" t="s">
        <v>792</v>
      </c>
      <c r="L47" s="9" t="s">
        <v>828</v>
      </c>
    </row>
    <row r="48" customFormat="false" ht="15.75" hidden="false" customHeight="true" outlineLevel="0" collapsed="false">
      <c r="A48" s="9" t="s">
        <v>653</v>
      </c>
      <c r="B48" s="9" t="s">
        <v>654</v>
      </c>
      <c r="C48" s="9" t="s">
        <v>649</v>
      </c>
      <c r="D48" s="9" t="s">
        <v>655</v>
      </c>
      <c r="E48" s="9" t="s">
        <v>834</v>
      </c>
      <c r="F48" s="9" t="s">
        <v>377</v>
      </c>
      <c r="G48" s="9" t="s">
        <v>461</v>
      </c>
      <c r="H48" s="9" t="s">
        <v>657</v>
      </c>
      <c r="I48" s="9" t="s">
        <v>790</v>
      </c>
      <c r="J48" s="9" t="s">
        <v>797</v>
      </c>
      <c r="K48" s="9" t="s">
        <v>792</v>
      </c>
      <c r="L48" s="9" t="s">
        <v>828</v>
      </c>
    </row>
    <row r="49" customFormat="false" ht="15.75" hidden="false" customHeight="true" outlineLevel="0" collapsed="false">
      <c r="A49" s="9" t="s">
        <v>658</v>
      </c>
      <c r="B49" s="9" t="s">
        <v>654</v>
      </c>
      <c r="C49" s="9" t="s">
        <v>649</v>
      </c>
      <c r="D49" s="9" t="s">
        <v>659</v>
      </c>
      <c r="E49" s="9" t="s">
        <v>835</v>
      </c>
      <c r="F49" s="9" t="s">
        <v>377</v>
      </c>
      <c r="G49" s="9" t="s">
        <v>461</v>
      </c>
      <c r="H49" s="9" t="s">
        <v>657</v>
      </c>
      <c r="I49" s="9" t="s">
        <v>790</v>
      </c>
      <c r="J49" s="9" t="s">
        <v>797</v>
      </c>
      <c r="K49" s="9" t="s">
        <v>792</v>
      </c>
      <c r="L49" s="9" t="s">
        <v>828</v>
      </c>
    </row>
    <row r="50" customFormat="false" ht="15.75" hidden="false" customHeight="true" outlineLevel="0" collapsed="false">
      <c r="A50" s="9" t="s">
        <v>661</v>
      </c>
      <c r="B50" s="9" t="s">
        <v>654</v>
      </c>
      <c r="C50" s="9" t="s">
        <v>649</v>
      </c>
      <c r="D50" s="9" t="s">
        <v>662</v>
      </c>
      <c r="E50" s="9" t="s">
        <v>836</v>
      </c>
      <c r="F50" s="9" t="s">
        <v>377</v>
      </c>
      <c r="G50" s="9" t="s">
        <v>461</v>
      </c>
      <c r="H50" s="9" t="s">
        <v>657</v>
      </c>
      <c r="I50" s="9" t="s">
        <v>790</v>
      </c>
      <c r="J50" s="9" t="s">
        <v>797</v>
      </c>
      <c r="K50" s="9" t="s">
        <v>792</v>
      </c>
      <c r="L50" s="9" t="s">
        <v>828</v>
      </c>
    </row>
    <row r="51" customFormat="false" ht="15.75" hidden="false" customHeight="true" outlineLevel="0" collapsed="false">
      <c r="A51" s="9" t="s">
        <v>664</v>
      </c>
      <c r="B51" s="9" t="s">
        <v>604</v>
      </c>
      <c r="C51" s="9" t="s">
        <v>649</v>
      </c>
      <c r="D51" s="9" t="s">
        <v>665</v>
      </c>
      <c r="E51" s="9" t="s">
        <v>666</v>
      </c>
      <c r="F51" s="9" t="s">
        <v>384</v>
      </c>
      <c r="G51" s="9" t="s">
        <v>470</v>
      </c>
      <c r="H51" s="9" t="s">
        <v>667</v>
      </c>
      <c r="I51" s="9" t="s">
        <v>815</v>
      </c>
      <c r="J51" s="9" t="s">
        <v>797</v>
      </c>
      <c r="K51" s="9" t="s">
        <v>792</v>
      </c>
      <c r="L51" s="9" t="s">
        <v>828</v>
      </c>
    </row>
    <row r="52" customFormat="false" ht="15.75" hidden="false" customHeight="true" outlineLevel="0" collapsed="false">
      <c r="A52" s="9" t="s">
        <v>668</v>
      </c>
      <c r="B52" s="9" t="s">
        <v>669</v>
      </c>
      <c r="C52" s="9" t="s">
        <v>649</v>
      </c>
      <c r="D52" s="9" t="s">
        <v>670</v>
      </c>
      <c r="E52" s="9" t="s">
        <v>671</v>
      </c>
      <c r="F52" s="9" t="s">
        <v>384</v>
      </c>
      <c r="G52" s="9" t="s">
        <v>470</v>
      </c>
      <c r="H52" s="9" t="s">
        <v>672</v>
      </c>
      <c r="I52" s="9" t="s">
        <v>790</v>
      </c>
      <c r="J52" s="9" t="s">
        <v>795</v>
      </c>
      <c r="K52" s="9" t="s">
        <v>792</v>
      </c>
      <c r="L52" s="9" t="s">
        <v>828</v>
      </c>
    </row>
    <row r="53" customFormat="false" ht="15.75" hidden="false" customHeight="true" outlineLevel="0" collapsed="false">
      <c r="A53" s="9" t="s">
        <v>673</v>
      </c>
      <c r="B53" s="9" t="s">
        <v>674</v>
      </c>
      <c r="C53" s="9" t="s">
        <v>675</v>
      </c>
      <c r="D53" s="9" t="s">
        <v>676</v>
      </c>
      <c r="E53" s="9" t="s">
        <v>677</v>
      </c>
      <c r="F53" s="9" t="s">
        <v>384</v>
      </c>
      <c r="G53" s="9" t="s">
        <v>470</v>
      </c>
      <c r="H53" s="9" t="s">
        <v>678</v>
      </c>
      <c r="I53" s="9" t="s">
        <v>815</v>
      </c>
      <c r="J53" s="9" t="s">
        <v>797</v>
      </c>
      <c r="K53" s="9" t="s">
        <v>792</v>
      </c>
      <c r="L53" s="9" t="s">
        <v>828</v>
      </c>
    </row>
    <row r="54" customFormat="false" ht="15.75" hidden="false" customHeight="true" outlineLevel="0" collapsed="false">
      <c r="A54" s="9" t="s">
        <v>679</v>
      </c>
      <c r="B54" s="9" t="s">
        <v>674</v>
      </c>
      <c r="C54" s="9" t="s">
        <v>675</v>
      </c>
      <c r="D54" s="9" t="s">
        <v>680</v>
      </c>
      <c r="E54" s="9" t="s">
        <v>681</v>
      </c>
      <c r="F54" s="9" t="s">
        <v>384</v>
      </c>
      <c r="G54" s="9" t="s">
        <v>470</v>
      </c>
      <c r="H54" s="9" t="s">
        <v>678</v>
      </c>
      <c r="I54" s="9" t="s">
        <v>815</v>
      </c>
      <c r="J54" s="9" t="s">
        <v>797</v>
      </c>
      <c r="K54" s="9" t="s">
        <v>792</v>
      </c>
      <c r="L54" s="9" t="s">
        <v>828</v>
      </c>
    </row>
    <row r="55" customFormat="false" ht="15.75" hidden="false" customHeight="true" outlineLevel="0" collapsed="false">
      <c r="A55" s="9" t="s">
        <v>682</v>
      </c>
      <c r="B55" s="9" t="s">
        <v>674</v>
      </c>
      <c r="C55" s="9" t="s">
        <v>675</v>
      </c>
      <c r="D55" s="9" t="s">
        <v>683</v>
      </c>
      <c r="E55" s="9" t="s">
        <v>684</v>
      </c>
      <c r="F55" s="9" t="s">
        <v>384</v>
      </c>
      <c r="G55" s="9" t="s">
        <v>470</v>
      </c>
      <c r="H55" s="9" t="s">
        <v>678</v>
      </c>
      <c r="I55" s="9" t="s">
        <v>815</v>
      </c>
      <c r="J55" s="9" t="s">
        <v>797</v>
      </c>
      <c r="K55" s="9" t="s">
        <v>792</v>
      </c>
      <c r="L55" s="9" t="s">
        <v>828</v>
      </c>
    </row>
    <row r="56" customFormat="false" ht="15.75" hidden="false" customHeight="true" outlineLevel="0" collapsed="false">
      <c r="A56" s="9" t="s">
        <v>685</v>
      </c>
      <c r="B56" s="9" t="s">
        <v>674</v>
      </c>
      <c r="C56" s="9" t="s">
        <v>675</v>
      </c>
      <c r="D56" s="9" t="s">
        <v>686</v>
      </c>
      <c r="E56" s="9" t="s">
        <v>687</v>
      </c>
      <c r="F56" s="9" t="s">
        <v>384</v>
      </c>
      <c r="G56" s="9" t="s">
        <v>470</v>
      </c>
      <c r="H56" s="9" t="s">
        <v>678</v>
      </c>
      <c r="I56" s="9" t="s">
        <v>815</v>
      </c>
      <c r="J56" s="9" t="s">
        <v>797</v>
      </c>
      <c r="K56" s="9" t="s">
        <v>792</v>
      </c>
      <c r="L56" s="9" t="s">
        <v>828</v>
      </c>
    </row>
    <row r="57" customFormat="false" ht="15.75" hidden="false" customHeight="true" outlineLevel="0" collapsed="false">
      <c r="A57" s="9" t="s">
        <v>688</v>
      </c>
      <c r="B57" s="9" t="s">
        <v>689</v>
      </c>
      <c r="C57" s="9" t="s">
        <v>690</v>
      </c>
      <c r="D57" s="9" t="s">
        <v>691</v>
      </c>
      <c r="E57" s="9" t="s">
        <v>692</v>
      </c>
      <c r="F57" s="9" t="s">
        <v>384</v>
      </c>
      <c r="G57" s="9" t="s">
        <v>470</v>
      </c>
      <c r="H57" s="9" t="s">
        <v>693</v>
      </c>
      <c r="I57" s="9" t="s">
        <v>790</v>
      </c>
      <c r="J57" s="9" t="s">
        <v>795</v>
      </c>
      <c r="K57" s="9" t="s">
        <v>792</v>
      </c>
      <c r="L57" s="9" t="s">
        <v>828</v>
      </c>
    </row>
    <row r="58" customFormat="false" ht="15.75" hidden="false" customHeight="true" outlineLevel="0" collapsed="false">
      <c r="A58" s="9" t="s">
        <v>694</v>
      </c>
      <c r="B58" s="9" t="s">
        <v>669</v>
      </c>
      <c r="C58" s="9" t="s">
        <v>695</v>
      </c>
      <c r="D58" s="9" t="s">
        <v>696</v>
      </c>
      <c r="E58" s="9" t="s">
        <v>697</v>
      </c>
      <c r="F58" s="9" t="s">
        <v>387</v>
      </c>
      <c r="G58" s="9" t="s">
        <v>629</v>
      </c>
      <c r="H58" s="9" t="s">
        <v>698</v>
      </c>
      <c r="I58" s="9" t="s">
        <v>815</v>
      </c>
      <c r="J58" s="9" t="s">
        <v>797</v>
      </c>
      <c r="K58" s="9" t="s">
        <v>792</v>
      </c>
      <c r="L58" s="9" t="s">
        <v>828</v>
      </c>
    </row>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0" width="13"/>
    <col collapsed="false" customWidth="true" hidden="false" outlineLevel="0" max="2" min="2" style="0" width="36"/>
    <col collapsed="false" customWidth="true" hidden="false" outlineLevel="0" max="3" min="3" style="0" width="15"/>
    <col collapsed="false" customWidth="true" hidden="false" outlineLevel="0" max="4" min="4" style="0" width="58"/>
    <col collapsed="false" customWidth="true" hidden="false" outlineLevel="0" max="5" min="5" style="0" width="27"/>
    <col collapsed="false" customWidth="true" hidden="false" outlineLevel="0" max="6" min="6" style="0" width="24"/>
    <col collapsed="false" customWidth="true" hidden="false" outlineLevel="0" max="7" min="7" style="0" width="38"/>
    <col collapsed="false" customWidth="true" hidden="false" outlineLevel="0" max="8" min="8" style="0" width="46"/>
    <col collapsed="false" customWidth="true" hidden="false" outlineLevel="0" max="9" min="9" style="0" width="42"/>
    <col collapsed="false" customWidth="true" hidden="false" outlineLevel="0" max="11" min="10" style="0" width="58"/>
    <col collapsed="false" customWidth="true" hidden="false" outlineLevel="0" max="13" min="12" style="0" width="38"/>
    <col collapsed="false" customWidth="true" hidden="false" outlineLevel="0" max="14" min="14" style="0" width="36"/>
    <col collapsed="false" customWidth="true" hidden="false" outlineLevel="0" max="16" min="15" style="0" width="62"/>
    <col collapsed="false" customWidth="true" hidden="false" outlineLevel="0" max="17" min="17" style="0" width="22"/>
    <col collapsed="false" customWidth="true" hidden="false" outlineLevel="0" max="18" min="18" style="0" width="46"/>
    <col collapsed="false" customWidth="true" hidden="false" outlineLevel="0" max="19" min="19" style="0" width="42"/>
    <col collapsed="false" customWidth="true" hidden="false" outlineLevel="0" max="20" min="20" style="0" width="30"/>
    <col collapsed="false" customWidth="true" hidden="false" outlineLevel="0" max="21" min="21" style="0" width="62"/>
    <col collapsed="false" customWidth="true" hidden="false" outlineLevel="0" max="22" min="22" style="0" width="22"/>
    <col collapsed="false" customWidth="true" hidden="false" outlineLevel="0" max="23" min="23" style="0" width="52"/>
    <col collapsed="false" customWidth="true" hidden="false" outlineLevel="0" max="24" min="24" style="0" width="18"/>
    <col collapsed="false" customWidth="true" hidden="false" outlineLevel="0" max="25" min="25" style="0" width="42"/>
    <col collapsed="false" customWidth="true" hidden="false" outlineLevel="0" max="26" min="26" style="0" width="66"/>
    <col collapsed="false" customWidth="true" hidden="false" outlineLevel="0" max="27" min="27" style="0" width="26"/>
    <col collapsed="false" customWidth="true" hidden="false" outlineLevel="0" max="28" min="28" style="0" width="52"/>
    <col collapsed="false" customWidth="true" hidden="false" outlineLevel="0" max="29" min="29" style="0" width="28"/>
  </cols>
  <sheetData>
    <row r="1" customFormat="false" ht="28.35" hidden="false" customHeight="false" outlineLevel="0" collapsed="false">
      <c r="A1" s="3" t="s">
        <v>778</v>
      </c>
      <c r="B1" s="3" t="s">
        <v>450</v>
      </c>
      <c r="C1" s="3" t="s">
        <v>837</v>
      </c>
      <c r="D1" s="3" t="s">
        <v>838</v>
      </c>
      <c r="E1" s="3" t="s">
        <v>839</v>
      </c>
      <c r="F1" s="3" t="s">
        <v>840</v>
      </c>
      <c r="G1" s="3" t="s">
        <v>841</v>
      </c>
      <c r="H1" s="3" t="s">
        <v>842</v>
      </c>
      <c r="I1" s="3" t="s">
        <v>843</v>
      </c>
      <c r="J1" s="3" t="s">
        <v>844</v>
      </c>
      <c r="K1" s="3" t="s">
        <v>845</v>
      </c>
      <c r="L1" s="3" t="s">
        <v>846</v>
      </c>
      <c r="M1" s="3" t="s">
        <v>847</v>
      </c>
      <c r="N1" s="3" t="s">
        <v>848</v>
      </c>
      <c r="O1" s="3" t="s">
        <v>849</v>
      </c>
      <c r="P1" s="3" t="s">
        <v>850</v>
      </c>
      <c r="Q1" s="3" t="s">
        <v>851</v>
      </c>
      <c r="R1" s="3" t="s">
        <v>852</v>
      </c>
      <c r="S1" s="3" t="s">
        <v>853</v>
      </c>
      <c r="T1" s="3" t="s">
        <v>854</v>
      </c>
      <c r="U1" s="3" t="s">
        <v>855</v>
      </c>
      <c r="V1" s="3" t="s">
        <v>856</v>
      </c>
      <c r="W1" s="3" t="s">
        <v>857</v>
      </c>
      <c r="X1" s="3" t="s">
        <v>858</v>
      </c>
      <c r="Y1" s="3" t="s">
        <v>859</v>
      </c>
      <c r="Z1" s="3" t="s">
        <v>860</v>
      </c>
      <c r="AA1" s="3" t="s">
        <v>861</v>
      </c>
      <c r="AB1" s="3" t="s">
        <v>862</v>
      </c>
      <c r="AC1" s="3" t="s">
        <v>863</v>
      </c>
    </row>
    <row r="2" customFormat="false" ht="28.35" hidden="false" customHeight="false" outlineLevel="0" collapsed="false">
      <c r="A2" s="9" t="s">
        <v>457</v>
      </c>
      <c r="B2" s="9" t="s">
        <v>460</v>
      </c>
      <c r="C2" s="9" t="s">
        <v>377</v>
      </c>
      <c r="D2" s="9" t="s">
        <v>864</v>
      </c>
      <c r="E2" s="9" t="s">
        <v>865</v>
      </c>
      <c r="F2" s="9" t="s">
        <v>866</v>
      </c>
      <c r="G2" s="9" t="s">
        <v>867</v>
      </c>
      <c r="H2" s="9" t="s">
        <v>868</v>
      </c>
      <c r="I2" s="9" t="s">
        <v>869</v>
      </c>
      <c r="J2" s="9" t="s">
        <v>870</v>
      </c>
      <c r="K2" s="9" t="s">
        <v>870</v>
      </c>
      <c r="L2" s="9" t="s">
        <v>871</v>
      </c>
      <c r="M2" s="9" t="s">
        <v>872</v>
      </c>
      <c r="N2" s="9" t="s">
        <v>871</v>
      </c>
      <c r="O2" s="9" t="s">
        <v>873</v>
      </c>
      <c r="P2" s="9"/>
      <c r="Q2" s="9" t="s">
        <v>874</v>
      </c>
      <c r="R2" s="10" t="s">
        <v>875</v>
      </c>
      <c r="S2" s="10" t="s">
        <v>876</v>
      </c>
      <c r="T2" s="10" t="s">
        <v>877</v>
      </c>
      <c r="V2" s="10" t="s">
        <v>878</v>
      </c>
      <c r="W2" s="9" t="s">
        <v>879</v>
      </c>
      <c r="X2" s="9" t="n">
        <v>6</v>
      </c>
      <c r="Y2" s="9" t="s">
        <v>77</v>
      </c>
      <c r="Z2" s="9" t="s">
        <v>880</v>
      </c>
      <c r="AA2" s="9" t="s">
        <v>881</v>
      </c>
      <c r="AB2" s="9"/>
      <c r="AC2" s="9" t="s">
        <v>882</v>
      </c>
    </row>
    <row r="3" customFormat="false" ht="28.35" hidden="false" customHeight="false" outlineLevel="0" collapsed="false">
      <c r="A3" s="9" t="s">
        <v>465</v>
      </c>
      <c r="B3" s="9" t="s">
        <v>466</v>
      </c>
      <c r="C3" s="9" t="s">
        <v>377</v>
      </c>
      <c r="D3" s="9" t="s">
        <v>864</v>
      </c>
      <c r="E3" s="9" t="s">
        <v>883</v>
      </c>
      <c r="F3" s="9" t="s">
        <v>866</v>
      </c>
      <c r="G3" s="9" t="s">
        <v>867</v>
      </c>
      <c r="H3" s="9" t="s">
        <v>868</v>
      </c>
      <c r="I3" s="9" t="s">
        <v>869</v>
      </c>
      <c r="J3" s="9" t="s">
        <v>870</v>
      </c>
      <c r="K3" s="9" t="s">
        <v>870</v>
      </c>
      <c r="L3" s="9" t="s">
        <v>871</v>
      </c>
      <c r="M3" s="9" t="s">
        <v>872</v>
      </c>
      <c r="N3" s="9" t="s">
        <v>871</v>
      </c>
      <c r="O3" s="9" t="s">
        <v>873</v>
      </c>
      <c r="P3" s="9"/>
      <c r="Q3" s="9" t="s">
        <v>874</v>
      </c>
      <c r="R3" s="10" t="s">
        <v>875</v>
      </c>
      <c r="S3" s="10" t="s">
        <v>884</v>
      </c>
      <c r="T3" s="10" t="s">
        <v>885</v>
      </c>
      <c r="V3" s="10" t="s">
        <v>878</v>
      </c>
      <c r="W3" s="9" t="s">
        <v>879</v>
      </c>
      <c r="X3" s="9" t="n">
        <v>6</v>
      </c>
      <c r="Y3" s="9" t="s">
        <v>77</v>
      </c>
      <c r="Z3" s="9" t="s">
        <v>880</v>
      </c>
      <c r="AA3" s="9" t="s">
        <v>881</v>
      </c>
      <c r="AB3" s="9"/>
      <c r="AC3" s="9" t="s">
        <v>882</v>
      </c>
    </row>
    <row r="4" customFormat="false" ht="28.35" hidden="false" customHeight="false" outlineLevel="0" collapsed="false">
      <c r="A4" s="9" t="s">
        <v>468</v>
      </c>
      <c r="B4" s="9" t="s">
        <v>469</v>
      </c>
      <c r="C4" s="9" t="s">
        <v>384</v>
      </c>
      <c r="D4" s="9" t="s">
        <v>472</v>
      </c>
      <c r="E4" s="9" t="s">
        <v>883</v>
      </c>
      <c r="F4" s="9" t="s">
        <v>886</v>
      </c>
      <c r="G4" s="9" t="s">
        <v>887</v>
      </c>
      <c r="H4" s="9" t="s">
        <v>888</v>
      </c>
      <c r="I4" s="9" t="s">
        <v>889</v>
      </c>
      <c r="J4" s="9" t="s">
        <v>890</v>
      </c>
      <c r="K4" s="9" t="s">
        <v>890</v>
      </c>
      <c r="L4" s="9" t="s">
        <v>891</v>
      </c>
      <c r="M4" s="9" t="s">
        <v>892</v>
      </c>
      <c r="N4" s="9" t="s">
        <v>891</v>
      </c>
      <c r="O4" s="9" t="s">
        <v>893</v>
      </c>
      <c r="P4" s="9" t="s">
        <v>894</v>
      </c>
      <c r="Q4" s="9" t="s">
        <v>874</v>
      </c>
      <c r="R4" s="10" t="s">
        <v>895</v>
      </c>
      <c r="S4" s="10" t="s">
        <v>896</v>
      </c>
      <c r="T4" s="10" t="s">
        <v>877</v>
      </c>
      <c r="V4" s="10" t="s">
        <v>878</v>
      </c>
      <c r="W4" s="9" t="s">
        <v>897</v>
      </c>
      <c r="X4" s="9" t="n">
        <v>4</v>
      </c>
      <c r="Y4" s="9" t="s">
        <v>77</v>
      </c>
      <c r="Z4" s="9" t="s">
        <v>880</v>
      </c>
      <c r="AA4" s="9" t="s">
        <v>881</v>
      </c>
      <c r="AB4" s="9" t="s">
        <v>898</v>
      </c>
      <c r="AC4" s="9" t="s">
        <v>899</v>
      </c>
    </row>
    <row r="5" customFormat="false" ht="28.35" hidden="false" customHeight="false" outlineLevel="0" collapsed="false">
      <c r="A5" s="9" t="s">
        <v>473</v>
      </c>
      <c r="B5" s="9" t="s">
        <v>474</v>
      </c>
      <c r="C5" s="9" t="s">
        <v>377</v>
      </c>
      <c r="D5" s="9" t="s">
        <v>476</v>
      </c>
      <c r="E5" s="9" t="s">
        <v>883</v>
      </c>
      <c r="F5" s="9" t="s">
        <v>886</v>
      </c>
      <c r="G5" s="9" t="s">
        <v>900</v>
      </c>
      <c r="H5" s="9" t="s">
        <v>901</v>
      </c>
      <c r="I5" s="9" t="s">
        <v>902</v>
      </c>
      <c r="J5" s="9" t="s">
        <v>903</v>
      </c>
      <c r="K5" s="9" t="s">
        <v>904</v>
      </c>
      <c r="L5" s="9" t="s">
        <v>905</v>
      </c>
      <c r="M5" s="9" t="s">
        <v>906</v>
      </c>
      <c r="N5" s="9" t="s">
        <v>907</v>
      </c>
      <c r="O5" s="9" t="s">
        <v>908</v>
      </c>
      <c r="P5" s="9"/>
      <c r="Q5" s="9" t="s">
        <v>874</v>
      </c>
      <c r="R5" s="10" t="s">
        <v>909</v>
      </c>
      <c r="S5" s="10" t="s">
        <v>910</v>
      </c>
      <c r="T5" s="10" t="s">
        <v>885</v>
      </c>
      <c r="V5" s="10" t="s">
        <v>878</v>
      </c>
      <c r="W5" s="9" t="s">
        <v>911</v>
      </c>
      <c r="X5" s="9" t="n">
        <v>7</v>
      </c>
      <c r="Y5" s="9" t="s">
        <v>77</v>
      </c>
      <c r="Z5" s="9" t="s">
        <v>880</v>
      </c>
      <c r="AA5" s="9" t="s">
        <v>881</v>
      </c>
      <c r="AB5" s="9"/>
      <c r="AC5" s="9" t="s">
        <v>882</v>
      </c>
    </row>
    <row r="6" customFormat="false" ht="28.35" hidden="false" customHeight="false" outlineLevel="0" collapsed="false">
      <c r="A6" s="9" t="s">
        <v>477</v>
      </c>
      <c r="B6" s="9" t="s">
        <v>478</v>
      </c>
      <c r="C6" s="9" t="s">
        <v>377</v>
      </c>
      <c r="D6" s="9" t="s">
        <v>480</v>
      </c>
      <c r="E6" s="9" t="s">
        <v>865</v>
      </c>
      <c r="F6" s="9" t="s">
        <v>912</v>
      </c>
      <c r="G6" s="9" t="s">
        <v>913</v>
      </c>
      <c r="H6" s="9" t="s">
        <v>914</v>
      </c>
      <c r="I6" s="9" t="s">
        <v>915</v>
      </c>
      <c r="J6" s="9" t="s">
        <v>916</v>
      </c>
      <c r="K6" s="9" t="s">
        <v>916</v>
      </c>
      <c r="L6" s="9" t="s">
        <v>917</v>
      </c>
      <c r="M6" s="9" t="s">
        <v>918</v>
      </c>
      <c r="N6" s="9" t="s">
        <v>919</v>
      </c>
      <c r="O6" s="9" t="s">
        <v>920</v>
      </c>
      <c r="P6" s="9"/>
      <c r="Q6" s="9" t="s">
        <v>874</v>
      </c>
      <c r="R6" s="10" t="s">
        <v>921</v>
      </c>
      <c r="S6" s="10" t="s">
        <v>922</v>
      </c>
      <c r="T6" s="10" t="s">
        <v>877</v>
      </c>
      <c r="V6" s="10" t="s">
        <v>878</v>
      </c>
      <c r="W6" s="9" t="s">
        <v>923</v>
      </c>
      <c r="X6" s="9" t="n">
        <v>8</v>
      </c>
      <c r="Y6" s="9" t="s">
        <v>77</v>
      </c>
      <c r="Z6" s="9" t="s">
        <v>880</v>
      </c>
      <c r="AA6" s="9" t="s">
        <v>881</v>
      </c>
      <c r="AB6" s="9"/>
      <c r="AC6" s="9" t="s">
        <v>882</v>
      </c>
    </row>
    <row r="7" customFormat="false" ht="28.35" hidden="false" customHeight="false" outlineLevel="0" collapsed="false">
      <c r="A7" s="9" t="s">
        <v>481</v>
      </c>
      <c r="B7" s="9" t="s">
        <v>482</v>
      </c>
      <c r="C7" s="9" t="s">
        <v>377</v>
      </c>
      <c r="D7" s="9" t="s">
        <v>484</v>
      </c>
      <c r="E7" s="9" t="s">
        <v>883</v>
      </c>
      <c r="F7" s="9" t="s">
        <v>886</v>
      </c>
      <c r="G7" s="9" t="s">
        <v>900</v>
      </c>
      <c r="H7" s="9" t="s">
        <v>924</v>
      </c>
      <c r="I7" s="9" t="s">
        <v>925</v>
      </c>
      <c r="J7" s="9" t="s">
        <v>903</v>
      </c>
      <c r="K7" s="9" t="s">
        <v>904</v>
      </c>
      <c r="L7" s="9" t="s">
        <v>926</v>
      </c>
      <c r="M7" s="9" t="s">
        <v>872</v>
      </c>
      <c r="N7" s="9" t="s">
        <v>926</v>
      </c>
      <c r="O7" s="9" t="s">
        <v>927</v>
      </c>
      <c r="P7" s="9"/>
      <c r="Q7" s="9" t="s">
        <v>874</v>
      </c>
      <c r="R7" s="10" t="s">
        <v>928</v>
      </c>
      <c r="S7" s="10" t="s">
        <v>910</v>
      </c>
      <c r="T7" s="10" t="s">
        <v>885</v>
      </c>
      <c r="U7" s="10" t="s">
        <v>929</v>
      </c>
      <c r="V7" s="10" t="s">
        <v>878</v>
      </c>
      <c r="W7" s="9" t="s">
        <v>930</v>
      </c>
      <c r="X7" s="9" t="n">
        <v>12</v>
      </c>
      <c r="Y7" s="9" t="s">
        <v>77</v>
      </c>
      <c r="Z7" s="9" t="s">
        <v>880</v>
      </c>
      <c r="AA7" s="9" t="s">
        <v>931</v>
      </c>
      <c r="AB7" s="9"/>
      <c r="AC7" s="9" t="s">
        <v>882</v>
      </c>
    </row>
    <row r="8" customFormat="false" ht="28.35" hidden="false" customHeight="false" outlineLevel="0" collapsed="false">
      <c r="A8" s="9" t="s">
        <v>485</v>
      </c>
      <c r="B8" s="9" t="s">
        <v>487</v>
      </c>
      <c r="C8" s="9" t="s">
        <v>377</v>
      </c>
      <c r="D8" s="9" t="s">
        <v>489</v>
      </c>
      <c r="E8" s="9" t="s">
        <v>932</v>
      </c>
      <c r="F8" s="9" t="s">
        <v>866</v>
      </c>
      <c r="G8" s="9" t="s">
        <v>867</v>
      </c>
      <c r="H8" s="9" t="s">
        <v>933</v>
      </c>
      <c r="I8" s="9" t="s">
        <v>934</v>
      </c>
      <c r="J8" s="9" t="s">
        <v>870</v>
      </c>
      <c r="K8" s="9" t="s">
        <v>71</v>
      </c>
      <c r="L8" s="9" t="s">
        <v>935</v>
      </c>
      <c r="M8" s="9" t="s">
        <v>936</v>
      </c>
      <c r="N8" s="9" t="s">
        <v>935</v>
      </c>
      <c r="O8" s="9" t="s">
        <v>937</v>
      </c>
      <c r="P8" s="9"/>
      <c r="Q8" s="9" t="s">
        <v>874</v>
      </c>
      <c r="R8" s="10" t="s">
        <v>938</v>
      </c>
      <c r="S8" s="10" t="s">
        <v>939</v>
      </c>
      <c r="T8" s="10" t="s">
        <v>877</v>
      </c>
      <c r="V8" s="10" t="s">
        <v>878</v>
      </c>
      <c r="W8" s="9" t="s">
        <v>940</v>
      </c>
      <c r="X8" s="9" t="n">
        <v>9</v>
      </c>
      <c r="Y8" s="9" t="s">
        <v>77</v>
      </c>
      <c r="Z8" s="9" t="s">
        <v>880</v>
      </c>
      <c r="AA8" s="9" t="s">
        <v>881</v>
      </c>
      <c r="AB8" s="9"/>
      <c r="AC8" s="9" t="s">
        <v>882</v>
      </c>
    </row>
    <row r="9" customFormat="false" ht="28.35" hidden="false" customHeight="false" outlineLevel="0" collapsed="false">
      <c r="A9" s="9" t="s">
        <v>490</v>
      </c>
      <c r="B9" s="9" t="s">
        <v>491</v>
      </c>
      <c r="C9" s="9" t="s">
        <v>377</v>
      </c>
      <c r="D9" s="9" t="s">
        <v>493</v>
      </c>
      <c r="E9" s="9" t="s">
        <v>865</v>
      </c>
      <c r="F9" s="9" t="s">
        <v>912</v>
      </c>
      <c r="G9" s="9" t="s">
        <v>913</v>
      </c>
      <c r="H9" s="9" t="s">
        <v>914</v>
      </c>
      <c r="I9" s="9" t="s">
        <v>941</v>
      </c>
      <c r="J9" s="9" t="s">
        <v>916</v>
      </c>
      <c r="K9" s="9" t="s">
        <v>916</v>
      </c>
      <c r="L9" s="9" t="s">
        <v>942</v>
      </c>
      <c r="M9" s="9" t="s">
        <v>936</v>
      </c>
      <c r="N9" s="9" t="s">
        <v>942</v>
      </c>
      <c r="O9" s="9" t="s">
        <v>943</v>
      </c>
      <c r="P9" s="9"/>
      <c r="Q9" s="9" t="s">
        <v>874</v>
      </c>
      <c r="R9" s="10" t="s">
        <v>944</v>
      </c>
      <c r="S9" s="10" t="s">
        <v>945</v>
      </c>
      <c r="T9" s="10" t="s">
        <v>877</v>
      </c>
      <c r="V9" s="10" t="s">
        <v>878</v>
      </c>
      <c r="W9" s="9" t="s">
        <v>946</v>
      </c>
      <c r="X9" s="9" t="n">
        <v>7</v>
      </c>
      <c r="Y9" s="9" t="s">
        <v>77</v>
      </c>
      <c r="Z9" s="9" t="s">
        <v>880</v>
      </c>
      <c r="AA9" s="9" t="s">
        <v>881</v>
      </c>
      <c r="AB9" s="9"/>
      <c r="AC9" s="9" t="s">
        <v>882</v>
      </c>
    </row>
    <row r="10" customFormat="false" ht="28.35" hidden="false" customHeight="false" outlineLevel="0" collapsed="false">
      <c r="A10" s="9" t="s">
        <v>494</v>
      </c>
      <c r="B10" s="9" t="s">
        <v>495</v>
      </c>
      <c r="C10" s="9" t="s">
        <v>377</v>
      </c>
      <c r="D10" s="9" t="s">
        <v>497</v>
      </c>
      <c r="E10" s="9" t="s">
        <v>865</v>
      </c>
      <c r="F10" s="9" t="s">
        <v>947</v>
      </c>
      <c r="G10" s="9" t="s">
        <v>948</v>
      </c>
      <c r="H10" s="9" t="s">
        <v>949</v>
      </c>
      <c r="I10" s="9" t="s">
        <v>950</v>
      </c>
      <c r="J10" s="9" t="s">
        <v>951</v>
      </c>
      <c r="K10" s="9" t="s">
        <v>951</v>
      </c>
      <c r="L10" s="9" t="s">
        <v>952</v>
      </c>
      <c r="M10" s="9" t="s">
        <v>936</v>
      </c>
      <c r="N10" s="9" t="s">
        <v>952</v>
      </c>
      <c r="O10" s="9" t="s">
        <v>953</v>
      </c>
      <c r="P10" s="9"/>
      <c r="Q10" s="9" t="s">
        <v>874</v>
      </c>
      <c r="R10" s="10" t="s">
        <v>954</v>
      </c>
      <c r="S10" s="10" t="s">
        <v>876</v>
      </c>
      <c r="T10" s="10" t="s">
        <v>877</v>
      </c>
      <c r="U10" s="10" t="s">
        <v>955</v>
      </c>
      <c r="V10" s="10" t="s">
        <v>878</v>
      </c>
      <c r="W10" s="9" t="s">
        <v>956</v>
      </c>
      <c r="X10" s="9" t="n">
        <v>8</v>
      </c>
      <c r="Y10" s="9" t="s">
        <v>77</v>
      </c>
      <c r="Z10" s="9" t="s">
        <v>880</v>
      </c>
      <c r="AA10" s="9" t="s">
        <v>931</v>
      </c>
      <c r="AB10" s="9"/>
      <c r="AC10" s="9" t="s">
        <v>882</v>
      </c>
    </row>
    <row r="11" customFormat="false" ht="28.35" hidden="false" customHeight="false" outlineLevel="0" collapsed="false">
      <c r="A11" s="9" t="s">
        <v>498</v>
      </c>
      <c r="B11" s="9" t="s">
        <v>499</v>
      </c>
      <c r="C11" s="9" t="s">
        <v>377</v>
      </c>
      <c r="D11" s="9" t="s">
        <v>957</v>
      </c>
      <c r="E11" s="9" t="s">
        <v>883</v>
      </c>
      <c r="F11" s="9" t="s">
        <v>886</v>
      </c>
      <c r="G11" s="9" t="s">
        <v>958</v>
      </c>
      <c r="H11" s="9" t="s">
        <v>959</v>
      </c>
      <c r="I11" s="9" t="s">
        <v>960</v>
      </c>
      <c r="J11" s="9" t="s">
        <v>961</v>
      </c>
      <c r="K11" s="9" t="s">
        <v>961</v>
      </c>
      <c r="L11" s="9" t="s">
        <v>962</v>
      </c>
      <c r="M11" s="9" t="s">
        <v>936</v>
      </c>
      <c r="N11" s="9" t="s">
        <v>962</v>
      </c>
      <c r="O11" s="9" t="s">
        <v>963</v>
      </c>
      <c r="P11" s="9"/>
      <c r="Q11" s="9" t="s">
        <v>874</v>
      </c>
      <c r="R11" s="10" t="s">
        <v>964</v>
      </c>
      <c r="S11" s="10" t="s">
        <v>965</v>
      </c>
      <c r="T11" s="10" t="s">
        <v>885</v>
      </c>
      <c r="V11" s="10" t="s">
        <v>878</v>
      </c>
      <c r="W11" s="9" t="s">
        <v>956</v>
      </c>
      <c r="X11" s="9" t="n">
        <v>8</v>
      </c>
      <c r="Y11" s="9" t="s">
        <v>77</v>
      </c>
      <c r="Z11" s="9" t="s">
        <v>880</v>
      </c>
      <c r="AA11" s="9" t="s">
        <v>881</v>
      </c>
      <c r="AB11" s="9"/>
      <c r="AC11" s="9" t="s">
        <v>882</v>
      </c>
    </row>
    <row r="12" customFormat="false" ht="28.35" hidden="false" customHeight="false" outlineLevel="0" collapsed="false">
      <c r="A12" s="9" t="s">
        <v>501</v>
      </c>
      <c r="B12" s="9" t="s">
        <v>502</v>
      </c>
      <c r="C12" s="9" t="s">
        <v>377</v>
      </c>
      <c r="D12" s="9" t="s">
        <v>504</v>
      </c>
      <c r="E12" s="9" t="s">
        <v>865</v>
      </c>
      <c r="F12" s="9" t="s">
        <v>966</v>
      </c>
      <c r="G12" s="9" t="s">
        <v>967</v>
      </c>
      <c r="H12" s="9" t="s">
        <v>968</v>
      </c>
      <c r="I12" s="9" t="s">
        <v>969</v>
      </c>
      <c r="J12" s="9" t="s">
        <v>970</v>
      </c>
      <c r="K12" s="9" t="s">
        <v>970</v>
      </c>
      <c r="L12" s="9" t="s">
        <v>971</v>
      </c>
      <c r="M12" s="9" t="s">
        <v>972</v>
      </c>
      <c r="N12" s="9" t="s">
        <v>973</v>
      </c>
      <c r="O12" s="9" t="s">
        <v>974</v>
      </c>
      <c r="P12" s="9"/>
      <c r="Q12" s="9" t="s">
        <v>874</v>
      </c>
      <c r="R12" s="10" t="s">
        <v>975</v>
      </c>
      <c r="S12" s="10" t="s">
        <v>976</v>
      </c>
      <c r="T12" s="10" t="s">
        <v>877</v>
      </c>
      <c r="V12" s="10" t="s">
        <v>878</v>
      </c>
      <c r="W12" s="9" t="s">
        <v>977</v>
      </c>
      <c r="X12" s="9" t="n">
        <v>12</v>
      </c>
      <c r="Y12" s="9" t="s">
        <v>77</v>
      </c>
      <c r="Z12" s="9" t="s">
        <v>880</v>
      </c>
      <c r="AA12" s="9" t="s">
        <v>881</v>
      </c>
      <c r="AB12" s="9"/>
      <c r="AC12" s="9" t="s">
        <v>882</v>
      </c>
    </row>
    <row r="13" customFormat="false" ht="28.35" hidden="false" customHeight="false" outlineLevel="0" collapsed="false">
      <c r="A13" s="9" t="s">
        <v>505</v>
      </c>
      <c r="B13" s="9" t="s">
        <v>506</v>
      </c>
      <c r="C13" s="9" t="s">
        <v>377</v>
      </c>
      <c r="D13" s="9" t="s">
        <v>508</v>
      </c>
      <c r="E13" s="9" t="s">
        <v>865</v>
      </c>
      <c r="F13" s="9" t="s">
        <v>912</v>
      </c>
      <c r="G13" s="9" t="s">
        <v>913</v>
      </c>
      <c r="H13" s="9" t="s">
        <v>914</v>
      </c>
      <c r="I13" s="9" t="s">
        <v>978</v>
      </c>
      <c r="J13" s="9" t="s">
        <v>916</v>
      </c>
      <c r="K13" s="9" t="s">
        <v>916</v>
      </c>
      <c r="L13" s="9" t="s">
        <v>979</v>
      </c>
      <c r="M13" s="9" t="s">
        <v>936</v>
      </c>
      <c r="N13" s="9" t="s">
        <v>979</v>
      </c>
      <c r="O13" s="9" t="s">
        <v>980</v>
      </c>
      <c r="P13" s="9"/>
      <c r="Q13" s="9" t="s">
        <v>874</v>
      </c>
      <c r="R13" s="10" t="s">
        <v>981</v>
      </c>
      <c r="S13" s="10" t="s">
        <v>982</v>
      </c>
      <c r="T13" s="10" t="s">
        <v>877</v>
      </c>
      <c r="V13" s="10" t="s">
        <v>878</v>
      </c>
      <c r="W13" s="9" t="s">
        <v>983</v>
      </c>
      <c r="X13" s="9" t="n">
        <v>8</v>
      </c>
      <c r="Y13" s="9" t="s">
        <v>77</v>
      </c>
      <c r="Z13" s="9" t="s">
        <v>880</v>
      </c>
      <c r="AA13" s="9" t="s">
        <v>881</v>
      </c>
      <c r="AB13" s="9"/>
      <c r="AC13" s="9" t="s">
        <v>882</v>
      </c>
    </row>
    <row r="14" customFormat="false" ht="28.35" hidden="false" customHeight="false" outlineLevel="0" collapsed="false">
      <c r="A14" s="9" t="s">
        <v>509</v>
      </c>
      <c r="B14" s="9" t="s">
        <v>510</v>
      </c>
      <c r="C14" s="9" t="s">
        <v>377</v>
      </c>
      <c r="D14" s="9" t="s">
        <v>512</v>
      </c>
      <c r="E14" s="9" t="s">
        <v>883</v>
      </c>
      <c r="F14" s="9" t="s">
        <v>886</v>
      </c>
      <c r="G14" s="9" t="s">
        <v>887</v>
      </c>
      <c r="H14" s="9" t="s">
        <v>888</v>
      </c>
      <c r="I14" s="9" t="s">
        <v>984</v>
      </c>
      <c r="J14" s="9" t="s">
        <v>890</v>
      </c>
      <c r="K14" s="9" t="s">
        <v>890</v>
      </c>
      <c r="L14" s="9" t="s">
        <v>985</v>
      </c>
      <c r="M14" s="9" t="s">
        <v>936</v>
      </c>
      <c r="N14" s="9" t="s">
        <v>985</v>
      </c>
      <c r="O14" s="9" t="s">
        <v>986</v>
      </c>
      <c r="P14" s="9"/>
      <c r="Q14" s="9" t="s">
        <v>874</v>
      </c>
      <c r="R14" s="10" t="s">
        <v>987</v>
      </c>
      <c r="S14" s="10" t="s">
        <v>988</v>
      </c>
      <c r="T14" s="10" t="s">
        <v>885</v>
      </c>
      <c r="V14" s="10" t="s">
        <v>878</v>
      </c>
      <c r="W14" s="9" t="s">
        <v>989</v>
      </c>
      <c r="X14" s="9" t="n">
        <v>10</v>
      </c>
      <c r="Y14" s="9" t="s">
        <v>77</v>
      </c>
      <c r="Z14" s="9" t="s">
        <v>880</v>
      </c>
      <c r="AA14" s="9" t="s">
        <v>881</v>
      </c>
      <c r="AB14" s="9"/>
      <c r="AC14" s="9" t="s">
        <v>882</v>
      </c>
    </row>
    <row r="15" customFormat="false" ht="28.35" hidden="false" customHeight="false" outlineLevel="0" collapsed="false">
      <c r="A15" s="9" t="s">
        <v>513</v>
      </c>
      <c r="B15" s="9" t="s">
        <v>515</v>
      </c>
      <c r="C15" s="9" t="s">
        <v>377</v>
      </c>
      <c r="D15" s="9" t="s">
        <v>517</v>
      </c>
      <c r="E15" s="9" t="s">
        <v>865</v>
      </c>
      <c r="F15" s="9" t="s">
        <v>912</v>
      </c>
      <c r="G15" s="9" t="s">
        <v>913</v>
      </c>
      <c r="H15" s="9" t="s">
        <v>914</v>
      </c>
      <c r="I15" s="9" t="s">
        <v>941</v>
      </c>
      <c r="J15" s="9" t="s">
        <v>916</v>
      </c>
      <c r="K15" s="9" t="s">
        <v>916</v>
      </c>
      <c r="L15" s="9" t="s">
        <v>990</v>
      </c>
      <c r="M15" s="9" t="s">
        <v>972</v>
      </c>
      <c r="N15" s="9" t="s">
        <v>990</v>
      </c>
      <c r="O15" s="9" t="s">
        <v>991</v>
      </c>
      <c r="P15" s="9"/>
      <c r="Q15" s="9" t="s">
        <v>874</v>
      </c>
      <c r="R15" s="10" t="s">
        <v>992</v>
      </c>
      <c r="S15" s="10" t="s">
        <v>993</v>
      </c>
      <c r="T15" s="10" t="s">
        <v>877</v>
      </c>
      <c r="V15" s="10" t="s">
        <v>878</v>
      </c>
      <c r="W15" s="9" t="s">
        <v>994</v>
      </c>
      <c r="X15" s="9" t="n">
        <v>3</v>
      </c>
      <c r="Y15" s="9" t="s">
        <v>77</v>
      </c>
      <c r="Z15" s="9" t="s">
        <v>880</v>
      </c>
      <c r="AA15" s="9" t="s">
        <v>881</v>
      </c>
      <c r="AB15" s="9"/>
      <c r="AC15" s="9" t="s">
        <v>882</v>
      </c>
    </row>
    <row r="16" customFormat="false" ht="28.35" hidden="false" customHeight="false" outlineLevel="0" collapsed="false">
      <c r="A16" s="9" t="s">
        <v>518</v>
      </c>
      <c r="B16" s="9" t="s">
        <v>519</v>
      </c>
      <c r="C16" s="9" t="s">
        <v>377</v>
      </c>
      <c r="D16" s="9" t="s">
        <v>521</v>
      </c>
      <c r="E16" s="9" t="s">
        <v>883</v>
      </c>
      <c r="F16" s="9" t="s">
        <v>886</v>
      </c>
      <c r="G16" s="9" t="s">
        <v>887</v>
      </c>
      <c r="H16" s="9" t="s">
        <v>888</v>
      </c>
      <c r="I16" s="9" t="s">
        <v>984</v>
      </c>
      <c r="J16" s="9" t="s">
        <v>890</v>
      </c>
      <c r="K16" s="9" t="s">
        <v>890</v>
      </c>
      <c r="L16" s="9" t="s">
        <v>995</v>
      </c>
      <c r="M16" s="9" t="s">
        <v>972</v>
      </c>
      <c r="N16" s="9" t="s">
        <v>995</v>
      </c>
      <c r="O16" s="9" t="s">
        <v>996</v>
      </c>
      <c r="P16" s="9"/>
      <c r="Q16" s="9" t="s">
        <v>874</v>
      </c>
      <c r="R16" s="10" t="s">
        <v>997</v>
      </c>
      <c r="S16" s="10" t="s">
        <v>988</v>
      </c>
      <c r="T16" s="10" t="s">
        <v>885</v>
      </c>
      <c r="V16" s="10" t="s">
        <v>878</v>
      </c>
      <c r="W16" s="9" t="s">
        <v>998</v>
      </c>
      <c r="X16" s="9" t="n">
        <v>6</v>
      </c>
      <c r="Y16" s="9" t="s">
        <v>77</v>
      </c>
      <c r="Z16" s="9" t="s">
        <v>880</v>
      </c>
      <c r="AA16" s="9" t="s">
        <v>881</v>
      </c>
      <c r="AB16" s="9"/>
      <c r="AC16" s="9" t="s">
        <v>882</v>
      </c>
    </row>
    <row r="17" customFormat="false" ht="28.35" hidden="false" customHeight="false" outlineLevel="0" collapsed="false">
      <c r="A17" s="9" t="s">
        <v>522</v>
      </c>
      <c r="B17" s="9" t="s">
        <v>523</v>
      </c>
      <c r="C17" s="9" t="s">
        <v>377</v>
      </c>
      <c r="D17" s="9" t="s">
        <v>525</v>
      </c>
      <c r="E17" s="9" t="s">
        <v>865</v>
      </c>
      <c r="F17" s="9" t="s">
        <v>966</v>
      </c>
      <c r="G17" s="9" t="s">
        <v>967</v>
      </c>
      <c r="H17" s="9" t="s">
        <v>968</v>
      </c>
      <c r="I17" s="9" t="s">
        <v>969</v>
      </c>
      <c r="J17" s="9" t="s">
        <v>970</v>
      </c>
      <c r="K17" s="9" t="s">
        <v>970</v>
      </c>
      <c r="L17" s="9" t="s">
        <v>995</v>
      </c>
      <c r="M17" s="9" t="s">
        <v>972</v>
      </c>
      <c r="N17" s="9" t="s">
        <v>995</v>
      </c>
      <c r="O17" s="9" t="s">
        <v>996</v>
      </c>
      <c r="P17" s="9"/>
      <c r="Q17" s="9" t="s">
        <v>874</v>
      </c>
      <c r="R17" s="10" t="s">
        <v>999</v>
      </c>
      <c r="S17" s="10" t="s">
        <v>1000</v>
      </c>
      <c r="T17" s="10" t="s">
        <v>877</v>
      </c>
      <c r="V17" s="10" t="s">
        <v>878</v>
      </c>
      <c r="W17" s="9" t="s">
        <v>1001</v>
      </c>
      <c r="X17" s="9" t="n">
        <v>4</v>
      </c>
      <c r="Y17" s="9" t="s">
        <v>77</v>
      </c>
      <c r="Z17" s="9" t="s">
        <v>880</v>
      </c>
      <c r="AA17" s="9" t="s">
        <v>881</v>
      </c>
      <c r="AB17" s="9"/>
      <c r="AC17" s="9" t="s">
        <v>882</v>
      </c>
    </row>
    <row r="18" customFormat="false" ht="28.35" hidden="false" customHeight="false" outlineLevel="0" collapsed="false">
      <c r="A18" s="9" t="s">
        <v>526</v>
      </c>
      <c r="B18" s="9" t="s">
        <v>527</v>
      </c>
      <c r="C18" s="9" t="s">
        <v>377</v>
      </c>
      <c r="D18" s="9" t="s">
        <v>529</v>
      </c>
      <c r="E18" s="9" t="s">
        <v>883</v>
      </c>
      <c r="F18" s="9" t="s">
        <v>886</v>
      </c>
      <c r="G18" s="9" t="s">
        <v>887</v>
      </c>
      <c r="H18" s="9" t="s">
        <v>888</v>
      </c>
      <c r="I18" s="9" t="s">
        <v>984</v>
      </c>
      <c r="J18" s="9" t="s">
        <v>890</v>
      </c>
      <c r="K18" s="9" t="s">
        <v>890</v>
      </c>
      <c r="L18" s="9" t="s">
        <v>995</v>
      </c>
      <c r="M18" s="9" t="s">
        <v>972</v>
      </c>
      <c r="N18" s="9" t="s">
        <v>995</v>
      </c>
      <c r="O18" s="9" t="s">
        <v>996</v>
      </c>
      <c r="P18" s="9"/>
      <c r="Q18" s="9" t="s">
        <v>874</v>
      </c>
      <c r="R18" s="10" t="s">
        <v>1002</v>
      </c>
      <c r="S18" s="10" t="s">
        <v>988</v>
      </c>
      <c r="T18" s="10" t="s">
        <v>885</v>
      </c>
      <c r="V18" s="10" t="s">
        <v>878</v>
      </c>
      <c r="W18" s="9" t="s">
        <v>1003</v>
      </c>
      <c r="X18" s="9" t="n">
        <v>6</v>
      </c>
      <c r="Y18" s="9" t="s">
        <v>77</v>
      </c>
      <c r="Z18" s="9" t="s">
        <v>880</v>
      </c>
      <c r="AA18" s="9" t="s">
        <v>881</v>
      </c>
      <c r="AB18" s="9"/>
      <c r="AC18" s="9" t="s">
        <v>882</v>
      </c>
    </row>
    <row r="19" customFormat="false" ht="28.35" hidden="false" customHeight="false" outlineLevel="0" collapsed="false">
      <c r="A19" s="9" t="s">
        <v>530</v>
      </c>
      <c r="B19" s="9" t="s">
        <v>531</v>
      </c>
      <c r="C19" s="9" t="s">
        <v>377</v>
      </c>
      <c r="D19" s="9" t="s">
        <v>533</v>
      </c>
      <c r="E19" s="9" t="s">
        <v>883</v>
      </c>
      <c r="F19" s="9" t="s">
        <v>886</v>
      </c>
      <c r="G19" s="9" t="s">
        <v>887</v>
      </c>
      <c r="H19" s="9" t="s">
        <v>888</v>
      </c>
      <c r="I19" s="9" t="s">
        <v>984</v>
      </c>
      <c r="J19" s="9" t="s">
        <v>890</v>
      </c>
      <c r="K19" s="9" t="s">
        <v>890</v>
      </c>
      <c r="L19" s="9" t="s">
        <v>1004</v>
      </c>
      <c r="M19" s="9" t="s">
        <v>872</v>
      </c>
      <c r="N19" s="9" t="s">
        <v>1004</v>
      </c>
      <c r="O19" s="9" t="s">
        <v>1005</v>
      </c>
      <c r="P19" s="9"/>
      <c r="Q19" s="9" t="s">
        <v>874</v>
      </c>
      <c r="R19" s="10" t="s">
        <v>1006</v>
      </c>
      <c r="S19" s="10" t="s">
        <v>988</v>
      </c>
      <c r="T19" s="10" t="s">
        <v>885</v>
      </c>
      <c r="V19" s="10" t="s">
        <v>878</v>
      </c>
      <c r="W19" s="9" t="s">
        <v>1007</v>
      </c>
      <c r="X19" s="9" t="n">
        <v>9</v>
      </c>
      <c r="Y19" s="9" t="s">
        <v>77</v>
      </c>
      <c r="Z19" s="9" t="s">
        <v>880</v>
      </c>
      <c r="AA19" s="9" t="s">
        <v>931</v>
      </c>
      <c r="AB19" s="9"/>
      <c r="AC19" s="9" t="s">
        <v>882</v>
      </c>
    </row>
    <row r="20" customFormat="false" ht="28.35" hidden="false" customHeight="false" outlineLevel="0" collapsed="false">
      <c r="A20" s="9" t="s">
        <v>534</v>
      </c>
      <c r="B20" s="9" t="s">
        <v>535</v>
      </c>
      <c r="C20" s="9" t="s">
        <v>377</v>
      </c>
      <c r="D20" s="9" t="s">
        <v>957</v>
      </c>
      <c r="E20" s="9" t="s">
        <v>865</v>
      </c>
      <c r="F20" s="9" t="s">
        <v>886</v>
      </c>
      <c r="G20" s="9" t="s">
        <v>887</v>
      </c>
      <c r="H20" s="9" t="s">
        <v>888</v>
      </c>
      <c r="I20" s="9" t="s">
        <v>1008</v>
      </c>
      <c r="J20" s="9" t="s">
        <v>890</v>
      </c>
      <c r="K20" s="9" t="s">
        <v>890</v>
      </c>
      <c r="L20" s="9" t="s">
        <v>1009</v>
      </c>
      <c r="M20" s="9" t="s">
        <v>936</v>
      </c>
      <c r="N20" s="9" t="s">
        <v>1009</v>
      </c>
      <c r="O20" s="9" t="s">
        <v>1010</v>
      </c>
      <c r="P20" s="9"/>
      <c r="Q20" s="9" t="s">
        <v>874</v>
      </c>
      <c r="R20" s="10" t="s">
        <v>1011</v>
      </c>
      <c r="S20" s="10" t="s">
        <v>1012</v>
      </c>
      <c r="T20" s="10" t="s">
        <v>877</v>
      </c>
      <c r="U20" s="10" t="s">
        <v>1013</v>
      </c>
      <c r="V20" s="10" t="s">
        <v>878</v>
      </c>
      <c r="W20" s="9" t="s">
        <v>1014</v>
      </c>
      <c r="X20" s="9" t="n">
        <v>7</v>
      </c>
      <c r="Y20" s="9" t="s">
        <v>77</v>
      </c>
      <c r="Z20" s="9" t="s">
        <v>880</v>
      </c>
      <c r="AA20" s="9" t="s">
        <v>931</v>
      </c>
      <c r="AB20" s="9"/>
      <c r="AC20" s="9" t="s">
        <v>882</v>
      </c>
    </row>
    <row r="21" customFormat="false" ht="15.75" hidden="false" customHeight="true" outlineLevel="0" collapsed="false">
      <c r="A21" s="9" t="s">
        <v>537</v>
      </c>
      <c r="B21" s="9" t="s">
        <v>538</v>
      </c>
      <c r="C21" s="9" t="s">
        <v>377</v>
      </c>
      <c r="D21" s="9" t="s">
        <v>540</v>
      </c>
      <c r="E21" s="9" t="s">
        <v>883</v>
      </c>
      <c r="F21" s="9" t="s">
        <v>886</v>
      </c>
      <c r="G21" s="9" t="s">
        <v>887</v>
      </c>
      <c r="H21" s="9" t="s">
        <v>888</v>
      </c>
      <c r="I21" s="9" t="s">
        <v>1008</v>
      </c>
      <c r="J21" s="9" t="s">
        <v>890</v>
      </c>
      <c r="K21" s="9" t="s">
        <v>890</v>
      </c>
      <c r="L21" s="9" t="s">
        <v>1015</v>
      </c>
      <c r="M21" s="9" t="s">
        <v>872</v>
      </c>
      <c r="N21" s="9" t="s">
        <v>1015</v>
      </c>
      <c r="O21" s="9" t="s">
        <v>1016</v>
      </c>
      <c r="P21" s="9"/>
      <c r="Q21" s="9" t="s">
        <v>874</v>
      </c>
      <c r="R21" s="10" t="s">
        <v>1017</v>
      </c>
      <c r="S21" s="10" t="s">
        <v>1018</v>
      </c>
      <c r="T21" s="10" t="s">
        <v>885</v>
      </c>
      <c r="U21" s="10" t="s">
        <v>1019</v>
      </c>
      <c r="V21" s="10" t="s">
        <v>878</v>
      </c>
      <c r="W21" s="9" t="s">
        <v>1020</v>
      </c>
      <c r="X21" s="9" t="n">
        <v>7</v>
      </c>
      <c r="Y21" s="9" t="s">
        <v>77</v>
      </c>
      <c r="Z21" s="9" t="s">
        <v>880</v>
      </c>
      <c r="AA21" s="9" t="s">
        <v>931</v>
      </c>
      <c r="AB21" s="9"/>
      <c r="AC21" s="9" t="s">
        <v>882</v>
      </c>
    </row>
    <row r="22" customFormat="false" ht="15.75" hidden="false" customHeight="true" outlineLevel="0" collapsed="false">
      <c r="A22" s="9" t="s">
        <v>541</v>
      </c>
      <c r="B22" s="9" t="s">
        <v>543</v>
      </c>
      <c r="C22" s="9" t="s">
        <v>377</v>
      </c>
      <c r="D22" s="9" t="s">
        <v>545</v>
      </c>
      <c r="E22" s="9" t="s">
        <v>883</v>
      </c>
      <c r="F22" s="9" t="s">
        <v>1021</v>
      </c>
      <c r="G22" s="9" t="s">
        <v>1022</v>
      </c>
      <c r="H22" s="9" t="s">
        <v>1023</v>
      </c>
      <c r="I22" s="9" t="s">
        <v>1024</v>
      </c>
      <c r="J22" s="9" t="s">
        <v>1025</v>
      </c>
      <c r="K22" s="9" t="s">
        <v>1025</v>
      </c>
      <c r="L22" s="9" t="s">
        <v>1026</v>
      </c>
      <c r="M22" s="9" t="s">
        <v>972</v>
      </c>
      <c r="N22" s="9" t="s">
        <v>1026</v>
      </c>
      <c r="O22" s="9" t="s">
        <v>1027</v>
      </c>
      <c r="P22" s="9"/>
      <c r="Q22" s="9" t="s">
        <v>874</v>
      </c>
      <c r="R22" s="10" t="s">
        <v>1028</v>
      </c>
      <c r="S22" s="10" t="s">
        <v>1029</v>
      </c>
      <c r="T22" s="10" t="s">
        <v>885</v>
      </c>
      <c r="V22" s="10" t="s">
        <v>878</v>
      </c>
      <c r="W22" s="9" t="s">
        <v>1030</v>
      </c>
      <c r="X22" s="9" t="n">
        <v>6</v>
      </c>
      <c r="Y22" s="9" t="s">
        <v>77</v>
      </c>
      <c r="Z22" s="9" t="s">
        <v>880</v>
      </c>
      <c r="AA22" s="9" t="s">
        <v>881</v>
      </c>
      <c r="AB22" s="9"/>
      <c r="AC22" s="9" t="s">
        <v>882</v>
      </c>
    </row>
    <row r="23" customFormat="false" ht="15.75" hidden="false" customHeight="true" outlineLevel="0" collapsed="false">
      <c r="A23" s="9" t="s">
        <v>546</v>
      </c>
      <c r="B23" s="9" t="s">
        <v>547</v>
      </c>
      <c r="C23" s="9" t="s">
        <v>384</v>
      </c>
      <c r="D23" s="9" t="s">
        <v>549</v>
      </c>
      <c r="E23" s="9" t="s">
        <v>865</v>
      </c>
      <c r="F23" s="9" t="s">
        <v>1021</v>
      </c>
      <c r="G23" s="9" t="s">
        <v>1022</v>
      </c>
      <c r="H23" s="9" t="s">
        <v>924</v>
      </c>
      <c r="I23" s="9" t="s">
        <v>1031</v>
      </c>
      <c r="J23" s="9" t="s">
        <v>1032</v>
      </c>
      <c r="K23" s="9" t="s">
        <v>1032</v>
      </c>
      <c r="L23" s="9" t="s">
        <v>1033</v>
      </c>
      <c r="M23" s="9" t="s">
        <v>1034</v>
      </c>
      <c r="N23" s="9" t="s">
        <v>1033</v>
      </c>
      <c r="O23" s="9" t="s">
        <v>1035</v>
      </c>
      <c r="P23" s="9"/>
      <c r="Q23" s="9" t="s">
        <v>874</v>
      </c>
      <c r="R23" s="10" t="s">
        <v>1036</v>
      </c>
      <c r="S23" s="10" t="s">
        <v>1037</v>
      </c>
      <c r="T23" s="10" t="s">
        <v>877</v>
      </c>
      <c r="V23" s="10" t="s">
        <v>878</v>
      </c>
      <c r="W23" s="9" t="s">
        <v>1038</v>
      </c>
      <c r="X23" s="9" t="n">
        <v>12</v>
      </c>
      <c r="Y23" s="9" t="s">
        <v>77</v>
      </c>
      <c r="Z23" s="9" t="s">
        <v>880</v>
      </c>
      <c r="AA23" s="9" t="s">
        <v>881</v>
      </c>
      <c r="AB23" s="9"/>
      <c r="AC23" s="9" t="s">
        <v>882</v>
      </c>
    </row>
    <row r="24" customFormat="false" ht="15.75" hidden="false" customHeight="true" outlineLevel="0" collapsed="false">
      <c r="A24" s="9" t="s">
        <v>550</v>
      </c>
      <c r="B24" s="9" t="s">
        <v>551</v>
      </c>
      <c r="C24" s="9" t="s">
        <v>377</v>
      </c>
      <c r="D24" s="9" t="s">
        <v>553</v>
      </c>
      <c r="E24" s="9" t="s">
        <v>865</v>
      </c>
      <c r="F24" s="9" t="s">
        <v>866</v>
      </c>
      <c r="G24" s="9" t="s">
        <v>867</v>
      </c>
      <c r="H24" s="9" t="s">
        <v>868</v>
      </c>
      <c r="I24" s="9" t="s">
        <v>869</v>
      </c>
      <c r="J24" s="9" t="s">
        <v>870</v>
      </c>
      <c r="K24" s="9" t="s">
        <v>870</v>
      </c>
      <c r="L24" s="9" t="s">
        <v>1039</v>
      </c>
      <c r="M24" s="9" t="s">
        <v>936</v>
      </c>
      <c r="N24" s="9" t="s">
        <v>1039</v>
      </c>
      <c r="O24" s="9" t="s">
        <v>1040</v>
      </c>
      <c r="P24" s="9"/>
      <c r="Q24" s="9" t="s">
        <v>874</v>
      </c>
      <c r="R24" s="10" t="s">
        <v>1041</v>
      </c>
      <c r="S24" s="10" t="s">
        <v>1042</v>
      </c>
      <c r="T24" s="10" t="s">
        <v>877</v>
      </c>
      <c r="V24" s="10" t="s">
        <v>878</v>
      </c>
      <c r="W24" s="9" t="s">
        <v>1043</v>
      </c>
      <c r="X24" s="9" t="n">
        <v>6</v>
      </c>
      <c r="Y24" s="9" t="s">
        <v>77</v>
      </c>
      <c r="Z24" s="9" t="s">
        <v>880</v>
      </c>
      <c r="AA24" s="9" t="s">
        <v>881</v>
      </c>
      <c r="AB24" s="9"/>
      <c r="AC24" s="9" t="s">
        <v>882</v>
      </c>
    </row>
    <row r="25" customFormat="false" ht="15.75" hidden="false" customHeight="true" outlineLevel="0" collapsed="false">
      <c r="A25" s="9" t="s">
        <v>554</v>
      </c>
      <c r="B25" s="9" t="s">
        <v>555</v>
      </c>
      <c r="C25" s="9" t="s">
        <v>377</v>
      </c>
      <c r="D25" s="9" t="s">
        <v>557</v>
      </c>
      <c r="E25" s="9" t="s">
        <v>865</v>
      </c>
      <c r="F25" s="9" t="s">
        <v>912</v>
      </c>
      <c r="G25" s="9" t="s">
        <v>913</v>
      </c>
      <c r="H25" s="9" t="s">
        <v>914</v>
      </c>
      <c r="I25" s="9" t="s">
        <v>1044</v>
      </c>
      <c r="J25" s="9" t="s">
        <v>916</v>
      </c>
      <c r="K25" s="9" t="s">
        <v>916</v>
      </c>
      <c r="L25" s="9" t="s">
        <v>1045</v>
      </c>
      <c r="M25" s="9" t="s">
        <v>872</v>
      </c>
      <c r="N25" s="9" t="s">
        <v>1045</v>
      </c>
      <c r="O25" s="9" t="s">
        <v>1046</v>
      </c>
      <c r="P25" s="9"/>
      <c r="Q25" s="9" t="s">
        <v>874</v>
      </c>
      <c r="R25" s="10" t="s">
        <v>1047</v>
      </c>
      <c r="S25" s="10" t="s">
        <v>876</v>
      </c>
      <c r="T25" s="10" t="s">
        <v>877</v>
      </c>
      <c r="V25" s="10" t="s">
        <v>878</v>
      </c>
      <c r="W25" s="9" t="s">
        <v>1048</v>
      </c>
      <c r="X25" s="9" t="n">
        <v>8</v>
      </c>
      <c r="Y25" s="9" t="s">
        <v>77</v>
      </c>
      <c r="Z25" s="9" t="s">
        <v>880</v>
      </c>
      <c r="AA25" s="9" t="s">
        <v>881</v>
      </c>
      <c r="AB25" s="9"/>
      <c r="AC25" s="9" t="s">
        <v>882</v>
      </c>
    </row>
    <row r="26" customFormat="false" ht="15.75" hidden="false" customHeight="true" outlineLevel="0" collapsed="false">
      <c r="A26" s="9" t="s">
        <v>558</v>
      </c>
      <c r="B26" s="9" t="s">
        <v>559</v>
      </c>
      <c r="C26" s="9" t="s">
        <v>377</v>
      </c>
      <c r="D26" s="9" t="s">
        <v>561</v>
      </c>
      <c r="E26" s="9" t="s">
        <v>865</v>
      </c>
      <c r="F26" s="9" t="s">
        <v>966</v>
      </c>
      <c r="G26" s="9" t="s">
        <v>967</v>
      </c>
      <c r="H26" s="9" t="s">
        <v>968</v>
      </c>
      <c r="I26" s="9" t="s">
        <v>969</v>
      </c>
      <c r="J26" s="9" t="s">
        <v>970</v>
      </c>
      <c r="K26" s="9" t="s">
        <v>970</v>
      </c>
      <c r="L26" s="9" t="s">
        <v>1049</v>
      </c>
      <c r="M26" s="9" t="s">
        <v>872</v>
      </c>
      <c r="N26" s="9" t="s">
        <v>1049</v>
      </c>
      <c r="O26" s="9" t="s">
        <v>1050</v>
      </c>
      <c r="P26" s="9"/>
      <c r="Q26" s="9" t="s">
        <v>874</v>
      </c>
      <c r="R26" s="10" t="s">
        <v>1051</v>
      </c>
      <c r="S26" s="10" t="s">
        <v>1052</v>
      </c>
      <c r="T26" s="10" t="s">
        <v>877</v>
      </c>
      <c r="V26" s="10" t="s">
        <v>878</v>
      </c>
      <c r="W26" s="9" t="s">
        <v>1053</v>
      </c>
      <c r="X26" s="9" t="n">
        <v>5</v>
      </c>
      <c r="Y26" s="9" t="s">
        <v>77</v>
      </c>
      <c r="Z26" s="9" t="s">
        <v>880</v>
      </c>
      <c r="AA26" s="9" t="s">
        <v>881</v>
      </c>
      <c r="AB26" s="9"/>
      <c r="AC26" s="9" t="s">
        <v>882</v>
      </c>
    </row>
    <row r="27" customFormat="false" ht="15.75" hidden="false" customHeight="true" outlineLevel="0" collapsed="false">
      <c r="A27" s="9" t="s">
        <v>562</v>
      </c>
      <c r="B27" s="9" t="s">
        <v>563</v>
      </c>
      <c r="C27" s="9" t="s">
        <v>377</v>
      </c>
      <c r="D27" s="9" t="s">
        <v>565</v>
      </c>
      <c r="E27" s="9" t="s">
        <v>865</v>
      </c>
      <c r="F27" s="9" t="s">
        <v>1021</v>
      </c>
      <c r="G27" s="9" t="s">
        <v>1022</v>
      </c>
      <c r="H27" s="9" t="s">
        <v>901</v>
      </c>
      <c r="I27" s="9" t="s">
        <v>1054</v>
      </c>
      <c r="J27" s="9" t="s">
        <v>1032</v>
      </c>
      <c r="K27" s="9" t="s">
        <v>1032</v>
      </c>
      <c r="L27" s="9" t="s">
        <v>1055</v>
      </c>
      <c r="M27" s="9" t="s">
        <v>936</v>
      </c>
      <c r="N27" s="9" t="s">
        <v>1055</v>
      </c>
      <c r="O27" s="9" t="s">
        <v>1056</v>
      </c>
      <c r="P27" s="9"/>
      <c r="Q27" s="9" t="s">
        <v>874</v>
      </c>
      <c r="R27" s="10" t="s">
        <v>1057</v>
      </c>
      <c r="S27" s="10" t="s">
        <v>1058</v>
      </c>
      <c r="T27" s="10" t="s">
        <v>877</v>
      </c>
      <c r="V27" s="10" t="s">
        <v>878</v>
      </c>
      <c r="W27" s="9" t="s">
        <v>1059</v>
      </c>
      <c r="X27" s="9" t="n">
        <v>12</v>
      </c>
      <c r="Y27" s="9" t="s">
        <v>77</v>
      </c>
      <c r="Z27" s="9" t="s">
        <v>880</v>
      </c>
      <c r="AA27" s="9" t="s">
        <v>881</v>
      </c>
      <c r="AB27" s="9"/>
      <c r="AC27" s="9" t="s">
        <v>882</v>
      </c>
    </row>
    <row r="28" customFormat="false" ht="15.75" hidden="false" customHeight="true" outlineLevel="0" collapsed="false">
      <c r="A28" s="9" t="s">
        <v>566</v>
      </c>
      <c r="B28" s="9" t="s">
        <v>567</v>
      </c>
      <c r="C28" s="9" t="s">
        <v>377</v>
      </c>
      <c r="D28" s="9" t="s">
        <v>569</v>
      </c>
      <c r="E28" s="9" t="s">
        <v>865</v>
      </c>
      <c r="F28" s="9" t="s">
        <v>966</v>
      </c>
      <c r="G28" s="9" t="s">
        <v>967</v>
      </c>
      <c r="H28" s="9" t="s">
        <v>968</v>
      </c>
      <c r="I28" s="9" t="s">
        <v>1060</v>
      </c>
      <c r="J28" s="9" t="s">
        <v>970</v>
      </c>
      <c r="K28" s="9" t="s">
        <v>970</v>
      </c>
      <c r="L28" s="9" t="s">
        <v>1061</v>
      </c>
      <c r="M28" s="9" t="s">
        <v>1034</v>
      </c>
      <c r="N28" s="9" t="s">
        <v>1061</v>
      </c>
      <c r="O28" s="9" t="s">
        <v>1062</v>
      </c>
      <c r="P28" s="9"/>
      <c r="Q28" s="9" t="s">
        <v>874</v>
      </c>
      <c r="R28" s="10" t="s">
        <v>1063</v>
      </c>
      <c r="S28" s="10" t="s">
        <v>1064</v>
      </c>
      <c r="T28" s="10" t="s">
        <v>877</v>
      </c>
      <c r="V28" s="10" t="s">
        <v>878</v>
      </c>
      <c r="W28" s="9" t="s">
        <v>1065</v>
      </c>
      <c r="X28" s="9" t="n">
        <v>9</v>
      </c>
      <c r="Y28" s="9" t="s">
        <v>77</v>
      </c>
      <c r="Z28" s="9" t="s">
        <v>880</v>
      </c>
      <c r="AA28" s="9" t="s">
        <v>881</v>
      </c>
      <c r="AB28" s="9"/>
      <c r="AC28" s="9" t="s">
        <v>882</v>
      </c>
    </row>
    <row r="29" customFormat="false" ht="15.75" hidden="false" customHeight="true" outlineLevel="0" collapsed="false">
      <c r="A29" s="9" t="s">
        <v>570</v>
      </c>
      <c r="B29" s="9" t="s">
        <v>571</v>
      </c>
      <c r="C29" s="9" t="s">
        <v>377</v>
      </c>
      <c r="D29" s="9" t="s">
        <v>573</v>
      </c>
      <c r="E29" s="9" t="s">
        <v>865</v>
      </c>
      <c r="F29" s="9" t="s">
        <v>912</v>
      </c>
      <c r="G29" s="9" t="s">
        <v>913</v>
      </c>
      <c r="H29" s="9" t="s">
        <v>914</v>
      </c>
      <c r="I29" s="9" t="s">
        <v>978</v>
      </c>
      <c r="J29" s="9" t="s">
        <v>916</v>
      </c>
      <c r="K29" s="9" t="s">
        <v>916</v>
      </c>
      <c r="L29" s="9" t="s">
        <v>1066</v>
      </c>
      <c r="M29" s="9" t="s">
        <v>872</v>
      </c>
      <c r="N29" s="9" t="s">
        <v>1066</v>
      </c>
      <c r="O29" s="9" t="s">
        <v>1067</v>
      </c>
      <c r="P29" s="9"/>
      <c r="Q29" s="9" t="s">
        <v>874</v>
      </c>
      <c r="R29" s="10" t="s">
        <v>1068</v>
      </c>
      <c r="S29" s="10" t="s">
        <v>1069</v>
      </c>
      <c r="T29" s="10" t="s">
        <v>877</v>
      </c>
      <c r="V29" s="10" t="s">
        <v>878</v>
      </c>
      <c r="W29" s="9" t="s">
        <v>1070</v>
      </c>
      <c r="X29" s="9" t="n">
        <v>12</v>
      </c>
      <c r="Y29" s="9" t="s">
        <v>77</v>
      </c>
      <c r="Z29" s="9" t="s">
        <v>880</v>
      </c>
      <c r="AA29" s="9" t="s">
        <v>881</v>
      </c>
      <c r="AB29" s="9"/>
      <c r="AC29" s="9" t="s">
        <v>882</v>
      </c>
    </row>
    <row r="30" customFormat="false" ht="15.75" hidden="false" customHeight="true" outlineLevel="0" collapsed="false">
      <c r="A30" s="9" t="s">
        <v>574</v>
      </c>
      <c r="B30" s="9" t="s">
        <v>575</v>
      </c>
      <c r="C30" s="9" t="s">
        <v>384</v>
      </c>
      <c r="D30" s="9" t="s">
        <v>577</v>
      </c>
      <c r="E30" s="9" t="s">
        <v>883</v>
      </c>
      <c r="F30" s="9" t="s">
        <v>886</v>
      </c>
      <c r="G30" s="9" t="s">
        <v>887</v>
      </c>
      <c r="H30" s="9" t="s">
        <v>888</v>
      </c>
      <c r="I30" s="9" t="s">
        <v>1008</v>
      </c>
      <c r="J30" s="9" t="s">
        <v>890</v>
      </c>
      <c r="K30" s="9" t="s">
        <v>890</v>
      </c>
      <c r="L30" s="9" t="s">
        <v>1071</v>
      </c>
      <c r="M30" s="9" t="s">
        <v>872</v>
      </c>
      <c r="N30" s="9" t="s">
        <v>1071</v>
      </c>
      <c r="O30" s="9" t="s">
        <v>1072</v>
      </c>
      <c r="P30" s="9"/>
      <c r="Q30" s="9" t="s">
        <v>874</v>
      </c>
      <c r="R30" s="10" t="s">
        <v>1073</v>
      </c>
      <c r="S30" s="10" t="s">
        <v>1018</v>
      </c>
      <c r="T30" s="10" t="s">
        <v>885</v>
      </c>
      <c r="V30" s="10" t="s">
        <v>878</v>
      </c>
      <c r="W30" s="9" t="s">
        <v>1074</v>
      </c>
      <c r="X30" s="9" t="n">
        <v>8</v>
      </c>
      <c r="Y30" s="9" t="s">
        <v>77</v>
      </c>
      <c r="Z30" s="9" t="s">
        <v>880</v>
      </c>
      <c r="AA30" s="9" t="s">
        <v>881</v>
      </c>
      <c r="AB30" s="9"/>
      <c r="AC30" s="9" t="s">
        <v>882</v>
      </c>
    </row>
    <row r="31" customFormat="false" ht="15.75" hidden="false" customHeight="true" outlineLevel="0" collapsed="false">
      <c r="A31" s="9" t="s">
        <v>578</v>
      </c>
      <c r="B31" s="9" t="s">
        <v>580</v>
      </c>
      <c r="C31" s="9" t="s">
        <v>377</v>
      </c>
      <c r="D31" s="9" t="s">
        <v>582</v>
      </c>
      <c r="E31" s="9" t="s">
        <v>865</v>
      </c>
      <c r="F31" s="9" t="s">
        <v>947</v>
      </c>
      <c r="G31" s="9" t="s">
        <v>948</v>
      </c>
      <c r="H31" s="9" t="s">
        <v>949</v>
      </c>
      <c r="I31" s="9" t="s">
        <v>1075</v>
      </c>
      <c r="J31" s="9" t="s">
        <v>1076</v>
      </c>
      <c r="K31" s="9" t="s">
        <v>1076</v>
      </c>
      <c r="L31" s="9" t="s">
        <v>1077</v>
      </c>
      <c r="M31" s="9" t="s">
        <v>972</v>
      </c>
      <c r="N31" s="9" t="s">
        <v>1077</v>
      </c>
      <c r="O31" s="9" t="s">
        <v>1078</v>
      </c>
      <c r="P31" s="9"/>
      <c r="Q31" s="9" t="s">
        <v>874</v>
      </c>
      <c r="R31" s="10" t="s">
        <v>1079</v>
      </c>
      <c r="S31" s="10" t="s">
        <v>1080</v>
      </c>
      <c r="T31" s="10" t="s">
        <v>877</v>
      </c>
      <c r="V31" s="10" t="s">
        <v>878</v>
      </c>
      <c r="W31" s="9" t="s">
        <v>1081</v>
      </c>
      <c r="X31" s="9" t="n">
        <v>4</v>
      </c>
      <c r="Y31" s="9" t="s">
        <v>77</v>
      </c>
      <c r="Z31" s="9" t="s">
        <v>880</v>
      </c>
      <c r="AA31" s="9" t="s">
        <v>881</v>
      </c>
      <c r="AB31" s="9"/>
      <c r="AC31" s="9" t="s">
        <v>882</v>
      </c>
    </row>
    <row r="32" customFormat="false" ht="15.75" hidden="false" customHeight="true" outlineLevel="0" collapsed="false">
      <c r="A32" s="9" t="s">
        <v>583</v>
      </c>
      <c r="B32" s="9" t="s">
        <v>584</v>
      </c>
      <c r="C32" s="9" t="s">
        <v>377</v>
      </c>
      <c r="D32" s="9" t="s">
        <v>586</v>
      </c>
      <c r="E32" s="9" t="s">
        <v>883</v>
      </c>
      <c r="F32" s="9" t="s">
        <v>886</v>
      </c>
      <c r="G32" s="9" t="s">
        <v>958</v>
      </c>
      <c r="H32" s="9" t="s">
        <v>959</v>
      </c>
      <c r="I32" s="9" t="s">
        <v>1082</v>
      </c>
      <c r="J32" s="9" t="s">
        <v>961</v>
      </c>
      <c r="K32" s="9" t="s">
        <v>961</v>
      </c>
      <c r="L32" s="9" t="s">
        <v>1083</v>
      </c>
      <c r="M32" s="9" t="s">
        <v>972</v>
      </c>
      <c r="N32" s="9" t="s">
        <v>1084</v>
      </c>
      <c r="O32" s="9" t="s">
        <v>1085</v>
      </c>
      <c r="P32" s="9"/>
      <c r="Q32" s="9" t="s">
        <v>874</v>
      </c>
      <c r="R32" s="10" t="s">
        <v>1086</v>
      </c>
      <c r="S32" s="10" t="s">
        <v>1087</v>
      </c>
      <c r="T32" s="10" t="s">
        <v>885</v>
      </c>
      <c r="V32" s="10" t="s">
        <v>878</v>
      </c>
      <c r="W32" s="9" t="s">
        <v>1088</v>
      </c>
      <c r="X32" s="9" t="n">
        <v>10</v>
      </c>
      <c r="Y32" s="9" t="s">
        <v>77</v>
      </c>
      <c r="Z32" s="9" t="s">
        <v>880</v>
      </c>
      <c r="AA32" s="9" t="s">
        <v>881</v>
      </c>
      <c r="AB32" s="9"/>
      <c r="AC32" s="9" t="s">
        <v>882</v>
      </c>
    </row>
    <row r="33" customFormat="false" ht="15.75" hidden="false" customHeight="true" outlineLevel="0" collapsed="false">
      <c r="A33" s="9" t="s">
        <v>587</v>
      </c>
      <c r="B33" s="9" t="s">
        <v>588</v>
      </c>
      <c r="C33" s="9" t="s">
        <v>377</v>
      </c>
      <c r="D33" s="9" t="s">
        <v>590</v>
      </c>
      <c r="E33" s="9" t="s">
        <v>932</v>
      </c>
      <c r="F33" s="9" t="s">
        <v>1021</v>
      </c>
      <c r="G33" s="9" t="s">
        <v>1022</v>
      </c>
      <c r="H33" s="9" t="s">
        <v>1023</v>
      </c>
      <c r="I33" s="9" t="s">
        <v>1089</v>
      </c>
      <c r="J33" s="9" t="s">
        <v>1025</v>
      </c>
      <c r="K33" s="9" t="s">
        <v>1025</v>
      </c>
      <c r="L33" s="9" t="s">
        <v>1090</v>
      </c>
      <c r="M33" s="9" t="s">
        <v>872</v>
      </c>
      <c r="N33" s="9" t="s">
        <v>1091</v>
      </c>
      <c r="O33" s="9" t="s">
        <v>1092</v>
      </c>
      <c r="P33" s="9" t="s">
        <v>1093</v>
      </c>
      <c r="Q33" s="9" t="s">
        <v>874</v>
      </c>
      <c r="R33" s="10" t="s">
        <v>1094</v>
      </c>
      <c r="S33" s="10" t="s">
        <v>1095</v>
      </c>
      <c r="T33" s="10" t="s">
        <v>885</v>
      </c>
      <c r="V33" s="10" t="s">
        <v>878</v>
      </c>
      <c r="W33" s="9" t="s">
        <v>1096</v>
      </c>
      <c r="X33" s="9" t="n">
        <v>6</v>
      </c>
      <c r="Y33" s="9" t="s">
        <v>77</v>
      </c>
      <c r="Z33" s="9" t="s">
        <v>880</v>
      </c>
      <c r="AA33" s="9" t="s">
        <v>881</v>
      </c>
      <c r="AB33" s="9" t="s">
        <v>1097</v>
      </c>
      <c r="AC33" s="9" t="s">
        <v>899</v>
      </c>
    </row>
    <row r="34" customFormat="false" ht="15.75" hidden="false" customHeight="true" outlineLevel="0" collapsed="false">
      <c r="A34" s="9" t="s">
        <v>591</v>
      </c>
      <c r="B34" s="9" t="s">
        <v>592</v>
      </c>
      <c r="C34" s="9" t="s">
        <v>377</v>
      </c>
      <c r="D34" s="9" t="s">
        <v>594</v>
      </c>
      <c r="E34" s="9" t="s">
        <v>883</v>
      </c>
      <c r="F34" s="9" t="s">
        <v>886</v>
      </c>
      <c r="G34" s="9" t="s">
        <v>958</v>
      </c>
      <c r="H34" s="9" t="s">
        <v>959</v>
      </c>
      <c r="I34" s="9" t="s">
        <v>1098</v>
      </c>
      <c r="J34" s="9" t="s">
        <v>961</v>
      </c>
      <c r="K34" s="9" t="s">
        <v>961</v>
      </c>
      <c r="L34" s="9" t="s">
        <v>1099</v>
      </c>
      <c r="M34" s="9" t="s">
        <v>972</v>
      </c>
      <c r="N34" s="9" t="s">
        <v>1099</v>
      </c>
      <c r="O34" s="9" t="s">
        <v>1100</v>
      </c>
      <c r="P34" s="9"/>
      <c r="Q34" s="9" t="s">
        <v>874</v>
      </c>
      <c r="R34" s="10" t="s">
        <v>1101</v>
      </c>
      <c r="S34" s="10" t="s">
        <v>1102</v>
      </c>
      <c r="T34" s="10" t="s">
        <v>885</v>
      </c>
      <c r="V34" s="10" t="s">
        <v>878</v>
      </c>
      <c r="W34" s="9" t="s">
        <v>1103</v>
      </c>
      <c r="X34" s="9" t="n">
        <v>6</v>
      </c>
      <c r="Y34" s="9" t="s">
        <v>77</v>
      </c>
      <c r="Z34" s="9" t="s">
        <v>880</v>
      </c>
      <c r="AA34" s="9" t="s">
        <v>881</v>
      </c>
      <c r="AB34" s="9"/>
      <c r="AC34" s="9" t="s">
        <v>882</v>
      </c>
    </row>
    <row r="35" customFormat="false" ht="15.75" hidden="false" customHeight="true" outlineLevel="0" collapsed="false">
      <c r="A35" s="9" t="s">
        <v>595</v>
      </c>
      <c r="B35" s="9" t="s">
        <v>596</v>
      </c>
      <c r="C35" s="9" t="s">
        <v>377</v>
      </c>
      <c r="D35" s="9" t="s">
        <v>598</v>
      </c>
      <c r="E35" s="9" t="s">
        <v>883</v>
      </c>
      <c r="F35" s="9" t="s">
        <v>1021</v>
      </c>
      <c r="G35" s="9" t="s">
        <v>1022</v>
      </c>
      <c r="H35" s="9" t="s">
        <v>1023</v>
      </c>
      <c r="I35" s="9" t="s">
        <v>1024</v>
      </c>
      <c r="J35" s="9" t="s">
        <v>1025</v>
      </c>
      <c r="K35" s="9" t="s">
        <v>1025</v>
      </c>
      <c r="L35" s="9" t="s">
        <v>1104</v>
      </c>
      <c r="M35" s="9" t="s">
        <v>1034</v>
      </c>
      <c r="N35" s="9" t="s">
        <v>1104</v>
      </c>
      <c r="O35" s="9" t="s">
        <v>1105</v>
      </c>
      <c r="P35" s="9"/>
      <c r="Q35" s="9" t="s">
        <v>874</v>
      </c>
      <c r="R35" s="10" t="s">
        <v>1028</v>
      </c>
      <c r="S35" s="10" t="s">
        <v>1029</v>
      </c>
      <c r="T35" s="10" t="s">
        <v>885</v>
      </c>
      <c r="V35" s="10" t="s">
        <v>878</v>
      </c>
      <c r="W35" s="9" t="s">
        <v>1106</v>
      </c>
      <c r="X35" s="9" t="n">
        <v>10</v>
      </c>
      <c r="Y35" s="9" t="s">
        <v>77</v>
      </c>
      <c r="Z35" s="9" t="s">
        <v>880</v>
      </c>
      <c r="AA35" s="9" t="s">
        <v>881</v>
      </c>
      <c r="AB35" s="9"/>
      <c r="AC35" s="9" t="s">
        <v>882</v>
      </c>
    </row>
    <row r="36" customFormat="false" ht="15.75" hidden="false" customHeight="true" outlineLevel="0" collapsed="false">
      <c r="A36" s="9" t="s">
        <v>599</v>
      </c>
      <c r="B36" s="9" t="s">
        <v>600</v>
      </c>
      <c r="C36" s="9" t="s">
        <v>377</v>
      </c>
      <c r="D36" s="9" t="s">
        <v>602</v>
      </c>
      <c r="E36" s="9" t="s">
        <v>883</v>
      </c>
      <c r="F36" s="9" t="s">
        <v>886</v>
      </c>
      <c r="G36" s="9" t="s">
        <v>958</v>
      </c>
      <c r="H36" s="9" t="s">
        <v>959</v>
      </c>
      <c r="I36" s="9" t="s">
        <v>1082</v>
      </c>
      <c r="J36" s="9" t="s">
        <v>961</v>
      </c>
      <c r="K36" s="9" t="s">
        <v>961</v>
      </c>
      <c r="L36" s="9" t="s">
        <v>1107</v>
      </c>
      <c r="M36" s="9" t="s">
        <v>972</v>
      </c>
      <c r="N36" s="9" t="s">
        <v>1107</v>
      </c>
      <c r="O36" s="9" t="s">
        <v>1108</v>
      </c>
      <c r="P36" s="9"/>
      <c r="Q36" s="9" t="s">
        <v>874</v>
      </c>
      <c r="R36" s="10" t="s">
        <v>1109</v>
      </c>
      <c r="S36" s="10" t="s">
        <v>1087</v>
      </c>
      <c r="T36" s="10" t="s">
        <v>885</v>
      </c>
      <c r="V36" s="10" t="s">
        <v>878</v>
      </c>
      <c r="W36" s="9" t="s">
        <v>1110</v>
      </c>
      <c r="X36" s="9" t="n">
        <v>5</v>
      </c>
      <c r="Y36" s="9" t="s">
        <v>77</v>
      </c>
      <c r="Z36" s="9" t="s">
        <v>880</v>
      </c>
      <c r="AA36" s="9" t="s">
        <v>881</v>
      </c>
      <c r="AB36" s="9"/>
      <c r="AC36" s="9" t="s">
        <v>882</v>
      </c>
    </row>
    <row r="37" customFormat="false" ht="15.75" hidden="false" customHeight="true" outlineLevel="0" collapsed="false">
      <c r="A37" s="9" t="s">
        <v>603</v>
      </c>
      <c r="B37" s="9" t="s">
        <v>606</v>
      </c>
      <c r="C37" s="9" t="s">
        <v>384</v>
      </c>
      <c r="D37" s="9" t="s">
        <v>608</v>
      </c>
      <c r="E37" s="9" t="s">
        <v>883</v>
      </c>
      <c r="F37" s="9" t="s">
        <v>866</v>
      </c>
      <c r="G37" s="9" t="s">
        <v>867</v>
      </c>
      <c r="H37" s="9" t="s">
        <v>933</v>
      </c>
      <c r="I37" s="9" t="s">
        <v>1111</v>
      </c>
      <c r="J37" s="9" t="s">
        <v>870</v>
      </c>
      <c r="K37" s="9" t="s">
        <v>71</v>
      </c>
      <c r="L37" s="9" t="s">
        <v>1071</v>
      </c>
      <c r="M37" s="9" t="s">
        <v>872</v>
      </c>
      <c r="N37" s="9" t="s">
        <v>1071</v>
      </c>
      <c r="O37" s="9" t="s">
        <v>1072</v>
      </c>
      <c r="P37" s="9"/>
      <c r="Q37" s="9" t="s">
        <v>874</v>
      </c>
      <c r="R37" s="10" t="s">
        <v>1112</v>
      </c>
      <c r="S37" s="10" t="s">
        <v>939</v>
      </c>
      <c r="T37" s="10" t="s">
        <v>877</v>
      </c>
      <c r="V37" s="10" t="s">
        <v>878</v>
      </c>
      <c r="W37" s="9" t="s">
        <v>1113</v>
      </c>
      <c r="X37" s="9" t="n">
        <v>9</v>
      </c>
      <c r="Y37" s="9" t="s">
        <v>77</v>
      </c>
      <c r="Z37" s="9" t="s">
        <v>880</v>
      </c>
      <c r="AA37" s="9" t="s">
        <v>881</v>
      </c>
      <c r="AB37" s="9"/>
      <c r="AC37" s="9" t="s">
        <v>882</v>
      </c>
    </row>
    <row r="38" customFormat="false" ht="15.75" hidden="false" customHeight="true" outlineLevel="0" collapsed="false">
      <c r="A38" s="9" t="s">
        <v>609</v>
      </c>
      <c r="B38" s="9" t="s">
        <v>610</v>
      </c>
      <c r="C38" s="9" t="s">
        <v>384</v>
      </c>
      <c r="D38" s="9" t="s">
        <v>612</v>
      </c>
      <c r="E38" s="9" t="s">
        <v>865</v>
      </c>
      <c r="F38" s="9" t="s">
        <v>1021</v>
      </c>
      <c r="G38" s="9" t="s">
        <v>1022</v>
      </c>
      <c r="H38" s="9" t="s">
        <v>1114</v>
      </c>
      <c r="I38" s="9" t="s">
        <v>1115</v>
      </c>
      <c r="J38" s="9" t="s">
        <v>1116</v>
      </c>
      <c r="K38" s="9" t="s">
        <v>1116</v>
      </c>
      <c r="L38" s="9" t="s">
        <v>1117</v>
      </c>
      <c r="M38" s="9" t="s">
        <v>1118</v>
      </c>
      <c r="N38" s="9" t="s">
        <v>1119</v>
      </c>
      <c r="O38" s="9" t="s">
        <v>1120</v>
      </c>
      <c r="P38" s="9" t="s">
        <v>721</v>
      </c>
      <c r="Q38" s="9" t="s">
        <v>874</v>
      </c>
      <c r="R38" s="10" t="s">
        <v>1121</v>
      </c>
      <c r="S38" s="10" t="s">
        <v>1122</v>
      </c>
      <c r="T38" s="10" t="s">
        <v>877</v>
      </c>
      <c r="V38" s="10" t="s">
        <v>878</v>
      </c>
      <c r="W38" s="9" t="s">
        <v>1123</v>
      </c>
      <c r="X38" s="9" t="n">
        <v>8</v>
      </c>
      <c r="Y38" s="9" t="s">
        <v>77</v>
      </c>
      <c r="Z38" s="9" t="s">
        <v>880</v>
      </c>
      <c r="AA38" s="9" t="s">
        <v>881</v>
      </c>
      <c r="AB38" s="9" t="s">
        <v>1124</v>
      </c>
      <c r="AC38" s="9" t="s">
        <v>899</v>
      </c>
    </row>
    <row r="39" customFormat="false" ht="15.75" hidden="false" customHeight="true" outlineLevel="0" collapsed="false">
      <c r="A39" s="9" t="s">
        <v>613</v>
      </c>
      <c r="B39" s="9" t="s">
        <v>615</v>
      </c>
      <c r="C39" s="9" t="s">
        <v>384</v>
      </c>
      <c r="D39" s="9" t="s">
        <v>617</v>
      </c>
      <c r="E39" s="9" t="s">
        <v>883</v>
      </c>
      <c r="F39" s="9" t="s">
        <v>1021</v>
      </c>
      <c r="G39" s="9" t="s">
        <v>1022</v>
      </c>
      <c r="H39" s="9" t="s">
        <v>924</v>
      </c>
      <c r="I39" s="9" t="s">
        <v>1125</v>
      </c>
      <c r="J39" s="9" t="s">
        <v>1032</v>
      </c>
      <c r="K39" s="9" t="s">
        <v>1032</v>
      </c>
      <c r="L39" s="9" t="s">
        <v>1126</v>
      </c>
      <c r="M39" s="9" t="s">
        <v>892</v>
      </c>
      <c r="N39" s="9" t="s">
        <v>1126</v>
      </c>
      <c r="O39" s="9" t="s">
        <v>1127</v>
      </c>
      <c r="P39" s="9"/>
      <c r="Q39" s="9" t="s">
        <v>874</v>
      </c>
      <c r="R39" s="10" t="s">
        <v>1128</v>
      </c>
      <c r="S39" s="10" t="s">
        <v>1129</v>
      </c>
      <c r="T39" s="10" t="s">
        <v>877</v>
      </c>
      <c r="V39" s="10" t="s">
        <v>878</v>
      </c>
      <c r="W39" s="9" t="s">
        <v>1130</v>
      </c>
      <c r="X39" s="9" t="n">
        <v>6</v>
      </c>
      <c r="Y39" s="9" t="s">
        <v>77</v>
      </c>
      <c r="Z39" s="9" t="s">
        <v>880</v>
      </c>
      <c r="AA39" s="9" t="s">
        <v>881</v>
      </c>
      <c r="AB39" s="9"/>
      <c r="AC39" s="9" t="s">
        <v>882</v>
      </c>
    </row>
    <row r="40" customFormat="false" ht="15.75" hidden="false" customHeight="true" outlineLevel="0" collapsed="false">
      <c r="A40" s="9" t="s">
        <v>618</v>
      </c>
      <c r="B40" s="9" t="s">
        <v>619</v>
      </c>
      <c r="C40" s="9" t="s">
        <v>384</v>
      </c>
      <c r="D40" s="9" t="s">
        <v>621</v>
      </c>
      <c r="E40" s="9" t="s">
        <v>865</v>
      </c>
      <c r="F40" s="9" t="s">
        <v>886</v>
      </c>
      <c r="G40" s="9" t="s">
        <v>887</v>
      </c>
      <c r="H40" s="9" t="s">
        <v>1131</v>
      </c>
      <c r="I40" s="9" t="s">
        <v>1132</v>
      </c>
      <c r="J40" s="9" t="s">
        <v>1133</v>
      </c>
      <c r="K40" s="9" t="s">
        <v>1133</v>
      </c>
      <c r="L40" s="9" t="s">
        <v>1134</v>
      </c>
      <c r="M40" s="9" t="s">
        <v>872</v>
      </c>
      <c r="N40" s="9" t="s">
        <v>1135</v>
      </c>
      <c r="O40" s="9" t="s">
        <v>1136</v>
      </c>
      <c r="P40" s="9" t="s">
        <v>1137</v>
      </c>
      <c r="Q40" s="9" t="s">
        <v>874</v>
      </c>
      <c r="R40" s="10" t="s">
        <v>1138</v>
      </c>
      <c r="S40" s="10" t="s">
        <v>1139</v>
      </c>
      <c r="T40" s="10" t="s">
        <v>877</v>
      </c>
      <c r="V40" s="10" t="s">
        <v>878</v>
      </c>
      <c r="W40" s="9" t="s">
        <v>1140</v>
      </c>
      <c r="X40" s="9" t="n">
        <v>7</v>
      </c>
      <c r="Y40" s="9" t="s">
        <v>77</v>
      </c>
      <c r="Z40" s="9" t="s">
        <v>880</v>
      </c>
      <c r="AA40" s="9" t="s">
        <v>881</v>
      </c>
      <c r="AB40" s="9" t="s">
        <v>1141</v>
      </c>
      <c r="AC40" s="9" t="s">
        <v>899</v>
      </c>
    </row>
    <row r="41" customFormat="false" ht="15.75" hidden="false" customHeight="true" outlineLevel="0" collapsed="false">
      <c r="A41" s="9" t="s">
        <v>622</v>
      </c>
      <c r="B41" s="9" t="s">
        <v>623</v>
      </c>
      <c r="C41" s="9" t="s">
        <v>384</v>
      </c>
      <c r="D41" s="9" t="s">
        <v>625</v>
      </c>
      <c r="E41" s="9" t="s">
        <v>883</v>
      </c>
      <c r="F41" s="9" t="s">
        <v>1021</v>
      </c>
      <c r="G41" s="9" t="s">
        <v>1022</v>
      </c>
      <c r="H41" s="9" t="s">
        <v>1142</v>
      </c>
      <c r="I41" s="9" t="s">
        <v>1143</v>
      </c>
      <c r="J41" s="9" t="s">
        <v>1144</v>
      </c>
      <c r="K41" s="9" t="s">
        <v>1144</v>
      </c>
      <c r="L41" s="9" t="s">
        <v>1145</v>
      </c>
      <c r="M41" s="9" t="s">
        <v>872</v>
      </c>
      <c r="N41" s="9" t="s">
        <v>1145</v>
      </c>
      <c r="O41" s="9" t="s">
        <v>1146</v>
      </c>
      <c r="P41" s="9" t="s">
        <v>1137</v>
      </c>
      <c r="Q41" s="9" t="s">
        <v>874</v>
      </c>
      <c r="R41" s="10" t="s">
        <v>1147</v>
      </c>
      <c r="S41" s="10" t="s">
        <v>1148</v>
      </c>
      <c r="T41" s="10" t="s">
        <v>877</v>
      </c>
      <c r="V41" s="10" t="s">
        <v>878</v>
      </c>
      <c r="W41" s="9" t="s">
        <v>1149</v>
      </c>
      <c r="X41" s="9" t="n">
        <v>13</v>
      </c>
      <c r="Y41" s="9" t="s">
        <v>77</v>
      </c>
      <c r="Z41" s="9" t="s">
        <v>880</v>
      </c>
      <c r="AA41" s="9" t="s">
        <v>881</v>
      </c>
      <c r="AB41" s="9" t="s">
        <v>1141</v>
      </c>
      <c r="AC41" s="9" t="s">
        <v>899</v>
      </c>
    </row>
    <row r="42" customFormat="false" ht="15.75" hidden="false" customHeight="true" outlineLevel="0" collapsed="false">
      <c r="A42" s="9" t="s">
        <v>626</v>
      </c>
      <c r="B42" s="9" t="s">
        <v>628</v>
      </c>
      <c r="C42" s="9" t="s">
        <v>387</v>
      </c>
      <c r="D42" s="9" t="s">
        <v>631</v>
      </c>
      <c r="E42" s="9" t="s">
        <v>883</v>
      </c>
      <c r="F42" s="9" t="s">
        <v>886</v>
      </c>
      <c r="G42" s="9" t="s">
        <v>958</v>
      </c>
      <c r="H42" s="9" t="s">
        <v>959</v>
      </c>
      <c r="I42" s="9" t="s">
        <v>960</v>
      </c>
      <c r="J42" s="9" t="s">
        <v>961</v>
      </c>
      <c r="K42" s="9" t="s">
        <v>961</v>
      </c>
      <c r="L42" s="9" t="s">
        <v>1150</v>
      </c>
      <c r="M42" s="9" t="s">
        <v>872</v>
      </c>
      <c r="N42" s="9" t="s">
        <v>1150</v>
      </c>
      <c r="O42" s="9" t="s">
        <v>1137</v>
      </c>
      <c r="P42" s="9"/>
      <c r="Q42" s="9" t="s">
        <v>874</v>
      </c>
      <c r="R42" s="10" t="s">
        <v>1151</v>
      </c>
      <c r="S42" s="10" t="s">
        <v>965</v>
      </c>
      <c r="T42" s="10" t="s">
        <v>885</v>
      </c>
      <c r="V42" s="10" t="s">
        <v>878</v>
      </c>
      <c r="W42" s="9" t="s">
        <v>1141</v>
      </c>
      <c r="X42" s="9" t="n">
        <v>13</v>
      </c>
      <c r="Y42" s="9" t="s">
        <v>77</v>
      </c>
      <c r="Z42" s="9" t="s">
        <v>880</v>
      </c>
      <c r="AA42" s="9" t="s">
        <v>881</v>
      </c>
      <c r="AB42" s="9"/>
      <c r="AC42" s="9" t="s">
        <v>882</v>
      </c>
    </row>
    <row r="43" customFormat="false" ht="15.75" hidden="false" customHeight="true" outlineLevel="0" collapsed="false">
      <c r="A43" s="9" t="s">
        <v>632</v>
      </c>
      <c r="B43" s="9" t="s">
        <v>633</v>
      </c>
      <c r="C43" s="9" t="s">
        <v>387</v>
      </c>
      <c r="D43" s="9" t="s">
        <v>635</v>
      </c>
      <c r="E43" s="9" t="s">
        <v>865</v>
      </c>
      <c r="F43" s="9" t="s">
        <v>966</v>
      </c>
      <c r="G43" s="9" t="s">
        <v>967</v>
      </c>
      <c r="H43" s="9" t="s">
        <v>1152</v>
      </c>
      <c r="I43" s="9" t="s">
        <v>869</v>
      </c>
      <c r="J43" s="9" t="s">
        <v>1153</v>
      </c>
      <c r="K43" s="9" t="s">
        <v>1153</v>
      </c>
      <c r="L43" s="9" t="s">
        <v>1150</v>
      </c>
      <c r="M43" s="9" t="s">
        <v>872</v>
      </c>
      <c r="N43" s="9" t="s">
        <v>1150</v>
      </c>
      <c r="O43" s="9" t="s">
        <v>1137</v>
      </c>
      <c r="P43" s="9"/>
      <c r="Q43" s="9" t="s">
        <v>874</v>
      </c>
      <c r="R43" s="10" t="s">
        <v>1154</v>
      </c>
      <c r="S43" s="10" t="s">
        <v>1155</v>
      </c>
      <c r="T43" s="10" t="s">
        <v>877</v>
      </c>
      <c r="V43" s="10" t="s">
        <v>878</v>
      </c>
      <c r="W43" s="9" t="s">
        <v>1141</v>
      </c>
      <c r="X43" s="9" t="n">
        <v>13</v>
      </c>
      <c r="Y43" s="9" t="s">
        <v>77</v>
      </c>
      <c r="Z43" s="9" t="s">
        <v>880</v>
      </c>
      <c r="AA43" s="9" t="s">
        <v>881</v>
      </c>
      <c r="AB43" s="9"/>
      <c r="AC43" s="9" t="s">
        <v>882</v>
      </c>
    </row>
    <row r="44" customFormat="false" ht="15.75" hidden="false" customHeight="true" outlineLevel="0" collapsed="false">
      <c r="A44" s="9" t="s">
        <v>636</v>
      </c>
      <c r="B44" s="9" t="s">
        <v>637</v>
      </c>
      <c r="C44" s="9" t="s">
        <v>387</v>
      </c>
      <c r="D44" s="9" t="s">
        <v>639</v>
      </c>
      <c r="E44" s="9" t="s">
        <v>865</v>
      </c>
      <c r="F44" s="9" t="s">
        <v>866</v>
      </c>
      <c r="G44" s="9" t="s">
        <v>867</v>
      </c>
      <c r="H44" s="9" t="s">
        <v>868</v>
      </c>
      <c r="I44" s="9" t="s">
        <v>869</v>
      </c>
      <c r="J44" s="9" t="s">
        <v>870</v>
      </c>
      <c r="K44" s="9" t="s">
        <v>870</v>
      </c>
      <c r="L44" s="9" t="s">
        <v>1150</v>
      </c>
      <c r="M44" s="9" t="s">
        <v>872</v>
      </c>
      <c r="N44" s="9" t="s">
        <v>1150</v>
      </c>
      <c r="O44" s="9" t="s">
        <v>1137</v>
      </c>
      <c r="P44" s="9"/>
      <c r="Q44" s="9" t="s">
        <v>874</v>
      </c>
      <c r="R44" s="10" t="s">
        <v>1156</v>
      </c>
      <c r="S44" s="10" t="s">
        <v>1157</v>
      </c>
      <c r="T44" s="10" t="s">
        <v>877</v>
      </c>
      <c r="V44" s="10" t="s">
        <v>878</v>
      </c>
      <c r="W44" s="9" t="s">
        <v>1141</v>
      </c>
      <c r="X44" s="9" t="n">
        <v>13</v>
      </c>
      <c r="Y44" s="9" t="s">
        <v>77</v>
      </c>
      <c r="Z44" s="9" t="s">
        <v>880</v>
      </c>
      <c r="AA44" s="9" t="s">
        <v>881</v>
      </c>
      <c r="AB44" s="9"/>
      <c r="AC44" s="9" t="s">
        <v>882</v>
      </c>
    </row>
    <row r="45" customFormat="false" ht="15.75" hidden="false" customHeight="true" outlineLevel="0" collapsed="false">
      <c r="A45" s="9" t="s">
        <v>640</v>
      </c>
      <c r="B45" s="9" t="s">
        <v>641</v>
      </c>
      <c r="C45" s="9" t="s">
        <v>387</v>
      </c>
      <c r="D45" s="9" t="s">
        <v>643</v>
      </c>
      <c r="E45" s="9" t="s">
        <v>865</v>
      </c>
      <c r="F45" s="9" t="s">
        <v>866</v>
      </c>
      <c r="G45" s="9" t="s">
        <v>867</v>
      </c>
      <c r="H45" s="9" t="s">
        <v>868</v>
      </c>
      <c r="I45" s="9" t="s">
        <v>869</v>
      </c>
      <c r="J45" s="9" t="s">
        <v>870</v>
      </c>
      <c r="K45" s="9" t="s">
        <v>870</v>
      </c>
      <c r="L45" s="9" t="s">
        <v>1158</v>
      </c>
      <c r="M45" s="9" t="s">
        <v>1159</v>
      </c>
      <c r="N45" s="9" t="s">
        <v>1158</v>
      </c>
      <c r="O45" s="9" t="s">
        <v>1160</v>
      </c>
      <c r="P45" s="9"/>
      <c r="Q45" s="9" t="s">
        <v>874</v>
      </c>
      <c r="R45" s="10" t="s">
        <v>1156</v>
      </c>
      <c r="S45" s="10" t="s">
        <v>1161</v>
      </c>
      <c r="T45" s="10" t="s">
        <v>877</v>
      </c>
      <c r="V45" s="10" t="s">
        <v>878</v>
      </c>
      <c r="W45" s="9" t="s">
        <v>1162</v>
      </c>
      <c r="X45" s="9" t="n">
        <v>14</v>
      </c>
      <c r="Y45" s="9" t="s">
        <v>77</v>
      </c>
      <c r="Z45" s="9" t="s">
        <v>880</v>
      </c>
      <c r="AA45" s="9" t="s">
        <v>881</v>
      </c>
      <c r="AB45" s="9"/>
      <c r="AC45" s="9" t="s">
        <v>882</v>
      </c>
    </row>
    <row r="46" customFormat="false" ht="15.75" hidden="false" customHeight="true" outlineLevel="0" collapsed="false">
      <c r="A46" s="9" t="s">
        <v>644</v>
      </c>
      <c r="B46" s="9" t="s">
        <v>645</v>
      </c>
      <c r="C46" s="9" t="s">
        <v>384</v>
      </c>
      <c r="D46" s="9" t="s">
        <v>647</v>
      </c>
      <c r="E46" s="9" t="s">
        <v>865</v>
      </c>
      <c r="F46" s="9" t="s">
        <v>1021</v>
      </c>
      <c r="G46" s="9" t="s">
        <v>1022</v>
      </c>
      <c r="H46" s="9" t="s">
        <v>1142</v>
      </c>
      <c r="I46" s="9" t="s">
        <v>1143</v>
      </c>
      <c r="J46" s="9" t="s">
        <v>1144</v>
      </c>
      <c r="K46" s="9" t="s">
        <v>1144</v>
      </c>
      <c r="L46" s="9" t="s">
        <v>1163</v>
      </c>
      <c r="M46" s="9" t="s">
        <v>1164</v>
      </c>
      <c r="N46" s="9" t="s">
        <v>1163</v>
      </c>
      <c r="O46" s="9" t="s">
        <v>1165</v>
      </c>
      <c r="P46" s="9"/>
      <c r="Q46" s="9" t="s">
        <v>874</v>
      </c>
      <c r="R46" s="10" t="s">
        <v>1166</v>
      </c>
      <c r="S46" s="10" t="s">
        <v>1167</v>
      </c>
      <c r="T46" s="10" t="s">
        <v>877</v>
      </c>
      <c r="V46" s="10" t="s">
        <v>878</v>
      </c>
      <c r="W46" s="9" t="s">
        <v>1168</v>
      </c>
      <c r="X46" s="9" t="n">
        <v>3</v>
      </c>
      <c r="Y46" s="9" t="s">
        <v>77</v>
      </c>
      <c r="Z46" s="9" t="s">
        <v>880</v>
      </c>
      <c r="AA46" s="9" t="s">
        <v>881</v>
      </c>
      <c r="AB46" s="9"/>
      <c r="AC46" s="9" t="s">
        <v>882</v>
      </c>
    </row>
    <row r="47" customFormat="false" ht="15.75" hidden="false" customHeight="true" outlineLevel="0" collapsed="false">
      <c r="A47" s="9" t="s">
        <v>648</v>
      </c>
      <c r="B47" s="9" t="s">
        <v>650</v>
      </c>
      <c r="C47" s="9" t="s">
        <v>377</v>
      </c>
      <c r="D47" s="9" t="s">
        <v>652</v>
      </c>
      <c r="E47" s="9" t="s">
        <v>883</v>
      </c>
      <c r="F47" s="9" t="s">
        <v>866</v>
      </c>
      <c r="G47" s="9" t="s">
        <v>867</v>
      </c>
      <c r="H47" s="9" t="s">
        <v>933</v>
      </c>
      <c r="I47" s="9" t="s">
        <v>1169</v>
      </c>
      <c r="J47" s="9" t="s">
        <v>870</v>
      </c>
      <c r="K47" s="9" t="s">
        <v>71</v>
      </c>
      <c r="L47" s="9" t="s">
        <v>1170</v>
      </c>
      <c r="M47" s="9" t="s">
        <v>872</v>
      </c>
      <c r="N47" s="9" t="s">
        <v>1170</v>
      </c>
      <c r="O47" s="9" t="s">
        <v>1120</v>
      </c>
      <c r="P47" s="9"/>
      <c r="Q47" s="9" t="s">
        <v>874</v>
      </c>
      <c r="R47" s="10" t="s">
        <v>1171</v>
      </c>
      <c r="S47" s="10" t="s">
        <v>939</v>
      </c>
      <c r="T47" s="10" t="s">
        <v>877</v>
      </c>
      <c r="V47" s="10" t="s">
        <v>878</v>
      </c>
      <c r="W47" s="9" t="s">
        <v>1172</v>
      </c>
      <c r="X47" s="9" t="n">
        <v>7</v>
      </c>
      <c r="Y47" s="9" t="s">
        <v>77</v>
      </c>
      <c r="Z47" s="9" t="s">
        <v>880</v>
      </c>
      <c r="AA47" s="9" t="s">
        <v>881</v>
      </c>
      <c r="AB47" s="9"/>
      <c r="AC47" s="9" t="s">
        <v>882</v>
      </c>
    </row>
    <row r="48" customFormat="false" ht="15.75" hidden="false" customHeight="true" outlineLevel="0" collapsed="false">
      <c r="A48" s="9" t="s">
        <v>653</v>
      </c>
      <c r="B48" s="9" t="s">
        <v>655</v>
      </c>
      <c r="C48" s="9" t="s">
        <v>377</v>
      </c>
      <c r="D48" s="9" t="s">
        <v>657</v>
      </c>
      <c r="E48" s="9" t="s">
        <v>865</v>
      </c>
      <c r="F48" s="9" t="s">
        <v>886</v>
      </c>
      <c r="G48" s="9" t="s">
        <v>887</v>
      </c>
      <c r="H48" s="9" t="s">
        <v>888</v>
      </c>
      <c r="I48" s="9" t="s">
        <v>984</v>
      </c>
      <c r="J48" s="9" t="s">
        <v>890</v>
      </c>
      <c r="K48" s="9" t="s">
        <v>890</v>
      </c>
      <c r="L48" s="9" t="s">
        <v>942</v>
      </c>
      <c r="M48" s="9" t="s">
        <v>936</v>
      </c>
      <c r="N48" s="9" t="s">
        <v>942</v>
      </c>
      <c r="O48" s="9" t="s">
        <v>943</v>
      </c>
      <c r="P48" s="9"/>
      <c r="Q48" s="9" t="s">
        <v>874</v>
      </c>
      <c r="R48" s="10" t="s">
        <v>1173</v>
      </c>
      <c r="S48" s="10" t="s">
        <v>1174</v>
      </c>
      <c r="T48" s="10" t="s">
        <v>877</v>
      </c>
      <c r="V48" s="10" t="s">
        <v>878</v>
      </c>
      <c r="W48" s="9" t="s">
        <v>1175</v>
      </c>
      <c r="X48" s="9" t="n">
        <v>12</v>
      </c>
      <c r="Y48" s="9" t="s">
        <v>77</v>
      </c>
      <c r="Z48" s="9" t="s">
        <v>880</v>
      </c>
      <c r="AA48" s="9" t="s">
        <v>881</v>
      </c>
      <c r="AB48" s="9"/>
      <c r="AC48" s="9" t="s">
        <v>882</v>
      </c>
    </row>
    <row r="49" customFormat="false" ht="15.75" hidden="false" customHeight="true" outlineLevel="0" collapsed="false">
      <c r="A49" s="9" t="s">
        <v>658</v>
      </c>
      <c r="B49" s="9" t="s">
        <v>659</v>
      </c>
      <c r="C49" s="9" t="s">
        <v>377</v>
      </c>
      <c r="D49" s="9" t="s">
        <v>657</v>
      </c>
      <c r="E49" s="9" t="s">
        <v>865</v>
      </c>
      <c r="F49" s="9" t="s">
        <v>1021</v>
      </c>
      <c r="G49" s="9" t="s">
        <v>1022</v>
      </c>
      <c r="H49" s="9" t="s">
        <v>1142</v>
      </c>
      <c r="I49" s="9" t="s">
        <v>1143</v>
      </c>
      <c r="J49" s="9" t="s">
        <v>1144</v>
      </c>
      <c r="K49" s="9" t="s">
        <v>1144</v>
      </c>
      <c r="L49" s="9" t="s">
        <v>1176</v>
      </c>
      <c r="M49" s="9" t="s">
        <v>872</v>
      </c>
      <c r="N49" s="9" t="s">
        <v>1176</v>
      </c>
      <c r="O49" s="9" t="s">
        <v>1177</v>
      </c>
      <c r="P49" s="9"/>
      <c r="Q49" s="9" t="s">
        <v>874</v>
      </c>
      <c r="R49" s="10" t="s">
        <v>1178</v>
      </c>
      <c r="S49" s="10" t="s">
        <v>1179</v>
      </c>
      <c r="T49" s="10" t="s">
        <v>877</v>
      </c>
      <c r="V49" s="10" t="s">
        <v>878</v>
      </c>
      <c r="W49" s="9" t="s">
        <v>1180</v>
      </c>
      <c r="X49" s="9" t="n">
        <v>8</v>
      </c>
      <c r="Y49" s="9" t="s">
        <v>77</v>
      </c>
      <c r="Z49" s="9" t="s">
        <v>880</v>
      </c>
      <c r="AA49" s="9" t="s">
        <v>881</v>
      </c>
      <c r="AB49" s="9"/>
      <c r="AC49" s="9" t="s">
        <v>882</v>
      </c>
    </row>
    <row r="50" customFormat="false" ht="15.75" hidden="false" customHeight="true" outlineLevel="0" collapsed="false">
      <c r="A50" s="9" t="s">
        <v>661</v>
      </c>
      <c r="B50" s="9" t="s">
        <v>662</v>
      </c>
      <c r="C50" s="9" t="s">
        <v>377</v>
      </c>
      <c r="D50" s="9" t="s">
        <v>657</v>
      </c>
      <c r="E50" s="9" t="s">
        <v>883</v>
      </c>
      <c r="F50" s="9" t="s">
        <v>886</v>
      </c>
      <c r="G50" s="9" t="s">
        <v>900</v>
      </c>
      <c r="H50" s="9" t="s">
        <v>1181</v>
      </c>
      <c r="I50" s="9" t="s">
        <v>1182</v>
      </c>
      <c r="J50" s="9" t="s">
        <v>903</v>
      </c>
      <c r="K50" s="9" t="s">
        <v>904</v>
      </c>
      <c r="L50" s="9" t="s">
        <v>1183</v>
      </c>
      <c r="M50" s="9" t="s">
        <v>1184</v>
      </c>
      <c r="N50" s="9" t="s">
        <v>1183</v>
      </c>
      <c r="O50" s="9" t="s">
        <v>1185</v>
      </c>
      <c r="P50" s="9"/>
      <c r="Q50" s="9" t="s">
        <v>874</v>
      </c>
      <c r="R50" s="10" t="s">
        <v>1186</v>
      </c>
      <c r="S50" s="10" t="s">
        <v>910</v>
      </c>
      <c r="T50" s="10" t="s">
        <v>885</v>
      </c>
      <c r="V50" s="10" t="s">
        <v>878</v>
      </c>
      <c r="W50" s="9" t="s">
        <v>1187</v>
      </c>
      <c r="X50" s="9" t="n">
        <v>11</v>
      </c>
      <c r="Y50" s="9" t="s">
        <v>77</v>
      </c>
      <c r="Z50" s="9" t="s">
        <v>880</v>
      </c>
      <c r="AA50" s="9" t="s">
        <v>881</v>
      </c>
      <c r="AB50" s="9"/>
      <c r="AC50" s="9" t="s">
        <v>882</v>
      </c>
    </row>
    <row r="51" customFormat="false" ht="15.75" hidden="false" customHeight="true" outlineLevel="0" collapsed="false">
      <c r="A51" s="9" t="s">
        <v>664</v>
      </c>
      <c r="B51" s="9" t="s">
        <v>665</v>
      </c>
      <c r="C51" s="9" t="s">
        <v>384</v>
      </c>
      <c r="D51" s="9" t="s">
        <v>667</v>
      </c>
      <c r="E51" s="9" t="s">
        <v>1188</v>
      </c>
      <c r="F51" s="9" t="s">
        <v>1189</v>
      </c>
      <c r="G51" s="9" t="s">
        <v>1190</v>
      </c>
      <c r="H51" s="9" t="s">
        <v>1191</v>
      </c>
      <c r="I51" s="9" t="s">
        <v>1192</v>
      </c>
      <c r="J51" s="9"/>
      <c r="K51" s="9"/>
      <c r="L51" s="9" t="s">
        <v>1145</v>
      </c>
      <c r="M51" s="9" t="s">
        <v>872</v>
      </c>
      <c r="N51" s="9" t="s">
        <v>1145</v>
      </c>
      <c r="O51" s="9" t="s">
        <v>1146</v>
      </c>
      <c r="P51" s="9" t="s">
        <v>1137</v>
      </c>
      <c r="Q51" s="9" t="s">
        <v>1193</v>
      </c>
      <c r="S51" s="10" t="s">
        <v>1194</v>
      </c>
      <c r="T51" s="10" t="s">
        <v>1193</v>
      </c>
      <c r="V51" s="10" t="s">
        <v>878</v>
      </c>
      <c r="W51" s="9" t="s">
        <v>1149</v>
      </c>
      <c r="X51" s="9" t="n">
        <v>13</v>
      </c>
      <c r="Y51" s="9" t="s">
        <v>77</v>
      </c>
      <c r="Z51" s="9" t="s">
        <v>880</v>
      </c>
      <c r="AA51" s="9" t="s">
        <v>881</v>
      </c>
      <c r="AB51" s="9" t="s">
        <v>1141</v>
      </c>
      <c r="AC51" s="9" t="s">
        <v>899</v>
      </c>
    </row>
    <row r="52" customFormat="false" ht="15.75" hidden="false" customHeight="true" outlineLevel="0" collapsed="false">
      <c r="A52" s="9" t="s">
        <v>668</v>
      </c>
      <c r="B52" s="9" t="s">
        <v>670</v>
      </c>
      <c r="C52" s="9" t="s">
        <v>384</v>
      </c>
      <c r="D52" s="9" t="s">
        <v>672</v>
      </c>
      <c r="E52" s="9" t="s">
        <v>883</v>
      </c>
      <c r="F52" s="9" t="s">
        <v>1021</v>
      </c>
      <c r="G52" s="9" t="s">
        <v>1022</v>
      </c>
      <c r="H52" s="9" t="s">
        <v>1195</v>
      </c>
      <c r="I52" s="9" t="s">
        <v>1196</v>
      </c>
      <c r="J52" s="9" t="s">
        <v>1197</v>
      </c>
      <c r="K52" s="9" t="s">
        <v>1197</v>
      </c>
      <c r="L52" s="9" t="s">
        <v>1198</v>
      </c>
      <c r="M52" s="9" t="s">
        <v>1164</v>
      </c>
      <c r="N52" s="9" t="s">
        <v>1198</v>
      </c>
      <c r="O52" s="9" t="s">
        <v>943</v>
      </c>
      <c r="P52" s="9"/>
      <c r="Q52" s="9" t="s">
        <v>874</v>
      </c>
      <c r="R52" s="10" t="s">
        <v>1199</v>
      </c>
      <c r="S52" s="10" t="s">
        <v>1200</v>
      </c>
      <c r="T52" s="10" t="s">
        <v>877</v>
      </c>
      <c r="V52" s="10" t="s">
        <v>878</v>
      </c>
      <c r="W52" s="9" t="s">
        <v>1175</v>
      </c>
      <c r="X52" s="9" t="n">
        <v>12</v>
      </c>
      <c r="Y52" s="9" t="s">
        <v>77</v>
      </c>
      <c r="Z52" s="9" t="s">
        <v>880</v>
      </c>
      <c r="AA52" s="9" t="s">
        <v>881</v>
      </c>
      <c r="AB52" s="9"/>
      <c r="AC52" s="9" t="s">
        <v>882</v>
      </c>
    </row>
    <row r="53" customFormat="false" ht="15.75" hidden="false" customHeight="true" outlineLevel="0" collapsed="false">
      <c r="A53" s="9" t="s">
        <v>673</v>
      </c>
      <c r="B53" s="9" t="s">
        <v>676</v>
      </c>
      <c r="C53" s="9" t="s">
        <v>384</v>
      </c>
      <c r="D53" s="9" t="s">
        <v>678</v>
      </c>
      <c r="E53" s="9" t="s">
        <v>883</v>
      </c>
      <c r="F53" s="9" t="s">
        <v>1021</v>
      </c>
      <c r="G53" s="9" t="s">
        <v>1022</v>
      </c>
      <c r="H53" s="9" t="s">
        <v>1201</v>
      </c>
      <c r="I53" s="9" t="s">
        <v>1202</v>
      </c>
      <c r="J53" s="9" t="s">
        <v>1203</v>
      </c>
      <c r="K53" s="9" t="s">
        <v>1203</v>
      </c>
      <c r="L53" s="9" t="s">
        <v>1204</v>
      </c>
      <c r="M53" s="9" t="s">
        <v>1205</v>
      </c>
      <c r="N53" s="9" t="s">
        <v>1206</v>
      </c>
      <c r="O53" s="9" t="s">
        <v>1207</v>
      </c>
      <c r="P53" s="9"/>
      <c r="Q53" s="9" t="s">
        <v>874</v>
      </c>
      <c r="R53" s="10" t="s">
        <v>1208</v>
      </c>
      <c r="S53" s="10" t="s">
        <v>1209</v>
      </c>
      <c r="T53" s="10" t="s">
        <v>877</v>
      </c>
      <c r="V53" s="10" t="s">
        <v>878</v>
      </c>
      <c r="W53" s="9" t="s">
        <v>1210</v>
      </c>
      <c r="X53" s="9" t="n">
        <v>7</v>
      </c>
      <c r="Y53" s="9" t="s">
        <v>77</v>
      </c>
      <c r="Z53" s="9" t="s">
        <v>880</v>
      </c>
      <c r="AA53" s="9" t="s">
        <v>931</v>
      </c>
      <c r="AB53" s="9"/>
      <c r="AC53" s="9" t="s">
        <v>882</v>
      </c>
    </row>
    <row r="54" customFormat="false" ht="15.75" hidden="false" customHeight="true" outlineLevel="0" collapsed="false">
      <c r="A54" s="9" t="s">
        <v>679</v>
      </c>
      <c r="B54" s="9" t="s">
        <v>680</v>
      </c>
      <c r="C54" s="9" t="s">
        <v>384</v>
      </c>
      <c r="D54" s="9" t="s">
        <v>678</v>
      </c>
      <c r="E54" s="9" t="s">
        <v>883</v>
      </c>
      <c r="F54" s="9" t="s">
        <v>1021</v>
      </c>
      <c r="G54" s="9" t="s">
        <v>1022</v>
      </c>
      <c r="H54" s="9" t="s">
        <v>1201</v>
      </c>
      <c r="I54" s="9" t="s">
        <v>1202</v>
      </c>
      <c r="J54" s="9" t="s">
        <v>1203</v>
      </c>
      <c r="K54" s="9" t="s">
        <v>1203</v>
      </c>
      <c r="L54" s="9" t="s">
        <v>1204</v>
      </c>
      <c r="M54" s="9" t="s">
        <v>1205</v>
      </c>
      <c r="N54" s="9" t="s">
        <v>1206</v>
      </c>
      <c r="O54" s="9" t="s">
        <v>1207</v>
      </c>
      <c r="P54" s="9"/>
      <c r="Q54" s="9" t="s">
        <v>874</v>
      </c>
      <c r="R54" s="10" t="s">
        <v>1211</v>
      </c>
      <c r="S54" s="10" t="s">
        <v>1209</v>
      </c>
      <c r="T54" s="10" t="s">
        <v>877</v>
      </c>
      <c r="V54" s="10" t="s">
        <v>878</v>
      </c>
      <c r="W54" s="9" t="s">
        <v>1210</v>
      </c>
      <c r="X54" s="9" t="n">
        <v>7</v>
      </c>
      <c r="Y54" s="9" t="s">
        <v>77</v>
      </c>
      <c r="Z54" s="9" t="s">
        <v>880</v>
      </c>
      <c r="AA54" s="9" t="s">
        <v>931</v>
      </c>
      <c r="AB54" s="9"/>
      <c r="AC54" s="9" t="s">
        <v>882</v>
      </c>
    </row>
    <row r="55" customFormat="false" ht="15.75" hidden="false" customHeight="true" outlineLevel="0" collapsed="false">
      <c r="A55" s="9" t="s">
        <v>682</v>
      </c>
      <c r="B55" s="9" t="s">
        <v>683</v>
      </c>
      <c r="C55" s="9" t="s">
        <v>384</v>
      </c>
      <c r="D55" s="9" t="s">
        <v>678</v>
      </c>
      <c r="E55" s="9" t="s">
        <v>883</v>
      </c>
      <c r="F55" s="9" t="s">
        <v>1021</v>
      </c>
      <c r="G55" s="9" t="s">
        <v>1022</v>
      </c>
      <c r="H55" s="9" t="s">
        <v>1201</v>
      </c>
      <c r="I55" s="9" t="s">
        <v>1202</v>
      </c>
      <c r="J55" s="9" t="s">
        <v>1203</v>
      </c>
      <c r="K55" s="9" t="s">
        <v>1203</v>
      </c>
      <c r="L55" s="9" t="s">
        <v>1204</v>
      </c>
      <c r="M55" s="9" t="s">
        <v>1205</v>
      </c>
      <c r="N55" s="9" t="s">
        <v>1206</v>
      </c>
      <c r="O55" s="9" t="s">
        <v>1207</v>
      </c>
      <c r="P55" s="9"/>
      <c r="Q55" s="9" t="s">
        <v>874</v>
      </c>
      <c r="R55" s="10" t="s">
        <v>1212</v>
      </c>
      <c r="S55" s="10" t="s">
        <v>1209</v>
      </c>
      <c r="T55" s="10" t="s">
        <v>877</v>
      </c>
      <c r="V55" s="10" t="s">
        <v>878</v>
      </c>
      <c r="W55" s="9" t="s">
        <v>1210</v>
      </c>
      <c r="X55" s="9" t="n">
        <v>7</v>
      </c>
      <c r="Y55" s="9" t="s">
        <v>77</v>
      </c>
      <c r="Z55" s="9" t="s">
        <v>880</v>
      </c>
      <c r="AA55" s="9" t="s">
        <v>931</v>
      </c>
      <c r="AB55" s="9"/>
      <c r="AC55" s="9" t="s">
        <v>882</v>
      </c>
    </row>
    <row r="56" customFormat="false" ht="15.75" hidden="false" customHeight="true" outlineLevel="0" collapsed="false">
      <c r="A56" s="9" t="s">
        <v>685</v>
      </c>
      <c r="B56" s="9" t="s">
        <v>686</v>
      </c>
      <c r="C56" s="9" t="s">
        <v>384</v>
      </c>
      <c r="D56" s="9" t="s">
        <v>678</v>
      </c>
      <c r="E56" s="9" t="s">
        <v>883</v>
      </c>
      <c r="F56" s="9" t="s">
        <v>1021</v>
      </c>
      <c r="G56" s="9" t="s">
        <v>1022</v>
      </c>
      <c r="H56" s="9" t="s">
        <v>1201</v>
      </c>
      <c r="I56" s="9" t="s">
        <v>1202</v>
      </c>
      <c r="J56" s="9" t="s">
        <v>1203</v>
      </c>
      <c r="K56" s="9" t="s">
        <v>1203</v>
      </c>
      <c r="L56" s="9" t="s">
        <v>1204</v>
      </c>
      <c r="M56" s="9" t="s">
        <v>1205</v>
      </c>
      <c r="N56" s="9" t="s">
        <v>1206</v>
      </c>
      <c r="O56" s="9" t="s">
        <v>1207</v>
      </c>
      <c r="P56" s="9"/>
      <c r="Q56" s="9" t="s">
        <v>874</v>
      </c>
      <c r="R56" s="10" t="s">
        <v>1213</v>
      </c>
      <c r="S56" s="10" t="s">
        <v>1209</v>
      </c>
      <c r="T56" s="10" t="s">
        <v>877</v>
      </c>
      <c r="V56" s="10" t="s">
        <v>878</v>
      </c>
      <c r="W56" s="9" t="s">
        <v>1210</v>
      </c>
      <c r="X56" s="9" t="n">
        <v>7</v>
      </c>
      <c r="Y56" s="9" t="s">
        <v>77</v>
      </c>
      <c r="Z56" s="9" t="s">
        <v>880</v>
      </c>
      <c r="AA56" s="9" t="s">
        <v>931</v>
      </c>
      <c r="AB56" s="9"/>
      <c r="AC56" s="9" t="s">
        <v>882</v>
      </c>
    </row>
    <row r="57" customFormat="false" ht="15.75" hidden="false" customHeight="true" outlineLevel="0" collapsed="false">
      <c r="A57" s="9" t="s">
        <v>688</v>
      </c>
      <c r="B57" s="9" t="s">
        <v>691</v>
      </c>
      <c r="C57" s="9" t="s">
        <v>384</v>
      </c>
      <c r="D57" s="9" t="s">
        <v>693</v>
      </c>
      <c r="E57" s="9" t="s">
        <v>932</v>
      </c>
      <c r="F57" s="9" t="s">
        <v>866</v>
      </c>
      <c r="G57" s="9" t="s">
        <v>867</v>
      </c>
      <c r="H57" s="9" t="s">
        <v>933</v>
      </c>
      <c r="I57" s="9" t="s">
        <v>1214</v>
      </c>
      <c r="J57" s="9" t="s">
        <v>870</v>
      </c>
      <c r="K57" s="9" t="s">
        <v>71</v>
      </c>
      <c r="L57" s="9" t="s">
        <v>1215</v>
      </c>
      <c r="M57" s="9" t="s">
        <v>1216</v>
      </c>
      <c r="N57" s="9" t="s">
        <v>1217</v>
      </c>
      <c r="O57" s="9" t="s">
        <v>710</v>
      </c>
      <c r="P57" s="9"/>
      <c r="Q57" s="9" t="s">
        <v>874</v>
      </c>
      <c r="R57" s="10" t="s">
        <v>1218</v>
      </c>
      <c r="S57" s="10" t="s">
        <v>939</v>
      </c>
      <c r="T57" s="10" t="s">
        <v>877</v>
      </c>
      <c r="V57" s="10" t="s">
        <v>878</v>
      </c>
      <c r="W57" s="9" t="s">
        <v>1219</v>
      </c>
      <c r="X57" s="9" t="n">
        <v>9</v>
      </c>
      <c r="Y57" s="9" t="s">
        <v>77</v>
      </c>
      <c r="Z57" s="9" t="s">
        <v>880</v>
      </c>
      <c r="AA57" s="9" t="s">
        <v>881</v>
      </c>
      <c r="AB57" s="9"/>
      <c r="AC57" s="9" t="s">
        <v>882</v>
      </c>
    </row>
    <row r="58" customFormat="false" ht="15.75" hidden="false" customHeight="true" outlineLevel="0" collapsed="false">
      <c r="A58" s="9" t="s">
        <v>694</v>
      </c>
      <c r="B58" s="9" t="s">
        <v>696</v>
      </c>
      <c r="C58" s="9" t="s">
        <v>387</v>
      </c>
      <c r="D58" s="9" t="s">
        <v>698</v>
      </c>
      <c r="E58" s="9" t="s">
        <v>883</v>
      </c>
      <c r="F58" s="9" t="s">
        <v>1021</v>
      </c>
      <c r="G58" s="9" t="s">
        <v>1022</v>
      </c>
      <c r="H58" s="9" t="s">
        <v>1220</v>
      </c>
      <c r="I58" s="9" t="s">
        <v>1221</v>
      </c>
      <c r="J58" s="9" t="s">
        <v>1197</v>
      </c>
      <c r="K58" s="9" t="s">
        <v>1197</v>
      </c>
      <c r="L58" s="9" t="s">
        <v>1222</v>
      </c>
      <c r="M58" s="9" t="s">
        <v>1205</v>
      </c>
      <c r="N58" s="9" t="s">
        <v>1223</v>
      </c>
      <c r="O58" s="9" t="s">
        <v>1224</v>
      </c>
      <c r="P58" s="9"/>
      <c r="Q58" s="9" t="s">
        <v>874</v>
      </c>
      <c r="R58" s="10" t="s">
        <v>1225</v>
      </c>
      <c r="S58" s="10" t="s">
        <v>1226</v>
      </c>
      <c r="T58" s="10" t="s">
        <v>877</v>
      </c>
      <c r="V58" s="10" t="s">
        <v>878</v>
      </c>
      <c r="W58" s="9" t="s">
        <v>1227</v>
      </c>
      <c r="X58" s="9" t="n">
        <v>9</v>
      </c>
      <c r="Y58" s="9" t="s">
        <v>77</v>
      </c>
      <c r="Z58" s="9" t="s">
        <v>880</v>
      </c>
      <c r="AA58" s="9" t="s">
        <v>931</v>
      </c>
      <c r="AB58" s="9"/>
      <c r="AC58" s="9" t="s">
        <v>882</v>
      </c>
    </row>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0" width="13"/>
    <col collapsed="false" customWidth="true" hidden="false" outlineLevel="0" max="2" min="2" style="0" width="38"/>
    <col collapsed="false" customWidth="true" hidden="false" outlineLevel="0" max="3" min="3" style="0" width="64"/>
    <col collapsed="false" customWidth="true" hidden="false" outlineLevel="0" max="4" min="4" style="0" width="18"/>
    <col collapsed="false" customWidth="true" hidden="false" outlineLevel="0" max="5" min="5" style="0" width="15"/>
    <col collapsed="false" customWidth="true" hidden="false" outlineLevel="0" max="6" min="6" style="0" width="38"/>
    <col collapsed="false" customWidth="true" hidden="false" outlineLevel="0" max="7" min="7" style="0" width="60"/>
    <col collapsed="false" customWidth="true" hidden="false" outlineLevel="0" max="8" min="8" style="0" width="42"/>
    <col collapsed="false" customWidth="true" hidden="false" outlineLevel="0" max="9" min="9" style="0" width="54"/>
    <col collapsed="false" customWidth="true" hidden="false" outlineLevel="0" max="10" min="10" style="0" width="16"/>
    <col collapsed="false" customWidth="true" hidden="false" outlineLevel="0" max="11" min="11" style="0" width="58"/>
    <col collapsed="false" customWidth="true" hidden="false" outlineLevel="0" max="26" min="12" style="0" width="8.63"/>
  </cols>
  <sheetData>
    <row r="1" customFormat="false" ht="28.35" hidden="false" customHeight="false" outlineLevel="0" collapsed="false">
      <c r="A1" s="3" t="s">
        <v>1228</v>
      </c>
      <c r="B1" s="3" t="s">
        <v>1229</v>
      </c>
      <c r="C1" s="3" t="s">
        <v>1230</v>
      </c>
      <c r="D1" s="3" t="s">
        <v>452</v>
      </c>
      <c r="E1" s="3" t="s">
        <v>1231</v>
      </c>
      <c r="F1" s="3" t="s">
        <v>1232</v>
      </c>
      <c r="G1" s="3" t="s">
        <v>1233</v>
      </c>
      <c r="H1" s="3" t="s">
        <v>1234</v>
      </c>
      <c r="I1" s="3" t="s">
        <v>1235</v>
      </c>
      <c r="J1" s="3" t="s">
        <v>786</v>
      </c>
      <c r="K1" s="3" t="s">
        <v>1236</v>
      </c>
    </row>
    <row r="2" customFormat="false" ht="28.35" hidden="false" customHeight="false" outlineLevel="0" collapsed="false">
      <c r="A2" s="9" t="s">
        <v>700</v>
      </c>
      <c r="B2" s="9" t="s">
        <v>701</v>
      </c>
      <c r="C2" s="9" t="s">
        <v>702</v>
      </c>
      <c r="D2" s="9" t="s">
        <v>704</v>
      </c>
      <c r="E2" s="9" t="s">
        <v>703</v>
      </c>
      <c r="F2" s="9" t="s">
        <v>1237</v>
      </c>
      <c r="G2" s="9" t="s">
        <v>706</v>
      </c>
      <c r="H2" s="9" t="s">
        <v>1150</v>
      </c>
      <c r="I2" s="9" t="s">
        <v>1238</v>
      </c>
      <c r="J2" s="9" t="s">
        <v>797</v>
      </c>
      <c r="K2" s="9" t="s">
        <v>1239</v>
      </c>
    </row>
    <row r="3" customFormat="false" ht="28.35" hidden="false" customHeight="false" outlineLevel="0" collapsed="false">
      <c r="A3" s="9" t="s">
        <v>707</v>
      </c>
      <c r="B3" s="9" t="s">
        <v>701</v>
      </c>
      <c r="C3" s="9" t="s">
        <v>708</v>
      </c>
      <c r="D3" s="9" t="s">
        <v>704</v>
      </c>
      <c r="E3" s="9" t="s">
        <v>709</v>
      </c>
      <c r="F3" s="9" t="s">
        <v>1240</v>
      </c>
      <c r="G3" s="9" t="s">
        <v>710</v>
      </c>
      <c r="H3" s="9" t="s">
        <v>1215</v>
      </c>
      <c r="I3" s="9" t="s">
        <v>1241</v>
      </c>
      <c r="J3" s="9" t="s">
        <v>791</v>
      </c>
      <c r="K3" s="9" t="s">
        <v>1239</v>
      </c>
    </row>
    <row r="4" customFormat="false" ht="28.35" hidden="false" customHeight="false" outlineLevel="0" collapsed="false">
      <c r="A4" s="9" t="s">
        <v>711</v>
      </c>
      <c r="B4" s="9" t="s">
        <v>701</v>
      </c>
      <c r="C4" s="9" t="s">
        <v>712</v>
      </c>
      <c r="D4" s="9" t="s">
        <v>704</v>
      </c>
      <c r="E4" s="9" t="s">
        <v>703</v>
      </c>
      <c r="F4" s="9" t="s">
        <v>1237</v>
      </c>
      <c r="G4" s="9" t="s">
        <v>713</v>
      </c>
      <c r="H4" s="9" t="s">
        <v>1145</v>
      </c>
      <c r="I4" s="9" t="s">
        <v>1242</v>
      </c>
      <c r="J4" s="9" t="s">
        <v>797</v>
      </c>
      <c r="K4" s="9" t="s">
        <v>1239</v>
      </c>
    </row>
    <row r="5" customFormat="false" ht="68.65" hidden="false" customHeight="false" outlineLevel="0" collapsed="false">
      <c r="A5" s="9" t="s">
        <v>714</v>
      </c>
      <c r="B5" s="9" t="s">
        <v>701</v>
      </c>
      <c r="C5" s="9" t="s">
        <v>715</v>
      </c>
      <c r="D5" s="9" t="s">
        <v>704</v>
      </c>
      <c r="E5" s="9" t="s">
        <v>716</v>
      </c>
      <c r="F5" s="9" t="s">
        <v>1243</v>
      </c>
      <c r="G5" s="9" t="s">
        <v>718</v>
      </c>
      <c r="H5" s="9" t="s">
        <v>1244</v>
      </c>
      <c r="I5" s="9" t="s">
        <v>1245</v>
      </c>
      <c r="J5" s="9" t="s">
        <v>791</v>
      </c>
      <c r="K5" s="9" t="s">
        <v>1246</v>
      </c>
    </row>
    <row r="6" customFormat="false" ht="68.65" hidden="false" customHeight="false" outlineLevel="0" collapsed="false">
      <c r="A6" s="9" t="s">
        <v>719</v>
      </c>
      <c r="B6" s="9" t="s">
        <v>701</v>
      </c>
      <c r="C6" s="9" t="s">
        <v>720</v>
      </c>
      <c r="D6" s="9" t="s">
        <v>704</v>
      </c>
      <c r="E6" s="9" t="s">
        <v>716</v>
      </c>
      <c r="F6" s="9" t="s">
        <v>1243</v>
      </c>
      <c r="G6" s="9" t="s">
        <v>721</v>
      </c>
      <c r="H6" s="9" t="s">
        <v>1247</v>
      </c>
      <c r="I6" s="9" t="s">
        <v>1248</v>
      </c>
      <c r="J6" s="9" t="s">
        <v>795</v>
      </c>
      <c r="K6" s="9" t="s">
        <v>1246</v>
      </c>
    </row>
    <row r="7" customFormat="false" ht="28.35" hidden="false" customHeight="false" outlineLevel="0" collapsed="false">
      <c r="A7" s="9" t="s">
        <v>722</v>
      </c>
      <c r="B7" s="9" t="s">
        <v>723</v>
      </c>
      <c r="C7" s="9" t="s">
        <v>724</v>
      </c>
      <c r="D7" s="9" t="s">
        <v>704</v>
      </c>
      <c r="E7" s="9" t="s">
        <v>709</v>
      </c>
      <c r="F7" s="9" t="s">
        <v>1240</v>
      </c>
      <c r="G7" s="9" t="s">
        <v>725</v>
      </c>
      <c r="H7" s="9" t="s">
        <v>1249</v>
      </c>
      <c r="I7" s="9" t="s">
        <v>1250</v>
      </c>
      <c r="J7" s="9" t="s">
        <v>797</v>
      </c>
      <c r="K7" s="9" t="s">
        <v>1239</v>
      </c>
    </row>
    <row r="8" customFormat="false" ht="41.75" hidden="false" customHeight="false" outlineLevel="0" collapsed="false">
      <c r="A8" s="9" t="s">
        <v>726</v>
      </c>
      <c r="B8" s="9" t="s">
        <v>723</v>
      </c>
      <c r="C8" s="9" t="s">
        <v>727</v>
      </c>
      <c r="D8" s="9" t="s">
        <v>704</v>
      </c>
      <c r="E8" s="9" t="s">
        <v>709</v>
      </c>
      <c r="F8" s="9" t="s">
        <v>1240</v>
      </c>
      <c r="G8" s="9" t="s">
        <v>729</v>
      </c>
      <c r="H8" s="9" t="s">
        <v>1251</v>
      </c>
      <c r="I8" s="9" t="s">
        <v>1252</v>
      </c>
      <c r="J8" s="9" t="s">
        <v>797</v>
      </c>
      <c r="K8" s="9" t="s">
        <v>1253</v>
      </c>
    </row>
    <row r="9" customFormat="false" ht="28.35" hidden="false" customHeight="false" outlineLevel="0" collapsed="false">
      <c r="A9" s="9" t="s">
        <v>730</v>
      </c>
      <c r="B9" s="9" t="s">
        <v>723</v>
      </c>
      <c r="C9" s="9" t="s">
        <v>731</v>
      </c>
      <c r="D9" s="9" t="s">
        <v>704</v>
      </c>
      <c r="E9" s="9" t="s">
        <v>703</v>
      </c>
      <c r="F9" s="9" t="s">
        <v>1237</v>
      </c>
      <c r="G9" s="9" t="s">
        <v>732</v>
      </c>
      <c r="H9" s="9" t="s">
        <v>1254</v>
      </c>
      <c r="I9" s="9" t="s">
        <v>1255</v>
      </c>
      <c r="J9" s="9" t="s">
        <v>797</v>
      </c>
      <c r="K9" s="9" t="s">
        <v>1239</v>
      </c>
    </row>
    <row r="10" customFormat="false" ht="28.35" hidden="false" customHeight="false" outlineLevel="0" collapsed="false">
      <c r="A10" s="9" t="s">
        <v>733</v>
      </c>
      <c r="B10" s="9" t="s">
        <v>723</v>
      </c>
      <c r="C10" s="9" t="s">
        <v>734</v>
      </c>
      <c r="D10" s="9" t="s">
        <v>704</v>
      </c>
      <c r="E10" s="9" t="s">
        <v>709</v>
      </c>
      <c r="F10" s="9" t="s">
        <v>1240</v>
      </c>
      <c r="G10" s="9" t="s">
        <v>725</v>
      </c>
      <c r="H10" s="9" t="s">
        <v>1249</v>
      </c>
      <c r="I10" s="9" t="s">
        <v>1250</v>
      </c>
      <c r="J10" s="9" t="s">
        <v>797</v>
      </c>
      <c r="K10" s="9" t="s">
        <v>1239</v>
      </c>
    </row>
    <row r="11" customFormat="false" ht="28.35" hidden="false" customHeight="false" outlineLevel="0" collapsed="false">
      <c r="A11" s="9" t="s">
        <v>735</v>
      </c>
      <c r="B11" s="9" t="s">
        <v>723</v>
      </c>
      <c r="C11" s="9" t="s">
        <v>736</v>
      </c>
      <c r="D11" s="9" t="s">
        <v>704</v>
      </c>
      <c r="E11" s="9" t="s">
        <v>703</v>
      </c>
      <c r="F11" s="9" t="s">
        <v>1237</v>
      </c>
      <c r="G11" s="9" t="s">
        <v>737</v>
      </c>
      <c r="H11" s="9" t="s">
        <v>1256</v>
      </c>
      <c r="I11" s="9" t="s">
        <v>1257</v>
      </c>
      <c r="J11" s="9" t="s">
        <v>797</v>
      </c>
      <c r="K11" s="9" t="s">
        <v>1239</v>
      </c>
    </row>
    <row r="12" customFormat="false" ht="28.35" hidden="false" customHeight="false" outlineLevel="0" collapsed="false">
      <c r="A12" s="9" t="s">
        <v>738</v>
      </c>
      <c r="B12" s="9" t="s">
        <v>723</v>
      </c>
      <c r="C12" s="9" t="s">
        <v>739</v>
      </c>
      <c r="D12" s="9" t="s">
        <v>704</v>
      </c>
      <c r="E12" s="9" t="s">
        <v>709</v>
      </c>
      <c r="F12" s="9" t="s">
        <v>1240</v>
      </c>
      <c r="G12" s="9" t="s">
        <v>725</v>
      </c>
      <c r="H12" s="9" t="s">
        <v>1249</v>
      </c>
      <c r="I12" s="9" t="s">
        <v>1250</v>
      </c>
      <c r="J12" s="9" t="s">
        <v>797</v>
      </c>
      <c r="K12" s="9" t="s">
        <v>1239</v>
      </c>
    </row>
    <row r="13" customFormat="false" ht="41.75" hidden="false" customHeight="false" outlineLevel="0" collapsed="false">
      <c r="A13" s="9" t="s">
        <v>740</v>
      </c>
      <c r="B13" s="9" t="s">
        <v>723</v>
      </c>
      <c r="C13" s="9" t="s">
        <v>741</v>
      </c>
      <c r="D13" s="9" t="s">
        <v>704</v>
      </c>
      <c r="E13" s="9" t="s">
        <v>709</v>
      </c>
      <c r="F13" s="9" t="s">
        <v>1240</v>
      </c>
      <c r="G13" s="9" t="s">
        <v>742</v>
      </c>
      <c r="H13" s="9" t="s">
        <v>1258</v>
      </c>
      <c r="I13" s="9" t="s">
        <v>1259</v>
      </c>
      <c r="J13" s="9" t="s">
        <v>797</v>
      </c>
      <c r="K13" s="9" t="s">
        <v>1239</v>
      </c>
    </row>
    <row r="14" customFormat="false" ht="28.35" hidden="false" customHeight="false" outlineLevel="0" collapsed="false">
      <c r="A14" s="9" t="s">
        <v>743</v>
      </c>
      <c r="B14" s="9" t="s">
        <v>744</v>
      </c>
      <c r="C14" s="9" t="s">
        <v>745</v>
      </c>
      <c r="D14" s="9" t="s">
        <v>704</v>
      </c>
      <c r="E14" s="9" t="s">
        <v>703</v>
      </c>
      <c r="F14" s="9" t="s">
        <v>1237</v>
      </c>
      <c r="G14" s="9" t="s">
        <v>737</v>
      </c>
      <c r="H14" s="9" t="s">
        <v>1260</v>
      </c>
      <c r="I14" s="9" t="s">
        <v>1238</v>
      </c>
      <c r="J14" s="9" t="s">
        <v>797</v>
      </c>
      <c r="K14" s="9" t="s">
        <v>1239</v>
      </c>
    </row>
    <row r="15" customFormat="false" ht="28.35" hidden="false" customHeight="false" outlineLevel="0" collapsed="false">
      <c r="A15" s="9" t="s">
        <v>746</v>
      </c>
      <c r="B15" s="9" t="s">
        <v>744</v>
      </c>
      <c r="C15" s="9" t="s">
        <v>747</v>
      </c>
      <c r="D15" s="9" t="s">
        <v>704</v>
      </c>
      <c r="E15" s="9" t="s">
        <v>703</v>
      </c>
      <c r="F15" s="9" t="s">
        <v>1237</v>
      </c>
      <c r="G15" s="9" t="s">
        <v>748</v>
      </c>
      <c r="H15" s="9" t="s">
        <v>1261</v>
      </c>
      <c r="I15" s="9" t="s">
        <v>1238</v>
      </c>
      <c r="J15" s="9" t="s">
        <v>797</v>
      </c>
      <c r="K15" s="9" t="s">
        <v>1239</v>
      </c>
    </row>
    <row r="16" customFormat="false" ht="28.35" hidden="false" customHeight="false" outlineLevel="0" collapsed="false">
      <c r="A16" s="9" t="s">
        <v>749</v>
      </c>
      <c r="B16" s="9" t="s">
        <v>744</v>
      </c>
      <c r="C16" s="9" t="s">
        <v>750</v>
      </c>
      <c r="D16" s="9" t="s">
        <v>704</v>
      </c>
      <c r="E16" s="9" t="s">
        <v>703</v>
      </c>
      <c r="F16" s="9" t="s">
        <v>1237</v>
      </c>
      <c r="G16" s="9" t="s">
        <v>732</v>
      </c>
      <c r="H16" s="9" t="s">
        <v>1262</v>
      </c>
      <c r="I16" s="9" t="s">
        <v>1242</v>
      </c>
      <c r="J16" s="9" t="s">
        <v>797</v>
      </c>
      <c r="K16" s="9" t="s">
        <v>1239</v>
      </c>
    </row>
    <row r="17" customFormat="false" ht="28.35" hidden="false" customHeight="false" outlineLevel="0" collapsed="false">
      <c r="A17" s="9" t="s">
        <v>751</v>
      </c>
      <c r="B17" s="9" t="s">
        <v>744</v>
      </c>
      <c r="C17" s="9" t="s">
        <v>752</v>
      </c>
      <c r="D17" s="9" t="s">
        <v>704</v>
      </c>
      <c r="E17" s="9" t="s">
        <v>703</v>
      </c>
      <c r="F17" s="9" t="s">
        <v>1237</v>
      </c>
      <c r="G17" s="9" t="s">
        <v>713</v>
      </c>
      <c r="H17" s="9" t="s">
        <v>1263</v>
      </c>
      <c r="I17" s="9" t="s">
        <v>1264</v>
      </c>
      <c r="J17" s="9" t="s">
        <v>797</v>
      </c>
      <c r="K17" s="9" t="s">
        <v>1239</v>
      </c>
    </row>
    <row r="18" customFormat="false" ht="28.35" hidden="false" customHeight="false" outlineLevel="0" collapsed="false">
      <c r="A18" s="9" t="s">
        <v>753</v>
      </c>
      <c r="B18" s="9" t="s">
        <v>744</v>
      </c>
      <c r="C18" s="9" t="s">
        <v>754</v>
      </c>
      <c r="D18" s="9" t="s">
        <v>704</v>
      </c>
      <c r="E18" s="9" t="s">
        <v>703</v>
      </c>
      <c r="F18" s="9" t="s">
        <v>1237</v>
      </c>
      <c r="G18" s="9" t="s">
        <v>737</v>
      </c>
      <c r="H18" s="9" t="s">
        <v>1265</v>
      </c>
      <c r="I18" s="9" t="s">
        <v>1238</v>
      </c>
      <c r="J18" s="9" t="s">
        <v>797</v>
      </c>
      <c r="K18" s="9" t="s">
        <v>1239</v>
      </c>
    </row>
    <row r="19" customFormat="false" ht="28.35" hidden="false" customHeight="false" outlineLevel="0" collapsed="false">
      <c r="A19" s="9" t="s">
        <v>755</v>
      </c>
      <c r="B19" s="9" t="s">
        <v>744</v>
      </c>
      <c r="C19" s="9" t="s">
        <v>756</v>
      </c>
      <c r="D19" s="9" t="s">
        <v>704</v>
      </c>
      <c r="E19" s="9" t="s">
        <v>703</v>
      </c>
      <c r="F19" s="9" t="s">
        <v>1237</v>
      </c>
      <c r="G19" s="9" t="s">
        <v>706</v>
      </c>
      <c r="H19" s="9" t="s">
        <v>1266</v>
      </c>
      <c r="I19" s="9" t="s">
        <v>1267</v>
      </c>
      <c r="J19" s="9" t="s">
        <v>797</v>
      </c>
      <c r="K19" s="9" t="s">
        <v>1239</v>
      </c>
    </row>
    <row r="20" customFormat="false" ht="28.35" hidden="false" customHeight="false" outlineLevel="0" collapsed="false">
      <c r="A20" s="9" t="s">
        <v>757</v>
      </c>
      <c r="B20" s="9" t="s">
        <v>758</v>
      </c>
      <c r="C20" s="9" t="s">
        <v>759</v>
      </c>
      <c r="D20" s="9" t="s">
        <v>704</v>
      </c>
      <c r="E20" s="9" t="s">
        <v>703</v>
      </c>
      <c r="F20" s="9" t="s">
        <v>1237</v>
      </c>
      <c r="G20" s="9" t="s">
        <v>760</v>
      </c>
      <c r="H20" s="9" t="s">
        <v>1268</v>
      </c>
      <c r="I20" s="9" t="s">
        <v>1269</v>
      </c>
      <c r="J20" s="9" t="s">
        <v>797</v>
      </c>
      <c r="K20" s="9" t="s">
        <v>1239</v>
      </c>
    </row>
    <row r="21" customFormat="false" ht="15.75" hidden="false" customHeight="true" outlineLevel="0" collapsed="false">
      <c r="A21" s="9" t="s">
        <v>761</v>
      </c>
      <c r="B21" s="9" t="s">
        <v>758</v>
      </c>
      <c r="C21" s="9" t="s">
        <v>762</v>
      </c>
      <c r="D21" s="9" t="s">
        <v>704</v>
      </c>
      <c r="E21" s="9" t="s">
        <v>703</v>
      </c>
      <c r="F21" s="9" t="s">
        <v>1237</v>
      </c>
      <c r="G21" s="9" t="s">
        <v>760</v>
      </c>
      <c r="H21" s="9" t="s">
        <v>1270</v>
      </c>
      <c r="I21" s="9" t="s">
        <v>1238</v>
      </c>
      <c r="J21" s="9" t="s">
        <v>797</v>
      </c>
      <c r="K21" s="9" t="s">
        <v>1239</v>
      </c>
    </row>
    <row r="22" customFormat="false" ht="15.75" hidden="false" customHeight="true" outlineLevel="0" collapsed="false">
      <c r="A22" s="9" t="s">
        <v>763</v>
      </c>
      <c r="B22" s="9" t="s">
        <v>758</v>
      </c>
      <c r="C22" s="9" t="s">
        <v>764</v>
      </c>
      <c r="D22" s="9" t="s">
        <v>704</v>
      </c>
      <c r="E22" s="9" t="s">
        <v>703</v>
      </c>
      <c r="F22" s="9" t="s">
        <v>1237</v>
      </c>
      <c r="G22" s="9" t="s">
        <v>748</v>
      </c>
      <c r="H22" s="9" t="s">
        <v>1271</v>
      </c>
      <c r="I22" s="9" t="s">
        <v>1238</v>
      </c>
      <c r="J22" s="9" t="s">
        <v>797</v>
      </c>
      <c r="K22" s="9" t="s">
        <v>1239</v>
      </c>
    </row>
    <row r="23" customFormat="false" ht="15.75" hidden="false" customHeight="true" outlineLevel="0" collapsed="false">
      <c r="A23" s="9" t="s">
        <v>765</v>
      </c>
      <c r="B23" s="9" t="s">
        <v>758</v>
      </c>
      <c r="C23" s="9" t="s">
        <v>766</v>
      </c>
      <c r="D23" s="9" t="s">
        <v>704</v>
      </c>
      <c r="E23" s="9" t="s">
        <v>703</v>
      </c>
      <c r="F23" s="9" t="s">
        <v>1237</v>
      </c>
      <c r="G23" s="9" t="s">
        <v>760</v>
      </c>
      <c r="H23" s="9" t="s">
        <v>1272</v>
      </c>
      <c r="I23" s="9" t="s">
        <v>1255</v>
      </c>
      <c r="J23" s="9" t="s">
        <v>797</v>
      </c>
      <c r="K23" s="9" t="s">
        <v>1239</v>
      </c>
    </row>
    <row r="24" customFormat="false" ht="15.75" hidden="false" customHeight="true" outlineLevel="0" collapsed="false">
      <c r="A24" s="9" t="s">
        <v>767</v>
      </c>
      <c r="B24" s="9" t="s">
        <v>758</v>
      </c>
      <c r="C24" s="9" t="s">
        <v>768</v>
      </c>
      <c r="D24" s="9" t="s">
        <v>704</v>
      </c>
      <c r="E24" s="9" t="s">
        <v>703</v>
      </c>
      <c r="F24" s="9" t="s">
        <v>1237</v>
      </c>
      <c r="G24" s="9" t="s">
        <v>760</v>
      </c>
      <c r="H24" s="9" t="s">
        <v>1273</v>
      </c>
      <c r="I24" s="9" t="s">
        <v>1274</v>
      </c>
      <c r="J24" s="9" t="s">
        <v>797</v>
      </c>
      <c r="K24" s="9" t="s">
        <v>1239</v>
      </c>
    </row>
    <row r="25" customFormat="false" ht="15.75" hidden="false" customHeight="true" outlineLevel="0" collapsed="false">
      <c r="A25" s="9" t="s">
        <v>769</v>
      </c>
      <c r="B25" s="9" t="s">
        <v>758</v>
      </c>
      <c r="C25" s="9" t="s">
        <v>770</v>
      </c>
      <c r="D25" s="9" t="s">
        <v>704</v>
      </c>
      <c r="E25" s="9" t="s">
        <v>709</v>
      </c>
      <c r="F25" s="9" t="s">
        <v>1240</v>
      </c>
      <c r="G25" s="9" t="s">
        <v>771</v>
      </c>
      <c r="H25" s="9" t="s">
        <v>1275</v>
      </c>
      <c r="I25" s="9" t="s">
        <v>1276</v>
      </c>
      <c r="J25" s="9" t="s">
        <v>791</v>
      </c>
      <c r="K25" s="9" t="s">
        <v>1277</v>
      </c>
    </row>
    <row r="26" customFormat="false" ht="15.75" hidden="false" customHeight="true" outlineLevel="0" collapsed="false">
      <c r="A26" s="9" t="s">
        <v>772</v>
      </c>
      <c r="B26" s="9" t="s">
        <v>758</v>
      </c>
      <c r="C26" s="9" t="s">
        <v>773</v>
      </c>
      <c r="D26" s="9" t="s">
        <v>704</v>
      </c>
      <c r="E26" s="9" t="s">
        <v>716</v>
      </c>
      <c r="F26" s="9" t="s">
        <v>1243</v>
      </c>
      <c r="G26" s="9" t="s">
        <v>775</v>
      </c>
      <c r="H26" s="9" t="s">
        <v>1278</v>
      </c>
      <c r="I26" s="9" t="s">
        <v>1279</v>
      </c>
      <c r="J26" s="9" t="s">
        <v>795</v>
      </c>
      <c r="K26" s="9" t="s">
        <v>1280</v>
      </c>
    </row>
    <row r="27" customFormat="false" ht="15.75" hidden="false" customHeight="true" outlineLevel="0" collapsed="false">
      <c r="A27" s="9" t="s">
        <v>776</v>
      </c>
      <c r="B27" s="9" t="s">
        <v>758</v>
      </c>
      <c r="C27" s="9" t="s">
        <v>777</v>
      </c>
      <c r="D27" s="9" t="s">
        <v>704</v>
      </c>
      <c r="E27" s="9" t="s">
        <v>716</v>
      </c>
      <c r="F27" s="9" t="s">
        <v>1243</v>
      </c>
      <c r="G27" s="9" t="s">
        <v>775</v>
      </c>
      <c r="H27" s="9" t="s">
        <v>1281</v>
      </c>
      <c r="I27" s="9" t="s">
        <v>1282</v>
      </c>
      <c r="J27" s="9" t="s">
        <v>795</v>
      </c>
      <c r="K27" s="9" t="s">
        <v>1246</v>
      </c>
    </row>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42"/>
    <col collapsed="false" customWidth="true" hidden="false" outlineLevel="0" max="6" min="2" style="0" width="18"/>
    <col collapsed="false" customWidth="true" hidden="false" outlineLevel="0" max="26" min="7" style="0" width="8.63"/>
  </cols>
  <sheetData>
    <row r="1" customFormat="false" ht="15" hidden="false" customHeight="false" outlineLevel="0" collapsed="false">
      <c r="A1" s="3" t="s">
        <v>1283</v>
      </c>
      <c r="B1" s="3"/>
      <c r="C1" s="3"/>
      <c r="D1" s="3"/>
      <c r="E1" s="3"/>
      <c r="F1" s="3"/>
    </row>
    <row r="2" customFormat="false" ht="15" hidden="false" customHeight="false" outlineLevel="0" collapsed="false">
      <c r="A2" s="4"/>
      <c r="B2" s="4"/>
      <c r="C2" s="4"/>
      <c r="D2" s="4"/>
      <c r="E2" s="4"/>
      <c r="F2" s="4"/>
    </row>
    <row r="3" customFormat="false" ht="15" hidden="false" customHeight="false" outlineLevel="0" collapsed="false">
      <c r="A3" s="4" t="s">
        <v>1284</v>
      </c>
      <c r="B3" s="4" t="s">
        <v>1285</v>
      </c>
      <c r="C3" s="4" t="s">
        <v>1286</v>
      </c>
      <c r="D3" s="4"/>
      <c r="E3" s="4"/>
      <c r="F3" s="4"/>
    </row>
    <row r="4" customFormat="false" ht="15" hidden="false" customHeight="false" outlineLevel="0" collapsed="false">
      <c r="A4" s="4" t="s">
        <v>1287</v>
      </c>
      <c r="B4" s="4" t="n">
        <v>36</v>
      </c>
      <c r="C4" s="4" t="n">
        <v>0.433734939759036</v>
      </c>
      <c r="D4" s="4"/>
      <c r="E4" s="4"/>
      <c r="F4" s="4"/>
    </row>
    <row r="5" customFormat="false" ht="15" hidden="false" customHeight="false" outlineLevel="0" collapsed="false">
      <c r="A5" s="4" t="s">
        <v>1288</v>
      </c>
      <c r="B5" s="4" t="n">
        <v>16</v>
      </c>
      <c r="C5" s="4" t="n">
        <v>0.192771084337349</v>
      </c>
      <c r="D5" s="4"/>
      <c r="E5" s="4"/>
      <c r="F5" s="4"/>
    </row>
    <row r="6" customFormat="false" ht="15" hidden="false" customHeight="false" outlineLevel="0" collapsed="false">
      <c r="A6" s="4" t="s">
        <v>1289</v>
      </c>
      <c r="B6" s="4" t="n">
        <v>5</v>
      </c>
      <c r="C6" s="4" t="n">
        <v>0.0602409638554217</v>
      </c>
      <c r="D6" s="4"/>
      <c r="E6" s="4"/>
      <c r="F6" s="4"/>
    </row>
    <row r="7" customFormat="false" ht="15" hidden="false" customHeight="false" outlineLevel="0" collapsed="false">
      <c r="A7" s="4" t="s">
        <v>1290</v>
      </c>
      <c r="B7" s="4" t="n">
        <v>26</v>
      </c>
      <c r="C7" s="4" t="n">
        <v>0.313253012048193</v>
      </c>
      <c r="D7" s="4"/>
      <c r="E7" s="4"/>
      <c r="F7" s="4"/>
    </row>
    <row r="8" customFormat="false" ht="15" hidden="false" customHeight="false" outlineLevel="0" collapsed="false">
      <c r="A8" s="4" t="s">
        <v>1291</v>
      </c>
      <c r="B8" s="4" t="n">
        <v>83</v>
      </c>
      <c r="C8" s="4" t="n">
        <v>1</v>
      </c>
      <c r="D8" s="4"/>
      <c r="E8" s="4"/>
      <c r="F8" s="4"/>
    </row>
    <row r="9" customFormat="false" ht="15" hidden="false" customHeight="false" outlineLevel="0" collapsed="false">
      <c r="A9" s="4"/>
      <c r="B9" s="4"/>
      <c r="C9" s="4"/>
      <c r="D9" s="4"/>
      <c r="E9" s="4"/>
      <c r="F9" s="4"/>
    </row>
    <row r="10" customFormat="false" ht="15" hidden="false" customHeight="false" outlineLevel="0" collapsed="false">
      <c r="A10" s="4"/>
      <c r="B10" s="4"/>
      <c r="C10" s="4"/>
      <c r="D10" s="4"/>
      <c r="E10" s="4"/>
      <c r="F10" s="4"/>
    </row>
    <row r="11" customFormat="false" ht="15" hidden="false" customHeight="false" outlineLevel="0" collapsed="false">
      <c r="A11" s="4" t="s">
        <v>1292</v>
      </c>
      <c r="B11" s="4" t="s">
        <v>377</v>
      </c>
      <c r="C11" s="4" t="s">
        <v>384</v>
      </c>
      <c r="D11" s="4" t="s">
        <v>387</v>
      </c>
      <c r="E11" s="4"/>
      <c r="F11" s="4"/>
    </row>
    <row r="12" customFormat="false" ht="15" hidden="false" customHeight="false" outlineLevel="0" collapsed="false">
      <c r="A12" s="4" t="s">
        <v>1293</v>
      </c>
      <c r="B12" s="4" t="n">
        <v>32</v>
      </c>
      <c r="C12" s="4" t="n">
        <v>3</v>
      </c>
      <c r="D12" s="4" t="n">
        <v>0</v>
      </c>
      <c r="E12" s="4"/>
      <c r="F12" s="4"/>
    </row>
    <row r="13" customFormat="false" ht="15" hidden="false" customHeight="false" outlineLevel="0" collapsed="false">
      <c r="A13" s="4" t="s">
        <v>1294</v>
      </c>
      <c r="B13" s="4" t="n">
        <v>4</v>
      </c>
      <c r="C13" s="4" t="n">
        <v>13</v>
      </c>
      <c r="D13" s="4" t="n">
        <v>5</v>
      </c>
      <c r="E13" s="4"/>
      <c r="F13" s="4"/>
    </row>
    <row r="14" customFormat="false" ht="15" hidden="false" customHeight="false" outlineLevel="0" collapsed="false">
      <c r="A14" s="4" t="s">
        <v>1295</v>
      </c>
      <c r="B14" s="4" t="n">
        <v>36</v>
      </c>
      <c r="C14" s="4" t="n">
        <v>16</v>
      </c>
      <c r="D14" s="4" t="n">
        <v>5</v>
      </c>
      <c r="E14" s="4"/>
      <c r="F14" s="4"/>
    </row>
    <row r="15" customFormat="false" ht="15" hidden="false" customHeight="false" outlineLevel="0" collapsed="false">
      <c r="A15" s="4"/>
      <c r="B15" s="4"/>
      <c r="C15" s="4"/>
      <c r="D15" s="4"/>
      <c r="E15" s="4"/>
      <c r="F15" s="4"/>
    </row>
    <row r="16" customFormat="false" ht="15" hidden="false" customHeight="false" outlineLevel="0" collapsed="false">
      <c r="A16" s="4"/>
      <c r="B16" s="4"/>
      <c r="C16" s="4"/>
      <c r="D16" s="4"/>
      <c r="E16" s="4"/>
      <c r="F16" s="4"/>
    </row>
    <row r="17" customFormat="false" ht="28.35" hidden="false" customHeight="false" outlineLevel="0" collapsed="false">
      <c r="A17" s="4" t="s">
        <v>1296</v>
      </c>
      <c r="B17" s="4" t="s">
        <v>1285</v>
      </c>
      <c r="C17" s="4"/>
      <c r="D17" s="4" t="s">
        <v>1297</v>
      </c>
      <c r="E17" s="4" t="s">
        <v>1298</v>
      </c>
      <c r="F17" s="4" t="s">
        <v>1299</v>
      </c>
    </row>
    <row r="18" customFormat="false" ht="28.35" hidden="false" customHeight="false" outlineLevel="0" collapsed="false">
      <c r="A18" s="4" t="s">
        <v>701</v>
      </c>
      <c r="B18" s="4" t="n">
        <v>5</v>
      </c>
      <c r="C18" s="4"/>
      <c r="D18" s="4" t="s">
        <v>1300</v>
      </c>
      <c r="E18" s="4" t="n">
        <v>52</v>
      </c>
      <c r="F18" s="4" t="n">
        <v>0.912280701754386</v>
      </c>
    </row>
    <row r="19" customFormat="false" ht="28.35" hidden="false" customHeight="false" outlineLevel="0" collapsed="false">
      <c r="A19" s="4" t="s">
        <v>723</v>
      </c>
      <c r="B19" s="4" t="n">
        <v>7</v>
      </c>
      <c r="C19" s="4"/>
      <c r="D19" s="4" t="s">
        <v>1301</v>
      </c>
      <c r="E19" s="4" t="n">
        <v>35</v>
      </c>
      <c r="F19" s="4" t="n">
        <v>1</v>
      </c>
    </row>
    <row r="20" customFormat="false" ht="28.35" hidden="false" customHeight="false" outlineLevel="0" collapsed="false">
      <c r="A20" s="4" t="s">
        <v>744</v>
      </c>
      <c r="B20" s="4" t="n">
        <v>6</v>
      </c>
      <c r="C20" s="4"/>
      <c r="D20" s="4" t="s">
        <v>1302</v>
      </c>
      <c r="E20" s="4" t="n">
        <v>17</v>
      </c>
      <c r="F20" s="4" t="n">
        <v>0.772727272727273</v>
      </c>
    </row>
    <row r="21" customFormat="false" ht="15.75" hidden="false" customHeight="true" outlineLevel="0" collapsed="false">
      <c r="A21" s="4" t="s">
        <v>758</v>
      </c>
      <c r="B21" s="4" t="n">
        <v>8</v>
      </c>
      <c r="C21" s="4"/>
      <c r="D21" s="4" t="s">
        <v>1303</v>
      </c>
      <c r="E21" s="4" t="n">
        <v>15</v>
      </c>
      <c r="F21" s="4" t="n">
        <v>0.576923076923077</v>
      </c>
    </row>
    <row r="22" customFormat="false" ht="15.75" hidden="false" customHeight="true" outlineLevel="0" collapsed="false">
      <c r="A22" s="4" t="s">
        <v>1304</v>
      </c>
      <c r="B22" s="4" t="n">
        <v>26</v>
      </c>
      <c r="C22" s="4"/>
      <c r="D22" s="4" t="s">
        <v>1305</v>
      </c>
      <c r="E22" s="4" t="n">
        <v>22</v>
      </c>
      <c r="F22" s="4" t="n">
        <v>0.846153846153846</v>
      </c>
    </row>
    <row r="23" customFormat="false" ht="15.75" hidden="false" customHeight="true" outlineLevel="0" collapsed="false">
      <c r="A23" s="4"/>
      <c r="B23" s="4"/>
      <c r="C23" s="4"/>
      <c r="D23" s="4"/>
      <c r="E23" s="4"/>
      <c r="F23" s="4"/>
    </row>
    <row r="24" customFormat="false" ht="15.75" hidden="false" customHeight="true" outlineLevel="0" collapsed="false">
      <c r="A24" s="4"/>
      <c r="B24" s="4"/>
      <c r="C24" s="4"/>
      <c r="D24" s="4"/>
      <c r="E24" s="4"/>
      <c r="F24" s="4"/>
    </row>
    <row r="25" customFormat="false" ht="15.75" hidden="false" customHeight="true" outlineLevel="0" collapsed="false">
      <c r="A25" s="4" t="s">
        <v>1306</v>
      </c>
      <c r="B25" s="4"/>
      <c r="C25" s="4"/>
      <c r="D25" s="4"/>
      <c r="E25" s="4"/>
      <c r="F25" s="4"/>
    </row>
    <row r="26" customFormat="false" ht="15.75" hidden="false" customHeight="true" outlineLevel="0" collapsed="false">
      <c r="A26" s="4" t="s">
        <v>1307</v>
      </c>
      <c r="B26" s="4"/>
      <c r="C26" s="4"/>
      <c r="D26" s="4"/>
      <c r="E26" s="4"/>
      <c r="F26" s="4"/>
    </row>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36"/>
    <col collapsed="false" customWidth="true" hidden="false" outlineLevel="0" max="4" min="4" style="0" width="15"/>
    <col collapsed="false" customWidth="true" hidden="false" outlineLevel="0" max="5" min="5" style="0" width="24"/>
    <col collapsed="false" customWidth="true" hidden="false" outlineLevel="0" max="6" min="6" style="0" width="25"/>
    <col collapsed="false" customWidth="true" hidden="false" outlineLevel="0" max="7" min="7" style="0" width="44"/>
    <col collapsed="false" customWidth="true" hidden="false" outlineLevel="0" max="8" min="8" style="0" width="40"/>
    <col collapsed="false" customWidth="true" hidden="false" outlineLevel="0" max="9" min="9" style="0" width="32"/>
    <col collapsed="false" customWidth="true" hidden="false" outlineLevel="0" max="10" min="10" style="0" width="24"/>
    <col collapsed="false" customWidth="true" hidden="false" outlineLevel="0" max="11" min="11" style="0" width="38"/>
    <col collapsed="false" customWidth="true" hidden="false" outlineLevel="0" max="12" min="12" style="0" width="48"/>
    <col collapsed="false" customWidth="true" hidden="false" outlineLevel="0" max="13" min="13" style="0" width="42"/>
    <col collapsed="false" customWidth="true" hidden="false" outlineLevel="0" max="15" min="14" style="0" width="62"/>
    <col collapsed="false" customWidth="true" hidden="false" outlineLevel="0" max="16" min="16" style="0" width="44"/>
    <col collapsed="false" customWidth="true" hidden="false" outlineLevel="0" max="17" min="17" style="0" width="20"/>
    <col collapsed="false" customWidth="true" hidden="false" outlineLevel="0" max="18" min="18" style="0" width="58"/>
    <col collapsed="false" customWidth="true" hidden="false" outlineLevel="0" max="19" min="19" style="0" width="30"/>
    <col collapsed="false" customWidth="true" hidden="false" outlineLevel="0" max="20" min="20" style="0" width="20"/>
    <col collapsed="false" customWidth="true" hidden="false" outlineLevel="0" max="21" min="21" style="0" width="68"/>
    <col collapsed="false" customWidth="true" hidden="false" outlineLevel="0" max="22" min="22" style="0" width="26"/>
    <col collapsed="false" customWidth="true" hidden="false" outlineLevel="0" max="23" min="23" style="0" width="56"/>
    <col collapsed="false" customWidth="true" hidden="false" outlineLevel="0" max="24" min="24" style="0" width="40"/>
    <col collapsed="false" customWidth="true" hidden="false" outlineLevel="0" max="26" min="25" style="0" width="22"/>
    <col collapsed="false" customWidth="true" hidden="false" outlineLevel="0" max="27" min="27" style="0" width="28"/>
  </cols>
  <sheetData>
    <row r="1" customFormat="false" ht="252.2" hidden="false" customHeight="false" outlineLevel="0" collapsed="false">
      <c r="A1" s="11" t="s">
        <v>1308</v>
      </c>
      <c r="B1" s="11"/>
      <c r="C1" s="11"/>
      <c r="D1" s="11"/>
      <c r="E1" s="11"/>
      <c r="F1" s="11"/>
      <c r="G1" s="11"/>
      <c r="H1" s="11"/>
      <c r="I1" s="11"/>
      <c r="J1" s="11"/>
      <c r="K1" s="11"/>
      <c r="L1" s="11"/>
      <c r="M1" s="11"/>
      <c r="N1" s="11"/>
      <c r="O1" s="11"/>
      <c r="P1" s="11"/>
      <c r="Q1" s="11"/>
      <c r="R1" s="11"/>
      <c r="S1" s="11"/>
      <c r="T1" s="11"/>
      <c r="U1" s="11"/>
      <c r="V1" s="11"/>
      <c r="W1" s="11"/>
      <c r="X1" s="11"/>
      <c r="Y1" s="11"/>
    </row>
    <row r="2" customFormat="false" ht="444.75" hidden="false" customHeight="false" outlineLevel="0" collapsed="false">
      <c r="A2" s="4" t="s">
        <v>1309</v>
      </c>
      <c r="B2" s="4"/>
      <c r="C2" s="4"/>
      <c r="D2" s="4"/>
      <c r="E2" s="4"/>
      <c r="F2" s="4"/>
      <c r="G2" s="4"/>
      <c r="H2" s="4"/>
      <c r="I2" s="4"/>
      <c r="J2" s="4"/>
      <c r="K2" s="4"/>
      <c r="L2" s="4"/>
      <c r="M2" s="4"/>
      <c r="N2" s="4"/>
      <c r="O2" s="4"/>
      <c r="P2" s="4"/>
      <c r="Q2" s="4"/>
      <c r="R2" s="4"/>
      <c r="S2" s="4"/>
      <c r="T2" s="4"/>
      <c r="U2" s="4"/>
      <c r="V2" s="4"/>
      <c r="W2" s="4"/>
      <c r="X2" s="4"/>
      <c r="Y2" s="4"/>
    </row>
    <row r="3" customFormat="false" ht="15" hidden="false" customHeight="false" outlineLevel="0" collapsed="false">
      <c r="A3" s="4"/>
      <c r="B3" s="4"/>
      <c r="C3" s="4"/>
      <c r="D3" s="4"/>
      <c r="E3" s="4"/>
      <c r="F3" s="4"/>
      <c r="G3" s="4"/>
      <c r="H3" s="4"/>
      <c r="I3" s="4"/>
      <c r="J3" s="4"/>
      <c r="K3" s="4"/>
      <c r="L3" s="4"/>
      <c r="M3" s="4"/>
      <c r="N3" s="4"/>
      <c r="O3" s="4"/>
      <c r="P3" s="4"/>
      <c r="Q3" s="4"/>
      <c r="R3" s="4"/>
      <c r="S3" s="4"/>
      <c r="T3" s="4"/>
      <c r="U3" s="4"/>
      <c r="V3" s="4"/>
      <c r="W3" s="4"/>
      <c r="X3" s="4"/>
      <c r="Y3" s="4"/>
    </row>
    <row r="4" customFormat="false" ht="15" hidden="false" customHeight="false" outlineLevel="0" collapsed="false">
      <c r="A4" s="4"/>
      <c r="B4" s="4"/>
      <c r="C4" s="4"/>
      <c r="D4" s="4"/>
      <c r="E4" s="4"/>
      <c r="F4" s="4"/>
      <c r="G4" s="4"/>
      <c r="H4" s="4"/>
      <c r="I4" s="4"/>
      <c r="J4" s="4"/>
      <c r="K4" s="4"/>
      <c r="L4" s="4"/>
      <c r="M4" s="4"/>
      <c r="N4" s="4"/>
      <c r="O4" s="4"/>
      <c r="P4" s="4"/>
      <c r="Q4" s="4"/>
      <c r="R4" s="4"/>
      <c r="S4" s="4"/>
      <c r="T4" s="4"/>
      <c r="U4" s="4"/>
      <c r="V4" s="4"/>
      <c r="W4" s="4"/>
      <c r="X4" s="4"/>
      <c r="Y4" s="4"/>
    </row>
    <row r="5" customFormat="false" ht="28.35" hidden="false" customHeight="false" outlineLevel="0" collapsed="false">
      <c r="A5" s="3" t="s">
        <v>1310</v>
      </c>
      <c r="B5" s="3" t="s">
        <v>1311</v>
      </c>
      <c r="C5" s="3" t="s">
        <v>1312</v>
      </c>
      <c r="D5" s="3" t="s">
        <v>1313</v>
      </c>
      <c r="E5" s="3" t="s">
        <v>1314</v>
      </c>
      <c r="F5" s="3" t="s">
        <v>1315</v>
      </c>
      <c r="G5" s="3" t="s">
        <v>1316</v>
      </c>
      <c r="H5" s="3" t="s">
        <v>1317</v>
      </c>
      <c r="I5" s="3" t="s">
        <v>1318</v>
      </c>
      <c r="J5" s="3" t="s">
        <v>1319</v>
      </c>
      <c r="K5" s="3" t="s">
        <v>1320</v>
      </c>
      <c r="L5" s="3" t="s">
        <v>1321</v>
      </c>
      <c r="M5" s="3" t="s">
        <v>1322</v>
      </c>
      <c r="N5" s="3" t="s">
        <v>1323</v>
      </c>
      <c r="O5" s="3" t="s">
        <v>1324</v>
      </c>
      <c r="P5" s="3" t="s">
        <v>1325</v>
      </c>
      <c r="Q5" s="3" t="s">
        <v>426</v>
      </c>
      <c r="R5" s="3" t="s">
        <v>1326</v>
      </c>
      <c r="S5" s="3" t="s">
        <v>1327</v>
      </c>
      <c r="T5" s="3" t="s">
        <v>1328</v>
      </c>
      <c r="U5" s="3" t="s">
        <v>1329</v>
      </c>
      <c r="V5" s="3" t="s">
        <v>431</v>
      </c>
      <c r="W5" s="3" t="s">
        <v>1330</v>
      </c>
      <c r="X5" s="3" t="s">
        <v>1331</v>
      </c>
      <c r="Y5" s="3" t="s">
        <v>1332</v>
      </c>
      <c r="Z5" s="3" t="s">
        <v>1333</v>
      </c>
      <c r="AA5" s="3" t="s">
        <v>1334</v>
      </c>
    </row>
    <row r="6" customFormat="false" ht="28.35" hidden="false" customHeight="false" outlineLevel="0" collapsed="false">
      <c r="A6" s="9" t="s">
        <v>1335</v>
      </c>
      <c r="B6" s="9" t="s">
        <v>457</v>
      </c>
      <c r="C6" s="9" t="s">
        <v>460</v>
      </c>
      <c r="D6" s="9" t="s">
        <v>377</v>
      </c>
      <c r="E6" s="9" t="s">
        <v>1021</v>
      </c>
      <c r="F6" s="9" t="s">
        <v>1336</v>
      </c>
      <c r="G6" s="9" t="s">
        <v>1337</v>
      </c>
      <c r="H6" s="9" t="s">
        <v>1338</v>
      </c>
      <c r="I6" s="9" t="s">
        <v>1339</v>
      </c>
      <c r="J6" s="9" t="s">
        <v>377</v>
      </c>
      <c r="K6" s="9" t="s">
        <v>1022</v>
      </c>
      <c r="L6" s="9" t="s">
        <v>1340</v>
      </c>
      <c r="M6" s="9" t="s">
        <v>1341</v>
      </c>
      <c r="N6" s="9" t="s">
        <v>1342</v>
      </c>
      <c r="O6" s="9" t="s">
        <v>68</v>
      </c>
      <c r="P6" s="9" t="s">
        <v>1343</v>
      </c>
      <c r="Q6" s="9" t="s">
        <v>1344</v>
      </c>
      <c r="R6" s="9" t="s">
        <v>1345</v>
      </c>
      <c r="S6" s="9" t="s">
        <v>398</v>
      </c>
      <c r="T6" s="9" t="s">
        <v>377</v>
      </c>
      <c r="U6" s="9" t="s">
        <v>1346</v>
      </c>
      <c r="V6" s="9" t="s">
        <v>1347</v>
      </c>
      <c r="W6" s="9"/>
      <c r="X6" s="9" t="s">
        <v>377</v>
      </c>
      <c r="Y6" s="9" t="s">
        <v>377</v>
      </c>
      <c r="Z6" s="12" t="b">
        <f aca="false">FALSE()</f>
        <v>0</v>
      </c>
      <c r="AA6" s="8" t="s">
        <v>1348</v>
      </c>
    </row>
    <row r="7" customFormat="false" ht="15" hidden="false" customHeight="false" outlineLevel="0" collapsed="false">
      <c r="A7" s="9" t="s">
        <v>1349</v>
      </c>
      <c r="B7" s="9" t="s">
        <v>457</v>
      </c>
      <c r="C7" s="9" t="s">
        <v>460</v>
      </c>
      <c r="D7" s="9" t="s">
        <v>377</v>
      </c>
      <c r="E7" s="9" t="s">
        <v>1350</v>
      </c>
      <c r="F7" s="9" t="s">
        <v>1336</v>
      </c>
      <c r="G7" s="9" t="s">
        <v>1351</v>
      </c>
      <c r="H7" s="9" t="s">
        <v>1352</v>
      </c>
      <c r="I7" s="9"/>
      <c r="J7" s="9"/>
      <c r="K7" s="9"/>
      <c r="L7" s="9"/>
      <c r="M7" s="9"/>
      <c r="N7" s="9"/>
      <c r="O7" s="9"/>
      <c r="P7" s="9"/>
      <c r="Q7" s="9" t="s">
        <v>1353</v>
      </c>
      <c r="R7" s="9"/>
      <c r="S7" s="9"/>
      <c r="T7" s="9"/>
      <c r="U7" s="9"/>
      <c r="V7" s="9"/>
      <c r="W7" s="9"/>
      <c r="X7" s="9" t="s">
        <v>414</v>
      </c>
      <c r="Y7" s="9" t="s">
        <v>391</v>
      </c>
      <c r="Z7" s="12" t="b">
        <f aca="false">FALSE()</f>
        <v>0</v>
      </c>
      <c r="AA7" s="8" t="s">
        <v>1348</v>
      </c>
    </row>
    <row r="8" customFormat="false" ht="15" hidden="false" customHeight="false" outlineLevel="0" collapsed="false">
      <c r="A8" s="9" t="s">
        <v>1354</v>
      </c>
      <c r="B8" s="9" t="s">
        <v>457</v>
      </c>
      <c r="C8" s="9" t="s">
        <v>460</v>
      </c>
      <c r="D8" s="9" t="s">
        <v>377</v>
      </c>
      <c r="E8" s="9" t="s">
        <v>1355</v>
      </c>
      <c r="F8" s="9" t="s">
        <v>1336</v>
      </c>
      <c r="G8" s="9" t="s">
        <v>1351</v>
      </c>
      <c r="H8" s="9" t="s">
        <v>1352</v>
      </c>
      <c r="I8" s="9"/>
      <c r="J8" s="9"/>
      <c r="K8" s="9"/>
      <c r="L8" s="9"/>
      <c r="M8" s="9"/>
      <c r="N8" s="9"/>
      <c r="O8" s="9"/>
      <c r="P8" s="9"/>
      <c r="Q8" s="9" t="s">
        <v>1353</v>
      </c>
      <c r="R8" s="9"/>
      <c r="S8" s="9"/>
      <c r="T8" s="9"/>
      <c r="U8" s="9"/>
      <c r="V8" s="9"/>
      <c r="W8" s="9"/>
      <c r="X8" s="9" t="s">
        <v>414</v>
      </c>
      <c r="Y8" s="9" t="s">
        <v>391</v>
      </c>
      <c r="Z8" s="12" t="b">
        <f aca="false">FALSE()</f>
        <v>0</v>
      </c>
      <c r="AA8" s="8" t="s">
        <v>1348</v>
      </c>
    </row>
    <row r="9" customFormat="false" ht="15" hidden="false" customHeight="false" outlineLevel="0" collapsed="false">
      <c r="A9" s="9" t="s">
        <v>1356</v>
      </c>
      <c r="B9" s="9" t="s">
        <v>457</v>
      </c>
      <c r="C9" s="9" t="s">
        <v>460</v>
      </c>
      <c r="D9" s="9" t="s">
        <v>377</v>
      </c>
      <c r="E9" s="9" t="s">
        <v>886</v>
      </c>
      <c r="F9" s="9" t="s">
        <v>1336</v>
      </c>
      <c r="G9" s="9" t="s">
        <v>1351</v>
      </c>
      <c r="H9" s="9" t="s">
        <v>1352</v>
      </c>
      <c r="I9" s="9"/>
      <c r="J9" s="9"/>
      <c r="K9" s="9"/>
      <c r="L9" s="9"/>
      <c r="M9" s="9"/>
      <c r="N9" s="9"/>
      <c r="O9" s="9"/>
      <c r="P9" s="9"/>
      <c r="Q9" s="9" t="s">
        <v>1353</v>
      </c>
      <c r="R9" s="9"/>
      <c r="S9" s="9"/>
      <c r="T9" s="9"/>
      <c r="U9" s="9"/>
      <c r="V9" s="9"/>
      <c r="W9" s="9"/>
      <c r="X9" s="9" t="s">
        <v>414</v>
      </c>
      <c r="Y9" s="9" t="s">
        <v>391</v>
      </c>
      <c r="Z9" s="12" t="b">
        <f aca="false">FALSE()</f>
        <v>0</v>
      </c>
      <c r="AA9" s="8" t="s">
        <v>1348</v>
      </c>
    </row>
    <row r="10" customFormat="false" ht="28.35" hidden="false" customHeight="false" outlineLevel="0" collapsed="false">
      <c r="A10" s="9" t="s">
        <v>1357</v>
      </c>
      <c r="B10" s="9" t="s">
        <v>457</v>
      </c>
      <c r="C10" s="9" t="s">
        <v>460</v>
      </c>
      <c r="D10" s="9" t="s">
        <v>377</v>
      </c>
      <c r="E10" s="9" t="s">
        <v>866</v>
      </c>
      <c r="F10" s="9" t="s">
        <v>1336</v>
      </c>
      <c r="G10" s="9" t="s">
        <v>1337</v>
      </c>
      <c r="H10" s="9" t="s">
        <v>1338</v>
      </c>
      <c r="I10" s="9" t="s">
        <v>1339</v>
      </c>
      <c r="J10" s="9" t="s">
        <v>377</v>
      </c>
      <c r="K10" s="9" t="s">
        <v>867</v>
      </c>
      <c r="L10" s="9" t="s">
        <v>868</v>
      </c>
      <c r="M10" s="9" t="s">
        <v>1358</v>
      </c>
      <c r="N10" s="9" t="s">
        <v>870</v>
      </c>
      <c r="O10" s="9" t="s">
        <v>870</v>
      </c>
      <c r="P10" s="9" t="s">
        <v>1359</v>
      </c>
      <c r="Q10" s="9" t="s">
        <v>1344</v>
      </c>
      <c r="R10" s="9" t="s">
        <v>1360</v>
      </c>
      <c r="S10" s="9" t="s">
        <v>398</v>
      </c>
      <c r="T10" s="9" t="s">
        <v>377</v>
      </c>
      <c r="U10" s="9" t="s">
        <v>1361</v>
      </c>
      <c r="V10" s="9" t="s">
        <v>1347</v>
      </c>
      <c r="W10" s="9"/>
      <c r="X10" s="9" t="s">
        <v>377</v>
      </c>
      <c r="Y10" s="9" t="s">
        <v>377</v>
      </c>
      <c r="Z10" s="12" t="b">
        <f aca="false">FALSE()</f>
        <v>0</v>
      </c>
      <c r="AA10" s="8" t="s">
        <v>1348</v>
      </c>
    </row>
    <row r="11" customFormat="false" ht="41.75" hidden="false" customHeight="false" outlineLevel="0" collapsed="false">
      <c r="A11" s="9" t="s">
        <v>1362</v>
      </c>
      <c r="B11" s="9" t="s">
        <v>457</v>
      </c>
      <c r="C11" s="9" t="s">
        <v>460</v>
      </c>
      <c r="D11" s="9" t="s">
        <v>377</v>
      </c>
      <c r="E11" s="9" t="s">
        <v>912</v>
      </c>
      <c r="F11" s="9" t="s">
        <v>1336</v>
      </c>
      <c r="G11" s="9" t="s">
        <v>1363</v>
      </c>
      <c r="H11" s="9" t="s">
        <v>1338</v>
      </c>
      <c r="I11" s="9" t="s">
        <v>1339</v>
      </c>
      <c r="J11" s="9" t="s">
        <v>377</v>
      </c>
      <c r="K11" s="9" t="s">
        <v>913</v>
      </c>
      <c r="L11" s="9" t="s">
        <v>914</v>
      </c>
      <c r="M11" s="9" t="s">
        <v>1364</v>
      </c>
      <c r="N11" s="9" t="s">
        <v>916</v>
      </c>
      <c r="O11" s="9" t="s">
        <v>916</v>
      </c>
      <c r="P11" s="9" t="s">
        <v>1365</v>
      </c>
      <c r="Q11" s="9" t="s">
        <v>113</v>
      </c>
      <c r="R11" s="9" t="s">
        <v>1366</v>
      </c>
      <c r="S11" s="9" t="s">
        <v>398</v>
      </c>
      <c r="T11" s="9" t="s">
        <v>377</v>
      </c>
      <c r="U11" s="9" t="s">
        <v>1367</v>
      </c>
      <c r="V11" s="9" t="s">
        <v>1347</v>
      </c>
      <c r="W11" s="9"/>
      <c r="X11" s="9" t="s">
        <v>377</v>
      </c>
      <c r="Y11" s="9" t="s">
        <v>377</v>
      </c>
      <c r="Z11" s="12" t="b">
        <f aca="false">FALSE()</f>
        <v>0</v>
      </c>
      <c r="AA11" s="8" t="s">
        <v>1348</v>
      </c>
    </row>
    <row r="12" customFormat="false" ht="15" hidden="false" customHeight="false" outlineLevel="0" collapsed="false">
      <c r="A12" s="9" t="s">
        <v>1368</v>
      </c>
      <c r="B12" s="9" t="s">
        <v>457</v>
      </c>
      <c r="C12" s="9" t="s">
        <v>460</v>
      </c>
      <c r="D12" s="9" t="s">
        <v>377</v>
      </c>
      <c r="E12" s="9" t="s">
        <v>966</v>
      </c>
      <c r="F12" s="9" t="s">
        <v>1336</v>
      </c>
      <c r="G12" s="9" t="s">
        <v>1337</v>
      </c>
      <c r="H12" s="9" t="s">
        <v>1338</v>
      </c>
      <c r="I12" s="9" t="s">
        <v>1339</v>
      </c>
      <c r="J12" s="9" t="s">
        <v>377</v>
      </c>
      <c r="K12" s="9" t="s">
        <v>967</v>
      </c>
      <c r="L12" s="9" t="s">
        <v>1369</v>
      </c>
      <c r="M12" s="9" t="s">
        <v>1370</v>
      </c>
      <c r="N12" s="9" t="s">
        <v>1153</v>
      </c>
      <c r="O12" s="9" t="s">
        <v>1153</v>
      </c>
      <c r="P12" s="9" t="s">
        <v>1371</v>
      </c>
      <c r="Q12" s="9" t="s">
        <v>1344</v>
      </c>
      <c r="R12" s="9" t="s">
        <v>1372</v>
      </c>
      <c r="S12" s="9" t="s">
        <v>398</v>
      </c>
      <c r="T12" s="9" t="s">
        <v>377</v>
      </c>
      <c r="U12" s="9" t="s">
        <v>1373</v>
      </c>
      <c r="V12" s="9" t="s">
        <v>1347</v>
      </c>
      <c r="W12" s="9"/>
      <c r="X12" s="9" t="s">
        <v>377</v>
      </c>
      <c r="Y12" s="9" t="s">
        <v>377</v>
      </c>
      <c r="Z12" s="12" t="b">
        <f aca="false">FALSE()</f>
        <v>0</v>
      </c>
      <c r="AA12" s="8" t="s">
        <v>1348</v>
      </c>
    </row>
    <row r="13" customFormat="false" ht="15" hidden="false" customHeight="false" outlineLevel="0" collapsed="false">
      <c r="A13" s="9" t="s">
        <v>1374</v>
      </c>
      <c r="B13" s="9" t="s">
        <v>457</v>
      </c>
      <c r="C13" s="9" t="s">
        <v>460</v>
      </c>
      <c r="D13" s="9" t="s">
        <v>377</v>
      </c>
      <c r="E13" s="9" t="s">
        <v>947</v>
      </c>
      <c r="F13" s="9" t="s">
        <v>1336</v>
      </c>
      <c r="G13" s="9" t="s">
        <v>1351</v>
      </c>
      <c r="H13" s="9" t="s">
        <v>1352</v>
      </c>
      <c r="I13" s="9"/>
      <c r="J13" s="9"/>
      <c r="K13" s="9"/>
      <c r="L13" s="9"/>
      <c r="M13" s="9"/>
      <c r="N13" s="9"/>
      <c r="O13" s="9"/>
      <c r="P13" s="9"/>
      <c r="Q13" s="9" t="s">
        <v>1353</v>
      </c>
      <c r="R13" s="9"/>
      <c r="S13" s="9"/>
      <c r="T13" s="9"/>
      <c r="U13" s="9"/>
      <c r="V13" s="9"/>
      <c r="W13" s="9"/>
      <c r="X13" s="9" t="s">
        <v>414</v>
      </c>
      <c r="Y13" s="9" t="s">
        <v>391</v>
      </c>
      <c r="Z13" s="12" t="b">
        <f aca="false">FALSE()</f>
        <v>0</v>
      </c>
      <c r="AA13" s="8" t="s">
        <v>1348</v>
      </c>
    </row>
    <row r="14" customFormat="false" ht="28.35" hidden="false" customHeight="false" outlineLevel="0" collapsed="false">
      <c r="A14" s="9" t="s">
        <v>1375</v>
      </c>
      <c r="B14" s="9" t="s">
        <v>465</v>
      </c>
      <c r="C14" s="9" t="s">
        <v>466</v>
      </c>
      <c r="D14" s="9" t="s">
        <v>377</v>
      </c>
      <c r="E14" s="9" t="s">
        <v>1021</v>
      </c>
      <c r="F14" s="9" t="s">
        <v>1336</v>
      </c>
      <c r="G14" s="9" t="s">
        <v>1376</v>
      </c>
      <c r="H14" s="9" t="s">
        <v>1338</v>
      </c>
      <c r="I14" s="9" t="s">
        <v>1377</v>
      </c>
      <c r="J14" s="9" t="s">
        <v>377</v>
      </c>
      <c r="K14" s="9" t="s">
        <v>1022</v>
      </c>
      <c r="L14" s="9" t="s">
        <v>1378</v>
      </c>
      <c r="M14" s="9" t="s">
        <v>1379</v>
      </c>
      <c r="N14" s="9" t="s">
        <v>1025</v>
      </c>
      <c r="O14" s="9" t="s">
        <v>1025</v>
      </c>
      <c r="P14" s="9" t="s">
        <v>1380</v>
      </c>
      <c r="Q14" s="9" t="s">
        <v>1344</v>
      </c>
      <c r="R14" s="9" t="s">
        <v>1381</v>
      </c>
      <c r="S14" s="9" t="s">
        <v>398</v>
      </c>
      <c r="T14" s="9" t="s">
        <v>377</v>
      </c>
      <c r="U14" s="9" t="s">
        <v>1382</v>
      </c>
      <c r="V14" s="9" t="s">
        <v>1347</v>
      </c>
      <c r="W14" s="9"/>
      <c r="X14" s="9" t="s">
        <v>377</v>
      </c>
      <c r="Y14" s="9" t="s">
        <v>377</v>
      </c>
      <c r="Z14" s="12" t="b">
        <f aca="false">FALSE()</f>
        <v>0</v>
      </c>
      <c r="AA14" s="8" t="s">
        <v>1348</v>
      </c>
    </row>
    <row r="15" customFormat="false" ht="28.35" hidden="false" customHeight="false" outlineLevel="0" collapsed="false">
      <c r="A15" s="9" t="s">
        <v>1383</v>
      </c>
      <c r="B15" s="9" t="s">
        <v>465</v>
      </c>
      <c r="C15" s="9" t="s">
        <v>466</v>
      </c>
      <c r="D15" s="9" t="s">
        <v>377</v>
      </c>
      <c r="E15" s="9" t="s">
        <v>1350</v>
      </c>
      <c r="F15" s="9" t="s">
        <v>1336</v>
      </c>
      <c r="G15" s="9" t="s">
        <v>1376</v>
      </c>
      <c r="H15" s="9" t="s">
        <v>1338</v>
      </c>
      <c r="I15" s="9" t="s">
        <v>1377</v>
      </c>
      <c r="J15" s="9" t="s">
        <v>377</v>
      </c>
      <c r="K15" s="9" t="s">
        <v>1384</v>
      </c>
      <c r="L15" s="9" t="s">
        <v>1378</v>
      </c>
      <c r="M15" s="9" t="s">
        <v>1385</v>
      </c>
      <c r="N15" s="9" t="s">
        <v>1386</v>
      </c>
      <c r="O15" s="9" t="s">
        <v>1386</v>
      </c>
      <c r="P15" s="9" t="s">
        <v>1387</v>
      </c>
      <c r="Q15" s="9" t="s">
        <v>113</v>
      </c>
      <c r="R15" s="9" t="s">
        <v>1388</v>
      </c>
      <c r="S15" s="9" t="s">
        <v>398</v>
      </c>
      <c r="T15" s="9" t="s">
        <v>377</v>
      </c>
      <c r="U15" s="9" t="s">
        <v>1382</v>
      </c>
      <c r="V15" s="9" t="s">
        <v>1347</v>
      </c>
      <c r="W15" s="9"/>
      <c r="X15" s="9" t="s">
        <v>377</v>
      </c>
      <c r="Y15" s="9" t="s">
        <v>377</v>
      </c>
      <c r="Z15" s="12" t="b">
        <f aca="false">FALSE()</f>
        <v>0</v>
      </c>
      <c r="AA15" s="8" t="s">
        <v>1348</v>
      </c>
    </row>
    <row r="16" customFormat="false" ht="28.35" hidden="false" customHeight="false" outlineLevel="0" collapsed="false">
      <c r="A16" s="9" t="s">
        <v>1389</v>
      </c>
      <c r="B16" s="9" t="s">
        <v>465</v>
      </c>
      <c r="C16" s="9" t="s">
        <v>466</v>
      </c>
      <c r="D16" s="9" t="s">
        <v>377</v>
      </c>
      <c r="E16" s="9" t="s">
        <v>1355</v>
      </c>
      <c r="F16" s="9" t="s">
        <v>1336</v>
      </c>
      <c r="G16" s="9" t="s">
        <v>1376</v>
      </c>
      <c r="H16" s="9" t="s">
        <v>1338</v>
      </c>
      <c r="I16" s="9" t="s">
        <v>1377</v>
      </c>
      <c r="J16" s="9" t="s">
        <v>377</v>
      </c>
      <c r="K16" s="9" t="s">
        <v>1390</v>
      </c>
      <c r="L16" s="9" t="s">
        <v>1378</v>
      </c>
      <c r="M16" s="9" t="s">
        <v>924</v>
      </c>
      <c r="N16" s="9" t="s">
        <v>1391</v>
      </c>
      <c r="O16" s="9" t="s">
        <v>1392</v>
      </c>
      <c r="P16" s="9" t="s">
        <v>1393</v>
      </c>
      <c r="Q16" s="9" t="s">
        <v>113</v>
      </c>
      <c r="R16" s="9" t="s">
        <v>1394</v>
      </c>
      <c r="S16" s="9" t="s">
        <v>398</v>
      </c>
      <c r="T16" s="9" t="s">
        <v>377</v>
      </c>
      <c r="U16" s="9" t="s">
        <v>1382</v>
      </c>
      <c r="V16" s="9" t="s">
        <v>1347</v>
      </c>
      <c r="W16" s="9"/>
      <c r="X16" s="9" t="s">
        <v>377</v>
      </c>
      <c r="Y16" s="9" t="s">
        <v>377</v>
      </c>
      <c r="Z16" s="12" t="b">
        <f aca="false">FALSE()</f>
        <v>0</v>
      </c>
      <c r="AA16" s="8" t="s">
        <v>1348</v>
      </c>
    </row>
    <row r="17" customFormat="false" ht="15" hidden="false" customHeight="false" outlineLevel="0" collapsed="false">
      <c r="A17" s="9" t="s">
        <v>1395</v>
      </c>
      <c r="B17" s="9" t="s">
        <v>465</v>
      </c>
      <c r="C17" s="9" t="s">
        <v>466</v>
      </c>
      <c r="D17" s="9" t="s">
        <v>377</v>
      </c>
      <c r="E17" s="9" t="s">
        <v>886</v>
      </c>
      <c r="F17" s="9" t="s">
        <v>1336</v>
      </c>
      <c r="G17" s="9" t="s">
        <v>1351</v>
      </c>
      <c r="H17" s="9" t="s">
        <v>1352</v>
      </c>
      <c r="I17" s="9"/>
      <c r="J17" s="9"/>
      <c r="K17" s="9"/>
      <c r="L17" s="9"/>
      <c r="M17" s="9"/>
      <c r="N17" s="9"/>
      <c r="O17" s="9"/>
      <c r="P17" s="9"/>
      <c r="Q17" s="9" t="s">
        <v>1353</v>
      </c>
      <c r="R17" s="9"/>
      <c r="S17" s="9"/>
      <c r="T17" s="9"/>
      <c r="U17" s="9"/>
      <c r="V17" s="9"/>
      <c r="W17" s="9"/>
      <c r="X17" s="9" t="s">
        <v>414</v>
      </c>
      <c r="Y17" s="9" t="s">
        <v>391</v>
      </c>
      <c r="Z17" s="12" t="b">
        <f aca="false">FALSE()</f>
        <v>0</v>
      </c>
      <c r="AA17" s="8" t="s">
        <v>1348</v>
      </c>
    </row>
    <row r="18" customFormat="false" ht="28.35" hidden="false" customHeight="false" outlineLevel="0" collapsed="false">
      <c r="A18" s="9" t="s">
        <v>1396</v>
      </c>
      <c r="B18" s="9" t="s">
        <v>465</v>
      </c>
      <c r="C18" s="9" t="s">
        <v>466</v>
      </c>
      <c r="D18" s="9" t="s">
        <v>377</v>
      </c>
      <c r="E18" s="9" t="s">
        <v>866</v>
      </c>
      <c r="F18" s="9" t="s">
        <v>1336</v>
      </c>
      <c r="G18" s="9" t="s">
        <v>1376</v>
      </c>
      <c r="H18" s="9" t="s">
        <v>1338</v>
      </c>
      <c r="I18" s="9" t="s">
        <v>1377</v>
      </c>
      <c r="J18" s="9" t="s">
        <v>377</v>
      </c>
      <c r="K18" s="9" t="s">
        <v>867</v>
      </c>
      <c r="L18" s="9" t="s">
        <v>868</v>
      </c>
      <c r="M18" s="9" t="s">
        <v>1397</v>
      </c>
      <c r="N18" s="9" t="s">
        <v>870</v>
      </c>
      <c r="O18" s="9" t="s">
        <v>870</v>
      </c>
      <c r="P18" s="9" t="s">
        <v>1398</v>
      </c>
      <c r="Q18" s="9" t="s">
        <v>113</v>
      </c>
      <c r="R18" s="9" t="s">
        <v>1360</v>
      </c>
      <c r="S18" s="9" t="s">
        <v>398</v>
      </c>
      <c r="T18" s="9" t="s">
        <v>377</v>
      </c>
      <c r="U18" s="9" t="s">
        <v>1382</v>
      </c>
      <c r="V18" s="9" t="s">
        <v>1347</v>
      </c>
      <c r="W18" s="9"/>
      <c r="X18" s="9" t="s">
        <v>377</v>
      </c>
      <c r="Y18" s="9" t="s">
        <v>377</v>
      </c>
      <c r="Z18" s="12" t="b">
        <f aca="false">FALSE()</f>
        <v>0</v>
      </c>
      <c r="AA18" s="8" t="s">
        <v>1348</v>
      </c>
    </row>
    <row r="19" customFormat="false" ht="41.75" hidden="false" customHeight="false" outlineLevel="0" collapsed="false">
      <c r="A19" s="9" t="s">
        <v>1399</v>
      </c>
      <c r="B19" s="9" t="s">
        <v>465</v>
      </c>
      <c r="C19" s="9" t="s">
        <v>466</v>
      </c>
      <c r="D19" s="9" t="s">
        <v>377</v>
      </c>
      <c r="E19" s="9" t="s">
        <v>912</v>
      </c>
      <c r="F19" s="9" t="s">
        <v>1336</v>
      </c>
      <c r="G19" s="9" t="s">
        <v>1363</v>
      </c>
      <c r="H19" s="9" t="s">
        <v>1338</v>
      </c>
      <c r="I19" s="9" t="s">
        <v>1377</v>
      </c>
      <c r="J19" s="9" t="s">
        <v>377</v>
      </c>
      <c r="K19" s="9" t="s">
        <v>913</v>
      </c>
      <c r="L19" s="9" t="s">
        <v>914</v>
      </c>
      <c r="M19" s="9" t="s">
        <v>1364</v>
      </c>
      <c r="N19" s="9" t="s">
        <v>916</v>
      </c>
      <c r="O19" s="9" t="s">
        <v>916</v>
      </c>
      <c r="P19" s="9" t="s">
        <v>1365</v>
      </c>
      <c r="Q19" s="9" t="s">
        <v>113</v>
      </c>
      <c r="R19" s="9" t="s">
        <v>1366</v>
      </c>
      <c r="S19" s="9" t="s">
        <v>398</v>
      </c>
      <c r="T19" s="9" t="s">
        <v>377</v>
      </c>
      <c r="U19" s="9" t="s">
        <v>1400</v>
      </c>
      <c r="V19" s="9" t="s">
        <v>1347</v>
      </c>
      <c r="W19" s="9"/>
      <c r="X19" s="9" t="s">
        <v>377</v>
      </c>
      <c r="Y19" s="9" t="s">
        <v>377</v>
      </c>
      <c r="Z19" s="12" t="b">
        <f aca="false">FALSE()</f>
        <v>0</v>
      </c>
      <c r="AA19" s="8" t="s">
        <v>1348</v>
      </c>
    </row>
    <row r="20" customFormat="false" ht="15" hidden="false" customHeight="false" outlineLevel="0" collapsed="false">
      <c r="A20" s="9" t="s">
        <v>1401</v>
      </c>
      <c r="B20" s="9" t="s">
        <v>465</v>
      </c>
      <c r="C20" s="9" t="s">
        <v>466</v>
      </c>
      <c r="D20" s="9" t="s">
        <v>377</v>
      </c>
      <c r="E20" s="9" t="s">
        <v>966</v>
      </c>
      <c r="F20" s="9" t="s">
        <v>1336</v>
      </c>
      <c r="G20" s="9" t="s">
        <v>1337</v>
      </c>
      <c r="H20" s="9" t="s">
        <v>1338</v>
      </c>
      <c r="I20" s="9" t="s">
        <v>1377</v>
      </c>
      <c r="J20" s="9" t="s">
        <v>377</v>
      </c>
      <c r="K20" s="9" t="s">
        <v>967</v>
      </c>
      <c r="L20" s="9" t="s">
        <v>1369</v>
      </c>
      <c r="M20" s="9" t="s">
        <v>1370</v>
      </c>
      <c r="N20" s="9" t="s">
        <v>1153</v>
      </c>
      <c r="O20" s="9" t="s">
        <v>1153</v>
      </c>
      <c r="P20" s="9" t="s">
        <v>1402</v>
      </c>
      <c r="Q20" s="9" t="s">
        <v>1344</v>
      </c>
      <c r="R20" s="9" t="s">
        <v>1372</v>
      </c>
      <c r="S20" s="9" t="s">
        <v>398</v>
      </c>
      <c r="T20" s="9" t="s">
        <v>377</v>
      </c>
      <c r="U20" s="9" t="s">
        <v>1382</v>
      </c>
      <c r="V20" s="9" t="s">
        <v>1347</v>
      </c>
      <c r="W20" s="9"/>
      <c r="X20" s="9" t="s">
        <v>377</v>
      </c>
      <c r="Y20" s="9" t="s">
        <v>377</v>
      </c>
      <c r="Z20" s="12" t="b">
        <f aca="false">FALSE()</f>
        <v>0</v>
      </c>
      <c r="AA20" s="8" t="s">
        <v>1348</v>
      </c>
    </row>
    <row r="21" customFormat="false" ht="15.75" hidden="false" customHeight="true" outlineLevel="0" collapsed="false">
      <c r="A21" s="9" t="s">
        <v>1403</v>
      </c>
      <c r="B21" s="9" t="s">
        <v>465</v>
      </c>
      <c r="C21" s="9" t="s">
        <v>466</v>
      </c>
      <c r="D21" s="9" t="s">
        <v>377</v>
      </c>
      <c r="E21" s="9" t="s">
        <v>947</v>
      </c>
      <c r="F21" s="9" t="s">
        <v>1336</v>
      </c>
      <c r="G21" s="9" t="s">
        <v>1351</v>
      </c>
      <c r="H21" s="9" t="s">
        <v>1352</v>
      </c>
      <c r="I21" s="9"/>
      <c r="J21" s="9"/>
      <c r="K21" s="9"/>
      <c r="L21" s="9"/>
      <c r="M21" s="9"/>
      <c r="N21" s="9"/>
      <c r="O21" s="9"/>
      <c r="P21" s="9"/>
      <c r="Q21" s="9" t="s">
        <v>1353</v>
      </c>
      <c r="R21" s="9"/>
      <c r="S21" s="9"/>
      <c r="T21" s="9"/>
      <c r="U21" s="9"/>
      <c r="V21" s="9"/>
      <c r="W21" s="9"/>
      <c r="X21" s="9" t="s">
        <v>414</v>
      </c>
      <c r="Y21" s="9" t="s">
        <v>391</v>
      </c>
      <c r="Z21" s="12" t="b">
        <f aca="false">FALSE()</f>
        <v>0</v>
      </c>
      <c r="AA21" s="8" t="s">
        <v>1348</v>
      </c>
    </row>
    <row r="22" customFormat="false" ht="15.75" hidden="false" customHeight="true" outlineLevel="0" collapsed="false">
      <c r="A22" s="9" t="s">
        <v>1404</v>
      </c>
      <c r="B22" s="9" t="s">
        <v>468</v>
      </c>
      <c r="C22" s="9" t="s">
        <v>469</v>
      </c>
      <c r="D22" s="9" t="s">
        <v>384</v>
      </c>
      <c r="E22" s="9" t="s">
        <v>1021</v>
      </c>
      <c r="F22" s="9" t="s">
        <v>1405</v>
      </c>
      <c r="G22" s="9" t="s">
        <v>1351</v>
      </c>
      <c r="H22" s="9" t="s">
        <v>1352</v>
      </c>
      <c r="I22" s="9"/>
      <c r="J22" s="9"/>
      <c r="K22" s="9"/>
      <c r="L22" s="9"/>
      <c r="M22" s="9"/>
      <c r="N22" s="9"/>
      <c r="O22" s="9"/>
      <c r="P22" s="9"/>
      <c r="Q22" s="9" t="s">
        <v>1353</v>
      </c>
      <c r="R22" s="9"/>
      <c r="S22" s="9"/>
      <c r="T22" s="9"/>
      <c r="U22" s="9"/>
      <c r="V22" s="9"/>
      <c r="W22" s="9"/>
      <c r="X22" s="9" t="s">
        <v>414</v>
      </c>
      <c r="Y22" s="9" t="s">
        <v>391</v>
      </c>
      <c r="Z22" s="12" t="b">
        <f aca="false">FALSE()</f>
        <v>0</v>
      </c>
      <c r="AA22" s="8" t="s">
        <v>1348</v>
      </c>
    </row>
    <row r="23" customFormat="false" ht="15.75" hidden="false" customHeight="true" outlineLevel="0" collapsed="false">
      <c r="A23" s="9" t="s">
        <v>1406</v>
      </c>
      <c r="B23" s="9" t="s">
        <v>468</v>
      </c>
      <c r="C23" s="9" t="s">
        <v>469</v>
      </c>
      <c r="D23" s="9" t="s">
        <v>384</v>
      </c>
      <c r="E23" s="9" t="s">
        <v>1350</v>
      </c>
      <c r="F23" s="9" t="s">
        <v>1405</v>
      </c>
      <c r="G23" s="9" t="s">
        <v>1351</v>
      </c>
      <c r="H23" s="9" t="s">
        <v>1352</v>
      </c>
      <c r="I23" s="9"/>
      <c r="J23" s="9"/>
      <c r="K23" s="9"/>
      <c r="L23" s="9"/>
      <c r="M23" s="9"/>
      <c r="N23" s="9"/>
      <c r="O23" s="9"/>
      <c r="P23" s="9"/>
      <c r="Q23" s="9" t="s">
        <v>1353</v>
      </c>
      <c r="R23" s="9"/>
      <c r="S23" s="9"/>
      <c r="T23" s="9"/>
      <c r="U23" s="9"/>
      <c r="V23" s="9"/>
      <c r="W23" s="9"/>
      <c r="X23" s="9" t="s">
        <v>414</v>
      </c>
      <c r="Y23" s="9" t="s">
        <v>391</v>
      </c>
      <c r="Z23" s="12" t="b">
        <f aca="false">FALSE()</f>
        <v>0</v>
      </c>
      <c r="AA23" s="8" t="s">
        <v>1348</v>
      </c>
    </row>
    <row r="24" customFormat="false" ht="15.75" hidden="false" customHeight="true" outlineLevel="0" collapsed="false">
      <c r="A24" s="9" t="s">
        <v>1407</v>
      </c>
      <c r="B24" s="9" t="s">
        <v>468</v>
      </c>
      <c r="C24" s="9" t="s">
        <v>469</v>
      </c>
      <c r="D24" s="9" t="s">
        <v>384</v>
      </c>
      <c r="E24" s="9" t="s">
        <v>1355</v>
      </c>
      <c r="F24" s="9" t="s">
        <v>1405</v>
      </c>
      <c r="G24" s="9" t="s">
        <v>1351</v>
      </c>
      <c r="H24" s="9" t="s">
        <v>1352</v>
      </c>
      <c r="I24" s="9"/>
      <c r="J24" s="9"/>
      <c r="K24" s="9"/>
      <c r="L24" s="9"/>
      <c r="M24" s="9"/>
      <c r="N24" s="9"/>
      <c r="O24" s="9"/>
      <c r="P24" s="9"/>
      <c r="Q24" s="9" t="s">
        <v>1353</v>
      </c>
      <c r="R24" s="9"/>
      <c r="S24" s="9"/>
      <c r="T24" s="9"/>
      <c r="U24" s="9"/>
      <c r="V24" s="9"/>
      <c r="W24" s="9"/>
      <c r="X24" s="9" t="s">
        <v>414</v>
      </c>
      <c r="Y24" s="9" t="s">
        <v>391</v>
      </c>
      <c r="Z24" s="12" t="b">
        <f aca="false">FALSE()</f>
        <v>0</v>
      </c>
      <c r="AA24" s="8" t="s">
        <v>1348</v>
      </c>
    </row>
    <row r="25" customFormat="false" ht="15.75" hidden="false" customHeight="true" outlineLevel="0" collapsed="false">
      <c r="A25" s="9" t="s">
        <v>1408</v>
      </c>
      <c r="B25" s="9" t="s">
        <v>468</v>
      </c>
      <c r="C25" s="9" t="s">
        <v>469</v>
      </c>
      <c r="D25" s="9" t="s">
        <v>384</v>
      </c>
      <c r="E25" s="9" t="s">
        <v>886</v>
      </c>
      <c r="F25" s="9" t="s">
        <v>1405</v>
      </c>
      <c r="G25" s="9" t="s">
        <v>1351</v>
      </c>
      <c r="H25" s="9" t="s">
        <v>1352</v>
      </c>
      <c r="I25" s="9"/>
      <c r="J25" s="9"/>
      <c r="K25" s="9"/>
      <c r="L25" s="9"/>
      <c r="M25" s="9"/>
      <c r="N25" s="9"/>
      <c r="O25" s="9"/>
      <c r="P25" s="9"/>
      <c r="Q25" s="9" t="s">
        <v>1353</v>
      </c>
      <c r="R25" s="9"/>
      <c r="S25" s="9"/>
      <c r="T25" s="9"/>
      <c r="U25" s="9"/>
      <c r="V25" s="9"/>
      <c r="W25" s="9"/>
      <c r="X25" s="9" t="s">
        <v>414</v>
      </c>
      <c r="Y25" s="9" t="s">
        <v>391</v>
      </c>
      <c r="Z25" s="12" t="b">
        <f aca="false">FALSE()</f>
        <v>0</v>
      </c>
      <c r="AA25" s="8" t="s">
        <v>1348</v>
      </c>
    </row>
    <row r="26" customFormat="false" ht="15.75" hidden="false" customHeight="true" outlineLevel="0" collapsed="false">
      <c r="A26" s="9" t="s">
        <v>1409</v>
      </c>
      <c r="B26" s="9" t="s">
        <v>468</v>
      </c>
      <c r="C26" s="9" t="s">
        <v>469</v>
      </c>
      <c r="D26" s="9" t="s">
        <v>384</v>
      </c>
      <c r="E26" s="9" t="s">
        <v>866</v>
      </c>
      <c r="F26" s="9" t="s">
        <v>1405</v>
      </c>
      <c r="G26" s="9" t="s">
        <v>1351</v>
      </c>
      <c r="H26" s="9" t="s">
        <v>1352</v>
      </c>
      <c r="I26" s="9"/>
      <c r="J26" s="9"/>
      <c r="K26" s="9"/>
      <c r="L26" s="9"/>
      <c r="M26" s="9"/>
      <c r="N26" s="9"/>
      <c r="O26" s="9"/>
      <c r="P26" s="9"/>
      <c r="Q26" s="9" t="s">
        <v>1353</v>
      </c>
      <c r="R26" s="9"/>
      <c r="S26" s="9"/>
      <c r="T26" s="9"/>
      <c r="U26" s="9"/>
      <c r="V26" s="9"/>
      <c r="W26" s="9"/>
      <c r="X26" s="9" t="s">
        <v>414</v>
      </c>
      <c r="Y26" s="9" t="s">
        <v>391</v>
      </c>
      <c r="Z26" s="12" t="b">
        <f aca="false">FALSE()</f>
        <v>0</v>
      </c>
      <c r="AA26" s="8" t="s">
        <v>1348</v>
      </c>
    </row>
    <row r="27" customFormat="false" ht="15.75" hidden="false" customHeight="true" outlineLevel="0" collapsed="false">
      <c r="A27" s="9" t="s">
        <v>1410</v>
      </c>
      <c r="B27" s="9" t="s">
        <v>468</v>
      </c>
      <c r="C27" s="9" t="s">
        <v>469</v>
      </c>
      <c r="D27" s="9" t="s">
        <v>384</v>
      </c>
      <c r="E27" s="9" t="s">
        <v>912</v>
      </c>
      <c r="F27" s="9" t="s">
        <v>1405</v>
      </c>
      <c r="G27" s="9" t="s">
        <v>1351</v>
      </c>
      <c r="H27" s="9" t="s">
        <v>1352</v>
      </c>
      <c r="I27" s="9"/>
      <c r="J27" s="9"/>
      <c r="K27" s="9"/>
      <c r="L27" s="9"/>
      <c r="M27" s="9"/>
      <c r="N27" s="9"/>
      <c r="O27" s="9"/>
      <c r="P27" s="9"/>
      <c r="Q27" s="9" t="s">
        <v>1353</v>
      </c>
      <c r="R27" s="9"/>
      <c r="S27" s="9"/>
      <c r="T27" s="9"/>
      <c r="U27" s="9"/>
      <c r="V27" s="9"/>
      <c r="W27" s="9"/>
      <c r="X27" s="9" t="s">
        <v>414</v>
      </c>
      <c r="Y27" s="9" t="s">
        <v>391</v>
      </c>
      <c r="Z27" s="12" t="b">
        <f aca="false">FALSE()</f>
        <v>0</v>
      </c>
      <c r="AA27" s="8" t="s">
        <v>1348</v>
      </c>
    </row>
    <row r="28" customFormat="false" ht="15.75" hidden="false" customHeight="true" outlineLevel="0" collapsed="false">
      <c r="A28" s="9" t="s">
        <v>1411</v>
      </c>
      <c r="B28" s="9" t="s">
        <v>468</v>
      </c>
      <c r="C28" s="9" t="s">
        <v>469</v>
      </c>
      <c r="D28" s="9" t="s">
        <v>384</v>
      </c>
      <c r="E28" s="9" t="s">
        <v>966</v>
      </c>
      <c r="F28" s="9" t="s">
        <v>1405</v>
      </c>
      <c r="G28" s="9" t="s">
        <v>1351</v>
      </c>
      <c r="H28" s="9" t="s">
        <v>1352</v>
      </c>
      <c r="I28" s="9"/>
      <c r="J28" s="9"/>
      <c r="K28" s="9"/>
      <c r="L28" s="9"/>
      <c r="M28" s="9"/>
      <c r="N28" s="9"/>
      <c r="O28" s="9"/>
      <c r="P28" s="9"/>
      <c r="Q28" s="9" t="s">
        <v>1353</v>
      </c>
      <c r="R28" s="9"/>
      <c r="S28" s="9"/>
      <c r="T28" s="9"/>
      <c r="U28" s="9"/>
      <c r="V28" s="9"/>
      <c r="W28" s="9"/>
      <c r="X28" s="9" t="s">
        <v>414</v>
      </c>
      <c r="Y28" s="9" t="s">
        <v>391</v>
      </c>
      <c r="Z28" s="12" t="b">
        <f aca="false">FALSE()</f>
        <v>0</v>
      </c>
      <c r="AA28" s="8" t="s">
        <v>1348</v>
      </c>
    </row>
    <row r="29" customFormat="false" ht="15.75" hidden="false" customHeight="true" outlineLevel="0" collapsed="false">
      <c r="A29" s="9" t="s">
        <v>1412</v>
      </c>
      <c r="B29" s="9" t="s">
        <v>468</v>
      </c>
      <c r="C29" s="9" t="s">
        <v>469</v>
      </c>
      <c r="D29" s="9" t="s">
        <v>384</v>
      </c>
      <c r="E29" s="9" t="s">
        <v>947</v>
      </c>
      <c r="F29" s="9" t="s">
        <v>1405</v>
      </c>
      <c r="G29" s="9" t="s">
        <v>1351</v>
      </c>
      <c r="H29" s="9" t="s">
        <v>1352</v>
      </c>
      <c r="I29" s="9"/>
      <c r="J29" s="9"/>
      <c r="K29" s="9"/>
      <c r="L29" s="9"/>
      <c r="M29" s="9"/>
      <c r="N29" s="9"/>
      <c r="O29" s="9"/>
      <c r="P29" s="9"/>
      <c r="Q29" s="9" t="s">
        <v>1353</v>
      </c>
      <c r="R29" s="9"/>
      <c r="S29" s="9"/>
      <c r="T29" s="9"/>
      <c r="U29" s="9"/>
      <c r="V29" s="9"/>
      <c r="W29" s="9"/>
      <c r="X29" s="9" t="s">
        <v>414</v>
      </c>
      <c r="Y29" s="9" t="s">
        <v>391</v>
      </c>
      <c r="Z29" s="12" t="b">
        <f aca="false">FALSE()</f>
        <v>0</v>
      </c>
      <c r="AA29" s="8" t="s">
        <v>1348</v>
      </c>
    </row>
    <row r="30" customFormat="false" ht="15.75" hidden="false" customHeight="true" outlineLevel="0" collapsed="false">
      <c r="A30" s="9" t="s">
        <v>1413</v>
      </c>
      <c r="B30" s="9" t="s">
        <v>473</v>
      </c>
      <c r="C30" s="9" t="s">
        <v>474</v>
      </c>
      <c r="D30" s="9" t="s">
        <v>377</v>
      </c>
      <c r="E30" s="9" t="s">
        <v>1021</v>
      </c>
      <c r="F30" s="9" t="s">
        <v>1336</v>
      </c>
      <c r="G30" s="9" t="s">
        <v>1337</v>
      </c>
      <c r="H30" s="9" t="s">
        <v>1338</v>
      </c>
      <c r="I30" s="9" t="s">
        <v>1414</v>
      </c>
      <c r="J30" s="9" t="s">
        <v>377</v>
      </c>
      <c r="K30" s="9" t="s">
        <v>1022</v>
      </c>
      <c r="L30" s="9" t="s">
        <v>901</v>
      </c>
      <c r="M30" s="9" t="s">
        <v>1415</v>
      </c>
      <c r="N30" s="9" t="s">
        <v>1025</v>
      </c>
      <c r="O30" s="9" t="s">
        <v>1025</v>
      </c>
      <c r="P30" s="9" t="s">
        <v>1416</v>
      </c>
      <c r="Q30" s="9" t="s">
        <v>113</v>
      </c>
      <c r="R30" s="9" t="s">
        <v>1381</v>
      </c>
      <c r="S30" s="9" t="s">
        <v>398</v>
      </c>
      <c r="T30" s="9" t="s">
        <v>377</v>
      </c>
      <c r="U30" s="9" t="s">
        <v>1417</v>
      </c>
      <c r="V30" s="9" t="s">
        <v>1347</v>
      </c>
      <c r="W30" s="9"/>
      <c r="X30" s="9" t="s">
        <v>377</v>
      </c>
      <c r="Y30" s="9" t="s">
        <v>377</v>
      </c>
      <c r="Z30" s="12" t="b">
        <f aca="false">FALSE()</f>
        <v>0</v>
      </c>
      <c r="AA30" s="8" t="s">
        <v>1348</v>
      </c>
    </row>
    <row r="31" customFormat="false" ht="15.75" hidden="false" customHeight="true" outlineLevel="0" collapsed="false">
      <c r="A31" s="9" t="s">
        <v>1418</v>
      </c>
      <c r="B31" s="9" t="s">
        <v>473</v>
      </c>
      <c r="C31" s="9" t="s">
        <v>474</v>
      </c>
      <c r="D31" s="9" t="s">
        <v>377</v>
      </c>
      <c r="E31" s="9" t="s">
        <v>1350</v>
      </c>
      <c r="F31" s="9" t="s">
        <v>1336</v>
      </c>
      <c r="G31" s="9" t="s">
        <v>1337</v>
      </c>
      <c r="H31" s="9" t="s">
        <v>1338</v>
      </c>
      <c r="I31" s="9" t="s">
        <v>1414</v>
      </c>
      <c r="J31" s="9" t="s">
        <v>377</v>
      </c>
      <c r="K31" s="9" t="s">
        <v>1384</v>
      </c>
      <c r="L31" s="9" t="s">
        <v>1378</v>
      </c>
      <c r="M31" s="9" t="s">
        <v>1385</v>
      </c>
      <c r="N31" s="9" t="s">
        <v>1386</v>
      </c>
      <c r="O31" s="9" t="s">
        <v>1386</v>
      </c>
      <c r="P31" s="9" t="s">
        <v>1419</v>
      </c>
      <c r="Q31" s="9" t="s">
        <v>113</v>
      </c>
      <c r="R31" s="9" t="s">
        <v>1420</v>
      </c>
      <c r="S31" s="9" t="s">
        <v>398</v>
      </c>
      <c r="T31" s="9" t="s">
        <v>377</v>
      </c>
      <c r="U31" s="9"/>
      <c r="V31" s="9" t="s">
        <v>1347</v>
      </c>
      <c r="W31" s="9"/>
      <c r="X31" s="9" t="s">
        <v>377</v>
      </c>
      <c r="Y31" s="9" t="s">
        <v>377</v>
      </c>
      <c r="Z31" s="12" t="b">
        <f aca="false">FALSE()</f>
        <v>0</v>
      </c>
      <c r="AA31" s="8" t="s">
        <v>1348</v>
      </c>
    </row>
    <row r="32" customFormat="false" ht="15.75" hidden="false" customHeight="true" outlineLevel="0" collapsed="false">
      <c r="A32" s="9" t="s">
        <v>1421</v>
      </c>
      <c r="B32" s="9" t="s">
        <v>473</v>
      </c>
      <c r="C32" s="9" t="s">
        <v>474</v>
      </c>
      <c r="D32" s="9" t="s">
        <v>377</v>
      </c>
      <c r="E32" s="9" t="s">
        <v>1355</v>
      </c>
      <c r="F32" s="9" t="s">
        <v>1336</v>
      </c>
      <c r="G32" s="9" t="s">
        <v>1337</v>
      </c>
      <c r="H32" s="9" t="s">
        <v>1338</v>
      </c>
      <c r="I32" s="9" t="s">
        <v>1414</v>
      </c>
      <c r="J32" s="9" t="s">
        <v>377</v>
      </c>
      <c r="K32" s="9" t="s">
        <v>1390</v>
      </c>
      <c r="L32" s="9" t="s">
        <v>924</v>
      </c>
      <c r="M32" s="9" t="s">
        <v>924</v>
      </c>
      <c r="N32" s="9" t="s">
        <v>1391</v>
      </c>
      <c r="O32" s="9" t="s">
        <v>1392</v>
      </c>
      <c r="P32" s="9" t="s">
        <v>1422</v>
      </c>
      <c r="Q32" s="9" t="s">
        <v>113</v>
      </c>
      <c r="R32" s="9" t="s">
        <v>1423</v>
      </c>
      <c r="S32" s="9" t="s">
        <v>398</v>
      </c>
      <c r="T32" s="9" t="s">
        <v>377</v>
      </c>
      <c r="U32" s="9"/>
      <c r="V32" s="9" t="s">
        <v>1347</v>
      </c>
      <c r="W32" s="9"/>
      <c r="X32" s="9" t="s">
        <v>377</v>
      </c>
      <c r="Y32" s="9" t="s">
        <v>377</v>
      </c>
      <c r="Z32" s="12" t="b">
        <f aca="false">FALSE()</f>
        <v>0</v>
      </c>
      <c r="AA32" s="8" t="s">
        <v>1348</v>
      </c>
    </row>
    <row r="33" customFormat="false" ht="15.75" hidden="false" customHeight="true" outlineLevel="0" collapsed="false">
      <c r="A33" s="9" t="s">
        <v>1424</v>
      </c>
      <c r="B33" s="9" t="s">
        <v>473</v>
      </c>
      <c r="C33" s="9" t="s">
        <v>474</v>
      </c>
      <c r="D33" s="9" t="s">
        <v>377</v>
      </c>
      <c r="E33" s="9" t="s">
        <v>886</v>
      </c>
      <c r="F33" s="9" t="s">
        <v>1336</v>
      </c>
      <c r="G33" s="9" t="s">
        <v>1337</v>
      </c>
      <c r="H33" s="9" t="s">
        <v>1338</v>
      </c>
      <c r="I33" s="9" t="s">
        <v>1414</v>
      </c>
      <c r="J33" s="9" t="s">
        <v>377</v>
      </c>
      <c r="K33" s="9" t="s">
        <v>900</v>
      </c>
      <c r="L33" s="9" t="s">
        <v>924</v>
      </c>
      <c r="M33" s="9" t="s">
        <v>1425</v>
      </c>
      <c r="N33" s="9" t="s">
        <v>903</v>
      </c>
      <c r="O33" s="9" t="s">
        <v>904</v>
      </c>
      <c r="P33" s="9" t="s">
        <v>1426</v>
      </c>
      <c r="Q33" s="9" t="s">
        <v>113</v>
      </c>
      <c r="R33" s="9" t="s">
        <v>1427</v>
      </c>
      <c r="S33" s="9" t="s">
        <v>398</v>
      </c>
      <c r="T33" s="9" t="s">
        <v>377</v>
      </c>
      <c r="U33" s="9" t="s">
        <v>1428</v>
      </c>
      <c r="V33" s="9" t="s">
        <v>1347</v>
      </c>
      <c r="W33" s="9"/>
      <c r="X33" s="9" t="s">
        <v>377</v>
      </c>
      <c r="Y33" s="9" t="s">
        <v>377</v>
      </c>
      <c r="Z33" s="12" t="b">
        <f aca="false">FALSE()</f>
        <v>0</v>
      </c>
      <c r="AA33" s="8" t="s">
        <v>1348</v>
      </c>
    </row>
    <row r="34" customFormat="false" ht="15.75" hidden="false" customHeight="true" outlineLevel="0" collapsed="false">
      <c r="A34" s="9" t="s">
        <v>1429</v>
      </c>
      <c r="B34" s="9" t="s">
        <v>473</v>
      </c>
      <c r="C34" s="9" t="s">
        <v>474</v>
      </c>
      <c r="D34" s="9" t="s">
        <v>377</v>
      </c>
      <c r="E34" s="9" t="s">
        <v>866</v>
      </c>
      <c r="F34" s="9" t="s">
        <v>1336</v>
      </c>
      <c r="G34" s="9" t="s">
        <v>1351</v>
      </c>
      <c r="H34" s="9" t="s">
        <v>1352</v>
      </c>
      <c r="I34" s="9"/>
      <c r="J34" s="9"/>
      <c r="K34" s="9"/>
      <c r="L34" s="9"/>
      <c r="M34" s="9"/>
      <c r="N34" s="9"/>
      <c r="O34" s="9"/>
      <c r="P34" s="9"/>
      <c r="Q34" s="9" t="s">
        <v>1353</v>
      </c>
      <c r="R34" s="9"/>
      <c r="S34" s="9"/>
      <c r="T34" s="9"/>
      <c r="U34" s="9"/>
      <c r="V34" s="9"/>
      <c r="W34" s="9"/>
      <c r="X34" s="9" t="s">
        <v>414</v>
      </c>
      <c r="Y34" s="9" t="s">
        <v>391</v>
      </c>
      <c r="Z34" s="12" t="b">
        <f aca="false">FALSE()</f>
        <v>0</v>
      </c>
      <c r="AA34" s="8" t="s">
        <v>1348</v>
      </c>
    </row>
    <row r="35" customFormat="false" ht="15.75" hidden="false" customHeight="true" outlineLevel="0" collapsed="false">
      <c r="A35" s="9" t="s">
        <v>1430</v>
      </c>
      <c r="B35" s="9" t="s">
        <v>473</v>
      </c>
      <c r="C35" s="9" t="s">
        <v>474</v>
      </c>
      <c r="D35" s="9" t="s">
        <v>377</v>
      </c>
      <c r="E35" s="9" t="s">
        <v>912</v>
      </c>
      <c r="F35" s="9" t="s">
        <v>1336</v>
      </c>
      <c r="G35" s="9" t="s">
        <v>1363</v>
      </c>
      <c r="H35" s="9" t="s">
        <v>1338</v>
      </c>
      <c r="I35" s="9" t="s">
        <v>1414</v>
      </c>
      <c r="J35" s="9" t="s">
        <v>377</v>
      </c>
      <c r="K35" s="9" t="s">
        <v>913</v>
      </c>
      <c r="L35" s="9" t="s">
        <v>914</v>
      </c>
      <c r="M35" s="9" t="s">
        <v>941</v>
      </c>
      <c r="N35" s="9" t="s">
        <v>916</v>
      </c>
      <c r="O35" s="9" t="s">
        <v>916</v>
      </c>
      <c r="P35" s="9" t="s">
        <v>1365</v>
      </c>
      <c r="Q35" s="9" t="s">
        <v>113</v>
      </c>
      <c r="R35" s="9" t="s">
        <v>1366</v>
      </c>
      <c r="S35" s="9" t="s">
        <v>398</v>
      </c>
      <c r="T35" s="9" t="s">
        <v>377</v>
      </c>
      <c r="U35" s="9" t="s">
        <v>1431</v>
      </c>
      <c r="V35" s="9" t="s">
        <v>1347</v>
      </c>
      <c r="W35" s="9"/>
      <c r="X35" s="9" t="s">
        <v>377</v>
      </c>
      <c r="Y35" s="9" t="s">
        <v>377</v>
      </c>
      <c r="Z35" s="12" t="b">
        <f aca="false">FALSE()</f>
        <v>0</v>
      </c>
      <c r="AA35" s="8" t="s">
        <v>1348</v>
      </c>
    </row>
    <row r="36" customFormat="false" ht="15.75" hidden="false" customHeight="true" outlineLevel="0" collapsed="false">
      <c r="A36" s="9" t="s">
        <v>1432</v>
      </c>
      <c r="B36" s="9" t="s">
        <v>473</v>
      </c>
      <c r="C36" s="9" t="s">
        <v>474</v>
      </c>
      <c r="D36" s="9" t="s">
        <v>377</v>
      </c>
      <c r="E36" s="9" t="s">
        <v>966</v>
      </c>
      <c r="F36" s="9" t="s">
        <v>1336</v>
      </c>
      <c r="G36" s="9" t="s">
        <v>1351</v>
      </c>
      <c r="H36" s="9" t="s">
        <v>1352</v>
      </c>
      <c r="I36" s="9"/>
      <c r="J36" s="9"/>
      <c r="K36" s="9"/>
      <c r="L36" s="9"/>
      <c r="M36" s="9"/>
      <c r="N36" s="9"/>
      <c r="O36" s="9"/>
      <c r="P36" s="9"/>
      <c r="Q36" s="9" t="s">
        <v>1353</v>
      </c>
      <c r="R36" s="9"/>
      <c r="S36" s="9"/>
      <c r="T36" s="9"/>
      <c r="U36" s="9"/>
      <c r="V36" s="9"/>
      <c r="W36" s="9"/>
      <c r="X36" s="9" t="s">
        <v>414</v>
      </c>
      <c r="Y36" s="9" t="s">
        <v>391</v>
      </c>
      <c r="Z36" s="12" t="b">
        <f aca="false">FALSE()</f>
        <v>0</v>
      </c>
      <c r="AA36" s="8" t="s">
        <v>1348</v>
      </c>
    </row>
    <row r="37" customFormat="false" ht="15.75" hidden="false" customHeight="true" outlineLevel="0" collapsed="false">
      <c r="A37" s="9" t="s">
        <v>1433</v>
      </c>
      <c r="B37" s="9" t="s">
        <v>473</v>
      </c>
      <c r="C37" s="9" t="s">
        <v>474</v>
      </c>
      <c r="D37" s="9" t="s">
        <v>377</v>
      </c>
      <c r="E37" s="9" t="s">
        <v>947</v>
      </c>
      <c r="F37" s="9" t="s">
        <v>1336</v>
      </c>
      <c r="G37" s="9" t="s">
        <v>1363</v>
      </c>
      <c r="H37" s="9" t="s">
        <v>1338</v>
      </c>
      <c r="I37" s="9" t="s">
        <v>1414</v>
      </c>
      <c r="J37" s="9" t="s">
        <v>377</v>
      </c>
      <c r="K37" s="9" t="s">
        <v>948</v>
      </c>
      <c r="L37" s="9" t="s">
        <v>1434</v>
      </c>
      <c r="M37" s="9" t="s">
        <v>1435</v>
      </c>
      <c r="N37" s="9" t="s">
        <v>1076</v>
      </c>
      <c r="O37" s="9" t="s">
        <v>1076</v>
      </c>
      <c r="P37" s="9" t="s">
        <v>1436</v>
      </c>
      <c r="Q37" s="9" t="s">
        <v>113</v>
      </c>
      <c r="R37" s="9" t="s">
        <v>1437</v>
      </c>
      <c r="S37" s="9" t="s">
        <v>398</v>
      </c>
      <c r="T37" s="9" t="s">
        <v>377</v>
      </c>
      <c r="U37" s="9" t="s">
        <v>1438</v>
      </c>
      <c r="V37" s="9" t="s">
        <v>1347</v>
      </c>
      <c r="W37" s="9"/>
      <c r="X37" s="9" t="s">
        <v>377</v>
      </c>
      <c r="Y37" s="9" t="s">
        <v>377</v>
      </c>
      <c r="Z37" s="12" t="b">
        <f aca="false">FALSE()</f>
        <v>0</v>
      </c>
      <c r="AA37" s="8" t="s">
        <v>1348</v>
      </c>
    </row>
    <row r="38" customFormat="false" ht="15.75" hidden="false" customHeight="true" outlineLevel="0" collapsed="false">
      <c r="A38" s="9" t="s">
        <v>1439</v>
      </c>
      <c r="B38" s="9" t="s">
        <v>477</v>
      </c>
      <c r="C38" s="9" t="s">
        <v>478</v>
      </c>
      <c r="D38" s="9" t="s">
        <v>377</v>
      </c>
      <c r="E38" s="9" t="s">
        <v>1021</v>
      </c>
      <c r="F38" s="9" t="s">
        <v>1336</v>
      </c>
      <c r="G38" s="9" t="s">
        <v>1337</v>
      </c>
      <c r="H38" s="9" t="s">
        <v>1338</v>
      </c>
      <c r="I38" s="9" t="s">
        <v>1440</v>
      </c>
      <c r="J38" s="9" t="s">
        <v>377</v>
      </c>
      <c r="K38" s="9" t="s">
        <v>1022</v>
      </c>
      <c r="L38" s="9" t="s">
        <v>1142</v>
      </c>
      <c r="M38" s="9" t="s">
        <v>1441</v>
      </c>
      <c r="N38" s="9" t="s">
        <v>1197</v>
      </c>
      <c r="O38" s="9" t="s">
        <v>1144</v>
      </c>
      <c r="P38" s="9" t="s">
        <v>1442</v>
      </c>
      <c r="Q38" s="9" t="s">
        <v>113</v>
      </c>
      <c r="R38" s="9" t="s">
        <v>1443</v>
      </c>
      <c r="S38" s="9" t="s">
        <v>398</v>
      </c>
      <c r="T38" s="9" t="s">
        <v>377</v>
      </c>
      <c r="U38" s="9"/>
      <c r="V38" s="9" t="s">
        <v>1347</v>
      </c>
      <c r="W38" s="9"/>
      <c r="X38" s="9" t="s">
        <v>377</v>
      </c>
      <c r="Y38" s="9" t="s">
        <v>377</v>
      </c>
      <c r="Z38" s="12" t="b">
        <f aca="false">FALSE()</f>
        <v>0</v>
      </c>
      <c r="AA38" s="8" t="s">
        <v>1348</v>
      </c>
    </row>
    <row r="39" customFormat="false" ht="15.75" hidden="false" customHeight="true" outlineLevel="0" collapsed="false">
      <c r="A39" s="9" t="s">
        <v>1444</v>
      </c>
      <c r="B39" s="9" t="s">
        <v>477</v>
      </c>
      <c r="C39" s="9" t="s">
        <v>478</v>
      </c>
      <c r="D39" s="9" t="s">
        <v>377</v>
      </c>
      <c r="E39" s="9" t="s">
        <v>1350</v>
      </c>
      <c r="F39" s="9" t="s">
        <v>1336</v>
      </c>
      <c r="G39" s="9" t="s">
        <v>1337</v>
      </c>
      <c r="H39" s="9" t="s">
        <v>1338</v>
      </c>
      <c r="I39" s="9" t="s">
        <v>1440</v>
      </c>
      <c r="J39" s="9" t="s">
        <v>377</v>
      </c>
      <c r="K39" s="9" t="s">
        <v>1384</v>
      </c>
      <c r="L39" s="9" t="s">
        <v>1445</v>
      </c>
      <c r="M39" s="9" t="s">
        <v>1446</v>
      </c>
      <c r="N39" s="9" t="s">
        <v>1447</v>
      </c>
      <c r="O39" s="9" t="s">
        <v>1448</v>
      </c>
      <c r="P39" s="9" t="s">
        <v>1449</v>
      </c>
      <c r="Q39" s="9" t="s">
        <v>113</v>
      </c>
      <c r="R39" s="9" t="s">
        <v>1450</v>
      </c>
      <c r="S39" s="9" t="s">
        <v>398</v>
      </c>
      <c r="T39" s="9" t="s">
        <v>377</v>
      </c>
      <c r="U39" s="9" t="s">
        <v>1451</v>
      </c>
      <c r="V39" s="9" t="s">
        <v>1347</v>
      </c>
      <c r="W39" s="9"/>
      <c r="X39" s="9" t="s">
        <v>377</v>
      </c>
      <c r="Y39" s="9" t="s">
        <v>377</v>
      </c>
      <c r="Z39" s="12" t="b">
        <f aca="false">FALSE()</f>
        <v>0</v>
      </c>
      <c r="AA39" s="8" t="s">
        <v>1348</v>
      </c>
    </row>
    <row r="40" customFormat="false" ht="15.75" hidden="false" customHeight="true" outlineLevel="0" collapsed="false">
      <c r="A40" s="9" t="s">
        <v>1452</v>
      </c>
      <c r="B40" s="9" t="s">
        <v>477</v>
      </c>
      <c r="C40" s="9" t="s">
        <v>478</v>
      </c>
      <c r="D40" s="9" t="s">
        <v>377</v>
      </c>
      <c r="E40" s="9" t="s">
        <v>1355</v>
      </c>
      <c r="F40" s="9" t="s">
        <v>1336</v>
      </c>
      <c r="G40" s="9" t="s">
        <v>1337</v>
      </c>
      <c r="H40" s="9" t="s">
        <v>1338</v>
      </c>
      <c r="I40" s="9" t="s">
        <v>1440</v>
      </c>
      <c r="J40" s="9" t="s">
        <v>377</v>
      </c>
      <c r="K40" s="9" t="s">
        <v>1390</v>
      </c>
      <c r="L40" s="9" t="s">
        <v>1378</v>
      </c>
      <c r="M40" s="9" t="s">
        <v>924</v>
      </c>
      <c r="N40" s="9" t="s">
        <v>1391</v>
      </c>
      <c r="O40" s="9" t="s">
        <v>1392</v>
      </c>
      <c r="P40" s="9" t="s">
        <v>1453</v>
      </c>
      <c r="Q40" s="9" t="s">
        <v>113</v>
      </c>
      <c r="R40" s="9" t="s">
        <v>1394</v>
      </c>
      <c r="S40" s="9" t="s">
        <v>398</v>
      </c>
      <c r="T40" s="9" t="s">
        <v>377</v>
      </c>
      <c r="U40" s="9" t="s">
        <v>1454</v>
      </c>
      <c r="V40" s="9" t="s">
        <v>1347</v>
      </c>
      <c r="W40" s="9"/>
      <c r="X40" s="9" t="s">
        <v>377</v>
      </c>
      <c r="Y40" s="9" t="s">
        <v>377</v>
      </c>
      <c r="Z40" s="12" t="b">
        <f aca="false">FALSE()</f>
        <v>0</v>
      </c>
      <c r="AA40" s="8" t="s">
        <v>1348</v>
      </c>
    </row>
    <row r="41" customFormat="false" ht="15.75" hidden="false" customHeight="true" outlineLevel="0" collapsed="false">
      <c r="A41" s="9" t="s">
        <v>1455</v>
      </c>
      <c r="B41" s="9" t="s">
        <v>477</v>
      </c>
      <c r="C41" s="9" t="s">
        <v>478</v>
      </c>
      <c r="D41" s="9" t="s">
        <v>377</v>
      </c>
      <c r="E41" s="9" t="s">
        <v>886</v>
      </c>
      <c r="F41" s="9" t="s">
        <v>1336</v>
      </c>
      <c r="G41" s="9" t="s">
        <v>1337</v>
      </c>
      <c r="H41" s="9" t="s">
        <v>1338</v>
      </c>
      <c r="I41" s="9" t="s">
        <v>1440</v>
      </c>
      <c r="J41" s="9" t="s">
        <v>377</v>
      </c>
      <c r="K41" s="9" t="s">
        <v>958</v>
      </c>
      <c r="L41" s="9" t="s">
        <v>959</v>
      </c>
      <c r="M41" s="9" t="s">
        <v>1456</v>
      </c>
      <c r="N41" s="9" t="s">
        <v>961</v>
      </c>
      <c r="O41" s="9" t="s">
        <v>961</v>
      </c>
      <c r="P41" s="9" t="s">
        <v>1457</v>
      </c>
      <c r="Q41" s="9" t="s">
        <v>113</v>
      </c>
      <c r="R41" s="9" t="s">
        <v>1458</v>
      </c>
      <c r="S41" s="9" t="s">
        <v>398</v>
      </c>
      <c r="T41" s="9" t="s">
        <v>377</v>
      </c>
      <c r="U41" s="9"/>
      <c r="V41" s="9" t="s">
        <v>1347</v>
      </c>
      <c r="W41" s="9"/>
      <c r="X41" s="9" t="s">
        <v>377</v>
      </c>
      <c r="Y41" s="9" t="s">
        <v>377</v>
      </c>
      <c r="Z41" s="12" t="b">
        <f aca="false">FALSE()</f>
        <v>0</v>
      </c>
      <c r="AA41" s="8" t="s">
        <v>1348</v>
      </c>
    </row>
    <row r="42" customFormat="false" ht="15.75" hidden="false" customHeight="true" outlineLevel="0" collapsed="false">
      <c r="A42" s="9" t="s">
        <v>1459</v>
      </c>
      <c r="B42" s="9" t="s">
        <v>477</v>
      </c>
      <c r="C42" s="9" t="s">
        <v>478</v>
      </c>
      <c r="D42" s="9" t="s">
        <v>377</v>
      </c>
      <c r="E42" s="9" t="s">
        <v>866</v>
      </c>
      <c r="F42" s="9" t="s">
        <v>1336</v>
      </c>
      <c r="G42" s="9" t="s">
        <v>1337</v>
      </c>
      <c r="H42" s="9" t="s">
        <v>1338</v>
      </c>
      <c r="I42" s="9" t="s">
        <v>1440</v>
      </c>
      <c r="J42" s="9" t="s">
        <v>377</v>
      </c>
      <c r="K42" s="9" t="s">
        <v>867</v>
      </c>
      <c r="L42" s="9" t="s">
        <v>868</v>
      </c>
      <c r="M42" s="9" t="s">
        <v>1397</v>
      </c>
      <c r="N42" s="9" t="s">
        <v>870</v>
      </c>
      <c r="O42" s="9" t="s">
        <v>870</v>
      </c>
      <c r="P42" s="9" t="s">
        <v>1460</v>
      </c>
      <c r="Q42" s="9" t="s">
        <v>113</v>
      </c>
      <c r="R42" s="9" t="s">
        <v>1360</v>
      </c>
      <c r="S42" s="9" t="s">
        <v>398</v>
      </c>
      <c r="T42" s="9" t="s">
        <v>377</v>
      </c>
      <c r="U42" s="9" t="s">
        <v>1454</v>
      </c>
      <c r="V42" s="9" t="s">
        <v>1347</v>
      </c>
      <c r="W42" s="9"/>
      <c r="X42" s="9" t="s">
        <v>377</v>
      </c>
      <c r="Y42" s="9" t="s">
        <v>377</v>
      </c>
      <c r="Z42" s="12" t="b">
        <f aca="false">FALSE()</f>
        <v>0</v>
      </c>
      <c r="AA42" s="8" t="s">
        <v>1348</v>
      </c>
    </row>
    <row r="43" customFormat="false" ht="15.75" hidden="false" customHeight="true" outlineLevel="0" collapsed="false">
      <c r="A43" s="9" t="s">
        <v>1461</v>
      </c>
      <c r="B43" s="9" t="s">
        <v>477</v>
      </c>
      <c r="C43" s="9" t="s">
        <v>478</v>
      </c>
      <c r="D43" s="9" t="s">
        <v>377</v>
      </c>
      <c r="E43" s="9" t="s">
        <v>912</v>
      </c>
      <c r="F43" s="9" t="s">
        <v>1336</v>
      </c>
      <c r="G43" s="9" t="s">
        <v>1363</v>
      </c>
      <c r="H43" s="9" t="s">
        <v>1338</v>
      </c>
      <c r="I43" s="9" t="s">
        <v>1440</v>
      </c>
      <c r="J43" s="9" t="s">
        <v>377</v>
      </c>
      <c r="K43" s="9" t="s">
        <v>913</v>
      </c>
      <c r="L43" s="9" t="s">
        <v>914</v>
      </c>
      <c r="M43" s="9" t="s">
        <v>915</v>
      </c>
      <c r="N43" s="9" t="s">
        <v>916</v>
      </c>
      <c r="O43" s="9" t="s">
        <v>916</v>
      </c>
      <c r="P43" s="9" t="s">
        <v>1365</v>
      </c>
      <c r="Q43" s="9" t="s">
        <v>113</v>
      </c>
      <c r="R43" s="9" t="s">
        <v>1366</v>
      </c>
      <c r="S43" s="9" t="s">
        <v>398</v>
      </c>
      <c r="T43" s="9" t="s">
        <v>377</v>
      </c>
      <c r="U43" s="9" t="s">
        <v>1462</v>
      </c>
      <c r="V43" s="9" t="s">
        <v>1347</v>
      </c>
      <c r="W43" s="9"/>
      <c r="X43" s="9" t="s">
        <v>377</v>
      </c>
      <c r="Y43" s="9" t="s">
        <v>377</v>
      </c>
      <c r="Z43" s="12" t="b">
        <f aca="false">FALSE()</f>
        <v>0</v>
      </c>
      <c r="AA43" s="8" t="s">
        <v>1348</v>
      </c>
    </row>
    <row r="44" customFormat="false" ht="15.75" hidden="false" customHeight="true" outlineLevel="0" collapsed="false">
      <c r="A44" s="9" t="s">
        <v>1463</v>
      </c>
      <c r="B44" s="9" t="s">
        <v>477</v>
      </c>
      <c r="C44" s="9" t="s">
        <v>478</v>
      </c>
      <c r="D44" s="9" t="s">
        <v>377</v>
      </c>
      <c r="E44" s="9" t="s">
        <v>966</v>
      </c>
      <c r="F44" s="9" t="s">
        <v>1336</v>
      </c>
      <c r="G44" s="9" t="s">
        <v>1337</v>
      </c>
      <c r="H44" s="9" t="s">
        <v>1338</v>
      </c>
      <c r="I44" s="9" t="s">
        <v>1440</v>
      </c>
      <c r="J44" s="9" t="s">
        <v>377</v>
      </c>
      <c r="K44" s="9" t="s">
        <v>967</v>
      </c>
      <c r="L44" s="9" t="s">
        <v>1369</v>
      </c>
      <c r="M44" s="9" t="s">
        <v>1370</v>
      </c>
      <c r="N44" s="9" t="s">
        <v>1153</v>
      </c>
      <c r="O44" s="9" t="s">
        <v>1153</v>
      </c>
      <c r="P44" s="9" t="s">
        <v>1464</v>
      </c>
      <c r="Q44" s="9" t="s">
        <v>113</v>
      </c>
      <c r="R44" s="9" t="s">
        <v>1372</v>
      </c>
      <c r="S44" s="9" t="s">
        <v>398</v>
      </c>
      <c r="T44" s="9" t="s">
        <v>377</v>
      </c>
      <c r="U44" s="9" t="s">
        <v>1454</v>
      </c>
      <c r="V44" s="9" t="s">
        <v>1347</v>
      </c>
      <c r="W44" s="9"/>
      <c r="X44" s="9" t="s">
        <v>377</v>
      </c>
      <c r="Y44" s="9" t="s">
        <v>377</v>
      </c>
      <c r="Z44" s="12" t="b">
        <f aca="false">FALSE()</f>
        <v>0</v>
      </c>
      <c r="AA44" s="8" t="s">
        <v>1348</v>
      </c>
    </row>
    <row r="45" customFormat="false" ht="15.75" hidden="false" customHeight="true" outlineLevel="0" collapsed="false">
      <c r="A45" s="9" t="s">
        <v>1465</v>
      </c>
      <c r="B45" s="9" t="s">
        <v>477</v>
      </c>
      <c r="C45" s="9" t="s">
        <v>478</v>
      </c>
      <c r="D45" s="9" t="s">
        <v>377</v>
      </c>
      <c r="E45" s="9" t="s">
        <v>947</v>
      </c>
      <c r="F45" s="9" t="s">
        <v>1336</v>
      </c>
      <c r="G45" s="9" t="s">
        <v>1363</v>
      </c>
      <c r="H45" s="9" t="s">
        <v>1338</v>
      </c>
      <c r="I45" s="9" t="s">
        <v>1440</v>
      </c>
      <c r="J45" s="9" t="s">
        <v>377</v>
      </c>
      <c r="K45" s="9" t="s">
        <v>948</v>
      </c>
      <c r="L45" s="9" t="s">
        <v>1434</v>
      </c>
      <c r="M45" s="9" t="s">
        <v>1466</v>
      </c>
      <c r="N45" s="9" t="s">
        <v>1076</v>
      </c>
      <c r="O45" s="9" t="s">
        <v>1076</v>
      </c>
      <c r="P45" s="9" t="s">
        <v>1436</v>
      </c>
      <c r="Q45" s="9" t="s">
        <v>113</v>
      </c>
      <c r="R45" s="9" t="s">
        <v>1437</v>
      </c>
      <c r="S45" s="9" t="s">
        <v>398</v>
      </c>
      <c r="T45" s="9" t="s">
        <v>377</v>
      </c>
      <c r="U45" s="9" t="s">
        <v>1467</v>
      </c>
      <c r="V45" s="9" t="s">
        <v>1347</v>
      </c>
      <c r="W45" s="9"/>
      <c r="X45" s="9" t="s">
        <v>377</v>
      </c>
      <c r="Y45" s="9" t="s">
        <v>377</v>
      </c>
      <c r="Z45" s="12" t="b">
        <f aca="false">FALSE()</f>
        <v>0</v>
      </c>
      <c r="AA45" s="8" t="s">
        <v>1348</v>
      </c>
    </row>
    <row r="46" customFormat="false" ht="15.75" hidden="false" customHeight="true" outlineLevel="0" collapsed="false">
      <c r="A46" s="9" t="s">
        <v>1468</v>
      </c>
      <c r="B46" s="9" t="s">
        <v>481</v>
      </c>
      <c r="C46" s="9" t="s">
        <v>482</v>
      </c>
      <c r="D46" s="9" t="s">
        <v>377</v>
      </c>
      <c r="E46" s="9" t="s">
        <v>1021</v>
      </c>
      <c r="F46" s="9" t="s">
        <v>1336</v>
      </c>
      <c r="G46" s="9" t="s">
        <v>1337</v>
      </c>
      <c r="H46" s="9" t="s">
        <v>1338</v>
      </c>
      <c r="I46" s="9" t="s">
        <v>1469</v>
      </c>
      <c r="J46" s="9" t="s">
        <v>377</v>
      </c>
      <c r="K46" s="9" t="s">
        <v>1022</v>
      </c>
      <c r="L46" s="9" t="s">
        <v>1470</v>
      </c>
      <c r="M46" s="9" t="s">
        <v>1471</v>
      </c>
      <c r="N46" s="9" t="s">
        <v>1203</v>
      </c>
      <c r="O46" s="9" t="s">
        <v>1203</v>
      </c>
      <c r="P46" s="9" t="s">
        <v>1472</v>
      </c>
      <c r="Q46" s="9" t="s">
        <v>113</v>
      </c>
      <c r="R46" s="9" t="s">
        <v>1473</v>
      </c>
      <c r="S46" s="9" t="s">
        <v>398</v>
      </c>
      <c r="T46" s="9" t="s">
        <v>377</v>
      </c>
      <c r="U46" s="9"/>
      <c r="V46" s="9" t="s">
        <v>1347</v>
      </c>
      <c r="W46" s="9"/>
      <c r="X46" s="9" t="s">
        <v>377</v>
      </c>
      <c r="Y46" s="9" t="s">
        <v>377</v>
      </c>
      <c r="Z46" s="12" t="b">
        <f aca="false">FALSE()</f>
        <v>0</v>
      </c>
      <c r="AA46" s="8" t="s">
        <v>1348</v>
      </c>
    </row>
    <row r="47" customFormat="false" ht="15.75" hidden="false" customHeight="true" outlineLevel="0" collapsed="false">
      <c r="A47" s="9" t="s">
        <v>1474</v>
      </c>
      <c r="B47" s="9" t="s">
        <v>481</v>
      </c>
      <c r="C47" s="9" t="s">
        <v>482</v>
      </c>
      <c r="D47" s="9" t="s">
        <v>377</v>
      </c>
      <c r="E47" s="9" t="s">
        <v>1350</v>
      </c>
      <c r="F47" s="9" t="s">
        <v>1336</v>
      </c>
      <c r="G47" s="9" t="s">
        <v>1337</v>
      </c>
      <c r="H47" s="9" t="s">
        <v>1338</v>
      </c>
      <c r="I47" s="9" t="s">
        <v>1469</v>
      </c>
      <c r="J47" s="9" t="s">
        <v>377</v>
      </c>
      <c r="K47" s="9" t="s">
        <v>1384</v>
      </c>
      <c r="L47" s="9" t="s">
        <v>1475</v>
      </c>
      <c r="M47" s="9" t="s">
        <v>1476</v>
      </c>
      <c r="N47" s="9" t="s">
        <v>1477</v>
      </c>
      <c r="O47" s="9" t="s">
        <v>1477</v>
      </c>
      <c r="P47" s="9" t="s">
        <v>1478</v>
      </c>
      <c r="Q47" s="9" t="s">
        <v>113</v>
      </c>
      <c r="R47" s="9" t="s">
        <v>1450</v>
      </c>
      <c r="S47" s="9" t="s">
        <v>398</v>
      </c>
      <c r="T47" s="9" t="s">
        <v>377</v>
      </c>
      <c r="U47" s="9"/>
      <c r="V47" s="9" t="s">
        <v>1347</v>
      </c>
      <c r="W47" s="9"/>
      <c r="X47" s="9" t="s">
        <v>377</v>
      </c>
      <c r="Y47" s="9" t="s">
        <v>377</v>
      </c>
      <c r="Z47" s="12" t="b">
        <f aca="false">FALSE()</f>
        <v>0</v>
      </c>
      <c r="AA47" s="8" t="s">
        <v>1348</v>
      </c>
    </row>
    <row r="48" customFormat="false" ht="15.75" hidden="false" customHeight="true" outlineLevel="0" collapsed="false">
      <c r="A48" s="9" t="s">
        <v>1479</v>
      </c>
      <c r="B48" s="9" t="s">
        <v>481</v>
      </c>
      <c r="C48" s="9" t="s">
        <v>482</v>
      </c>
      <c r="D48" s="9" t="s">
        <v>377</v>
      </c>
      <c r="E48" s="9" t="s">
        <v>1355</v>
      </c>
      <c r="F48" s="9" t="s">
        <v>1336</v>
      </c>
      <c r="G48" s="9" t="s">
        <v>1337</v>
      </c>
      <c r="H48" s="9" t="s">
        <v>1338</v>
      </c>
      <c r="I48" s="9" t="s">
        <v>1469</v>
      </c>
      <c r="J48" s="9" t="s">
        <v>377</v>
      </c>
      <c r="K48" s="9" t="s">
        <v>1390</v>
      </c>
      <c r="L48" s="9" t="s">
        <v>924</v>
      </c>
      <c r="M48" s="9" t="s">
        <v>924</v>
      </c>
      <c r="N48" s="9" t="s">
        <v>1391</v>
      </c>
      <c r="O48" s="9" t="s">
        <v>1392</v>
      </c>
      <c r="P48" s="9" t="s">
        <v>1480</v>
      </c>
      <c r="Q48" s="9" t="s">
        <v>113</v>
      </c>
      <c r="R48" s="9" t="s">
        <v>1481</v>
      </c>
      <c r="S48" s="9" t="s">
        <v>398</v>
      </c>
      <c r="T48" s="9" t="s">
        <v>377</v>
      </c>
      <c r="U48" s="9"/>
      <c r="V48" s="9" t="s">
        <v>1347</v>
      </c>
      <c r="W48" s="9"/>
      <c r="X48" s="9" t="s">
        <v>377</v>
      </c>
      <c r="Y48" s="9" t="s">
        <v>377</v>
      </c>
      <c r="Z48" s="12" t="b">
        <f aca="false">FALSE()</f>
        <v>0</v>
      </c>
      <c r="AA48" s="8" t="s">
        <v>1348</v>
      </c>
    </row>
    <row r="49" customFormat="false" ht="15.75" hidden="false" customHeight="true" outlineLevel="0" collapsed="false">
      <c r="A49" s="9" t="s">
        <v>1482</v>
      </c>
      <c r="B49" s="9" t="s">
        <v>481</v>
      </c>
      <c r="C49" s="9" t="s">
        <v>482</v>
      </c>
      <c r="D49" s="9" t="s">
        <v>377</v>
      </c>
      <c r="E49" s="9" t="s">
        <v>886</v>
      </c>
      <c r="F49" s="9" t="s">
        <v>1336</v>
      </c>
      <c r="G49" s="9" t="s">
        <v>1337</v>
      </c>
      <c r="H49" s="9" t="s">
        <v>1338</v>
      </c>
      <c r="I49" s="9" t="s">
        <v>1469</v>
      </c>
      <c r="J49" s="9" t="s">
        <v>377</v>
      </c>
      <c r="K49" s="9" t="s">
        <v>900</v>
      </c>
      <c r="L49" s="9" t="s">
        <v>924</v>
      </c>
      <c r="M49" s="9" t="s">
        <v>1425</v>
      </c>
      <c r="N49" s="9" t="s">
        <v>903</v>
      </c>
      <c r="O49" s="9" t="s">
        <v>904</v>
      </c>
      <c r="P49" s="9" t="s">
        <v>1483</v>
      </c>
      <c r="Q49" s="9" t="s">
        <v>113</v>
      </c>
      <c r="R49" s="9" t="s">
        <v>1484</v>
      </c>
      <c r="S49" s="9" t="s">
        <v>398</v>
      </c>
      <c r="T49" s="9" t="s">
        <v>377</v>
      </c>
      <c r="U49" s="9" t="s">
        <v>1428</v>
      </c>
      <c r="V49" s="9" t="s">
        <v>1347</v>
      </c>
      <c r="W49" s="9"/>
      <c r="X49" s="9" t="s">
        <v>377</v>
      </c>
      <c r="Y49" s="9" t="s">
        <v>377</v>
      </c>
      <c r="Z49" s="12" t="b">
        <f aca="false">FALSE()</f>
        <v>0</v>
      </c>
      <c r="AA49" s="8" t="s">
        <v>1348</v>
      </c>
    </row>
    <row r="50" customFormat="false" ht="15.75" hidden="false" customHeight="true" outlineLevel="0" collapsed="false">
      <c r="A50" s="9" t="s">
        <v>1485</v>
      </c>
      <c r="B50" s="9" t="s">
        <v>481</v>
      </c>
      <c r="C50" s="9" t="s">
        <v>482</v>
      </c>
      <c r="D50" s="9" t="s">
        <v>377</v>
      </c>
      <c r="E50" s="9" t="s">
        <v>866</v>
      </c>
      <c r="F50" s="9" t="s">
        <v>1336</v>
      </c>
      <c r="G50" s="9" t="s">
        <v>1351</v>
      </c>
      <c r="H50" s="9" t="s">
        <v>1352</v>
      </c>
      <c r="I50" s="9"/>
      <c r="J50" s="9"/>
      <c r="K50" s="9"/>
      <c r="L50" s="9"/>
      <c r="M50" s="9"/>
      <c r="N50" s="9"/>
      <c r="O50" s="9"/>
      <c r="P50" s="9"/>
      <c r="Q50" s="9" t="s">
        <v>1353</v>
      </c>
      <c r="R50" s="9"/>
      <c r="S50" s="9"/>
      <c r="T50" s="9"/>
      <c r="U50" s="9"/>
      <c r="V50" s="9"/>
      <c r="W50" s="9"/>
      <c r="X50" s="9" t="s">
        <v>414</v>
      </c>
      <c r="Y50" s="9" t="s">
        <v>391</v>
      </c>
      <c r="Z50" s="12" t="b">
        <f aca="false">FALSE()</f>
        <v>0</v>
      </c>
      <c r="AA50" s="8" t="s">
        <v>1348</v>
      </c>
    </row>
    <row r="51" customFormat="false" ht="15.75" hidden="false" customHeight="true" outlineLevel="0" collapsed="false">
      <c r="A51" s="9" t="s">
        <v>1486</v>
      </c>
      <c r="B51" s="9" t="s">
        <v>481</v>
      </c>
      <c r="C51" s="9" t="s">
        <v>482</v>
      </c>
      <c r="D51" s="9" t="s">
        <v>377</v>
      </c>
      <c r="E51" s="9" t="s">
        <v>912</v>
      </c>
      <c r="F51" s="9" t="s">
        <v>1336</v>
      </c>
      <c r="G51" s="9" t="s">
        <v>1363</v>
      </c>
      <c r="H51" s="9" t="s">
        <v>1338</v>
      </c>
      <c r="I51" s="9" t="s">
        <v>1469</v>
      </c>
      <c r="J51" s="9" t="s">
        <v>377</v>
      </c>
      <c r="K51" s="9" t="s">
        <v>913</v>
      </c>
      <c r="L51" s="9" t="s">
        <v>914</v>
      </c>
      <c r="M51" s="9" t="s">
        <v>1487</v>
      </c>
      <c r="N51" s="9" t="s">
        <v>916</v>
      </c>
      <c r="O51" s="9" t="s">
        <v>916</v>
      </c>
      <c r="P51" s="9" t="s">
        <v>1365</v>
      </c>
      <c r="Q51" s="9" t="s">
        <v>113</v>
      </c>
      <c r="R51" s="9" t="s">
        <v>1366</v>
      </c>
      <c r="S51" s="9" t="s">
        <v>398</v>
      </c>
      <c r="T51" s="9" t="s">
        <v>377</v>
      </c>
      <c r="U51" s="9" t="s">
        <v>1488</v>
      </c>
      <c r="V51" s="9" t="s">
        <v>1347</v>
      </c>
      <c r="W51" s="9"/>
      <c r="X51" s="9" t="s">
        <v>377</v>
      </c>
      <c r="Y51" s="9" t="s">
        <v>377</v>
      </c>
      <c r="Z51" s="12" t="b">
        <f aca="false">FALSE()</f>
        <v>0</v>
      </c>
      <c r="AA51" s="8" t="s">
        <v>1348</v>
      </c>
    </row>
    <row r="52" customFormat="false" ht="15.75" hidden="false" customHeight="true" outlineLevel="0" collapsed="false">
      <c r="A52" s="9" t="s">
        <v>1489</v>
      </c>
      <c r="B52" s="9" t="s">
        <v>481</v>
      </c>
      <c r="C52" s="9" t="s">
        <v>482</v>
      </c>
      <c r="D52" s="9" t="s">
        <v>377</v>
      </c>
      <c r="E52" s="9" t="s">
        <v>966</v>
      </c>
      <c r="F52" s="9" t="s">
        <v>1336</v>
      </c>
      <c r="G52" s="9" t="s">
        <v>1351</v>
      </c>
      <c r="H52" s="9" t="s">
        <v>1352</v>
      </c>
      <c r="I52" s="9"/>
      <c r="J52" s="9"/>
      <c r="K52" s="9"/>
      <c r="L52" s="9"/>
      <c r="M52" s="9"/>
      <c r="N52" s="9"/>
      <c r="O52" s="9"/>
      <c r="P52" s="9"/>
      <c r="Q52" s="9" t="s">
        <v>1353</v>
      </c>
      <c r="R52" s="9"/>
      <c r="S52" s="9"/>
      <c r="T52" s="9"/>
      <c r="U52" s="9"/>
      <c r="V52" s="9"/>
      <c r="W52" s="9"/>
      <c r="X52" s="9" t="s">
        <v>414</v>
      </c>
      <c r="Y52" s="9" t="s">
        <v>391</v>
      </c>
      <c r="Z52" s="12" t="b">
        <f aca="false">FALSE()</f>
        <v>0</v>
      </c>
      <c r="AA52" s="8" t="s">
        <v>1348</v>
      </c>
    </row>
    <row r="53" customFormat="false" ht="15.75" hidden="false" customHeight="true" outlineLevel="0" collapsed="false">
      <c r="A53" s="9" t="s">
        <v>1490</v>
      </c>
      <c r="B53" s="9" t="s">
        <v>481</v>
      </c>
      <c r="C53" s="9" t="s">
        <v>482</v>
      </c>
      <c r="D53" s="9" t="s">
        <v>377</v>
      </c>
      <c r="E53" s="9" t="s">
        <v>947</v>
      </c>
      <c r="F53" s="9" t="s">
        <v>1336</v>
      </c>
      <c r="G53" s="9" t="s">
        <v>1363</v>
      </c>
      <c r="H53" s="9" t="s">
        <v>1338</v>
      </c>
      <c r="I53" s="9" t="s">
        <v>1469</v>
      </c>
      <c r="J53" s="9" t="s">
        <v>377</v>
      </c>
      <c r="K53" s="9" t="s">
        <v>948</v>
      </c>
      <c r="L53" s="9" t="s">
        <v>1434</v>
      </c>
      <c r="M53" s="9" t="s">
        <v>1491</v>
      </c>
      <c r="N53" s="9" t="s">
        <v>1076</v>
      </c>
      <c r="O53" s="9" t="s">
        <v>1076</v>
      </c>
      <c r="P53" s="9" t="s">
        <v>1436</v>
      </c>
      <c r="Q53" s="9" t="s">
        <v>113</v>
      </c>
      <c r="R53" s="9" t="s">
        <v>1437</v>
      </c>
      <c r="S53" s="9" t="s">
        <v>398</v>
      </c>
      <c r="T53" s="9" t="s">
        <v>377</v>
      </c>
      <c r="U53" s="9" t="s">
        <v>1492</v>
      </c>
      <c r="V53" s="9" t="s">
        <v>1347</v>
      </c>
      <c r="W53" s="9"/>
      <c r="X53" s="9" t="s">
        <v>377</v>
      </c>
      <c r="Y53" s="9" t="s">
        <v>377</v>
      </c>
      <c r="Z53" s="12" t="b">
        <f aca="false">FALSE()</f>
        <v>0</v>
      </c>
      <c r="AA53" s="8" t="s">
        <v>1348</v>
      </c>
    </row>
    <row r="54" customFormat="false" ht="15.75" hidden="false" customHeight="true" outlineLevel="0" collapsed="false">
      <c r="A54" s="9" t="s">
        <v>1493</v>
      </c>
      <c r="B54" s="9" t="s">
        <v>485</v>
      </c>
      <c r="C54" s="9" t="s">
        <v>487</v>
      </c>
      <c r="D54" s="9" t="s">
        <v>377</v>
      </c>
      <c r="E54" s="9" t="s">
        <v>1021</v>
      </c>
      <c r="F54" s="9" t="s">
        <v>1405</v>
      </c>
      <c r="G54" s="9" t="s">
        <v>1494</v>
      </c>
      <c r="H54" s="9" t="s">
        <v>1495</v>
      </c>
      <c r="I54" s="9" t="s">
        <v>1496</v>
      </c>
      <c r="J54" s="9" t="s">
        <v>377</v>
      </c>
      <c r="K54" s="9" t="s">
        <v>1022</v>
      </c>
      <c r="L54" s="9" t="s">
        <v>1340</v>
      </c>
      <c r="M54" s="9" t="s">
        <v>1497</v>
      </c>
      <c r="N54" s="9" t="s">
        <v>1342</v>
      </c>
      <c r="O54" s="9" t="s">
        <v>68</v>
      </c>
      <c r="P54" s="9" t="s">
        <v>1498</v>
      </c>
      <c r="Q54" s="9" t="s">
        <v>113</v>
      </c>
      <c r="R54" s="9" t="s">
        <v>1499</v>
      </c>
      <c r="S54" s="9" t="s">
        <v>380</v>
      </c>
      <c r="T54" s="9"/>
      <c r="U54" s="9" t="s">
        <v>1500</v>
      </c>
      <c r="V54" s="9" t="s">
        <v>399</v>
      </c>
      <c r="W54" s="9"/>
      <c r="X54" s="9" t="s">
        <v>395</v>
      </c>
      <c r="Y54" s="9" t="s">
        <v>391</v>
      </c>
      <c r="Z54" s="12" t="b">
        <f aca="false">FALSE()</f>
        <v>0</v>
      </c>
      <c r="AA54" s="8" t="s">
        <v>1348</v>
      </c>
    </row>
    <row r="55" customFormat="false" ht="15.75" hidden="false" customHeight="true" outlineLevel="0" collapsed="false">
      <c r="A55" s="9" t="s">
        <v>1501</v>
      </c>
      <c r="B55" s="9" t="s">
        <v>485</v>
      </c>
      <c r="C55" s="9" t="s">
        <v>487</v>
      </c>
      <c r="D55" s="9" t="s">
        <v>377</v>
      </c>
      <c r="E55" s="9" t="s">
        <v>1350</v>
      </c>
      <c r="F55" s="9" t="s">
        <v>1405</v>
      </c>
      <c r="G55" s="9" t="s">
        <v>1494</v>
      </c>
      <c r="H55" s="9" t="s">
        <v>1495</v>
      </c>
      <c r="I55" s="9" t="s">
        <v>1496</v>
      </c>
      <c r="J55" s="9" t="s">
        <v>377</v>
      </c>
      <c r="K55" s="9" t="s">
        <v>1502</v>
      </c>
      <c r="L55" s="9" t="s">
        <v>1503</v>
      </c>
      <c r="M55" s="9" t="s">
        <v>1504</v>
      </c>
      <c r="N55" s="9" t="s">
        <v>1386</v>
      </c>
      <c r="O55" s="9" t="s">
        <v>1386</v>
      </c>
      <c r="P55" s="9" t="s">
        <v>1498</v>
      </c>
      <c r="Q55" s="9" t="s">
        <v>113</v>
      </c>
      <c r="R55" s="9" t="s">
        <v>1499</v>
      </c>
      <c r="S55" s="9" t="s">
        <v>380</v>
      </c>
      <c r="T55" s="9"/>
      <c r="U55" s="9" t="s">
        <v>1505</v>
      </c>
      <c r="V55" s="9" t="s">
        <v>399</v>
      </c>
      <c r="W55" s="9"/>
      <c r="X55" s="9" t="s">
        <v>395</v>
      </c>
      <c r="Y55" s="9" t="s">
        <v>391</v>
      </c>
      <c r="Z55" s="12" t="b">
        <f aca="false">FALSE()</f>
        <v>0</v>
      </c>
      <c r="AA55" s="8" t="s">
        <v>1348</v>
      </c>
    </row>
    <row r="56" customFormat="false" ht="15.75" hidden="false" customHeight="true" outlineLevel="0" collapsed="false">
      <c r="A56" s="9" t="s">
        <v>1506</v>
      </c>
      <c r="B56" s="9" t="s">
        <v>485</v>
      </c>
      <c r="C56" s="9" t="s">
        <v>487</v>
      </c>
      <c r="D56" s="9" t="s">
        <v>377</v>
      </c>
      <c r="E56" s="9" t="s">
        <v>1355</v>
      </c>
      <c r="F56" s="9" t="s">
        <v>1405</v>
      </c>
      <c r="G56" s="9" t="s">
        <v>1494</v>
      </c>
      <c r="H56" s="9" t="s">
        <v>1495</v>
      </c>
      <c r="I56" s="9" t="s">
        <v>1496</v>
      </c>
      <c r="J56" s="9" t="s">
        <v>377</v>
      </c>
      <c r="K56" s="9" t="s">
        <v>1507</v>
      </c>
      <c r="L56" s="9" t="s">
        <v>1508</v>
      </c>
      <c r="M56" s="9" t="s">
        <v>1509</v>
      </c>
      <c r="N56" s="9" t="s">
        <v>1510</v>
      </c>
      <c r="O56" s="9" t="s">
        <v>1510</v>
      </c>
      <c r="P56" s="9" t="s">
        <v>1498</v>
      </c>
      <c r="Q56" s="9" t="s">
        <v>113</v>
      </c>
      <c r="R56" s="9" t="s">
        <v>1499</v>
      </c>
      <c r="S56" s="9" t="s">
        <v>380</v>
      </c>
      <c r="T56" s="9"/>
      <c r="U56" s="9" t="s">
        <v>1505</v>
      </c>
      <c r="V56" s="9" t="s">
        <v>399</v>
      </c>
      <c r="W56" s="9"/>
      <c r="X56" s="9" t="s">
        <v>395</v>
      </c>
      <c r="Y56" s="9" t="s">
        <v>391</v>
      </c>
      <c r="Z56" s="12" t="b">
        <f aca="false">FALSE()</f>
        <v>0</v>
      </c>
      <c r="AA56" s="8" t="s">
        <v>1348</v>
      </c>
    </row>
    <row r="57" customFormat="false" ht="15.75" hidden="false" customHeight="true" outlineLevel="0" collapsed="false">
      <c r="A57" s="9" t="s">
        <v>1511</v>
      </c>
      <c r="B57" s="9" t="s">
        <v>485</v>
      </c>
      <c r="C57" s="9" t="s">
        <v>487</v>
      </c>
      <c r="D57" s="9" t="s">
        <v>377</v>
      </c>
      <c r="E57" s="9" t="s">
        <v>886</v>
      </c>
      <c r="F57" s="9" t="s">
        <v>1405</v>
      </c>
      <c r="G57" s="9" t="s">
        <v>1494</v>
      </c>
      <c r="H57" s="9" t="s">
        <v>1495</v>
      </c>
      <c r="I57" s="9" t="s">
        <v>1496</v>
      </c>
      <c r="J57" s="9" t="s">
        <v>377</v>
      </c>
      <c r="K57" s="9" t="s">
        <v>887</v>
      </c>
      <c r="L57" s="9" t="s">
        <v>888</v>
      </c>
      <c r="M57" s="9" t="s">
        <v>1512</v>
      </c>
      <c r="N57" s="9" t="s">
        <v>890</v>
      </c>
      <c r="O57" s="9" t="s">
        <v>890</v>
      </c>
      <c r="P57" s="9" t="s">
        <v>1498</v>
      </c>
      <c r="Q57" s="9" t="s">
        <v>113</v>
      </c>
      <c r="R57" s="9" t="s">
        <v>1499</v>
      </c>
      <c r="S57" s="9" t="s">
        <v>380</v>
      </c>
      <c r="T57" s="9"/>
      <c r="U57" s="9" t="s">
        <v>1505</v>
      </c>
      <c r="V57" s="9" t="s">
        <v>399</v>
      </c>
      <c r="W57" s="9"/>
      <c r="X57" s="9" t="s">
        <v>395</v>
      </c>
      <c r="Y57" s="9" t="s">
        <v>391</v>
      </c>
      <c r="Z57" s="12" t="b">
        <f aca="false">FALSE()</f>
        <v>0</v>
      </c>
      <c r="AA57" s="8" t="s">
        <v>1348</v>
      </c>
    </row>
    <row r="58" customFormat="false" ht="15.75" hidden="false" customHeight="true" outlineLevel="0" collapsed="false">
      <c r="A58" s="9" t="s">
        <v>1513</v>
      </c>
      <c r="B58" s="9" t="s">
        <v>485</v>
      </c>
      <c r="C58" s="9" t="s">
        <v>487</v>
      </c>
      <c r="D58" s="9" t="s">
        <v>377</v>
      </c>
      <c r="E58" s="9" t="s">
        <v>866</v>
      </c>
      <c r="F58" s="9" t="s">
        <v>1405</v>
      </c>
      <c r="G58" s="9" t="s">
        <v>1494</v>
      </c>
      <c r="H58" s="9" t="s">
        <v>1495</v>
      </c>
      <c r="I58" s="9" t="s">
        <v>1496</v>
      </c>
      <c r="J58" s="9" t="s">
        <v>377</v>
      </c>
      <c r="K58" s="9" t="s">
        <v>867</v>
      </c>
      <c r="L58" s="9" t="s">
        <v>868</v>
      </c>
      <c r="M58" s="9" t="s">
        <v>1370</v>
      </c>
      <c r="N58" s="9" t="s">
        <v>870</v>
      </c>
      <c r="O58" s="9" t="s">
        <v>870</v>
      </c>
      <c r="P58" s="9" t="s">
        <v>1498</v>
      </c>
      <c r="Q58" s="9" t="s">
        <v>113</v>
      </c>
      <c r="R58" s="9" t="s">
        <v>1499</v>
      </c>
      <c r="S58" s="9" t="s">
        <v>380</v>
      </c>
      <c r="T58" s="9"/>
      <c r="U58" s="9" t="s">
        <v>1505</v>
      </c>
      <c r="V58" s="9" t="s">
        <v>399</v>
      </c>
      <c r="W58" s="9"/>
      <c r="X58" s="9" t="s">
        <v>395</v>
      </c>
      <c r="Y58" s="9" t="s">
        <v>391</v>
      </c>
      <c r="Z58" s="12" t="b">
        <f aca="false">FALSE()</f>
        <v>0</v>
      </c>
      <c r="AA58" s="8" t="s">
        <v>1348</v>
      </c>
    </row>
    <row r="59" customFormat="false" ht="15.75" hidden="false" customHeight="true" outlineLevel="0" collapsed="false">
      <c r="A59" s="9" t="s">
        <v>1514</v>
      </c>
      <c r="B59" s="9" t="s">
        <v>485</v>
      </c>
      <c r="C59" s="9" t="s">
        <v>487</v>
      </c>
      <c r="D59" s="9" t="s">
        <v>377</v>
      </c>
      <c r="E59" s="9" t="s">
        <v>912</v>
      </c>
      <c r="F59" s="9" t="s">
        <v>1405</v>
      </c>
      <c r="G59" s="9" t="s">
        <v>1363</v>
      </c>
      <c r="H59" s="9" t="s">
        <v>1495</v>
      </c>
      <c r="I59" s="9" t="s">
        <v>1496</v>
      </c>
      <c r="J59" s="9" t="s">
        <v>377</v>
      </c>
      <c r="K59" s="9" t="s">
        <v>913</v>
      </c>
      <c r="L59" s="9" t="s">
        <v>914</v>
      </c>
      <c r="M59" s="9" t="s">
        <v>1515</v>
      </c>
      <c r="N59" s="9" t="s">
        <v>916</v>
      </c>
      <c r="O59" s="9" t="s">
        <v>916</v>
      </c>
      <c r="P59" s="9" t="s">
        <v>1365</v>
      </c>
      <c r="Q59" s="9" t="s">
        <v>113</v>
      </c>
      <c r="R59" s="9" t="s">
        <v>1366</v>
      </c>
      <c r="S59" s="9" t="s">
        <v>380</v>
      </c>
      <c r="T59" s="9"/>
      <c r="U59" s="9" t="s">
        <v>1516</v>
      </c>
      <c r="V59" s="9" t="s">
        <v>399</v>
      </c>
      <c r="W59" s="9"/>
      <c r="X59" s="9" t="s">
        <v>395</v>
      </c>
      <c r="Y59" s="9" t="s">
        <v>391</v>
      </c>
      <c r="Z59" s="12" t="b">
        <f aca="false">FALSE()</f>
        <v>0</v>
      </c>
      <c r="AA59" s="8" t="s">
        <v>1348</v>
      </c>
    </row>
    <row r="60" customFormat="false" ht="15.75" hidden="false" customHeight="true" outlineLevel="0" collapsed="false">
      <c r="A60" s="9" t="s">
        <v>1517</v>
      </c>
      <c r="B60" s="9" t="s">
        <v>485</v>
      </c>
      <c r="C60" s="9" t="s">
        <v>487</v>
      </c>
      <c r="D60" s="9" t="s">
        <v>377</v>
      </c>
      <c r="E60" s="9" t="s">
        <v>966</v>
      </c>
      <c r="F60" s="9" t="s">
        <v>1405</v>
      </c>
      <c r="G60" s="9" t="s">
        <v>1494</v>
      </c>
      <c r="H60" s="9" t="s">
        <v>1495</v>
      </c>
      <c r="I60" s="9" t="s">
        <v>1496</v>
      </c>
      <c r="J60" s="9" t="s">
        <v>377</v>
      </c>
      <c r="K60" s="9" t="s">
        <v>967</v>
      </c>
      <c r="L60" s="9" t="s">
        <v>1152</v>
      </c>
      <c r="M60" s="9" t="s">
        <v>1370</v>
      </c>
      <c r="N60" s="9" t="s">
        <v>1153</v>
      </c>
      <c r="O60" s="9" t="s">
        <v>1153</v>
      </c>
      <c r="P60" s="9" t="s">
        <v>1498</v>
      </c>
      <c r="Q60" s="9" t="s">
        <v>113</v>
      </c>
      <c r="R60" s="9" t="s">
        <v>1499</v>
      </c>
      <c r="S60" s="9" t="s">
        <v>380</v>
      </c>
      <c r="T60" s="9"/>
      <c r="U60" s="9" t="s">
        <v>1505</v>
      </c>
      <c r="V60" s="9" t="s">
        <v>399</v>
      </c>
      <c r="W60" s="9"/>
      <c r="X60" s="9" t="s">
        <v>395</v>
      </c>
      <c r="Y60" s="9" t="s">
        <v>391</v>
      </c>
      <c r="Z60" s="12" t="b">
        <f aca="false">FALSE()</f>
        <v>0</v>
      </c>
      <c r="AA60" s="8" t="s">
        <v>1348</v>
      </c>
    </row>
    <row r="61" customFormat="false" ht="15.75" hidden="false" customHeight="true" outlineLevel="0" collapsed="false">
      <c r="A61" s="9" t="s">
        <v>1518</v>
      </c>
      <c r="B61" s="9" t="s">
        <v>485</v>
      </c>
      <c r="C61" s="9" t="s">
        <v>487</v>
      </c>
      <c r="D61" s="9" t="s">
        <v>377</v>
      </c>
      <c r="E61" s="9" t="s">
        <v>947</v>
      </c>
      <c r="F61" s="9" t="s">
        <v>1405</v>
      </c>
      <c r="G61" s="9" t="s">
        <v>1519</v>
      </c>
      <c r="H61" s="9" t="s">
        <v>1352</v>
      </c>
      <c r="I61" s="9" t="s">
        <v>1496</v>
      </c>
      <c r="J61" s="9" t="s">
        <v>377</v>
      </c>
      <c r="K61" s="9" t="s">
        <v>1520</v>
      </c>
      <c r="L61" s="9" t="s">
        <v>1521</v>
      </c>
      <c r="M61" s="9" t="s">
        <v>1370</v>
      </c>
      <c r="N61" s="9" t="s">
        <v>1522</v>
      </c>
      <c r="O61" s="9" t="s">
        <v>1522</v>
      </c>
      <c r="P61" s="9" t="s">
        <v>1498</v>
      </c>
      <c r="Q61" s="9" t="s">
        <v>1523</v>
      </c>
      <c r="R61" s="9" t="s">
        <v>1524</v>
      </c>
      <c r="S61" s="9" t="s">
        <v>1525</v>
      </c>
      <c r="T61" s="9"/>
      <c r="U61" s="9" t="s">
        <v>1526</v>
      </c>
      <c r="V61" s="9" t="s">
        <v>1527</v>
      </c>
      <c r="W61" s="9"/>
      <c r="X61" s="9" t="s">
        <v>408</v>
      </c>
      <c r="Y61" s="9" t="s">
        <v>391</v>
      </c>
      <c r="Z61" s="12" t="b">
        <f aca="false">TRUE()</f>
        <v>1</v>
      </c>
      <c r="AA61" s="8" t="s">
        <v>1528</v>
      </c>
    </row>
    <row r="62" customFormat="false" ht="15.75" hidden="false" customHeight="true" outlineLevel="0" collapsed="false">
      <c r="A62" s="9" t="s">
        <v>1529</v>
      </c>
      <c r="B62" s="9" t="s">
        <v>490</v>
      </c>
      <c r="C62" s="9" t="s">
        <v>491</v>
      </c>
      <c r="D62" s="9" t="s">
        <v>377</v>
      </c>
      <c r="E62" s="9" t="s">
        <v>1021</v>
      </c>
      <c r="F62" s="9" t="s">
        <v>1336</v>
      </c>
      <c r="G62" s="9" t="s">
        <v>1351</v>
      </c>
      <c r="H62" s="9" t="s">
        <v>1352</v>
      </c>
      <c r="I62" s="9"/>
      <c r="J62" s="9"/>
      <c r="K62" s="9"/>
      <c r="L62" s="9"/>
      <c r="M62" s="9"/>
      <c r="N62" s="9"/>
      <c r="O62" s="9"/>
      <c r="P62" s="9"/>
      <c r="Q62" s="9" t="s">
        <v>1353</v>
      </c>
      <c r="R62" s="9"/>
      <c r="S62" s="9"/>
      <c r="T62" s="9"/>
      <c r="U62" s="9"/>
      <c r="V62" s="9"/>
      <c r="W62" s="9"/>
      <c r="X62" s="9" t="s">
        <v>414</v>
      </c>
      <c r="Y62" s="9" t="s">
        <v>391</v>
      </c>
      <c r="Z62" s="12" t="b">
        <f aca="false">FALSE()</f>
        <v>0</v>
      </c>
      <c r="AA62" s="8" t="s">
        <v>1348</v>
      </c>
    </row>
    <row r="63" customFormat="false" ht="15.75" hidden="false" customHeight="true" outlineLevel="0" collapsed="false">
      <c r="A63" s="9" t="s">
        <v>1530</v>
      </c>
      <c r="B63" s="9" t="s">
        <v>490</v>
      </c>
      <c r="C63" s="9" t="s">
        <v>491</v>
      </c>
      <c r="D63" s="9" t="s">
        <v>377</v>
      </c>
      <c r="E63" s="9" t="s">
        <v>1350</v>
      </c>
      <c r="F63" s="9" t="s">
        <v>1336</v>
      </c>
      <c r="G63" s="9" t="s">
        <v>1351</v>
      </c>
      <c r="H63" s="9" t="s">
        <v>1352</v>
      </c>
      <c r="I63" s="9"/>
      <c r="J63" s="9"/>
      <c r="K63" s="9"/>
      <c r="L63" s="9"/>
      <c r="M63" s="9"/>
      <c r="N63" s="9"/>
      <c r="O63" s="9"/>
      <c r="P63" s="9"/>
      <c r="Q63" s="9" t="s">
        <v>1353</v>
      </c>
      <c r="R63" s="9"/>
      <c r="S63" s="9"/>
      <c r="T63" s="9"/>
      <c r="U63" s="9"/>
      <c r="V63" s="9"/>
      <c r="W63" s="9"/>
      <c r="X63" s="9" t="s">
        <v>414</v>
      </c>
      <c r="Y63" s="9" t="s">
        <v>391</v>
      </c>
      <c r="Z63" s="12" t="b">
        <f aca="false">FALSE()</f>
        <v>0</v>
      </c>
      <c r="AA63" s="8" t="s">
        <v>1348</v>
      </c>
    </row>
    <row r="64" customFormat="false" ht="15.75" hidden="false" customHeight="true" outlineLevel="0" collapsed="false">
      <c r="A64" s="9" t="s">
        <v>1531</v>
      </c>
      <c r="B64" s="9" t="s">
        <v>490</v>
      </c>
      <c r="C64" s="9" t="s">
        <v>491</v>
      </c>
      <c r="D64" s="9" t="s">
        <v>377</v>
      </c>
      <c r="E64" s="9" t="s">
        <v>1355</v>
      </c>
      <c r="F64" s="9" t="s">
        <v>1336</v>
      </c>
      <c r="G64" s="9" t="s">
        <v>1337</v>
      </c>
      <c r="H64" s="9" t="s">
        <v>1338</v>
      </c>
      <c r="I64" s="9" t="s">
        <v>1532</v>
      </c>
      <c r="J64" s="9" t="s">
        <v>377</v>
      </c>
      <c r="K64" s="9" t="s">
        <v>1390</v>
      </c>
      <c r="L64" s="9" t="s">
        <v>1508</v>
      </c>
      <c r="M64" s="9" t="s">
        <v>1533</v>
      </c>
      <c r="N64" s="9" t="s">
        <v>1391</v>
      </c>
      <c r="O64" s="9" t="s">
        <v>1510</v>
      </c>
      <c r="P64" s="9" t="s">
        <v>1534</v>
      </c>
      <c r="Q64" s="9" t="s">
        <v>113</v>
      </c>
      <c r="R64" s="9" t="s">
        <v>1394</v>
      </c>
      <c r="S64" s="9" t="s">
        <v>398</v>
      </c>
      <c r="T64" s="9" t="s">
        <v>377</v>
      </c>
      <c r="U64" s="9" t="s">
        <v>1535</v>
      </c>
      <c r="V64" s="9" t="s">
        <v>1347</v>
      </c>
      <c r="W64" s="9"/>
      <c r="X64" s="9" t="s">
        <v>377</v>
      </c>
      <c r="Y64" s="9" t="s">
        <v>377</v>
      </c>
      <c r="Z64" s="12" t="b">
        <f aca="false">FALSE()</f>
        <v>0</v>
      </c>
      <c r="AA64" s="8" t="s">
        <v>1348</v>
      </c>
    </row>
    <row r="65" customFormat="false" ht="15.75" hidden="false" customHeight="true" outlineLevel="0" collapsed="false">
      <c r="A65" s="9" t="s">
        <v>1536</v>
      </c>
      <c r="B65" s="9" t="s">
        <v>490</v>
      </c>
      <c r="C65" s="9" t="s">
        <v>491</v>
      </c>
      <c r="D65" s="9" t="s">
        <v>377</v>
      </c>
      <c r="E65" s="9" t="s">
        <v>886</v>
      </c>
      <c r="F65" s="9" t="s">
        <v>1336</v>
      </c>
      <c r="G65" s="9" t="s">
        <v>1337</v>
      </c>
      <c r="H65" s="9" t="s">
        <v>1338</v>
      </c>
      <c r="I65" s="9" t="s">
        <v>1532</v>
      </c>
      <c r="J65" s="9" t="s">
        <v>377</v>
      </c>
      <c r="K65" s="9" t="s">
        <v>887</v>
      </c>
      <c r="L65" s="9" t="s">
        <v>888</v>
      </c>
      <c r="M65" s="9" t="s">
        <v>1537</v>
      </c>
      <c r="N65" s="9" t="s">
        <v>890</v>
      </c>
      <c r="O65" s="9" t="s">
        <v>890</v>
      </c>
      <c r="P65" s="9" t="s">
        <v>1538</v>
      </c>
      <c r="Q65" s="9" t="s">
        <v>113</v>
      </c>
      <c r="R65" s="9" t="s">
        <v>1539</v>
      </c>
      <c r="S65" s="9" t="s">
        <v>398</v>
      </c>
      <c r="T65" s="9" t="s">
        <v>377</v>
      </c>
      <c r="U65" s="9" t="s">
        <v>1540</v>
      </c>
      <c r="V65" s="9" t="s">
        <v>1347</v>
      </c>
      <c r="W65" s="9"/>
      <c r="X65" s="9" t="s">
        <v>377</v>
      </c>
      <c r="Y65" s="9" t="s">
        <v>377</v>
      </c>
      <c r="Z65" s="12" t="b">
        <f aca="false">FALSE()</f>
        <v>0</v>
      </c>
      <c r="AA65" s="8" t="s">
        <v>1348</v>
      </c>
    </row>
    <row r="66" customFormat="false" ht="15.75" hidden="false" customHeight="true" outlineLevel="0" collapsed="false">
      <c r="A66" s="9" t="s">
        <v>1541</v>
      </c>
      <c r="B66" s="9" t="s">
        <v>490</v>
      </c>
      <c r="C66" s="9" t="s">
        <v>491</v>
      </c>
      <c r="D66" s="9" t="s">
        <v>377</v>
      </c>
      <c r="E66" s="9" t="s">
        <v>866</v>
      </c>
      <c r="F66" s="9" t="s">
        <v>1336</v>
      </c>
      <c r="G66" s="9" t="s">
        <v>1337</v>
      </c>
      <c r="H66" s="9" t="s">
        <v>1338</v>
      </c>
      <c r="I66" s="9" t="s">
        <v>1532</v>
      </c>
      <c r="J66" s="9" t="s">
        <v>377</v>
      </c>
      <c r="K66" s="9" t="s">
        <v>867</v>
      </c>
      <c r="L66" s="9" t="s">
        <v>868</v>
      </c>
      <c r="M66" s="9" t="s">
        <v>1397</v>
      </c>
      <c r="N66" s="9" t="s">
        <v>870</v>
      </c>
      <c r="O66" s="9" t="s">
        <v>870</v>
      </c>
      <c r="P66" s="9" t="s">
        <v>1542</v>
      </c>
      <c r="Q66" s="9" t="s">
        <v>113</v>
      </c>
      <c r="R66" s="9" t="s">
        <v>1360</v>
      </c>
      <c r="S66" s="9" t="s">
        <v>398</v>
      </c>
      <c r="T66" s="9" t="s">
        <v>377</v>
      </c>
      <c r="U66" s="9" t="s">
        <v>1535</v>
      </c>
      <c r="V66" s="9" t="s">
        <v>1347</v>
      </c>
      <c r="W66" s="9"/>
      <c r="X66" s="9" t="s">
        <v>377</v>
      </c>
      <c r="Y66" s="9" t="s">
        <v>377</v>
      </c>
      <c r="Z66" s="12" t="b">
        <f aca="false">FALSE()</f>
        <v>0</v>
      </c>
      <c r="AA66" s="8" t="s">
        <v>1348</v>
      </c>
    </row>
    <row r="67" customFormat="false" ht="15.75" hidden="false" customHeight="true" outlineLevel="0" collapsed="false">
      <c r="A67" s="9" t="s">
        <v>1543</v>
      </c>
      <c r="B67" s="9" t="s">
        <v>490</v>
      </c>
      <c r="C67" s="9" t="s">
        <v>491</v>
      </c>
      <c r="D67" s="9" t="s">
        <v>377</v>
      </c>
      <c r="E67" s="9" t="s">
        <v>912</v>
      </c>
      <c r="F67" s="9" t="s">
        <v>1336</v>
      </c>
      <c r="G67" s="9" t="s">
        <v>1363</v>
      </c>
      <c r="H67" s="9" t="s">
        <v>1338</v>
      </c>
      <c r="I67" s="9" t="s">
        <v>1532</v>
      </c>
      <c r="J67" s="9" t="s">
        <v>377</v>
      </c>
      <c r="K67" s="9" t="s">
        <v>913</v>
      </c>
      <c r="L67" s="9" t="s">
        <v>914</v>
      </c>
      <c r="M67" s="9" t="s">
        <v>1544</v>
      </c>
      <c r="N67" s="9" t="s">
        <v>916</v>
      </c>
      <c r="O67" s="9" t="s">
        <v>916</v>
      </c>
      <c r="P67" s="9" t="s">
        <v>1365</v>
      </c>
      <c r="Q67" s="9" t="s">
        <v>113</v>
      </c>
      <c r="R67" s="9" t="s">
        <v>1366</v>
      </c>
      <c r="S67" s="9" t="s">
        <v>398</v>
      </c>
      <c r="T67" s="9" t="s">
        <v>377</v>
      </c>
      <c r="U67" s="9" t="s">
        <v>1545</v>
      </c>
      <c r="V67" s="9" t="s">
        <v>1347</v>
      </c>
      <c r="W67" s="9"/>
      <c r="X67" s="9" t="s">
        <v>377</v>
      </c>
      <c r="Y67" s="9" t="s">
        <v>377</v>
      </c>
      <c r="Z67" s="12" t="b">
        <f aca="false">FALSE()</f>
        <v>0</v>
      </c>
      <c r="AA67" s="8" t="s">
        <v>1348</v>
      </c>
    </row>
    <row r="68" customFormat="false" ht="15.75" hidden="false" customHeight="true" outlineLevel="0" collapsed="false">
      <c r="A68" s="9" t="s">
        <v>1546</v>
      </c>
      <c r="B68" s="9" t="s">
        <v>490</v>
      </c>
      <c r="C68" s="9" t="s">
        <v>491</v>
      </c>
      <c r="D68" s="9" t="s">
        <v>377</v>
      </c>
      <c r="E68" s="9" t="s">
        <v>966</v>
      </c>
      <c r="F68" s="9" t="s">
        <v>1336</v>
      </c>
      <c r="G68" s="9" t="s">
        <v>1337</v>
      </c>
      <c r="H68" s="9" t="s">
        <v>1338</v>
      </c>
      <c r="I68" s="9" t="s">
        <v>1532</v>
      </c>
      <c r="J68" s="9" t="s">
        <v>377</v>
      </c>
      <c r="K68" s="9" t="s">
        <v>967</v>
      </c>
      <c r="L68" s="9" t="s">
        <v>1369</v>
      </c>
      <c r="M68" s="9" t="s">
        <v>1370</v>
      </c>
      <c r="N68" s="9" t="s">
        <v>1153</v>
      </c>
      <c r="O68" s="9" t="s">
        <v>1153</v>
      </c>
      <c r="P68" s="9" t="s">
        <v>1547</v>
      </c>
      <c r="Q68" s="9" t="s">
        <v>113</v>
      </c>
      <c r="R68" s="9" t="s">
        <v>1372</v>
      </c>
      <c r="S68" s="9" t="s">
        <v>398</v>
      </c>
      <c r="T68" s="9" t="s">
        <v>377</v>
      </c>
      <c r="U68" s="9" t="s">
        <v>1535</v>
      </c>
      <c r="V68" s="9" t="s">
        <v>1347</v>
      </c>
      <c r="W68" s="9"/>
      <c r="X68" s="9" t="s">
        <v>377</v>
      </c>
      <c r="Y68" s="9" t="s">
        <v>377</v>
      </c>
      <c r="Z68" s="12" t="b">
        <f aca="false">FALSE()</f>
        <v>0</v>
      </c>
      <c r="AA68" s="8" t="s">
        <v>1348</v>
      </c>
    </row>
    <row r="69" customFormat="false" ht="15.75" hidden="false" customHeight="true" outlineLevel="0" collapsed="false">
      <c r="A69" s="9" t="s">
        <v>1548</v>
      </c>
      <c r="B69" s="9" t="s">
        <v>490</v>
      </c>
      <c r="C69" s="9" t="s">
        <v>491</v>
      </c>
      <c r="D69" s="9" t="s">
        <v>377</v>
      </c>
      <c r="E69" s="9" t="s">
        <v>947</v>
      </c>
      <c r="F69" s="9" t="s">
        <v>1336</v>
      </c>
      <c r="G69" s="9" t="s">
        <v>1351</v>
      </c>
      <c r="H69" s="9" t="s">
        <v>1352</v>
      </c>
      <c r="I69" s="9"/>
      <c r="J69" s="9"/>
      <c r="K69" s="9"/>
      <c r="L69" s="9"/>
      <c r="M69" s="9"/>
      <c r="N69" s="9"/>
      <c r="O69" s="9"/>
      <c r="P69" s="9"/>
      <c r="Q69" s="9" t="s">
        <v>1353</v>
      </c>
      <c r="R69" s="9"/>
      <c r="S69" s="9"/>
      <c r="T69" s="9"/>
      <c r="U69" s="9"/>
      <c r="V69" s="9"/>
      <c r="W69" s="9"/>
      <c r="X69" s="9" t="s">
        <v>414</v>
      </c>
      <c r="Y69" s="9" t="s">
        <v>391</v>
      </c>
      <c r="Z69" s="12" t="b">
        <f aca="false">FALSE()</f>
        <v>0</v>
      </c>
      <c r="AA69" s="8" t="s">
        <v>1348</v>
      </c>
    </row>
    <row r="70" customFormat="false" ht="15.75" hidden="false" customHeight="true" outlineLevel="0" collapsed="false">
      <c r="A70" s="9" t="s">
        <v>1549</v>
      </c>
      <c r="B70" s="9" t="s">
        <v>494</v>
      </c>
      <c r="C70" s="9" t="s">
        <v>495</v>
      </c>
      <c r="D70" s="9" t="s">
        <v>377</v>
      </c>
      <c r="E70" s="9" t="s">
        <v>1021</v>
      </c>
      <c r="F70" s="9" t="s">
        <v>1336</v>
      </c>
      <c r="G70" s="9" t="s">
        <v>1376</v>
      </c>
      <c r="H70" s="9" t="s">
        <v>1338</v>
      </c>
      <c r="I70" s="9" t="s">
        <v>1550</v>
      </c>
      <c r="J70" s="9" t="s">
        <v>377</v>
      </c>
      <c r="K70" s="9" t="s">
        <v>1022</v>
      </c>
      <c r="L70" s="9" t="s">
        <v>1340</v>
      </c>
      <c r="M70" s="9" t="s">
        <v>1341</v>
      </c>
      <c r="N70" s="9" t="s">
        <v>1342</v>
      </c>
      <c r="O70" s="9" t="s">
        <v>68</v>
      </c>
      <c r="P70" s="9" t="s">
        <v>1551</v>
      </c>
      <c r="Q70" s="9" t="s">
        <v>113</v>
      </c>
      <c r="R70" s="9" t="s">
        <v>1345</v>
      </c>
      <c r="S70" s="9" t="s">
        <v>398</v>
      </c>
      <c r="T70" s="9" t="s">
        <v>377</v>
      </c>
      <c r="U70" s="9" t="s">
        <v>1552</v>
      </c>
      <c r="V70" s="9" t="s">
        <v>1347</v>
      </c>
      <c r="W70" s="9"/>
      <c r="X70" s="9" t="s">
        <v>377</v>
      </c>
      <c r="Y70" s="9" t="s">
        <v>377</v>
      </c>
      <c r="Z70" s="12" t="b">
        <f aca="false">FALSE()</f>
        <v>0</v>
      </c>
      <c r="AA70" s="8" t="s">
        <v>1348</v>
      </c>
    </row>
    <row r="71" customFormat="false" ht="15.75" hidden="false" customHeight="true" outlineLevel="0" collapsed="false">
      <c r="A71" s="9" t="s">
        <v>1553</v>
      </c>
      <c r="B71" s="9" t="s">
        <v>494</v>
      </c>
      <c r="C71" s="9" t="s">
        <v>495</v>
      </c>
      <c r="D71" s="9" t="s">
        <v>377</v>
      </c>
      <c r="E71" s="9" t="s">
        <v>1350</v>
      </c>
      <c r="F71" s="9" t="s">
        <v>1336</v>
      </c>
      <c r="G71" s="9" t="s">
        <v>1351</v>
      </c>
      <c r="H71" s="9" t="s">
        <v>1352</v>
      </c>
      <c r="I71" s="9"/>
      <c r="J71" s="9"/>
      <c r="K71" s="9"/>
      <c r="L71" s="9"/>
      <c r="M71" s="9"/>
      <c r="N71" s="9"/>
      <c r="O71" s="9"/>
      <c r="P71" s="9"/>
      <c r="Q71" s="9" t="s">
        <v>1353</v>
      </c>
      <c r="R71" s="9"/>
      <c r="S71" s="9"/>
      <c r="T71" s="9"/>
      <c r="U71" s="9"/>
      <c r="V71" s="9"/>
      <c r="W71" s="9"/>
      <c r="X71" s="9" t="s">
        <v>414</v>
      </c>
      <c r="Y71" s="9" t="s">
        <v>391</v>
      </c>
      <c r="Z71" s="12" t="b">
        <f aca="false">FALSE()</f>
        <v>0</v>
      </c>
      <c r="AA71" s="8" t="s">
        <v>1348</v>
      </c>
    </row>
    <row r="72" customFormat="false" ht="15.75" hidden="false" customHeight="true" outlineLevel="0" collapsed="false">
      <c r="A72" s="9" t="s">
        <v>1554</v>
      </c>
      <c r="B72" s="9" t="s">
        <v>494</v>
      </c>
      <c r="C72" s="9" t="s">
        <v>495</v>
      </c>
      <c r="D72" s="9" t="s">
        <v>377</v>
      </c>
      <c r="E72" s="9" t="s">
        <v>1355</v>
      </c>
      <c r="F72" s="9" t="s">
        <v>1336</v>
      </c>
      <c r="G72" s="9" t="s">
        <v>1337</v>
      </c>
      <c r="H72" s="9" t="s">
        <v>1338</v>
      </c>
      <c r="I72" s="9" t="s">
        <v>1550</v>
      </c>
      <c r="J72" s="9" t="s">
        <v>377</v>
      </c>
      <c r="K72" s="9" t="s">
        <v>1390</v>
      </c>
      <c r="L72" s="9" t="s">
        <v>1508</v>
      </c>
      <c r="M72" s="9" t="s">
        <v>1509</v>
      </c>
      <c r="N72" s="9" t="s">
        <v>1391</v>
      </c>
      <c r="O72" s="9" t="s">
        <v>1510</v>
      </c>
      <c r="P72" s="9" t="s">
        <v>1555</v>
      </c>
      <c r="Q72" s="9" t="s">
        <v>113</v>
      </c>
      <c r="R72" s="9" t="s">
        <v>1556</v>
      </c>
      <c r="S72" s="9" t="s">
        <v>398</v>
      </c>
      <c r="T72" s="9" t="s">
        <v>377</v>
      </c>
      <c r="U72" s="9" t="s">
        <v>1552</v>
      </c>
      <c r="V72" s="9" t="s">
        <v>1347</v>
      </c>
      <c r="W72" s="9"/>
      <c r="X72" s="9" t="s">
        <v>377</v>
      </c>
      <c r="Y72" s="9" t="s">
        <v>377</v>
      </c>
      <c r="Z72" s="12" t="b">
        <f aca="false">FALSE()</f>
        <v>0</v>
      </c>
      <c r="AA72" s="8" t="s">
        <v>1348</v>
      </c>
    </row>
    <row r="73" customFormat="false" ht="15.75" hidden="false" customHeight="true" outlineLevel="0" collapsed="false">
      <c r="A73" s="9" t="s">
        <v>1557</v>
      </c>
      <c r="B73" s="9" t="s">
        <v>494</v>
      </c>
      <c r="C73" s="9" t="s">
        <v>495</v>
      </c>
      <c r="D73" s="9" t="s">
        <v>377</v>
      </c>
      <c r="E73" s="9" t="s">
        <v>886</v>
      </c>
      <c r="F73" s="9" t="s">
        <v>1336</v>
      </c>
      <c r="G73" s="9" t="s">
        <v>1337</v>
      </c>
      <c r="H73" s="9" t="s">
        <v>1338</v>
      </c>
      <c r="I73" s="9" t="s">
        <v>1550</v>
      </c>
      <c r="J73" s="9" t="s">
        <v>377</v>
      </c>
      <c r="K73" s="9" t="s">
        <v>900</v>
      </c>
      <c r="L73" s="9" t="s">
        <v>1181</v>
      </c>
      <c r="M73" s="9" t="s">
        <v>1558</v>
      </c>
      <c r="N73" s="9" t="s">
        <v>903</v>
      </c>
      <c r="O73" s="9" t="s">
        <v>904</v>
      </c>
      <c r="P73" s="9" t="s">
        <v>1559</v>
      </c>
      <c r="Q73" s="9" t="s">
        <v>113</v>
      </c>
      <c r="R73" s="9" t="s">
        <v>1560</v>
      </c>
      <c r="S73" s="9" t="s">
        <v>398</v>
      </c>
      <c r="T73" s="9" t="s">
        <v>377</v>
      </c>
      <c r="U73" s="9" t="s">
        <v>1561</v>
      </c>
      <c r="V73" s="9" t="s">
        <v>1347</v>
      </c>
      <c r="W73" s="9"/>
      <c r="X73" s="9" t="s">
        <v>377</v>
      </c>
      <c r="Y73" s="9" t="s">
        <v>377</v>
      </c>
      <c r="Z73" s="12" t="b">
        <f aca="false">FALSE()</f>
        <v>0</v>
      </c>
      <c r="AA73" s="8" t="s">
        <v>1348</v>
      </c>
    </row>
    <row r="74" customFormat="false" ht="15.75" hidden="false" customHeight="true" outlineLevel="0" collapsed="false">
      <c r="A74" s="9" t="s">
        <v>1562</v>
      </c>
      <c r="B74" s="9" t="s">
        <v>494</v>
      </c>
      <c r="C74" s="9" t="s">
        <v>495</v>
      </c>
      <c r="D74" s="9" t="s">
        <v>377</v>
      </c>
      <c r="E74" s="9" t="s">
        <v>866</v>
      </c>
      <c r="F74" s="9" t="s">
        <v>1336</v>
      </c>
      <c r="G74" s="9" t="s">
        <v>1337</v>
      </c>
      <c r="H74" s="9" t="s">
        <v>1338</v>
      </c>
      <c r="I74" s="9" t="s">
        <v>1550</v>
      </c>
      <c r="J74" s="9" t="s">
        <v>377</v>
      </c>
      <c r="K74" s="9" t="s">
        <v>867</v>
      </c>
      <c r="L74" s="9" t="s">
        <v>868</v>
      </c>
      <c r="M74" s="9" t="s">
        <v>1397</v>
      </c>
      <c r="N74" s="9" t="s">
        <v>870</v>
      </c>
      <c r="O74" s="9" t="s">
        <v>870</v>
      </c>
      <c r="P74" s="9" t="s">
        <v>1563</v>
      </c>
      <c r="Q74" s="9" t="s">
        <v>113</v>
      </c>
      <c r="R74" s="9" t="s">
        <v>1360</v>
      </c>
      <c r="S74" s="9" t="s">
        <v>398</v>
      </c>
      <c r="T74" s="9" t="s">
        <v>377</v>
      </c>
      <c r="U74" s="9" t="s">
        <v>1552</v>
      </c>
      <c r="V74" s="9" t="s">
        <v>1347</v>
      </c>
      <c r="W74" s="9"/>
      <c r="X74" s="9" t="s">
        <v>377</v>
      </c>
      <c r="Y74" s="9" t="s">
        <v>377</v>
      </c>
      <c r="Z74" s="12" t="b">
        <f aca="false">FALSE()</f>
        <v>0</v>
      </c>
      <c r="AA74" s="8" t="s">
        <v>1348</v>
      </c>
    </row>
    <row r="75" customFormat="false" ht="15.75" hidden="false" customHeight="true" outlineLevel="0" collapsed="false">
      <c r="A75" s="9" t="s">
        <v>1564</v>
      </c>
      <c r="B75" s="9" t="s">
        <v>494</v>
      </c>
      <c r="C75" s="9" t="s">
        <v>495</v>
      </c>
      <c r="D75" s="9" t="s">
        <v>377</v>
      </c>
      <c r="E75" s="9" t="s">
        <v>912</v>
      </c>
      <c r="F75" s="9" t="s">
        <v>1336</v>
      </c>
      <c r="G75" s="9" t="s">
        <v>1351</v>
      </c>
      <c r="H75" s="9" t="s">
        <v>1352</v>
      </c>
      <c r="I75" s="9"/>
      <c r="J75" s="9"/>
      <c r="K75" s="9"/>
      <c r="L75" s="9"/>
      <c r="M75" s="9"/>
      <c r="N75" s="9"/>
      <c r="O75" s="9"/>
      <c r="P75" s="9"/>
      <c r="Q75" s="9" t="s">
        <v>1353</v>
      </c>
      <c r="R75" s="9"/>
      <c r="S75" s="9"/>
      <c r="T75" s="9"/>
      <c r="U75" s="9"/>
      <c r="V75" s="9"/>
      <c r="W75" s="9"/>
      <c r="X75" s="9" t="s">
        <v>414</v>
      </c>
      <c r="Y75" s="9" t="s">
        <v>391</v>
      </c>
      <c r="Z75" s="12" t="b">
        <f aca="false">FALSE()</f>
        <v>0</v>
      </c>
      <c r="AA75" s="8" t="s">
        <v>1348</v>
      </c>
    </row>
    <row r="76" customFormat="false" ht="15.75" hidden="false" customHeight="true" outlineLevel="0" collapsed="false">
      <c r="A76" s="9" t="s">
        <v>1565</v>
      </c>
      <c r="B76" s="9" t="s">
        <v>494</v>
      </c>
      <c r="C76" s="9" t="s">
        <v>495</v>
      </c>
      <c r="D76" s="9" t="s">
        <v>377</v>
      </c>
      <c r="E76" s="9" t="s">
        <v>966</v>
      </c>
      <c r="F76" s="9" t="s">
        <v>1336</v>
      </c>
      <c r="G76" s="9" t="s">
        <v>1376</v>
      </c>
      <c r="H76" s="9" t="s">
        <v>1338</v>
      </c>
      <c r="I76" s="9" t="s">
        <v>1550</v>
      </c>
      <c r="J76" s="9" t="s">
        <v>377</v>
      </c>
      <c r="K76" s="9" t="s">
        <v>967</v>
      </c>
      <c r="L76" s="9" t="s">
        <v>1369</v>
      </c>
      <c r="M76" s="9" t="s">
        <v>1370</v>
      </c>
      <c r="N76" s="9" t="s">
        <v>1153</v>
      </c>
      <c r="O76" s="9" t="s">
        <v>1153</v>
      </c>
      <c r="P76" s="9" t="s">
        <v>1566</v>
      </c>
      <c r="Q76" s="9" t="s">
        <v>113</v>
      </c>
      <c r="R76" s="9" t="s">
        <v>1372</v>
      </c>
      <c r="S76" s="9" t="s">
        <v>398</v>
      </c>
      <c r="T76" s="9" t="s">
        <v>377</v>
      </c>
      <c r="U76" s="9" t="s">
        <v>1552</v>
      </c>
      <c r="V76" s="9" t="s">
        <v>1347</v>
      </c>
      <c r="W76" s="9"/>
      <c r="X76" s="9" t="s">
        <v>377</v>
      </c>
      <c r="Y76" s="9" t="s">
        <v>377</v>
      </c>
      <c r="Z76" s="12" t="b">
        <f aca="false">FALSE()</f>
        <v>0</v>
      </c>
      <c r="AA76" s="8" t="s">
        <v>1348</v>
      </c>
    </row>
    <row r="77" customFormat="false" ht="15.75" hidden="false" customHeight="true" outlineLevel="0" collapsed="false">
      <c r="A77" s="9" t="s">
        <v>1567</v>
      </c>
      <c r="B77" s="9" t="s">
        <v>494</v>
      </c>
      <c r="C77" s="9" t="s">
        <v>495</v>
      </c>
      <c r="D77" s="9" t="s">
        <v>377</v>
      </c>
      <c r="E77" s="9" t="s">
        <v>947</v>
      </c>
      <c r="F77" s="9" t="s">
        <v>1336</v>
      </c>
      <c r="G77" s="9" t="s">
        <v>1363</v>
      </c>
      <c r="H77" s="9" t="s">
        <v>1338</v>
      </c>
      <c r="I77" s="9" t="s">
        <v>1550</v>
      </c>
      <c r="J77" s="9" t="s">
        <v>377</v>
      </c>
      <c r="K77" s="9" t="s">
        <v>948</v>
      </c>
      <c r="L77" s="9" t="s">
        <v>1568</v>
      </c>
      <c r="M77" s="9" t="s">
        <v>1569</v>
      </c>
      <c r="N77" s="9" t="s">
        <v>951</v>
      </c>
      <c r="O77" s="9" t="s">
        <v>951</v>
      </c>
      <c r="P77" s="9" t="s">
        <v>1436</v>
      </c>
      <c r="Q77" s="9" t="s">
        <v>113</v>
      </c>
      <c r="R77" s="9" t="s">
        <v>1437</v>
      </c>
      <c r="S77" s="9" t="s">
        <v>398</v>
      </c>
      <c r="T77" s="9" t="s">
        <v>377</v>
      </c>
      <c r="U77" s="9" t="s">
        <v>1570</v>
      </c>
      <c r="V77" s="9" t="s">
        <v>1347</v>
      </c>
      <c r="W77" s="9"/>
      <c r="X77" s="9" t="s">
        <v>377</v>
      </c>
      <c r="Y77" s="9" t="s">
        <v>377</v>
      </c>
      <c r="Z77" s="12" t="b">
        <f aca="false">FALSE()</f>
        <v>0</v>
      </c>
      <c r="AA77" s="8" t="s">
        <v>1348</v>
      </c>
    </row>
    <row r="78" customFormat="false" ht="15.75" hidden="false" customHeight="true" outlineLevel="0" collapsed="false">
      <c r="A78" s="9" t="s">
        <v>1571</v>
      </c>
      <c r="B78" s="9" t="s">
        <v>498</v>
      </c>
      <c r="C78" s="9" t="s">
        <v>499</v>
      </c>
      <c r="D78" s="9" t="s">
        <v>377</v>
      </c>
      <c r="E78" s="9" t="s">
        <v>1021</v>
      </c>
      <c r="F78" s="9" t="s">
        <v>1336</v>
      </c>
      <c r="G78" s="9" t="s">
        <v>1351</v>
      </c>
      <c r="H78" s="9" t="s">
        <v>1352</v>
      </c>
      <c r="I78" s="9"/>
      <c r="J78" s="9"/>
      <c r="K78" s="9"/>
      <c r="L78" s="9"/>
      <c r="M78" s="9"/>
      <c r="N78" s="9"/>
      <c r="O78" s="9"/>
      <c r="P78" s="9"/>
      <c r="Q78" s="9" t="s">
        <v>1353</v>
      </c>
      <c r="R78" s="9"/>
      <c r="S78" s="9"/>
      <c r="T78" s="9"/>
      <c r="U78" s="9"/>
      <c r="V78" s="9"/>
      <c r="W78" s="9"/>
      <c r="X78" s="9" t="s">
        <v>414</v>
      </c>
      <c r="Y78" s="9" t="s">
        <v>391</v>
      </c>
      <c r="Z78" s="12" t="b">
        <f aca="false">FALSE()</f>
        <v>0</v>
      </c>
      <c r="AA78" s="8" t="s">
        <v>1348</v>
      </c>
    </row>
    <row r="79" customFormat="false" ht="15.75" hidden="false" customHeight="true" outlineLevel="0" collapsed="false">
      <c r="A79" s="9" t="s">
        <v>1572</v>
      </c>
      <c r="B79" s="9" t="s">
        <v>498</v>
      </c>
      <c r="C79" s="9" t="s">
        <v>499</v>
      </c>
      <c r="D79" s="9" t="s">
        <v>377</v>
      </c>
      <c r="E79" s="9" t="s">
        <v>1350</v>
      </c>
      <c r="F79" s="9" t="s">
        <v>1336</v>
      </c>
      <c r="G79" s="9" t="s">
        <v>1351</v>
      </c>
      <c r="H79" s="9" t="s">
        <v>1352</v>
      </c>
      <c r="I79" s="9"/>
      <c r="J79" s="9"/>
      <c r="K79" s="9"/>
      <c r="L79" s="9"/>
      <c r="M79" s="9"/>
      <c r="N79" s="9"/>
      <c r="O79" s="9"/>
      <c r="P79" s="9"/>
      <c r="Q79" s="9" t="s">
        <v>1353</v>
      </c>
      <c r="R79" s="9"/>
      <c r="S79" s="9"/>
      <c r="T79" s="9"/>
      <c r="U79" s="9"/>
      <c r="V79" s="9"/>
      <c r="W79" s="9"/>
      <c r="X79" s="9" t="s">
        <v>414</v>
      </c>
      <c r="Y79" s="9" t="s">
        <v>391</v>
      </c>
      <c r="Z79" s="12" t="b">
        <f aca="false">FALSE()</f>
        <v>0</v>
      </c>
      <c r="AA79" s="8" t="s">
        <v>1348</v>
      </c>
    </row>
    <row r="80" customFormat="false" ht="15.75" hidden="false" customHeight="true" outlineLevel="0" collapsed="false">
      <c r="A80" s="9" t="s">
        <v>1573</v>
      </c>
      <c r="B80" s="9" t="s">
        <v>498</v>
      </c>
      <c r="C80" s="9" t="s">
        <v>499</v>
      </c>
      <c r="D80" s="9" t="s">
        <v>377</v>
      </c>
      <c r="E80" s="9" t="s">
        <v>1355</v>
      </c>
      <c r="F80" s="9" t="s">
        <v>1336</v>
      </c>
      <c r="G80" s="9" t="s">
        <v>1351</v>
      </c>
      <c r="H80" s="9" t="s">
        <v>1352</v>
      </c>
      <c r="I80" s="9"/>
      <c r="J80" s="9"/>
      <c r="K80" s="9"/>
      <c r="L80" s="9"/>
      <c r="M80" s="9"/>
      <c r="N80" s="9"/>
      <c r="O80" s="9"/>
      <c r="P80" s="9"/>
      <c r="Q80" s="9" t="s">
        <v>1353</v>
      </c>
      <c r="R80" s="9"/>
      <c r="S80" s="9"/>
      <c r="T80" s="9"/>
      <c r="U80" s="9"/>
      <c r="V80" s="9"/>
      <c r="W80" s="9"/>
      <c r="X80" s="9" t="s">
        <v>414</v>
      </c>
      <c r="Y80" s="9" t="s">
        <v>391</v>
      </c>
      <c r="Z80" s="12" t="b">
        <f aca="false">FALSE()</f>
        <v>0</v>
      </c>
      <c r="AA80" s="8" t="s">
        <v>1348</v>
      </c>
    </row>
    <row r="81" customFormat="false" ht="15.75" hidden="false" customHeight="true" outlineLevel="0" collapsed="false">
      <c r="A81" s="9" t="s">
        <v>1574</v>
      </c>
      <c r="B81" s="9" t="s">
        <v>498</v>
      </c>
      <c r="C81" s="9" t="s">
        <v>499</v>
      </c>
      <c r="D81" s="9" t="s">
        <v>377</v>
      </c>
      <c r="E81" s="9" t="s">
        <v>886</v>
      </c>
      <c r="F81" s="9" t="s">
        <v>1336</v>
      </c>
      <c r="G81" s="9" t="s">
        <v>1337</v>
      </c>
      <c r="H81" s="9" t="s">
        <v>1338</v>
      </c>
      <c r="I81" s="9" t="s">
        <v>1575</v>
      </c>
      <c r="J81" s="9" t="s">
        <v>377</v>
      </c>
      <c r="K81" s="9" t="s">
        <v>958</v>
      </c>
      <c r="L81" s="9" t="s">
        <v>959</v>
      </c>
      <c r="M81" s="9" t="s">
        <v>1456</v>
      </c>
      <c r="N81" s="9" t="s">
        <v>961</v>
      </c>
      <c r="O81" s="9" t="s">
        <v>961</v>
      </c>
      <c r="P81" s="9" t="s">
        <v>1576</v>
      </c>
      <c r="Q81" s="9" t="s">
        <v>113</v>
      </c>
      <c r="R81" s="9" t="s">
        <v>1577</v>
      </c>
      <c r="S81" s="9" t="s">
        <v>398</v>
      </c>
      <c r="T81" s="9" t="s">
        <v>377</v>
      </c>
      <c r="U81" s="9" t="s">
        <v>1578</v>
      </c>
      <c r="V81" s="9" t="s">
        <v>1347</v>
      </c>
      <c r="W81" s="9"/>
      <c r="X81" s="9" t="s">
        <v>377</v>
      </c>
      <c r="Y81" s="9" t="s">
        <v>377</v>
      </c>
      <c r="Z81" s="12" t="b">
        <f aca="false">FALSE()</f>
        <v>0</v>
      </c>
      <c r="AA81" s="8" t="s">
        <v>1348</v>
      </c>
    </row>
    <row r="82" customFormat="false" ht="15.75" hidden="false" customHeight="true" outlineLevel="0" collapsed="false">
      <c r="A82" s="9" t="s">
        <v>1579</v>
      </c>
      <c r="B82" s="9" t="s">
        <v>498</v>
      </c>
      <c r="C82" s="9" t="s">
        <v>499</v>
      </c>
      <c r="D82" s="9" t="s">
        <v>377</v>
      </c>
      <c r="E82" s="9" t="s">
        <v>866</v>
      </c>
      <c r="F82" s="9" t="s">
        <v>1336</v>
      </c>
      <c r="G82" s="9" t="s">
        <v>1351</v>
      </c>
      <c r="H82" s="9" t="s">
        <v>1352</v>
      </c>
      <c r="I82" s="9"/>
      <c r="J82" s="9"/>
      <c r="K82" s="9"/>
      <c r="L82" s="9"/>
      <c r="M82" s="9"/>
      <c r="N82" s="9"/>
      <c r="O82" s="9"/>
      <c r="P82" s="9"/>
      <c r="Q82" s="9" t="s">
        <v>1353</v>
      </c>
      <c r="R82" s="9"/>
      <c r="S82" s="9"/>
      <c r="T82" s="9"/>
      <c r="U82" s="9"/>
      <c r="V82" s="9"/>
      <c r="W82" s="9"/>
      <c r="X82" s="9" t="s">
        <v>414</v>
      </c>
      <c r="Y82" s="9" t="s">
        <v>391</v>
      </c>
      <c r="Z82" s="12" t="b">
        <f aca="false">FALSE()</f>
        <v>0</v>
      </c>
      <c r="AA82" s="8" t="s">
        <v>1348</v>
      </c>
    </row>
    <row r="83" customFormat="false" ht="15.75" hidden="false" customHeight="true" outlineLevel="0" collapsed="false">
      <c r="A83" s="9" t="s">
        <v>1580</v>
      </c>
      <c r="B83" s="9" t="s">
        <v>498</v>
      </c>
      <c r="C83" s="9" t="s">
        <v>499</v>
      </c>
      <c r="D83" s="9" t="s">
        <v>377</v>
      </c>
      <c r="E83" s="9" t="s">
        <v>912</v>
      </c>
      <c r="F83" s="9" t="s">
        <v>1336</v>
      </c>
      <c r="G83" s="9" t="s">
        <v>1351</v>
      </c>
      <c r="H83" s="9" t="s">
        <v>1352</v>
      </c>
      <c r="I83" s="9"/>
      <c r="J83" s="9"/>
      <c r="K83" s="9"/>
      <c r="L83" s="9"/>
      <c r="M83" s="9"/>
      <c r="N83" s="9"/>
      <c r="O83" s="9"/>
      <c r="P83" s="9"/>
      <c r="Q83" s="9" t="s">
        <v>1353</v>
      </c>
      <c r="R83" s="9"/>
      <c r="S83" s="9"/>
      <c r="T83" s="9"/>
      <c r="U83" s="9"/>
      <c r="V83" s="9"/>
      <c r="W83" s="9"/>
      <c r="X83" s="9" t="s">
        <v>414</v>
      </c>
      <c r="Y83" s="9" t="s">
        <v>391</v>
      </c>
      <c r="Z83" s="12" t="b">
        <f aca="false">FALSE()</f>
        <v>0</v>
      </c>
      <c r="AA83" s="8" t="s">
        <v>1348</v>
      </c>
    </row>
    <row r="84" customFormat="false" ht="15.75" hidden="false" customHeight="true" outlineLevel="0" collapsed="false">
      <c r="A84" s="9" t="s">
        <v>1581</v>
      </c>
      <c r="B84" s="9" t="s">
        <v>498</v>
      </c>
      <c r="C84" s="9" t="s">
        <v>499</v>
      </c>
      <c r="D84" s="9" t="s">
        <v>377</v>
      </c>
      <c r="E84" s="9" t="s">
        <v>966</v>
      </c>
      <c r="F84" s="9" t="s">
        <v>1336</v>
      </c>
      <c r="G84" s="9" t="s">
        <v>1351</v>
      </c>
      <c r="H84" s="9" t="s">
        <v>1352</v>
      </c>
      <c r="I84" s="9"/>
      <c r="J84" s="9"/>
      <c r="K84" s="9"/>
      <c r="L84" s="9"/>
      <c r="M84" s="9"/>
      <c r="N84" s="9"/>
      <c r="O84" s="9"/>
      <c r="P84" s="9"/>
      <c r="Q84" s="9" t="s">
        <v>1353</v>
      </c>
      <c r="R84" s="9"/>
      <c r="S84" s="9"/>
      <c r="T84" s="9"/>
      <c r="U84" s="9"/>
      <c r="V84" s="9"/>
      <c r="W84" s="9"/>
      <c r="X84" s="9" t="s">
        <v>414</v>
      </c>
      <c r="Y84" s="9" t="s">
        <v>391</v>
      </c>
      <c r="Z84" s="12" t="b">
        <f aca="false">FALSE()</f>
        <v>0</v>
      </c>
      <c r="AA84" s="8" t="s">
        <v>1348</v>
      </c>
    </row>
    <row r="85" customFormat="false" ht="15.75" hidden="false" customHeight="true" outlineLevel="0" collapsed="false">
      <c r="A85" s="9" t="s">
        <v>1582</v>
      </c>
      <c r="B85" s="9" t="s">
        <v>498</v>
      </c>
      <c r="C85" s="9" t="s">
        <v>499</v>
      </c>
      <c r="D85" s="9" t="s">
        <v>377</v>
      </c>
      <c r="E85" s="9" t="s">
        <v>947</v>
      </c>
      <c r="F85" s="9" t="s">
        <v>1336</v>
      </c>
      <c r="G85" s="9" t="s">
        <v>1351</v>
      </c>
      <c r="H85" s="9" t="s">
        <v>1352</v>
      </c>
      <c r="I85" s="9"/>
      <c r="J85" s="9"/>
      <c r="K85" s="9"/>
      <c r="L85" s="9"/>
      <c r="M85" s="9"/>
      <c r="N85" s="9"/>
      <c r="O85" s="9"/>
      <c r="P85" s="9"/>
      <c r="Q85" s="9" t="s">
        <v>1353</v>
      </c>
      <c r="R85" s="9"/>
      <c r="S85" s="9"/>
      <c r="T85" s="9"/>
      <c r="U85" s="9"/>
      <c r="V85" s="9"/>
      <c r="W85" s="9"/>
      <c r="X85" s="9" t="s">
        <v>414</v>
      </c>
      <c r="Y85" s="9" t="s">
        <v>391</v>
      </c>
      <c r="Z85" s="12" t="b">
        <f aca="false">FALSE()</f>
        <v>0</v>
      </c>
      <c r="AA85" s="8" t="s">
        <v>1348</v>
      </c>
    </row>
    <row r="86" customFormat="false" ht="15.75" hidden="false" customHeight="true" outlineLevel="0" collapsed="false">
      <c r="A86" s="9" t="s">
        <v>1583</v>
      </c>
      <c r="B86" s="9" t="s">
        <v>501</v>
      </c>
      <c r="C86" s="9" t="s">
        <v>502</v>
      </c>
      <c r="D86" s="9" t="s">
        <v>377</v>
      </c>
      <c r="E86" s="9" t="s">
        <v>1021</v>
      </c>
      <c r="F86" s="9" t="s">
        <v>1336</v>
      </c>
      <c r="G86" s="9" t="s">
        <v>1351</v>
      </c>
      <c r="H86" s="9" t="s">
        <v>1352</v>
      </c>
      <c r="I86" s="9"/>
      <c r="J86" s="9"/>
      <c r="K86" s="9"/>
      <c r="L86" s="9"/>
      <c r="M86" s="9"/>
      <c r="N86" s="9"/>
      <c r="O86" s="9"/>
      <c r="P86" s="9"/>
      <c r="Q86" s="9" t="s">
        <v>1353</v>
      </c>
      <c r="R86" s="9"/>
      <c r="S86" s="9"/>
      <c r="T86" s="9"/>
      <c r="U86" s="9"/>
      <c r="V86" s="9"/>
      <c r="W86" s="9"/>
      <c r="X86" s="9" t="s">
        <v>414</v>
      </c>
      <c r="Y86" s="9" t="s">
        <v>391</v>
      </c>
      <c r="Z86" s="12" t="b">
        <f aca="false">FALSE()</f>
        <v>0</v>
      </c>
      <c r="AA86" s="8" t="s">
        <v>1348</v>
      </c>
    </row>
    <row r="87" customFormat="false" ht="15.75" hidden="false" customHeight="true" outlineLevel="0" collapsed="false">
      <c r="A87" s="9" t="s">
        <v>1584</v>
      </c>
      <c r="B87" s="9" t="s">
        <v>501</v>
      </c>
      <c r="C87" s="9" t="s">
        <v>502</v>
      </c>
      <c r="D87" s="9" t="s">
        <v>377</v>
      </c>
      <c r="E87" s="9" t="s">
        <v>1350</v>
      </c>
      <c r="F87" s="9" t="s">
        <v>1336</v>
      </c>
      <c r="G87" s="9" t="s">
        <v>1351</v>
      </c>
      <c r="H87" s="9" t="s">
        <v>1352</v>
      </c>
      <c r="I87" s="9"/>
      <c r="J87" s="9"/>
      <c r="K87" s="9"/>
      <c r="L87" s="9"/>
      <c r="M87" s="9"/>
      <c r="N87" s="9"/>
      <c r="O87" s="9"/>
      <c r="P87" s="9"/>
      <c r="Q87" s="9" t="s">
        <v>1353</v>
      </c>
      <c r="R87" s="9"/>
      <c r="S87" s="9"/>
      <c r="T87" s="9"/>
      <c r="U87" s="9"/>
      <c r="V87" s="9"/>
      <c r="W87" s="9"/>
      <c r="X87" s="9" t="s">
        <v>414</v>
      </c>
      <c r="Y87" s="9" t="s">
        <v>391</v>
      </c>
      <c r="Z87" s="12" t="b">
        <f aca="false">FALSE()</f>
        <v>0</v>
      </c>
      <c r="AA87" s="8" t="s">
        <v>1348</v>
      </c>
    </row>
    <row r="88" customFormat="false" ht="15.75" hidden="false" customHeight="true" outlineLevel="0" collapsed="false">
      <c r="A88" s="9" t="s">
        <v>1585</v>
      </c>
      <c r="B88" s="9" t="s">
        <v>501</v>
      </c>
      <c r="C88" s="9" t="s">
        <v>502</v>
      </c>
      <c r="D88" s="9" t="s">
        <v>377</v>
      </c>
      <c r="E88" s="9" t="s">
        <v>1355</v>
      </c>
      <c r="F88" s="9" t="s">
        <v>1336</v>
      </c>
      <c r="G88" s="9" t="s">
        <v>1351</v>
      </c>
      <c r="H88" s="9" t="s">
        <v>1352</v>
      </c>
      <c r="I88" s="9"/>
      <c r="J88" s="9"/>
      <c r="K88" s="9"/>
      <c r="L88" s="9"/>
      <c r="M88" s="9"/>
      <c r="N88" s="9"/>
      <c r="O88" s="9"/>
      <c r="P88" s="9"/>
      <c r="Q88" s="9" t="s">
        <v>1353</v>
      </c>
      <c r="R88" s="9"/>
      <c r="S88" s="9"/>
      <c r="T88" s="9"/>
      <c r="U88" s="9"/>
      <c r="V88" s="9"/>
      <c r="W88" s="9"/>
      <c r="X88" s="9" t="s">
        <v>414</v>
      </c>
      <c r="Y88" s="9" t="s">
        <v>391</v>
      </c>
      <c r="Z88" s="12" t="b">
        <f aca="false">FALSE()</f>
        <v>0</v>
      </c>
      <c r="AA88" s="8" t="s">
        <v>1348</v>
      </c>
    </row>
    <row r="89" customFormat="false" ht="15.75" hidden="false" customHeight="true" outlineLevel="0" collapsed="false">
      <c r="A89" s="9" t="s">
        <v>1586</v>
      </c>
      <c r="B89" s="9" t="s">
        <v>501</v>
      </c>
      <c r="C89" s="9" t="s">
        <v>502</v>
      </c>
      <c r="D89" s="9" t="s">
        <v>377</v>
      </c>
      <c r="E89" s="9" t="s">
        <v>886</v>
      </c>
      <c r="F89" s="9" t="s">
        <v>1336</v>
      </c>
      <c r="G89" s="9" t="s">
        <v>1337</v>
      </c>
      <c r="H89" s="9" t="s">
        <v>1338</v>
      </c>
      <c r="I89" s="9" t="s">
        <v>1587</v>
      </c>
      <c r="J89" s="9" t="s">
        <v>377</v>
      </c>
      <c r="K89" s="9" t="s">
        <v>887</v>
      </c>
      <c r="L89" s="9" t="s">
        <v>888</v>
      </c>
      <c r="M89" s="9" t="s">
        <v>1537</v>
      </c>
      <c r="N89" s="9" t="s">
        <v>890</v>
      </c>
      <c r="O89" s="9" t="s">
        <v>890</v>
      </c>
      <c r="P89" s="9" t="s">
        <v>1588</v>
      </c>
      <c r="Q89" s="9" t="s">
        <v>113</v>
      </c>
      <c r="R89" s="9" t="s">
        <v>1589</v>
      </c>
      <c r="S89" s="9" t="s">
        <v>398</v>
      </c>
      <c r="T89" s="9" t="s">
        <v>377</v>
      </c>
      <c r="U89" s="9" t="s">
        <v>1590</v>
      </c>
      <c r="V89" s="9" t="s">
        <v>1347</v>
      </c>
      <c r="W89" s="9"/>
      <c r="X89" s="9" t="s">
        <v>377</v>
      </c>
      <c r="Y89" s="9" t="s">
        <v>377</v>
      </c>
      <c r="Z89" s="12" t="b">
        <f aca="false">FALSE()</f>
        <v>0</v>
      </c>
      <c r="AA89" s="8" t="s">
        <v>1348</v>
      </c>
    </row>
    <row r="90" customFormat="false" ht="15.75" hidden="false" customHeight="true" outlineLevel="0" collapsed="false">
      <c r="A90" s="9" t="s">
        <v>1591</v>
      </c>
      <c r="B90" s="9" t="s">
        <v>501</v>
      </c>
      <c r="C90" s="9" t="s">
        <v>502</v>
      </c>
      <c r="D90" s="9" t="s">
        <v>377</v>
      </c>
      <c r="E90" s="9" t="s">
        <v>866</v>
      </c>
      <c r="F90" s="9" t="s">
        <v>1336</v>
      </c>
      <c r="G90" s="9" t="s">
        <v>1351</v>
      </c>
      <c r="H90" s="9" t="s">
        <v>1352</v>
      </c>
      <c r="I90" s="9"/>
      <c r="J90" s="9"/>
      <c r="K90" s="9"/>
      <c r="L90" s="9"/>
      <c r="M90" s="9"/>
      <c r="N90" s="9"/>
      <c r="O90" s="9"/>
      <c r="P90" s="9"/>
      <c r="Q90" s="9" t="s">
        <v>1353</v>
      </c>
      <c r="R90" s="9"/>
      <c r="S90" s="9"/>
      <c r="T90" s="9"/>
      <c r="U90" s="9"/>
      <c r="V90" s="9"/>
      <c r="W90" s="9"/>
      <c r="X90" s="9" t="s">
        <v>414</v>
      </c>
      <c r="Y90" s="9" t="s">
        <v>391</v>
      </c>
      <c r="Z90" s="12" t="b">
        <f aca="false">FALSE()</f>
        <v>0</v>
      </c>
      <c r="AA90" s="8" t="s">
        <v>1348</v>
      </c>
    </row>
    <row r="91" customFormat="false" ht="15.75" hidden="false" customHeight="true" outlineLevel="0" collapsed="false">
      <c r="A91" s="9" t="s">
        <v>1592</v>
      </c>
      <c r="B91" s="9" t="s">
        <v>501</v>
      </c>
      <c r="C91" s="9" t="s">
        <v>502</v>
      </c>
      <c r="D91" s="9" t="s">
        <v>377</v>
      </c>
      <c r="E91" s="9" t="s">
        <v>912</v>
      </c>
      <c r="F91" s="9" t="s">
        <v>1336</v>
      </c>
      <c r="G91" s="9" t="s">
        <v>1351</v>
      </c>
      <c r="H91" s="9" t="s">
        <v>1352</v>
      </c>
      <c r="I91" s="9"/>
      <c r="J91" s="9"/>
      <c r="K91" s="9"/>
      <c r="L91" s="9"/>
      <c r="M91" s="9"/>
      <c r="N91" s="9"/>
      <c r="O91" s="9"/>
      <c r="P91" s="9"/>
      <c r="Q91" s="9" t="s">
        <v>1353</v>
      </c>
      <c r="R91" s="9"/>
      <c r="S91" s="9"/>
      <c r="T91" s="9"/>
      <c r="U91" s="9"/>
      <c r="V91" s="9"/>
      <c r="W91" s="9"/>
      <c r="X91" s="9" t="s">
        <v>414</v>
      </c>
      <c r="Y91" s="9" t="s">
        <v>391</v>
      </c>
      <c r="Z91" s="12" t="b">
        <f aca="false">FALSE()</f>
        <v>0</v>
      </c>
      <c r="AA91" s="8" t="s">
        <v>1348</v>
      </c>
    </row>
    <row r="92" customFormat="false" ht="15.75" hidden="false" customHeight="true" outlineLevel="0" collapsed="false">
      <c r="A92" s="9" t="s">
        <v>1593</v>
      </c>
      <c r="B92" s="9" t="s">
        <v>501</v>
      </c>
      <c r="C92" s="9" t="s">
        <v>502</v>
      </c>
      <c r="D92" s="9" t="s">
        <v>377</v>
      </c>
      <c r="E92" s="9" t="s">
        <v>966</v>
      </c>
      <c r="F92" s="9" t="s">
        <v>1336</v>
      </c>
      <c r="G92" s="9" t="s">
        <v>1337</v>
      </c>
      <c r="H92" s="9" t="s">
        <v>1338</v>
      </c>
      <c r="I92" s="9" t="s">
        <v>1587</v>
      </c>
      <c r="J92" s="9" t="s">
        <v>377</v>
      </c>
      <c r="K92" s="9" t="s">
        <v>967</v>
      </c>
      <c r="L92" s="9" t="s">
        <v>968</v>
      </c>
      <c r="M92" s="9" t="s">
        <v>1370</v>
      </c>
      <c r="N92" s="9" t="s">
        <v>970</v>
      </c>
      <c r="O92" s="9" t="s">
        <v>970</v>
      </c>
      <c r="P92" s="9" t="s">
        <v>1594</v>
      </c>
      <c r="Q92" s="9" t="s">
        <v>113</v>
      </c>
      <c r="R92" s="9" t="s">
        <v>1372</v>
      </c>
      <c r="S92" s="9" t="s">
        <v>398</v>
      </c>
      <c r="T92" s="9" t="s">
        <v>377</v>
      </c>
      <c r="U92" s="9" t="s">
        <v>1590</v>
      </c>
      <c r="V92" s="9" t="s">
        <v>1347</v>
      </c>
      <c r="W92" s="9"/>
      <c r="X92" s="9" t="s">
        <v>377</v>
      </c>
      <c r="Y92" s="9" t="s">
        <v>377</v>
      </c>
      <c r="Z92" s="12" t="b">
        <f aca="false">FALSE()</f>
        <v>0</v>
      </c>
      <c r="AA92" s="8" t="s">
        <v>1348</v>
      </c>
    </row>
    <row r="93" customFormat="false" ht="15.75" hidden="false" customHeight="true" outlineLevel="0" collapsed="false">
      <c r="A93" s="9" t="s">
        <v>1595</v>
      </c>
      <c r="B93" s="9" t="s">
        <v>501</v>
      </c>
      <c r="C93" s="9" t="s">
        <v>502</v>
      </c>
      <c r="D93" s="9" t="s">
        <v>377</v>
      </c>
      <c r="E93" s="9" t="s">
        <v>947</v>
      </c>
      <c r="F93" s="9" t="s">
        <v>1336</v>
      </c>
      <c r="G93" s="9" t="s">
        <v>1351</v>
      </c>
      <c r="H93" s="9" t="s">
        <v>1352</v>
      </c>
      <c r="I93" s="9"/>
      <c r="J93" s="9"/>
      <c r="K93" s="9"/>
      <c r="L93" s="9"/>
      <c r="M93" s="9"/>
      <c r="N93" s="9"/>
      <c r="O93" s="9"/>
      <c r="P93" s="9"/>
      <c r="Q93" s="9" t="s">
        <v>1353</v>
      </c>
      <c r="R93" s="9"/>
      <c r="S93" s="9"/>
      <c r="T93" s="9"/>
      <c r="U93" s="9"/>
      <c r="V93" s="9"/>
      <c r="W93" s="9"/>
      <c r="X93" s="9" t="s">
        <v>414</v>
      </c>
      <c r="Y93" s="9" t="s">
        <v>391</v>
      </c>
      <c r="Z93" s="12" t="b">
        <f aca="false">FALSE()</f>
        <v>0</v>
      </c>
      <c r="AA93" s="8" t="s">
        <v>1348</v>
      </c>
    </row>
    <row r="94" customFormat="false" ht="15.75" hidden="false" customHeight="true" outlineLevel="0" collapsed="false">
      <c r="A94" s="9" t="s">
        <v>1596</v>
      </c>
      <c r="B94" s="9" t="s">
        <v>505</v>
      </c>
      <c r="C94" s="9" t="s">
        <v>506</v>
      </c>
      <c r="D94" s="9" t="s">
        <v>377</v>
      </c>
      <c r="E94" s="9" t="s">
        <v>1021</v>
      </c>
      <c r="F94" s="9" t="s">
        <v>1336</v>
      </c>
      <c r="G94" s="9" t="s">
        <v>1351</v>
      </c>
      <c r="H94" s="9" t="s">
        <v>1352</v>
      </c>
      <c r="I94" s="9"/>
      <c r="J94" s="9"/>
      <c r="K94" s="9"/>
      <c r="L94" s="9"/>
      <c r="M94" s="9"/>
      <c r="N94" s="9"/>
      <c r="O94" s="9"/>
      <c r="P94" s="9"/>
      <c r="Q94" s="9" t="s">
        <v>1353</v>
      </c>
      <c r="R94" s="9"/>
      <c r="S94" s="9"/>
      <c r="T94" s="9"/>
      <c r="U94" s="9"/>
      <c r="V94" s="9"/>
      <c r="W94" s="9"/>
      <c r="X94" s="9" t="s">
        <v>414</v>
      </c>
      <c r="Y94" s="9" t="s">
        <v>391</v>
      </c>
      <c r="Z94" s="12" t="b">
        <f aca="false">FALSE()</f>
        <v>0</v>
      </c>
      <c r="AA94" s="8" t="s">
        <v>1348</v>
      </c>
    </row>
    <row r="95" customFormat="false" ht="15.75" hidden="false" customHeight="true" outlineLevel="0" collapsed="false">
      <c r="A95" s="9" t="s">
        <v>1597</v>
      </c>
      <c r="B95" s="9" t="s">
        <v>505</v>
      </c>
      <c r="C95" s="9" t="s">
        <v>506</v>
      </c>
      <c r="D95" s="9" t="s">
        <v>377</v>
      </c>
      <c r="E95" s="9" t="s">
        <v>1350</v>
      </c>
      <c r="F95" s="9" t="s">
        <v>1336</v>
      </c>
      <c r="G95" s="9" t="s">
        <v>1351</v>
      </c>
      <c r="H95" s="9" t="s">
        <v>1352</v>
      </c>
      <c r="I95" s="9"/>
      <c r="J95" s="9"/>
      <c r="K95" s="9"/>
      <c r="L95" s="9"/>
      <c r="M95" s="9"/>
      <c r="N95" s="9"/>
      <c r="O95" s="9"/>
      <c r="P95" s="9"/>
      <c r="Q95" s="9" t="s">
        <v>1353</v>
      </c>
      <c r="R95" s="9"/>
      <c r="S95" s="9"/>
      <c r="T95" s="9"/>
      <c r="U95" s="9"/>
      <c r="V95" s="9"/>
      <c r="W95" s="9"/>
      <c r="X95" s="9" t="s">
        <v>414</v>
      </c>
      <c r="Y95" s="9" t="s">
        <v>391</v>
      </c>
      <c r="Z95" s="12" t="b">
        <f aca="false">FALSE()</f>
        <v>0</v>
      </c>
      <c r="AA95" s="8" t="s">
        <v>1348</v>
      </c>
    </row>
    <row r="96" customFormat="false" ht="15.75" hidden="false" customHeight="true" outlineLevel="0" collapsed="false">
      <c r="A96" s="9" t="s">
        <v>1598</v>
      </c>
      <c r="B96" s="9" t="s">
        <v>505</v>
      </c>
      <c r="C96" s="9" t="s">
        <v>506</v>
      </c>
      <c r="D96" s="9" t="s">
        <v>377</v>
      </c>
      <c r="E96" s="9" t="s">
        <v>1355</v>
      </c>
      <c r="F96" s="9" t="s">
        <v>1336</v>
      </c>
      <c r="G96" s="9" t="s">
        <v>1351</v>
      </c>
      <c r="H96" s="9" t="s">
        <v>1352</v>
      </c>
      <c r="I96" s="9"/>
      <c r="J96" s="9"/>
      <c r="K96" s="9"/>
      <c r="L96" s="9"/>
      <c r="M96" s="9"/>
      <c r="N96" s="9"/>
      <c r="O96" s="9"/>
      <c r="P96" s="9"/>
      <c r="Q96" s="9" t="s">
        <v>1353</v>
      </c>
      <c r="R96" s="9"/>
      <c r="S96" s="9"/>
      <c r="T96" s="9"/>
      <c r="U96" s="9"/>
      <c r="V96" s="9"/>
      <c r="W96" s="9"/>
      <c r="X96" s="9" t="s">
        <v>414</v>
      </c>
      <c r="Y96" s="9" t="s">
        <v>391</v>
      </c>
      <c r="Z96" s="12" t="b">
        <f aca="false">FALSE()</f>
        <v>0</v>
      </c>
      <c r="AA96" s="8" t="s">
        <v>1348</v>
      </c>
    </row>
    <row r="97" customFormat="false" ht="15.75" hidden="false" customHeight="true" outlineLevel="0" collapsed="false">
      <c r="A97" s="9" t="s">
        <v>1599</v>
      </c>
      <c r="B97" s="9" t="s">
        <v>505</v>
      </c>
      <c r="C97" s="9" t="s">
        <v>506</v>
      </c>
      <c r="D97" s="9" t="s">
        <v>377</v>
      </c>
      <c r="E97" s="9" t="s">
        <v>886</v>
      </c>
      <c r="F97" s="9" t="s">
        <v>1336</v>
      </c>
      <c r="G97" s="9" t="s">
        <v>1376</v>
      </c>
      <c r="H97" s="9" t="s">
        <v>1338</v>
      </c>
      <c r="I97" s="9" t="s">
        <v>1600</v>
      </c>
      <c r="J97" s="9" t="s">
        <v>377</v>
      </c>
      <c r="K97" s="9" t="s">
        <v>887</v>
      </c>
      <c r="L97" s="9" t="s">
        <v>888</v>
      </c>
      <c r="M97" s="9" t="s">
        <v>1537</v>
      </c>
      <c r="N97" s="9" t="s">
        <v>890</v>
      </c>
      <c r="O97" s="9" t="s">
        <v>890</v>
      </c>
      <c r="P97" s="9" t="s">
        <v>1601</v>
      </c>
      <c r="Q97" s="9" t="s">
        <v>113</v>
      </c>
      <c r="R97" s="9" t="s">
        <v>1602</v>
      </c>
      <c r="S97" s="9" t="s">
        <v>398</v>
      </c>
      <c r="T97" s="9" t="s">
        <v>377</v>
      </c>
      <c r="U97" s="9" t="s">
        <v>1603</v>
      </c>
      <c r="V97" s="9" t="s">
        <v>1347</v>
      </c>
      <c r="W97" s="9"/>
      <c r="X97" s="9" t="s">
        <v>377</v>
      </c>
      <c r="Y97" s="9" t="s">
        <v>377</v>
      </c>
      <c r="Z97" s="12" t="b">
        <f aca="false">FALSE()</f>
        <v>0</v>
      </c>
      <c r="AA97" s="8" t="s">
        <v>1348</v>
      </c>
    </row>
    <row r="98" customFormat="false" ht="15.75" hidden="false" customHeight="true" outlineLevel="0" collapsed="false">
      <c r="A98" s="9" t="s">
        <v>1604</v>
      </c>
      <c r="B98" s="9" t="s">
        <v>505</v>
      </c>
      <c r="C98" s="9" t="s">
        <v>506</v>
      </c>
      <c r="D98" s="9" t="s">
        <v>377</v>
      </c>
      <c r="E98" s="9" t="s">
        <v>866</v>
      </c>
      <c r="F98" s="9" t="s">
        <v>1336</v>
      </c>
      <c r="G98" s="9" t="s">
        <v>1351</v>
      </c>
      <c r="H98" s="9" t="s">
        <v>1352</v>
      </c>
      <c r="I98" s="9"/>
      <c r="J98" s="9"/>
      <c r="K98" s="9"/>
      <c r="L98" s="9"/>
      <c r="M98" s="9"/>
      <c r="N98" s="9"/>
      <c r="O98" s="9"/>
      <c r="P98" s="9"/>
      <c r="Q98" s="9" t="s">
        <v>1353</v>
      </c>
      <c r="R98" s="9"/>
      <c r="S98" s="9"/>
      <c r="T98" s="9"/>
      <c r="U98" s="9"/>
      <c r="V98" s="9"/>
      <c r="W98" s="9"/>
      <c r="X98" s="9" t="s">
        <v>414</v>
      </c>
      <c r="Y98" s="9" t="s">
        <v>391</v>
      </c>
      <c r="Z98" s="12" t="b">
        <f aca="false">FALSE()</f>
        <v>0</v>
      </c>
      <c r="AA98" s="8" t="s">
        <v>1348</v>
      </c>
    </row>
    <row r="99" customFormat="false" ht="15.75" hidden="false" customHeight="true" outlineLevel="0" collapsed="false">
      <c r="A99" s="9" t="s">
        <v>1605</v>
      </c>
      <c r="B99" s="9" t="s">
        <v>505</v>
      </c>
      <c r="C99" s="9" t="s">
        <v>506</v>
      </c>
      <c r="D99" s="9" t="s">
        <v>377</v>
      </c>
      <c r="E99" s="9" t="s">
        <v>912</v>
      </c>
      <c r="F99" s="9" t="s">
        <v>1336</v>
      </c>
      <c r="G99" s="9" t="s">
        <v>1363</v>
      </c>
      <c r="H99" s="9" t="s">
        <v>1338</v>
      </c>
      <c r="I99" s="9" t="s">
        <v>1600</v>
      </c>
      <c r="J99" s="9" t="s">
        <v>377</v>
      </c>
      <c r="K99" s="9" t="s">
        <v>913</v>
      </c>
      <c r="L99" s="9" t="s">
        <v>914</v>
      </c>
      <c r="M99" s="9" t="s">
        <v>1606</v>
      </c>
      <c r="N99" s="9" t="s">
        <v>916</v>
      </c>
      <c r="O99" s="9" t="s">
        <v>916</v>
      </c>
      <c r="P99" s="9" t="s">
        <v>1365</v>
      </c>
      <c r="Q99" s="9" t="s">
        <v>113</v>
      </c>
      <c r="R99" s="9" t="s">
        <v>1366</v>
      </c>
      <c r="S99" s="9" t="s">
        <v>398</v>
      </c>
      <c r="T99" s="9" t="s">
        <v>377</v>
      </c>
      <c r="U99" s="9" t="s">
        <v>1607</v>
      </c>
      <c r="V99" s="9" t="s">
        <v>1347</v>
      </c>
      <c r="W99" s="9"/>
      <c r="X99" s="9" t="s">
        <v>377</v>
      </c>
      <c r="Y99" s="9" t="s">
        <v>377</v>
      </c>
      <c r="Z99" s="12" t="b">
        <f aca="false">FALSE()</f>
        <v>0</v>
      </c>
      <c r="AA99" s="8" t="s">
        <v>1348</v>
      </c>
    </row>
    <row r="100" customFormat="false" ht="15.75" hidden="false" customHeight="true" outlineLevel="0" collapsed="false">
      <c r="A100" s="9" t="s">
        <v>1608</v>
      </c>
      <c r="B100" s="9" t="s">
        <v>505</v>
      </c>
      <c r="C100" s="9" t="s">
        <v>506</v>
      </c>
      <c r="D100" s="9" t="s">
        <v>377</v>
      </c>
      <c r="E100" s="9" t="s">
        <v>966</v>
      </c>
      <c r="F100" s="9" t="s">
        <v>1336</v>
      </c>
      <c r="G100" s="9" t="s">
        <v>1376</v>
      </c>
      <c r="H100" s="9" t="s">
        <v>1338</v>
      </c>
      <c r="I100" s="9" t="s">
        <v>1600</v>
      </c>
      <c r="J100" s="9" t="s">
        <v>377</v>
      </c>
      <c r="K100" s="9" t="s">
        <v>967</v>
      </c>
      <c r="L100" s="9" t="s">
        <v>968</v>
      </c>
      <c r="M100" s="9" t="s">
        <v>1370</v>
      </c>
      <c r="N100" s="9" t="s">
        <v>970</v>
      </c>
      <c r="O100" s="9" t="s">
        <v>970</v>
      </c>
      <c r="P100" s="9" t="s">
        <v>1609</v>
      </c>
      <c r="Q100" s="9" t="s">
        <v>113</v>
      </c>
      <c r="R100" s="9" t="s">
        <v>1602</v>
      </c>
      <c r="S100" s="9" t="s">
        <v>398</v>
      </c>
      <c r="T100" s="9" t="s">
        <v>377</v>
      </c>
      <c r="U100" s="9" t="s">
        <v>1603</v>
      </c>
      <c r="V100" s="9" t="s">
        <v>1347</v>
      </c>
      <c r="W100" s="9"/>
      <c r="X100" s="9" t="s">
        <v>377</v>
      </c>
      <c r="Y100" s="9" t="s">
        <v>377</v>
      </c>
      <c r="Z100" s="12" t="b">
        <f aca="false">FALSE()</f>
        <v>0</v>
      </c>
      <c r="AA100" s="8" t="s">
        <v>1348</v>
      </c>
    </row>
    <row r="101" customFormat="false" ht="15.75" hidden="false" customHeight="true" outlineLevel="0" collapsed="false">
      <c r="A101" s="9" t="s">
        <v>1610</v>
      </c>
      <c r="B101" s="9" t="s">
        <v>505</v>
      </c>
      <c r="C101" s="9" t="s">
        <v>506</v>
      </c>
      <c r="D101" s="9" t="s">
        <v>377</v>
      </c>
      <c r="E101" s="9" t="s">
        <v>947</v>
      </c>
      <c r="F101" s="9" t="s">
        <v>1336</v>
      </c>
      <c r="G101" s="9" t="s">
        <v>1363</v>
      </c>
      <c r="H101" s="9" t="s">
        <v>1338</v>
      </c>
      <c r="I101" s="9" t="s">
        <v>1600</v>
      </c>
      <c r="J101" s="9" t="s">
        <v>377</v>
      </c>
      <c r="K101" s="9" t="s">
        <v>948</v>
      </c>
      <c r="L101" s="9" t="s">
        <v>1434</v>
      </c>
      <c r="M101" s="9" t="s">
        <v>1611</v>
      </c>
      <c r="N101" s="9" t="s">
        <v>1076</v>
      </c>
      <c r="O101" s="9" t="s">
        <v>1076</v>
      </c>
      <c r="P101" s="9" t="s">
        <v>1436</v>
      </c>
      <c r="Q101" s="9" t="s">
        <v>113</v>
      </c>
      <c r="R101" s="9" t="s">
        <v>1437</v>
      </c>
      <c r="S101" s="9" t="s">
        <v>398</v>
      </c>
      <c r="T101" s="9" t="s">
        <v>377</v>
      </c>
      <c r="U101" s="9" t="s">
        <v>1612</v>
      </c>
      <c r="V101" s="9" t="s">
        <v>1347</v>
      </c>
      <c r="W101" s="9"/>
      <c r="X101" s="9" t="s">
        <v>377</v>
      </c>
      <c r="Y101" s="9" t="s">
        <v>377</v>
      </c>
      <c r="Z101" s="12" t="b">
        <f aca="false">FALSE()</f>
        <v>0</v>
      </c>
      <c r="AA101" s="8" t="s">
        <v>1348</v>
      </c>
    </row>
    <row r="102" customFormat="false" ht="15.75" hidden="false" customHeight="true" outlineLevel="0" collapsed="false">
      <c r="A102" s="9" t="s">
        <v>1613</v>
      </c>
      <c r="B102" s="9" t="s">
        <v>509</v>
      </c>
      <c r="C102" s="9" t="s">
        <v>510</v>
      </c>
      <c r="D102" s="9" t="s">
        <v>377</v>
      </c>
      <c r="E102" s="9" t="s">
        <v>1021</v>
      </c>
      <c r="F102" s="9" t="s">
        <v>1336</v>
      </c>
      <c r="G102" s="9" t="s">
        <v>1351</v>
      </c>
      <c r="H102" s="9" t="s">
        <v>1352</v>
      </c>
      <c r="I102" s="9"/>
      <c r="J102" s="9"/>
      <c r="K102" s="9"/>
      <c r="L102" s="9"/>
      <c r="M102" s="9"/>
      <c r="N102" s="9"/>
      <c r="O102" s="9"/>
      <c r="P102" s="9"/>
      <c r="Q102" s="9" t="s">
        <v>1353</v>
      </c>
      <c r="R102" s="9"/>
      <c r="S102" s="9"/>
      <c r="T102" s="9"/>
      <c r="U102" s="9"/>
      <c r="V102" s="9"/>
      <c r="W102" s="9"/>
      <c r="X102" s="9" t="s">
        <v>414</v>
      </c>
      <c r="Y102" s="9" t="s">
        <v>391</v>
      </c>
      <c r="Z102" s="12" t="b">
        <f aca="false">FALSE()</f>
        <v>0</v>
      </c>
      <c r="AA102" s="8" t="s">
        <v>1348</v>
      </c>
    </row>
    <row r="103" customFormat="false" ht="15.75" hidden="false" customHeight="true" outlineLevel="0" collapsed="false">
      <c r="A103" s="9" t="s">
        <v>1614</v>
      </c>
      <c r="B103" s="9" t="s">
        <v>509</v>
      </c>
      <c r="C103" s="9" t="s">
        <v>510</v>
      </c>
      <c r="D103" s="9" t="s">
        <v>377</v>
      </c>
      <c r="E103" s="9" t="s">
        <v>1350</v>
      </c>
      <c r="F103" s="9" t="s">
        <v>1336</v>
      </c>
      <c r="G103" s="9" t="s">
        <v>1351</v>
      </c>
      <c r="H103" s="9" t="s">
        <v>1352</v>
      </c>
      <c r="I103" s="9"/>
      <c r="J103" s="9"/>
      <c r="K103" s="9"/>
      <c r="L103" s="9"/>
      <c r="M103" s="9"/>
      <c r="N103" s="9"/>
      <c r="O103" s="9"/>
      <c r="P103" s="9"/>
      <c r="Q103" s="9" t="s">
        <v>1353</v>
      </c>
      <c r="R103" s="9"/>
      <c r="S103" s="9"/>
      <c r="T103" s="9"/>
      <c r="U103" s="9"/>
      <c r="V103" s="9"/>
      <c r="W103" s="9"/>
      <c r="X103" s="9" t="s">
        <v>414</v>
      </c>
      <c r="Y103" s="9" t="s">
        <v>391</v>
      </c>
      <c r="Z103" s="12" t="b">
        <f aca="false">FALSE()</f>
        <v>0</v>
      </c>
      <c r="AA103" s="8" t="s">
        <v>1348</v>
      </c>
    </row>
    <row r="104" customFormat="false" ht="15.75" hidden="false" customHeight="true" outlineLevel="0" collapsed="false">
      <c r="A104" s="9" t="s">
        <v>1615</v>
      </c>
      <c r="B104" s="9" t="s">
        <v>509</v>
      </c>
      <c r="C104" s="9" t="s">
        <v>510</v>
      </c>
      <c r="D104" s="9" t="s">
        <v>377</v>
      </c>
      <c r="E104" s="9" t="s">
        <v>1355</v>
      </c>
      <c r="F104" s="9" t="s">
        <v>1336</v>
      </c>
      <c r="G104" s="9" t="s">
        <v>1351</v>
      </c>
      <c r="H104" s="9" t="s">
        <v>1352</v>
      </c>
      <c r="I104" s="9"/>
      <c r="J104" s="9"/>
      <c r="K104" s="9"/>
      <c r="L104" s="9"/>
      <c r="M104" s="9"/>
      <c r="N104" s="9"/>
      <c r="O104" s="9"/>
      <c r="P104" s="9"/>
      <c r="Q104" s="9" t="s">
        <v>1353</v>
      </c>
      <c r="R104" s="9"/>
      <c r="S104" s="9"/>
      <c r="T104" s="9"/>
      <c r="U104" s="9"/>
      <c r="V104" s="9"/>
      <c r="W104" s="9"/>
      <c r="X104" s="9" t="s">
        <v>414</v>
      </c>
      <c r="Y104" s="9" t="s">
        <v>391</v>
      </c>
      <c r="Z104" s="12" t="b">
        <f aca="false">FALSE()</f>
        <v>0</v>
      </c>
      <c r="AA104" s="8" t="s">
        <v>1348</v>
      </c>
    </row>
    <row r="105" customFormat="false" ht="15.75" hidden="false" customHeight="true" outlineLevel="0" collapsed="false">
      <c r="A105" s="9" t="s">
        <v>1616</v>
      </c>
      <c r="B105" s="9" t="s">
        <v>509</v>
      </c>
      <c r="C105" s="9" t="s">
        <v>510</v>
      </c>
      <c r="D105" s="9" t="s">
        <v>377</v>
      </c>
      <c r="E105" s="9" t="s">
        <v>886</v>
      </c>
      <c r="F105" s="9" t="s">
        <v>1336</v>
      </c>
      <c r="G105" s="9" t="s">
        <v>1376</v>
      </c>
      <c r="H105" s="9" t="s">
        <v>1338</v>
      </c>
      <c r="I105" s="9" t="s">
        <v>1617</v>
      </c>
      <c r="J105" s="9" t="s">
        <v>377</v>
      </c>
      <c r="K105" s="9" t="s">
        <v>887</v>
      </c>
      <c r="L105" s="9" t="s">
        <v>888</v>
      </c>
      <c r="M105" s="9" t="s">
        <v>1537</v>
      </c>
      <c r="N105" s="9" t="s">
        <v>890</v>
      </c>
      <c r="O105" s="9" t="s">
        <v>890</v>
      </c>
      <c r="P105" s="9" t="s">
        <v>1618</v>
      </c>
      <c r="Q105" s="9" t="s">
        <v>113</v>
      </c>
      <c r="R105" s="9" t="s">
        <v>1602</v>
      </c>
      <c r="S105" s="9" t="s">
        <v>398</v>
      </c>
      <c r="T105" s="9" t="s">
        <v>377</v>
      </c>
      <c r="U105" s="9" t="s">
        <v>1619</v>
      </c>
      <c r="V105" s="9" t="s">
        <v>1347</v>
      </c>
      <c r="W105" s="9"/>
      <c r="X105" s="9" t="s">
        <v>377</v>
      </c>
      <c r="Y105" s="9" t="s">
        <v>377</v>
      </c>
      <c r="Z105" s="12" t="b">
        <f aca="false">FALSE()</f>
        <v>0</v>
      </c>
      <c r="AA105" s="8" t="s">
        <v>1348</v>
      </c>
    </row>
    <row r="106" customFormat="false" ht="15.75" hidden="false" customHeight="true" outlineLevel="0" collapsed="false">
      <c r="A106" s="9" t="s">
        <v>1620</v>
      </c>
      <c r="B106" s="9" t="s">
        <v>509</v>
      </c>
      <c r="C106" s="9" t="s">
        <v>510</v>
      </c>
      <c r="D106" s="9" t="s">
        <v>377</v>
      </c>
      <c r="E106" s="9" t="s">
        <v>866</v>
      </c>
      <c r="F106" s="9" t="s">
        <v>1336</v>
      </c>
      <c r="G106" s="9" t="s">
        <v>1351</v>
      </c>
      <c r="H106" s="9" t="s">
        <v>1352</v>
      </c>
      <c r="I106" s="9"/>
      <c r="J106" s="9"/>
      <c r="K106" s="9"/>
      <c r="L106" s="9"/>
      <c r="M106" s="9"/>
      <c r="N106" s="9"/>
      <c r="O106" s="9"/>
      <c r="P106" s="9"/>
      <c r="Q106" s="9" t="s">
        <v>1353</v>
      </c>
      <c r="R106" s="9"/>
      <c r="S106" s="9"/>
      <c r="T106" s="9"/>
      <c r="U106" s="9"/>
      <c r="V106" s="9"/>
      <c r="W106" s="9"/>
      <c r="X106" s="9" t="s">
        <v>414</v>
      </c>
      <c r="Y106" s="9" t="s">
        <v>391</v>
      </c>
      <c r="Z106" s="12" t="b">
        <f aca="false">FALSE()</f>
        <v>0</v>
      </c>
      <c r="AA106" s="8" t="s">
        <v>1348</v>
      </c>
    </row>
    <row r="107" customFormat="false" ht="15.75" hidden="false" customHeight="true" outlineLevel="0" collapsed="false">
      <c r="A107" s="9" t="s">
        <v>1621</v>
      </c>
      <c r="B107" s="9" t="s">
        <v>509</v>
      </c>
      <c r="C107" s="9" t="s">
        <v>510</v>
      </c>
      <c r="D107" s="9" t="s">
        <v>377</v>
      </c>
      <c r="E107" s="9" t="s">
        <v>912</v>
      </c>
      <c r="F107" s="9" t="s">
        <v>1336</v>
      </c>
      <c r="G107" s="9" t="s">
        <v>1351</v>
      </c>
      <c r="H107" s="9" t="s">
        <v>1352</v>
      </c>
      <c r="I107" s="9"/>
      <c r="J107" s="9"/>
      <c r="K107" s="9"/>
      <c r="L107" s="9"/>
      <c r="M107" s="9"/>
      <c r="N107" s="9"/>
      <c r="O107" s="9"/>
      <c r="P107" s="9"/>
      <c r="Q107" s="9" t="s">
        <v>1353</v>
      </c>
      <c r="R107" s="9"/>
      <c r="S107" s="9"/>
      <c r="T107" s="9"/>
      <c r="U107" s="9"/>
      <c r="V107" s="9"/>
      <c r="W107" s="9"/>
      <c r="X107" s="9" t="s">
        <v>414</v>
      </c>
      <c r="Y107" s="9" t="s">
        <v>391</v>
      </c>
      <c r="Z107" s="12" t="b">
        <f aca="false">FALSE()</f>
        <v>0</v>
      </c>
      <c r="AA107" s="8" t="s">
        <v>1348</v>
      </c>
    </row>
    <row r="108" customFormat="false" ht="15.75" hidden="false" customHeight="true" outlineLevel="0" collapsed="false">
      <c r="A108" s="9" t="s">
        <v>1622</v>
      </c>
      <c r="B108" s="9" t="s">
        <v>509</v>
      </c>
      <c r="C108" s="9" t="s">
        <v>510</v>
      </c>
      <c r="D108" s="9" t="s">
        <v>377</v>
      </c>
      <c r="E108" s="9" t="s">
        <v>966</v>
      </c>
      <c r="F108" s="9" t="s">
        <v>1336</v>
      </c>
      <c r="G108" s="9" t="s">
        <v>1351</v>
      </c>
      <c r="H108" s="9" t="s">
        <v>1352</v>
      </c>
      <c r="I108" s="9"/>
      <c r="J108" s="9"/>
      <c r="K108" s="9"/>
      <c r="L108" s="9"/>
      <c r="M108" s="9"/>
      <c r="N108" s="9"/>
      <c r="O108" s="9"/>
      <c r="P108" s="9"/>
      <c r="Q108" s="9" t="s">
        <v>1353</v>
      </c>
      <c r="R108" s="9"/>
      <c r="S108" s="9"/>
      <c r="T108" s="9"/>
      <c r="U108" s="9"/>
      <c r="V108" s="9"/>
      <c r="W108" s="9"/>
      <c r="X108" s="9" t="s">
        <v>414</v>
      </c>
      <c r="Y108" s="9" t="s">
        <v>391</v>
      </c>
      <c r="Z108" s="12" t="b">
        <f aca="false">FALSE()</f>
        <v>0</v>
      </c>
      <c r="AA108" s="8" t="s">
        <v>1348</v>
      </c>
    </row>
    <row r="109" customFormat="false" ht="15.75" hidden="false" customHeight="true" outlineLevel="0" collapsed="false">
      <c r="A109" s="9" t="s">
        <v>1623</v>
      </c>
      <c r="B109" s="9" t="s">
        <v>509</v>
      </c>
      <c r="C109" s="9" t="s">
        <v>510</v>
      </c>
      <c r="D109" s="9" t="s">
        <v>377</v>
      </c>
      <c r="E109" s="9" t="s">
        <v>947</v>
      </c>
      <c r="F109" s="9" t="s">
        <v>1336</v>
      </c>
      <c r="G109" s="9" t="s">
        <v>1351</v>
      </c>
      <c r="H109" s="9" t="s">
        <v>1352</v>
      </c>
      <c r="I109" s="9"/>
      <c r="J109" s="9"/>
      <c r="K109" s="9"/>
      <c r="L109" s="9"/>
      <c r="M109" s="9"/>
      <c r="N109" s="9"/>
      <c r="O109" s="9"/>
      <c r="P109" s="9"/>
      <c r="Q109" s="9" t="s">
        <v>1353</v>
      </c>
      <c r="R109" s="9"/>
      <c r="S109" s="9"/>
      <c r="T109" s="9"/>
      <c r="U109" s="9"/>
      <c r="V109" s="9"/>
      <c r="W109" s="9"/>
      <c r="X109" s="9" t="s">
        <v>414</v>
      </c>
      <c r="Y109" s="9" t="s">
        <v>391</v>
      </c>
      <c r="Z109" s="12" t="b">
        <f aca="false">FALSE()</f>
        <v>0</v>
      </c>
      <c r="AA109" s="8" t="s">
        <v>1348</v>
      </c>
    </row>
    <row r="110" customFormat="false" ht="15.75" hidden="false" customHeight="true" outlineLevel="0" collapsed="false">
      <c r="A110" s="9" t="s">
        <v>1624</v>
      </c>
      <c r="B110" s="9" t="s">
        <v>513</v>
      </c>
      <c r="C110" s="9" t="s">
        <v>515</v>
      </c>
      <c r="D110" s="9" t="s">
        <v>377</v>
      </c>
      <c r="E110" s="9" t="s">
        <v>1021</v>
      </c>
      <c r="F110" s="9" t="s">
        <v>1336</v>
      </c>
      <c r="G110" s="9" t="s">
        <v>1351</v>
      </c>
      <c r="H110" s="9" t="s">
        <v>1352</v>
      </c>
      <c r="I110" s="9"/>
      <c r="J110" s="9"/>
      <c r="K110" s="9"/>
      <c r="L110" s="9"/>
      <c r="M110" s="9"/>
      <c r="N110" s="9"/>
      <c r="O110" s="9"/>
      <c r="P110" s="9"/>
      <c r="Q110" s="9" t="s">
        <v>1353</v>
      </c>
      <c r="R110" s="9"/>
      <c r="S110" s="9"/>
      <c r="T110" s="9"/>
      <c r="U110" s="9"/>
      <c r="V110" s="9"/>
      <c r="W110" s="9"/>
      <c r="X110" s="9" t="s">
        <v>414</v>
      </c>
      <c r="Y110" s="9" t="s">
        <v>391</v>
      </c>
      <c r="Z110" s="12" t="b">
        <f aca="false">FALSE()</f>
        <v>0</v>
      </c>
      <c r="AA110" s="8" t="s">
        <v>1348</v>
      </c>
    </row>
    <row r="111" customFormat="false" ht="15.75" hidden="false" customHeight="true" outlineLevel="0" collapsed="false">
      <c r="A111" s="9" t="s">
        <v>1625</v>
      </c>
      <c r="B111" s="9" t="s">
        <v>513</v>
      </c>
      <c r="C111" s="9" t="s">
        <v>515</v>
      </c>
      <c r="D111" s="9" t="s">
        <v>377</v>
      </c>
      <c r="E111" s="9" t="s">
        <v>1350</v>
      </c>
      <c r="F111" s="9" t="s">
        <v>1336</v>
      </c>
      <c r="G111" s="9" t="s">
        <v>1351</v>
      </c>
      <c r="H111" s="9" t="s">
        <v>1352</v>
      </c>
      <c r="I111" s="9"/>
      <c r="J111" s="9"/>
      <c r="K111" s="9"/>
      <c r="L111" s="9"/>
      <c r="M111" s="9"/>
      <c r="N111" s="9"/>
      <c r="O111" s="9"/>
      <c r="P111" s="9"/>
      <c r="Q111" s="9" t="s">
        <v>1353</v>
      </c>
      <c r="R111" s="9"/>
      <c r="S111" s="9"/>
      <c r="T111" s="9"/>
      <c r="U111" s="9"/>
      <c r="V111" s="9"/>
      <c r="W111" s="9"/>
      <c r="X111" s="9" t="s">
        <v>414</v>
      </c>
      <c r="Y111" s="9" t="s">
        <v>391</v>
      </c>
      <c r="Z111" s="12" t="b">
        <f aca="false">FALSE()</f>
        <v>0</v>
      </c>
      <c r="AA111" s="8" t="s">
        <v>1348</v>
      </c>
    </row>
    <row r="112" customFormat="false" ht="15.75" hidden="false" customHeight="true" outlineLevel="0" collapsed="false">
      <c r="A112" s="9" t="s">
        <v>1626</v>
      </c>
      <c r="B112" s="9" t="s">
        <v>513</v>
      </c>
      <c r="C112" s="9" t="s">
        <v>515</v>
      </c>
      <c r="D112" s="9" t="s">
        <v>377</v>
      </c>
      <c r="E112" s="9" t="s">
        <v>1355</v>
      </c>
      <c r="F112" s="9" t="s">
        <v>1336</v>
      </c>
      <c r="G112" s="9" t="s">
        <v>1351</v>
      </c>
      <c r="H112" s="9" t="s">
        <v>1352</v>
      </c>
      <c r="I112" s="9"/>
      <c r="J112" s="9"/>
      <c r="K112" s="9"/>
      <c r="L112" s="9"/>
      <c r="M112" s="9"/>
      <c r="N112" s="9"/>
      <c r="O112" s="9"/>
      <c r="P112" s="9"/>
      <c r="Q112" s="9" t="s">
        <v>1353</v>
      </c>
      <c r="R112" s="9"/>
      <c r="S112" s="9"/>
      <c r="T112" s="9"/>
      <c r="U112" s="9"/>
      <c r="V112" s="9"/>
      <c r="W112" s="9"/>
      <c r="X112" s="9" t="s">
        <v>414</v>
      </c>
      <c r="Y112" s="9" t="s">
        <v>391</v>
      </c>
      <c r="Z112" s="12" t="b">
        <f aca="false">FALSE()</f>
        <v>0</v>
      </c>
      <c r="AA112" s="8" t="s">
        <v>1348</v>
      </c>
    </row>
    <row r="113" customFormat="false" ht="15.75" hidden="false" customHeight="true" outlineLevel="0" collapsed="false">
      <c r="A113" s="9" t="s">
        <v>1627</v>
      </c>
      <c r="B113" s="9" t="s">
        <v>513</v>
      </c>
      <c r="C113" s="9" t="s">
        <v>515</v>
      </c>
      <c r="D113" s="9" t="s">
        <v>377</v>
      </c>
      <c r="E113" s="9" t="s">
        <v>886</v>
      </c>
      <c r="F113" s="9" t="s">
        <v>1336</v>
      </c>
      <c r="G113" s="9" t="s">
        <v>1376</v>
      </c>
      <c r="H113" s="9" t="s">
        <v>1338</v>
      </c>
      <c r="I113" s="9" t="s">
        <v>1628</v>
      </c>
      <c r="J113" s="9" t="s">
        <v>377</v>
      </c>
      <c r="K113" s="9" t="s">
        <v>887</v>
      </c>
      <c r="L113" s="9" t="s">
        <v>888</v>
      </c>
      <c r="M113" s="9" t="s">
        <v>1537</v>
      </c>
      <c r="N113" s="9" t="s">
        <v>890</v>
      </c>
      <c r="O113" s="9" t="s">
        <v>890</v>
      </c>
      <c r="P113" s="9" t="s">
        <v>1629</v>
      </c>
      <c r="Q113" s="9" t="s">
        <v>113</v>
      </c>
      <c r="R113" s="9" t="s">
        <v>1602</v>
      </c>
      <c r="S113" s="9" t="s">
        <v>398</v>
      </c>
      <c r="T113" s="9" t="s">
        <v>377</v>
      </c>
      <c r="U113" s="9" t="s">
        <v>1630</v>
      </c>
      <c r="V113" s="9" t="s">
        <v>1347</v>
      </c>
      <c r="W113" s="9"/>
      <c r="X113" s="9" t="s">
        <v>377</v>
      </c>
      <c r="Y113" s="9" t="s">
        <v>377</v>
      </c>
      <c r="Z113" s="12" t="b">
        <f aca="false">FALSE()</f>
        <v>0</v>
      </c>
      <c r="AA113" s="8" t="s">
        <v>1348</v>
      </c>
    </row>
    <row r="114" customFormat="false" ht="15.75" hidden="false" customHeight="true" outlineLevel="0" collapsed="false">
      <c r="A114" s="9" t="s">
        <v>1631</v>
      </c>
      <c r="B114" s="9" t="s">
        <v>513</v>
      </c>
      <c r="C114" s="9" t="s">
        <v>515</v>
      </c>
      <c r="D114" s="9" t="s">
        <v>377</v>
      </c>
      <c r="E114" s="9" t="s">
        <v>866</v>
      </c>
      <c r="F114" s="9" t="s">
        <v>1336</v>
      </c>
      <c r="G114" s="9" t="s">
        <v>1351</v>
      </c>
      <c r="H114" s="9" t="s">
        <v>1352</v>
      </c>
      <c r="I114" s="9"/>
      <c r="J114" s="9"/>
      <c r="K114" s="9"/>
      <c r="L114" s="9"/>
      <c r="M114" s="9"/>
      <c r="N114" s="9"/>
      <c r="O114" s="9"/>
      <c r="P114" s="9"/>
      <c r="Q114" s="9" t="s">
        <v>1353</v>
      </c>
      <c r="R114" s="9"/>
      <c r="S114" s="9"/>
      <c r="T114" s="9"/>
      <c r="U114" s="9"/>
      <c r="V114" s="9"/>
      <c r="W114" s="9"/>
      <c r="X114" s="9" t="s">
        <v>414</v>
      </c>
      <c r="Y114" s="9" t="s">
        <v>391</v>
      </c>
      <c r="Z114" s="12" t="b">
        <f aca="false">FALSE()</f>
        <v>0</v>
      </c>
      <c r="AA114" s="8" t="s">
        <v>1348</v>
      </c>
    </row>
    <row r="115" customFormat="false" ht="15.75" hidden="false" customHeight="true" outlineLevel="0" collapsed="false">
      <c r="A115" s="9" t="s">
        <v>1632</v>
      </c>
      <c r="B115" s="9" t="s">
        <v>513</v>
      </c>
      <c r="C115" s="9" t="s">
        <v>515</v>
      </c>
      <c r="D115" s="9" t="s">
        <v>377</v>
      </c>
      <c r="E115" s="9" t="s">
        <v>912</v>
      </c>
      <c r="F115" s="9" t="s">
        <v>1336</v>
      </c>
      <c r="G115" s="9" t="s">
        <v>1363</v>
      </c>
      <c r="H115" s="9" t="s">
        <v>1338</v>
      </c>
      <c r="I115" s="9" t="s">
        <v>1628</v>
      </c>
      <c r="J115" s="9" t="s">
        <v>377</v>
      </c>
      <c r="K115" s="9" t="s">
        <v>913</v>
      </c>
      <c r="L115" s="9" t="s">
        <v>914</v>
      </c>
      <c r="M115" s="9" t="s">
        <v>1633</v>
      </c>
      <c r="N115" s="9" t="s">
        <v>916</v>
      </c>
      <c r="O115" s="9" t="s">
        <v>916</v>
      </c>
      <c r="P115" s="9" t="s">
        <v>1365</v>
      </c>
      <c r="Q115" s="9" t="s">
        <v>113</v>
      </c>
      <c r="R115" s="9" t="s">
        <v>1366</v>
      </c>
      <c r="S115" s="9" t="s">
        <v>398</v>
      </c>
      <c r="T115" s="9" t="s">
        <v>377</v>
      </c>
      <c r="U115" s="9" t="s">
        <v>1634</v>
      </c>
      <c r="V115" s="9" t="s">
        <v>1347</v>
      </c>
      <c r="W115" s="9"/>
      <c r="X115" s="9" t="s">
        <v>377</v>
      </c>
      <c r="Y115" s="9" t="s">
        <v>377</v>
      </c>
      <c r="Z115" s="12" t="b">
        <f aca="false">FALSE()</f>
        <v>0</v>
      </c>
      <c r="AA115" s="8" t="s">
        <v>1348</v>
      </c>
    </row>
    <row r="116" customFormat="false" ht="15.75" hidden="false" customHeight="true" outlineLevel="0" collapsed="false">
      <c r="A116" s="9" t="s">
        <v>1635</v>
      </c>
      <c r="B116" s="9" t="s">
        <v>513</v>
      </c>
      <c r="C116" s="9" t="s">
        <v>515</v>
      </c>
      <c r="D116" s="9" t="s">
        <v>377</v>
      </c>
      <c r="E116" s="9" t="s">
        <v>966</v>
      </c>
      <c r="F116" s="9" t="s">
        <v>1336</v>
      </c>
      <c r="G116" s="9" t="s">
        <v>1376</v>
      </c>
      <c r="H116" s="9" t="s">
        <v>1338</v>
      </c>
      <c r="I116" s="9" t="s">
        <v>1628</v>
      </c>
      <c r="J116" s="9" t="s">
        <v>377</v>
      </c>
      <c r="K116" s="9" t="s">
        <v>967</v>
      </c>
      <c r="L116" s="9" t="s">
        <v>968</v>
      </c>
      <c r="M116" s="9" t="s">
        <v>1370</v>
      </c>
      <c r="N116" s="9" t="s">
        <v>970</v>
      </c>
      <c r="O116" s="9" t="s">
        <v>970</v>
      </c>
      <c r="P116" s="9" t="s">
        <v>1636</v>
      </c>
      <c r="Q116" s="9" t="s">
        <v>113</v>
      </c>
      <c r="R116" s="9" t="s">
        <v>1602</v>
      </c>
      <c r="S116" s="9" t="s">
        <v>398</v>
      </c>
      <c r="T116" s="9" t="s">
        <v>377</v>
      </c>
      <c r="U116" s="9" t="s">
        <v>1603</v>
      </c>
      <c r="V116" s="9" t="s">
        <v>1347</v>
      </c>
      <c r="W116" s="9"/>
      <c r="X116" s="9" t="s">
        <v>377</v>
      </c>
      <c r="Y116" s="9" t="s">
        <v>377</v>
      </c>
      <c r="Z116" s="12" t="b">
        <f aca="false">FALSE()</f>
        <v>0</v>
      </c>
      <c r="AA116" s="8" t="s">
        <v>1348</v>
      </c>
    </row>
    <row r="117" customFormat="false" ht="15.75" hidden="false" customHeight="true" outlineLevel="0" collapsed="false">
      <c r="A117" s="9" t="s">
        <v>1637</v>
      </c>
      <c r="B117" s="9" t="s">
        <v>513</v>
      </c>
      <c r="C117" s="9" t="s">
        <v>515</v>
      </c>
      <c r="D117" s="9" t="s">
        <v>377</v>
      </c>
      <c r="E117" s="9" t="s">
        <v>947</v>
      </c>
      <c r="F117" s="9" t="s">
        <v>1336</v>
      </c>
      <c r="G117" s="9" t="s">
        <v>1363</v>
      </c>
      <c r="H117" s="9" t="s">
        <v>1338</v>
      </c>
      <c r="I117" s="9" t="s">
        <v>1628</v>
      </c>
      <c r="J117" s="9" t="s">
        <v>377</v>
      </c>
      <c r="K117" s="9" t="s">
        <v>948</v>
      </c>
      <c r="L117" s="9" t="s">
        <v>1434</v>
      </c>
      <c r="M117" s="9" t="s">
        <v>1611</v>
      </c>
      <c r="N117" s="9" t="s">
        <v>1076</v>
      </c>
      <c r="O117" s="9" t="s">
        <v>1076</v>
      </c>
      <c r="P117" s="9" t="s">
        <v>1436</v>
      </c>
      <c r="Q117" s="9" t="s">
        <v>113</v>
      </c>
      <c r="R117" s="9" t="s">
        <v>1437</v>
      </c>
      <c r="S117" s="9" t="s">
        <v>398</v>
      </c>
      <c r="T117" s="9" t="s">
        <v>377</v>
      </c>
      <c r="U117" s="9" t="s">
        <v>1638</v>
      </c>
      <c r="V117" s="9" t="s">
        <v>1347</v>
      </c>
      <c r="W117" s="9"/>
      <c r="X117" s="9" t="s">
        <v>377</v>
      </c>
      <c r="Y117" s="9" t="s">
        <v>377</v>
      </c>
      <c r="Z117" s="12" t="b">
        <f aca="false">FALSE()</f>
        <v>0</v>
      </c>
      <c r="AA117" s="8" t="s">
        <v>1348</v>
      </c>
    </row>
    <row r="118" customFormat="false" ht="15.75" hidden="false" customHeight="true" outlineLevel="0" collapsed="false">
      <c r="A118" s="9" t="s">
        <v>1639</v>
      </c>
      <c r="B118" s="9" t="s">
        <v>518</v>
      </c>
      <c r="C118" s="9" t="s">
        <v>519</v>
      </c>
      <c r="D118" s="9" t="s">
        <v>377</v>
      </c>
      <c r="E118" s="9" t="s">
        <v>1021</v>
      </c>
      <c r="F118" s="9" t="s">
        <v>1336</v>
      </c>
      <c r="G118" s="9" t="s">
        <v>1351</v>
      </c>
      <c r="H118" s="9" t="s">
        <v>1352</v>
      </c>
      <c r="I118" s="9"/>
      <c r="J118" s="9"/>
      <c r="K118" s="9"/>
      <c r="L118" s="9"/>
      <c r="M118" s="9"/>
      <c r="N118" s="9"/>
      <c r="O118" s="9"/>
      <c r="P118" s="9"/>
      <c r="Q118" s="9" t="s">
        <v>1353</v>
      </c>
      <c r="R118" s="9"/>
      <c r="S118" s="9"/>
      <c r="T118" s="9"/>
      <c r="U118" s="9"/>
      <c r="V118" s="9"/>
      <c r="W118" s="9"/>
      <c r="X118" s="9" t="s">
        <v>414</v>
      </c>
      <c r="Y118" s="9" t="s">
        <v>391</v>
      </c>
      <c r="Z118" s="12" t="b">
        <f aca="false">FALSE()</f>
        <v>0</v>
      </c>
      <c r="AA118" s="8" t="s">
        <v>1348</v>
      </c>
    </row>
    <row r="119" customFormat="false" ht="15.75" hidden="false" customHeight="true" outlineLevel="0" collapsed="false">
      <c r="A119" s="9" t="s">
        <v>1640</v>
      </c>
      <c r="B119" s="9" t="s">
        <v>518</v>
      </c>
      <c r="C119" s="9" t="s">
        <v>519</v>
      </c>
      <c r="D119" s="9" t="s">
        <v>377</v>
      </c>
      <c r="E119" s="9" t="s">
        <v>1350</v>
      </c>
      <c r="F119" s="9" t="s">
        <v>1336</v>
      </c>
      <c r="G119" s="9" t="s">
        <v>1351</v>
      </c>
      <c r="H119" s="9" t="s">
        <v>1352</v>
      </c>
      <c r="I119" s="9"/>
      <c r="J119" s="9"/>
      <c r="K119" s="9"/>
      <c r="L119" s="9"/>
      <c r="M119" s="9"/>
      <c r="N119" s="9"/>
      <c r="O119" s="9"/>
      <c r="P119" s="9"/>
      <c r="Q119" s="9" t="s">
        <v>1353</v>
      </c>
      <c r="R119" s="9"/>
      <c r="S119" s="9"/>
      <c r="T119" s="9"/>
      <c r="U119" s="9"/>
      <c r="V119" s="9"/>
      <c r="W119" s="9"/>
      <c r="X119" s="9" t="s">
        <v>414</v>
      </c>
      <c r="Y119" s="9" t="s">
        <v>391</v>
      </c>
      <c r="Z119" s="12" t="b">
        <f aca="false">FALSE()</f>
        <v>0</v>
      </c>
      <c r="AA119" s="8" t="s">
        <v>1348</v>
      </c>
    </row>
    <row r="120" customFormat="false" ht="15.75" hidden="false" customHeight="true" outlineLevel="0" collapsed="false">
      <c r="A120" s="9" t="s">
        <v>1641</v>
      </c>
      <c r="B120" s="9" t="s">
        <v>518</v>
      </c>
      <c r="C120" s="9" t="s">
        <v>519</v>
      </c>
      <c r="D120" s="9" t="s">
        <v>377</v>
      </c>
      <c r="E120" s="9" t="s">
        <v>1355</v>
      </c>
      <c r="F120" s="9" t="s">
        <v>1336</v>
      </c>
      <c r="G120" s="9" t="s">
        <v>1351</v>
      </c>
      <c r="H120" s="9" t="s">
        <v>1352</v>
      </c>
      <c r="I120" s="9"/>
      <c r="J120" s="9"/>
      <c r="K120" s="9"/>
      <c r="L120" s="9"/>
      <c r="M120" s="9"/>
      <c r="N120" s="9"/>
      <c r="O120" s="9"/>
      <c r="P120" s="9"/>
      <c r="Q120" s="9" t="s">
        <v>1353</v>
      </c>
      <c r="R120" s="9"/>
      <c r="S120" s="9"/>
      <c r="T120" s="9"/>
      <c r="U120" s="9"/>
      <c r="V120" s="9"/>
      <c r="W120" s="9"/>
      <c r="X120" s="9" t="s">
        <v>414</v>
      </c>
      <c r="Y120" s="9" t="s">
        <v>391</v>
      </c>
      <c r="Z120" s="12" t="b">
        <f aca="false">FALSE()</f>
        <v>0</v>
      </c>
      <c r="AA120" s="8" t="s">
        <v>1348</v>
      </c>
    </row>
    <row r="121" customFormat="false" ht="15.75" hidden="false" customHeight="true" outlineLevel="0" collapsed="false">
      <c r="A121" s="9" t="s">
        <v>1642</v>
      </c>
      <c r="B121" s="9" t="s">
        <v>518</v>
      </c>
      <c r="C121" s="9" t="s">
        <v>519</v>
      </c>
      <c r="D121" s="9" t="s">
        <v>377</v>
      </c>
      <c r="E121" s="9" t="s">
        <v>886</v>
      </c>
      <c r="F121" s="9" t="s">
        <v>1336</v>
      </c>
      <c r="G121" s="9" t="s">
        <v>1376</v>
      </c>
      <c r="H121" s="9" t="s">
        <v>1338</v>
      </c>
      <c r="I121" s="9" t="s">
        <v>1643</v>
      </c>
      <c r="J121" s="9" t="s">
        <v>377</v>
      </c>
      <c r="K121" s="9" t="s">
        <v>887</v>
      </c>
      <c r="L121" s="9" t="s">
        <v>888</v>
      </c>
      <c r="M121" s="9" t="s">
        <v>1537</v>
      </c>
      <c r="N121" s="9" t="s">
        <v>890</v>
      </c>
      <c r="O121" s="9" t="s">
        <v>890</v>
      </c>
      <c r="P121" s="9" t="s">
        <v>1644</v>
      </c>
      <c r="Q121" s="9" t="s">
        <v>113</v>
      </c>
      <c r="R121" s="9" t="s">
        <v>1602</v>
      </c>
      <c r="S121" s="9" t="s">
        <v>398</v>
      </c>
      <c r="T121" s="9" t="s">
        <v>377</v>
      </c>
      <c r="U121" s="9" t="s">
        <v>1645</v>
      </c>
      <c r="V121" s="9" t="s">
        <v>1347</v>
      </c>
      <c r="W121" s="9"/>
      <c r="X121" s="9" t="s">
        <v>377</v>
      </c>
      <c r="Y121" s="9" t="s">
        <v>377</v>
      </c>
      <c r="Z121" s="12" t="b">
        <f aca="false">FALSE()</f>
        <v>0</v>
      </c>
      <c r="AA121" s="8" t="s">
        <v>1348</v>
      </c>
    </row>
    <row r="122" customFormat="false" ht="15.75" hidden="false" customHeight="true" outlineLevel="0" collapsed="false">
      <c r="A122" s="9" t="s">
        <v>1646</v>
      </c>
      <c r="B122" s="9" t="s">
        <v>518</v>
      </c>
      <c r="C122" s="9" t="s">
        <v>519</v>
      </c>
      <c r="D122" s="9" t="s">
        <v>377</v>
      </c>
      <c r="E122" s="9" t="s">
        <v>866</v>
      </c>
      <c r="F122" s="9" t="s">
        <v>1336</v>
      </c>
      <c r="G122" s="9" t="s">
        <v>1351</v>
      </c>
      <c r="H122" s="9" t="s">
        <v>1352</v>
      </c>
      <c r="I122" s="9"/>
      <c r="J122" s="9"/>
      <c r="K122" s="9"/>
      <c r="L122" s="9"/>
      <c r="M122" s="9"/>
      <c r="N122" s="9"/>
      <c r="O122" s="9"/>
      <c r="P122" s="9"/>
      <c r="Q122" s="9" t="s">
        <v>1353</v>
      </c>
      <c r="R122" s="9"/>
      <c r="S122" s="9"/>
      <c r="T122" s="9"/>
      <c r="U122" s="9"/>
      <c r="V122" s="9"/>
      <c r="W122" s="9"/>
      <c r="X122" s="9" t="s">
        <v>414</v>
      </c>
      <c r="Y122" s="9" t="s">
        <v>391</v>
      </c>
      <c r="Z122" s="12" t="b">
        <f aca="false">FALSE()</f>
        <v>0</v>
      </c>
      <c r="AA122" s="8" t="s">
        <v>1348</v>
      </c>
    </row>
    <row r="123" customFormat="false" ht="15.75" hidden="false" customHeight="true" outlineLevel="0" collapsed="false">
      <c r="A123" s="9" t="s">
        <v>1647</v>
      </c>
      <c r="B123" s="9" t="s">
        <v>518</v>
      </c>
      <c r="C123" s="9" t="s">
        <v>519</v>
      </c>
      <c r="D123" s="9" t="s">
        <v>377</v>
      </c>
      <c r="E123" s="9" t="s">
        <v>912</v>
      </c>
      <c r="F123" s="9" t="s">
        <v>1336</v>
      </c>
      <c r="G123" s="9" t="s">
        <v>1351</v>
      </c>
      <c r="H123" s="9" t="s">
        <v>1352</v>
      </c>
      <c r="I123" s="9"/>
      <c r="J123" s="9"/>
      <c r="K123" s="9"/>
      <c r="L123" s="9"/>
      <c r="M123" s="9"/>
      <c r="N123" s="9"/>
      <c r="O123" s="9"/>
      <c r="P123" s="9"/>
      <c r="Q123" s="9" t="s">
        <v>1353</v>
      </c>
      <c r="R123" s="9"/>
      <c r="S123" s="9"/>
      <c r="T123" s="9"/>
      <c r="U123" s="9"/>
      <c r="V123" s="9"/>
      <c r="W123" s="9"/>
      <c r="X123" s="9" t="s">
        <v>414</v>
      </c>
      <c r="Y123" s="9" t="s">
        <v>391</v>
      </c>
      <c r="Z123" s="12" t="b">
        <f aca="false">FALSE()</f>
        <v>0</v>
      </c>
      <c r="AA123" s="8" t="s">
        <v>1348</v>
      </c>
    </row>
    <row r="124" customFormat="false" ht="15.75" hidden="false" customHeight="true" outlineLevel="0" collapsed="false">
      <c r="A124" s="9" t="s">
        <v>1648</v>
      </c>
      <c r="B124" s="9" t="s">
        <v>518</v>
      </c>
      <c r="C124" s="9" t="s">
        <v>519</v>
      </c>
      <c r="D124" s="9" t="s">
        <v>377</v>
      </c>
      <c r="E124" s="9" t="s">
        <v>966</v>
      </c>
      <c r="F124" s="9" t="s">
        <v>1336</v>
      </c>
      <c r="G124" s="9" t="s">
        <v>1351</v>
      </c>
      <c r="H124" s="9" t="s">
        <v>1352</v>
      </c>
      <c r="I124" s="9"/>
      <c r="J124" s="9"/>
      <c r="K124" s="9"/>
      <c r="L124" s="9"/>
      <c r="M124" s="9"/>
      <c r="N124" s="9"/>
      <c r="O124" s="9"/>
      <c r="P124" s="9"/>
      <c r="Q124" s="9" t="s">
        <v>1353</v>
      </c>
      <c r="R124" s="9"/>
      <c r="S124" s="9"/>
      <c r="T124" s="9"/>
      <c r="U124" s="9"/>
      <c r="V124" s="9"/>
      <c r="W124" s="9"/>
      <c r="X124" s="9" t="s">
        <v>414</v>
      </c>
      <c r="Y124" s="9" t="s">
        <v>391</v>
      </c>
      <c r="Z124" s="12" t="b">
        <f aca="false">FALSE()</f>
        <v>0</v>
      </c>
      <c r="AA124" s="8" t="s">
        <v>1348</v>
      </c>
    </row>
    <row r="125" customFormat="false" ht="15.75" hidden="false" customHeight="true" outlineLevel="0" collapsed="false">
      <c r="A125" s="9" t="s">
        <v>1649</v>
      </c>
      <c r="B125" s="9" t="s">
        <v>518</v>
      </c>
      <c r="C125" s="9" t="s">
        <v>519</v>
      </c>
      <c r="D125" s="9" t="s">
        <v>377</v>
      </c>
      <c r="E125" s="9" t="s">
        <v>947</v>
      </c>
      <c r="F125" s="9" t="s">
        <v>1336</v>
      </c>
      <c r="G125" s="9" t="s">
        <v>1351</v>
      </c>
      <c r="H125" s="9" t="s">
        <v>1352</v>
      </c>
      <c r="I125" s="9"/>
      <c r="J125" s="9"/>
      <c r="K125" s="9"/>
      <c r="L125" s="9"/>
      <c r="M125" s="9"/>
      <c r="N125" s="9"/>
      <c r="O125" s="9"/>
      <c r="P125" s="9"/>
      <c r="Q125" s="9" t="s">
        <v>1353</v>
      </c>
      <c r="R125" s="9"/>
      <c r="S125" s="9"/>
      <c r="T125" s="9"/>
      <c r="U125" s="9"/>
      <c r="V125" s="9"/>
      <c r="W125" s="9"/>
      <c r="X125" s="9" t="s">
        <v>414</v>
      </c>
      <c r="Y125" s="9" t="s">
        <v>391</v>
      </c>
      <c r="Z125" s="12" t="b">
        <f aca="false">FALSE()</f>
        <v>0</v>
      </c>
      <c r="AA125" s="8" t="s">
        <v>1348</v>
      </c>
    </row>
    <row r="126" customFormat="false" ht="15.75" hidden="false" customHeight="true" outlineLevel="0" collapsed="false">
      <c r="A126" s="9" t="s">
        <v>1650</v>
      </c>
      <c r="B126" s="9" t="s">
        <v>522</v>
      </c>
      <c r="C126" s="9" t="s">
        <v>523</v>
      </c>
      <c r="D126" s="9" t="s">
        <v>377</v>
      </c>
      <c r="E126" s="9" t="s">
        <v>1021</v>
      </c>
      <c r="F126" s="9" t="s">
        <v>1336</v>
      </c>
      <c r="G126" s="9" t="s">
        <v>1351</v>
      </c>
      <c r="H126" s="9" t="s">
        <v>1352</v>
      </c>
      <c r="I126" s="9"/>
      <c r="J126" s="9"/>
      <c r="K126" s="9"/>
      <c r="L126" s="9"/>
      <c r="M126" s="9"/>
      <c r="N126" s="9"/>
      <c r="O126" s="9"/>
      <c r="P126" s="9"/>
      <c r="Q126" s="9" t="s">
        <v>1353</v>
      </c>
      <c r="R126" s="9"/>
      <c r="S126" s="9"/>
      <c r="T126" s="9"/>
      <c r="U126" s="9"/>
      <c r="V126" s="9"/>
      <c r="W126" s="9"/>
      <c r="X126" s="9" t="s">
        <v>414</v>
      </c>
      <c r="Y126" s="9" t="s">
        <v>391</v>
      </c>
      <c r="Z126" s="12" t="b">
        <f aca="false">FALSE()</f>
        <v>0</v>
      </c>
      <c r="AA126" s="8" t="s">
        <v>1348</v>
      </c>
    </row>
    <row r="127" customFormat="false" ht="15.75" hidden="false" customHeight="true" outlineLevel="0" collapsed="false">
      <c r="A127" s="9" t="s">
        <v>1651</v>
      </c>
      <c r="B127" s="9" t="s">
        <v>522</v>
      </c>
      <c r="C127" s="9" t="s">
        <v>523</v>
      </c>
      <c r="D127" s="9" t="s">
        <v>377</v>
      </c>
      <c r="E127" s="9" t="s">
        <v>1350</v>
      </c>
      <c r="F127" s="9" t="s">
        <v>1336</v>
      </c>
      <c r="G127" s="9" t="s">
        <v>1351</v>
      </c>
      <c r="H127" s="9" t="s">
        <v>1352</v>
      </c>
      <c r="I127" s="9"/>
      <c r="J127" s="9"/>
      <c r="K127" s="9"/>
      <c r="L127" s="9"/>
      <c r="M127" s="9"/>
      <c r="N127" s="9"/>
      <c r="O127" s="9"/>
      <c r="P127" s="9"/>
      <c r="Q127" s="9" t="s">
        <v>1353</v>
      </c>
      <c r="R127" s="9"/>
      <c r="S127" s="9"/>
      <c r="T127" s="9"/>
      <c r="U127" s="9"/>
      <c r="V127" s="9"/>
      <c r="W127" s="9"/>
      <c r="X127" s="9" t="s">
        <v>414</v>
      </c>
      <c r="Y127" s="9" t="s">
        <v>391</v>
      </c>
      <c r="Z127" s="12" t="b">
        <f aca="false">FALSE()</f>
        <v>0</v>
      </c>
      <c r="AA127" s="8" t="s">
        <v>1348</v>
      </c>
    </row>
    <row r="128" customFormat="false" ht="15.75" hidden="false" customHeight="true" outlineLevel="0" collapsed="false">
      <c r="A128" s="9" t="s">
        <v>1652</v>
      </c>
      <c r="B128" s="9" t="s">
        <v>522</v>
      </c>
      <c r="C128" s="9" t="s">
        <v>523</v>
      </c>
      <c r="D128" s="9" t="s">
        <v>377</v>
      </c>
      <c r="E128" s="9" t="s">
        <v>1355</v>
      </c>
      <c r="F128" s="9" t="s">
        <v>1336</v>
      </c>
      <c r="G128" s="9" t="s">
        <v>1351</v>
      </c>
      <c r="H128" s="9" t="s">
        <v>1352</v>
      </c>
      <c r="I128" s="9"/>
      <c r="J128" s="9"/>
      <c r="K128" s="9"/>
      <c r="L128" s="9"/>
      <c r="M128" s="9"/>
      <c r="N128" s="9"/>
      <c r="O128" s="9"/>
      <c r="P128" s="9"/>
      <c r="Q128" s="9" t="s">
        <v>1353</v>
      </c>
      <c r="R128" s="9"/>
      <c r="S128" s="9"/>
      <c r="T128" s="9"/>
      <c r="U128" s="9"/>
      <c r="V128" s="9"/>
      <c r="W128" s="9"/>
      <c r="X128" s="9" t="s">
        <v>414</v>
      </c>
      <c r="Y128" s="9" t="s">
        <v>391</v>
      </c>
      <c r="Z128" s="12" t="b">
        <f aca="false">FALSE()</f>
        <v>0</v>
      </c>
      <c r="AA128" s="8" t="s">
        <v>1348</v>
      </c>
    </row>
    <row r="129" customFormat="false" ht="15.75" hidden="false" customHeight="true" outlineLevel="0" collapsed="false">
      <c r="A129" s="9" t="s">
        <v>1653</v>
      </c>
      <c r="B129" s="9" t="s">
        <v>522</v>
      </c>
      <c r="C129" s="9" t="s">
        <v>523</v>
      </c>
      <c r="D129" s="9" t="s">
        <v>377</v>
      </c>
      <c r="E129" s="9" t="s">
        <v>886</v>
      </c>
      <c r="F129" s="9" t="s">
        <v>1336</v>
      </c>
      <c r="G129" s="9" t="s">
        <v>1376</v>
      </c>
      <c r="H129" s="9" t="s">
        <v>1338</v>
      </c>
      <c r="I129" s="9" t="s">
        <v>1654</v>
      </c>
      <c r="J129" s="9" t="s">
        <v>377</v>
      </c>
      <c r="K129" s="9" t="s">
        <v>887</v>
      </c>
      <c r="L129" s="9" t="s">
        <v>888</v>
      </c>
      <c r="M129" s="9" t="s">
        <v>1537</v>
      </c>
      <c r="N129" s="9" t="s">
        <v>890</v>
      </c>
      <c r="O129" s="9" t="s">
        <v>890</v>
      </c>
      <c r="P129" s="9" t="s">
        <v>1655</v>
      </c>
      <c r="Q129" s="9" t="s">
        <v>113</v>
      </c>
      <c r="R129" s="9" t="s">
        <v>1602</v>
      </c>
      <c r="S129" s="9" t="s">
        <v>398</v>
      </c>
      <c r="T129" s="9" t="s">
        <v>377</v>
      </c>
      <c r="U129" s="9" t="s">
        <v>1656</v>
      </c>
      <c r="V129" s="9" t="s">
        <v>1347</v>
      </c>
      <c r="W129" s="9"/>
      <c r="X129" s="9" t="s">
        <v>377</v>
      </c>
      <c r="Y129" s="9" t="s">
        <v>377</v>
      </c>
      <c r="Z129" s="12" t="b">
        <f aca="false">FALSE()</f>
        <v>0</v>
      </c>
      <c r="AA129" s="8" t="s">
        <v>1348</v>
      </c>
    </row>
    <row r="130" customFormat="false" ht="15.75" hidden="false" customHeight="true" outlineLevel="0" collapsed="false">
      <c r="A130" s="9" t="s">
        <v>1657</v>
      </c>
      <c r="B130" s="9" t="s">
        <v>522</v>
      </c>
      <c r="C130" s="9" t="s">
        <v>523</v>
      </c>
      <c r="D130" s="9" t="s">
        <v>377</v>
      </c>
      <c r="E130" s="9" t="s">
        <v>866</v>
      </c>
      <c r="F130" s="9" t="s">
        <v>1336</v>
      </c>
      <c r="G130" s="9" t="s">
        <v>1351</v>
      </c>
      <c r="H130" s="9" t="s">
        <v>1352</v>
      </c>
      <c r="I130" s="9"/>
      <c r="J130" s="9"/>
      <c r="K130" s="9"/>
      <c r="L130" s="9"/>
      <c r="M130" s="9"/>
      <c r="N130" s="9"/>
      <c r="O130" s="9"/>
      <c r="P130" s="9"/>
      <c r="Q130" s="9" t="s">
        <v>1353</v>
      </c>
      <c r="R130" s="9"/>
      <c r="S130" s="9"/>
      <c r="T130" s="9"/>
      <c r="U130" s="9"/>
      <c r="V130" s="9"/>
      <c r="W130" s="9"/>
      <c r="X130" s="9" t="s">
        <v>414</v>
      </c>
      <c r="Y130" s="9" t="s">
        <v>391</v>
      </c>
      <c r="Z130" s="12" t="b">
        <f aca="false">FALSE()</f>
        <v>0</v>
      </c>
      <c r="AA130" s="8" t="s">
        <v>1348</v>
      </c>
    </row>
    <row r="131" customFormat="false" ht="15.75" hidden="false" customHeight="true" outlineLevel="0" collapsed="false">
      <c r="A131" s="9" t="s">
        <v>1658</v>
      </c>
      <c r="B131" s="9" t="s">
        <v>522</v>
      </c>
      <c r="C131" s="9" t="s">
        <v>523</v>
      </c>
      <c r="D131" s="9" t="s">
        <v>377</v>
      </c>
      <c r="E131" s="9" t="s">
        <v>912</v>
      </c>
      <c r="F131" s="9" t="s">
        <v>1336</v>
      </c>
      <c r="G131" s="9" t="s">
        <v>1351</v>
      </c>
      <c r="H131" s="9" t="s">
        <v>1352</v>
      </c>
      <c r="I131" s="9"/>
      <c r="J131" s="9"/>
      <c r="K131" s="9"/>
      <c r="L131" s="9"/>
      <c r="M131" s="9"/>
      <c r="N131" s="9"/>
      <c r="O131" s="9"/>
      <c r="P131" s="9"/>
      <c r="Q131" s="9" t="s">
        <v>1353</v>
      </c>
      <c r="R131" s="9"/>
      <c r="S131" s="9"/>
      <c r="T131" s="9"/>
      <c r="U131" s="9"/>
      <c r="V131" s="9"/>
      <c r="W131" s="9"/>
      <c r="X131" s="9" t="s">
        <v>414</v>
      </c>
      <c r="Y131" s="9" t="s">
        <v>391</v>
      </c>
      <c r="Z131" s="12" t="b">
        <f aca="false">FALSE()</f>
        <v>0</v>
      </c>
      <c r="AA131" s="8" t="s">
        <v>1348</v>
      </c>
    </row>
    <row r="132" customFormat="false" ht="15.75" hidden="false" customHeight="true" outlineLevel="0" collapsed="false">
      <c r="A132" s="9" t="s">
        <v>1659</v>
      </c>
      <c r="B132" s="9" t="s">
        <v>522</v>
      </c>
      <c r="C132" s="9" t="s">
        <v>523</v>
      </c>
      <c r="D132" s="9" t="s">
        <v>377</v>
      </c>
      <c r="E132" s="9" t="s">
        <v>966</v>
      </c>
      <c r="F132" s="9" t="s">
        <v>1336</v>
      </c>
      <c r="G132" s="9" t="s">
        <v>1376</v>
      </c>
      <c r="H132" s="9" t="s">
        <v>1338</v>
      </c>
      <c r="I132" s="9" t="s">
        <v>1654</v>
      </c>
      <c r="J132" s="9" t="s">
        <v>377</v>
      </c>
      <c r="K132" s="9" t="s">
        <v>967</v>
      </c>
      <c r="L132" s="9" t="s">
        <v>968</v>
      </c>
      <c r="M132" s="9" t="s">
        <v>1370</v>
      </c>
      <c r="N132" s="9" t="s">
        <v>970</v>
      </c>
      <c r="O132" s="9" t="s">
        <v>970</v>
      </c>
      <c r="P132" s="9" t="s">
        <v>1660</v>
      </c>
      <c r="Q132" s="9" t="s">
        <v>113</v>
      </c>
      <c r="R132" s="9" t="s">
        <v>1602</v>
      </c>
      <c r="S132" s="9" t="s">
        <v>398</v>
      </c>
      <c r="T132" s="9" t="s">
        <v>377</v>
      </c>
      <c r="U132" s="9" t="s">
        <v>1603</v>
      </c>
      <c r="V132" s="9" t="s">
        <v>1347</v>
      </c>
      <c r="W132" s="9"/>
      <c r="X132" s="9" t="s">
        <v>377</v>
      </c>
      <c r="Y132" s="9" t="s">
        <v>377</v>
      </c>
      <c r="Z132" s="12" t="b">
        <f aca="false">FALSE()</f>
        <v>0</v>
      </c>
      <c r="AA132" s="8" t="s">
        <v>1348</v>
      </c>
    </row>
    <row r="133" customFormat="false" ht="15.75" hidden="false" customHeight="true" outlineLevel="0" collapsed="false">
      <c r="A133" s="9" t="s">
        <v>1661</v>
      </c>
      <c r="B133" s="9" t="s">
        <v>522</v>
      </c>
      <c r="C133" s="9" t="s">
        <v>523</v>
      </c>
      <c r="D133" s="9" t="s">
        <v>377</v>
      </c>
      <c r="E133" s="9" t="s">
        <v>947</v>
      </c>
      <c r="F133" s="9" t="s">
        <v>1336</v>
      </c>
      <c r="G133" s="9" t="s">
        <v>1351</v>
      </c>
      <c r="H133" s="9" t="s">
        <v>1352</v>
      </c>
      <c r="I133" s="9"/>
      <c r="J133" s="9"/>
      <c r="K133" s="9"/>
      <c r="L133" s="9"/>
      <c r="M133" s="9"/>
      <c r="N133" s="9"/>
      <c r="O133" s="9"/>
      <c r="P133" s="9"/>
      <c r="Q133" s="9" t="s">
        <v>1353</v>
      </c>
      <c r="R133" s="9"/>
      <c r="S133" s="9"/>
      <c r="T133" s="9"/>
      <c r="U133" s="9"/>
      <c r="V133" s="9"/>
      <c r="W133" s="9"/>
      <c r="X133" s="9" t="s">
        <v>414</v>
      </c>
      <c r="Y133" s="9" t="s">
        <v>391</v>
      </c>
      <c r="Z133" s="12" t="b">
        <f aca="false">FALSE()</f>
        <v>0</v>
      </c>
      <c r="AA133" s="8" t="s">
        <v>1348</v>
      </c>
    </row>
    <row r="134" customFormat="false" ht="15.75" hidden="false" customHeight="true" outlineLevel="0" collapsed="false">
      <c r="A134" s="9" t="s">
        <v>1662</v>
      </c>
      <c r="B134" s="9" t="s">
        <v>526</v>
      </c>
      <c r="C134" s="9" t="s">
        <v>527</v>
      </c>
      <c r="D134" s="9" t="s">
        <v>377</v>
      </c>
      <c r="E134" s="9" t="s">
        <v>1021</v>
      </c>
      <c r="F134" s="9" t="s">
        <v>1336</v>
      </c>
      <c r="G134" s="9" t="s">
        <v>1351</v>
      </c>
      <c r="H134" s="9" t="s">
        <v>1352</v>
      </c>
      <c r="I134" s="9"/>
      <c r="J134" s="9"/>
      <c r="K134" s="9"/>
      <c r="L134" s="9"/>
      <c r="M134" s="9"/>
      <c r="N134" s="9"/>
      <c r="O134" s="9"/>
      <c r="P134" s="9"/>
      <c r="Q134" s="9" t="s">
        <v>1353</v>
      </c>
      <c r="R134" s="9"/>
      <c r="S134" s="9"/>
      <c r="T134" s="9"/>
      <c r="U134" s="9"/>
      <c r="V134" s="9"/>
      <c r="W134" s="9"/>
      <c r="X134" s="9" t="s">
        <v>414</v>
      </c>
      <c r="Y134" s="9" t="s">
        <v>391</v>
      </c>
      <c r="Z134" s="12" t="b">
        <f aca="false">FALSE()</f>
        <v>0</v>
      </c>
      <c r="AA134" s="8" t="s">
        <v>1348</v>
      </c>
    </row>
    <row r="135" customFormat="false" ht="15.75" hidden="false" customHeight="true" outlineLevel="0" collapsed="false">
      <c r="A135" s="9" t="s">
        <v>1663</v>
      </c>
      <c r="B135" s="9" t="s">
        <v>526</v>
      </c>
      <c r="C135" s="9" t="s">
        <v>527</v>
      </c>
      <c r="D135" s="9" t="s">
        <v>377</v>
      </c>
      <c r="E135" s="9" t="s">
        <v>1350</v>
      </c>
      <c r="F135" s="9" t="s">
        <v>1336</v>
      </c>
      <c r="G135" s="9" t="s">
        <v>1351</v>
      </c>
      <c r="H135" s="9" t="s">
        <v>1352</v>
      </c>
      <c r="I135" s="9"/>
      <c r="J135" s="9"/>
      <c r="K135" s="9"/>
      <c r="L135" s="9"/>
      <c r="M135" s="9"/>
      <c r="N135" s="9"/>
      <c r="O135" s="9"/>
      <c r="P135" s="9"/>
      <c r="Q135" s="9" t="s">
        <v>1353</v>
      </c>
      <c r="R135" s="9"/>
      <c r="S135" s="9"/>
      <c r="T135" s="9"/>
      <c r="U135" s="9"/>
      <c r="V135" s="9"/>
      <c r="W135" s="9"/>
      <c r="X135" s="9" t="s">
        <v>414</v>
      </c>
      <c r="Y135" s="9" t="s">
        <v>391</v>
      </c>
      <c r="Z135" s="12" t="b">
        <f aca="false">FALSE()</f>
        <v>0</v>
      </c>
      <c r="AA135" s="8" t="s">
        <v>1348</v>
      </c>
    </row>
    <row r="136" customFormat="false" ht="15.75" hidden="false" customHeight="true" outlineLevel="0" collapsed="false">
      <c r="A136" s="9" t="s">
        <v>1664</v>
      </c>
      <c r="B136" s="9" t="s">
        <v>526</v>
      </c>
      <c r="C136" s="9" t="s">
        <v>527</v>
      </c>
      <c r="D136" s="9" t="s">
        <v>377</v>
      </c>
      <c r="E136" s="9" t="s">
        <v>1355</v>
      </c>
      <c r="F136" s="9" t="s">
        <v>1336</v>
      </c>
      <c r="G136" s="9" t="s">
        <v>1351</v>
      </c>
      <c r="H136" s="9" t="s">
        <v>1352</v>
      </c>
      <c r="I136" s="9"/>
      <c r="J136" s="9"/>
      <c r="K136" s="9"/>
      <c r="L136" s="9"/>
      <c r="M136" s="9"/>
      <c r="N136" s="9"/>
      <c r="O136" s="9"/>
      <c r="P136" s="9"/>
      <c r="Q136" s="9" t="s">
        <v>1353</v>
      </c>
      <c r="R136" s="9"/>
      <c r="S136" s="9"/>
      <c r="T136" s="9"/>
      <c r="U136" s="9"/>
      <c r="V136" s="9"/>
      <c r="W136" s="9"/>
      <c r="X136" s="9" t="s">
        <v>414</v>
      </c>
      <c r="Y136" s="9" t="s">
        <v>391</v>
      </c>
      <c r="Z136" s="12" t="b">
        <f aca="false">FALSE()</f>
        <v>0</v>
      </c>
      <c r="AA136" s="8" t="s">
        <v>1348</v>
      </c>
    </row>
    <row r="137" customFormat="false" ht="15.75" hidden="false" customHeight="true" outlineLevel="0" collapsed="false">
      <c r="A137" s="9" t="s">
        <v>1665</v>
      </c>
      <c r="B137" s="9" t="s">
        <v>526</v>
      </c>
      <c r="C137" s="9" t="s">
        <v>527</v>
      </c>
      <c r="D137" s="9" t="s">
        <v>377</v>
      </c>
      <c r="E137" s="9" t="s">
        <v>886</v>
      </c>
      <c r="F137" s="9" t="s">
        <v>1336</v>
      </c>
      <c r="G137" s="9" t="s">
        <v>1337</v>
      </c>
      <c r="H137" s="9" t="s">
        <v>1338</v>
      </c>
      <c r="I137" s="9" t="s">
        <v>1666</v>
      </c>
      <c r="J137" s="9" t="s">
        <v>377</v>
      </c>
      <c r="K137" s="9" t="s">
        <v>900</v>
      </c>
      <c r="L137" s="9" t="s">
        <v>888</v>
      </c>
      <c r="M137" s="9" t="s">
        <v>1667</v>
      </c>
      <c r="N137" s="9" t="s">
        <v>903</v>
      </c>
      <c r="O137" s="9" t="s">
        <v>904</v>
      </c>
      <c r="P137" s="9" t="s">
        <v>1668</v>
      </c>
      <c r="Q137" s="9" t="s">
        <v>113</v>
      </c>
      <c r="R137" s="9" t="s">
        <v>1669</v>
      </c>
      <c r="S137" s="9" t="s">
        <v>398</v>
      </c>
      <c r="T137" s="9" t="s">
        <v>377</v>
      </c>
      <c r="U137" s="9" t="s">
        <v>1670</v>
      </c>
      <c r="V137" s="9" t="s">
        <v>1347</v>
      </c>
      <c r="W137" s="9"/>
      <c r="X137" s="9" t="s">
        <v>377</v>
      </c>
      <c r="Y137" s="9" t="s">
        <v>377</v>
      </c>
      <c r="Z137" s="12" t="b">
        <f aca="false">FALSE()</f>
        <v>0</v>
      </c>
      <c r="AA137" s="8" t="s">
        <v>1348</v>
      </c>
    </row>
    <row r="138" customFormat="false" ht="15.75" hidden="false" customHeight="true" outlineLevel="0" collapsed="false">
      <c r="A138" s="9" t="s">
        <v>1671</v>
      </c>
      <c r="B138" s="9" t="s">
        <v>526</v>
      </c>
      <c r="C138" s="9" t="s">
        <v>527</v>
      </c>
      <c r="D138" s="9" t="s">
        <v>377</v>
      </c>
      <c r="E138" s="9" t="s">
        <v>866</v>
      </c>
      <c r="F138" s="9" t="s">
        <v>1336</v>
      </c>
      <c r="G138" s="9" t="s">
        <v>1351</v>
      </c>
      <c r="H138" s="9" t="s">
        <v>1352</v>
      </c>
      <c r="I138" s="9"/>
      <c r="J138" s="9"/>
      <c r="K138" s="9"/>
      <c r="L138" s="9"/>
      <c r="M138" s="9"/>
      <c r="N138" s="9"/>
      <c r="O138" s="9"/>
      <c r="P138" s="9"/>
      <c r="Q138" s="9" t="s">
        <v>1353</v>
      </c>
      <c r="R138" s="9"/>
      <c r="S138" s="9"/>
      <c r="T138" s="9"/>
      <c r="U138" s="9"/>
      <c r="V138" s="9"/>
      <c r="W138" s="9"/>
      <c r="X138" s="9" t="s">
        <v>414</v>
      </c>
      <c r="Y138" s="9" t="s">
        <v>391</v>
      </c>
      <c r="Z138" s="12" t="b">
        <f aca="false">FALSE()</f>
        <v>0</v>
      </c>
      <c r="AA138" s="8" t="s">
        <v>1348</v>
      </c>
    </row>
    <row r="139" customFormat="false" ht="15.75" hidden="false" customHeight="true" outlineLevel="0" collapsed="false">
      <c r="A139" s="9" t="s">
        <v>1672</v>
      </c>
      <c r="B139" s="9" t="s">
        <v>526</v>
      </c>
      <c r="C139" s="9" t="s">
        <v>527</v>
      </c>
      <c r="D139" s="9" t="s">
        <v>377</v>
      </c>
      <c r="E139" s="9" t="s">
        <v>912</v>
      </c>
      <c r="F139" s="9" t="s">
        <v>1336</v>
      </c>
      <c r="G139" s="9" t="s">
        <v>1351</v>
      </c>
      <c r="H139" s="9" t="s">
        <v>1352</v>
      </c>
      <c r="I139" s="9"/>
      <c r="J139" s="9"/>
      <c r="K139" s="9"/>
      <c r="L139" s="9"/>
      <c r="M139" s="9"/>
      <c r="N139" s="9"/>
      <c r="O139" s="9"/>
      <c r="P139" s="9"/>
      <c r="Q139" s="9" t="s">
        <v>1353</v>
      </c>
      <c r="R139" s="9"/>
      <c r="S139" s="9"/>
      <c r="T139" s="9"/>
      <c r="U139" s="9"/>
      <c r="V139" s="9"/>
      <c r="W139" s="9"/>
      <c r="X139" s="9" t="s">
        <v>414</v>
      </c>
      <c r="Y139" s="9" t="s">
        <v>391</v>
      </c>
      <c r="Z139" s="12" t="b">
        <f aca="false">FALSE()</f>
        <v>0</v>
      </c>
      <c r="AA139" s="8" t="s">
        <v>1348</v>
      </c>
    </row>
    <row r="140" customFormat="false" ht="15.75" hidden="false" customHeight="true" outlineLevel="0" collapsed="false">
      <c r="A140" s="9" t="s">
        <v>1673</v>
      </c>
      <c r="B140" s="9" t="s">
        <v>526</v>
      </c>
      <c r="C140" s="9" t="s">
        <v>527</v>
      </c>
      <c r="D140" s="9" t="s">
        <v>377</v>
      </c>
      <c r="E140" s="9" t="s">
        <v>966</v>
      </c>
      <c r="F140" s="9" t="s">
        <v>1336</v>
      </c>
      <c r="G140" s="9" t="s">
        <v>1351</v>
      </c>
      <c r="H140" s="9" t="s">
        <v>1352</v>
      </c>
      <c r="I140" s="9"/>
      <c r="J140" s="9"/>
      <c r="K140" s="9"/>
      <c r="L140" s="9"/>
      <c r="M140" s="9"/>
      <c r="N140" s="9"/>
      <c r="O140" s="9"/>
      <c r="P140" s="9"/>
      <c r="Q140" s="9" t="s">
        <v>1353</v>
      </c>
      <c r="R140" s="9"/>
      <c r="S140" s="9"/>
      <c r="T140" s="9"/>
      <c r="U140" s="9"/>
      <c r="V140" s="9"/>
      <c r="W140" s="9"/>
      <c r="X140" s="9" t="s">
        <v>414</v>
      </c>
      <c r="Y140" s="9" t="s">
        <v>391</v>
      </c>
      <c r="Z140" s="12" t="b">
        <f aca="false">FALSE()</f>
        <v>0</v>
      </c>
      <c r="AA140" s="8" t="s">
        <v>1348</v>
      </c>
    </row>
    <row r="141" customFormat="false" ht="15.75" hidden="false" customHeight="true" outlineLevel="0" collapsed="false">
      <c r="A141" s="9" t="s">
        <v>1674</v>
      </c>
      <c r="B141" s="9" t="s">
        <v>526</v>
      </c>
      <c r="C141" s="9" t="s">
        <v>527</v>
      </c>
      <c r="D141" s="9" t="s">
        <v>377</v>
      </c>
      <c r="E141" s="9" t="s">
        <v>947</v>
      </c>
      <c r="F141" s="9" t="s">
        <v>1336</v>
      </c>
      <c r="G141" s="9" t="s">
        <v>1351</v>
      </c>
      <c r="H141" s="9" t="s">
        <v>1352</v>
      </c>
      <c r="I141" s="9"/>
      <c r="J141" s="9"/>
      <c r="K141" s="9"/>
      <c r="L141" s="9"/>
      <c r="M141" s="9"/>
      <c r="N141" s="9"/>
      <c r="O141" s="9"/>
      <c r="P141" s="9"/>
      <c r="Q141" s="9" t="s">
        <v>1353</v>
      </c>
      <c r="R141" s="9"/>
      <c r="S141" s="9"/>
      <c r="T141" s="9"/>
      <c r="U141" s="9"/>
      <c r="V141" s="9"/>
      <c r="W141" s="9"/>
      <c r="X141" s="9" t="s">
        <v>414</v>
      </c>
      <c r="Y141" s="9" t="s">
        <v>391</v>
      </c>
      <c r="Z141" s="12" t="b">
        <f aca="false">FALSE()</f>
        <v>0</v>
      </c>
      <c r="AA141" s="8" t="s">
        <v>1348</v>
      </c>
    </row>
    <row r="142" customFormat="false" ht="15.75" hidden="false" customHeight="true" outlineLevel="0" collapsed="false">
      <c r="A142" s="9" t="s">
        <v>1675</v>
      </c>
      <c r="B142" s="9" t="s">
        <v>530</v>
      </c>
      <c r="C142" s="9" t="s">
        <v>531</v>
      </c>
      <c r="D142" s="9" t="s">
        <v>377</v>
      </c>
      <c r="E142" s="9" t="s">
        <v>1021</v>
      </c>
      <c r="F142" s="9" t="s">
        <v>1336</v>
      </c>
      <c r="G142" s="9" t="s">
        <v>1351</v>
      </c>
      <c r="H142" s="9" t="s">
        <v>1352</v>
      </c>
      <c r="I142" s="9"/>
      <c r="J142" s="9"/>
      <c r="K142" s="9"/>
      <c r="L142" s="9"/>
      <c r="M142" s="9"/>
      <c r="N142" s="9"/>
      <c r="O142" s="9"/>
      <c r="P142" s="9"/>
      <c r="Q142" s="9" t="s">
        <v>1353</v>
      </c>
      <c r="R142" s="9"/>
      <c r="S142" s="9"/>
      <c r="T142" s="9"/>
      <c r="U142" s="9"/>
      <c r="V142" s="9"/>
      <c r="W142" s="9"/>
      <c r="X142" s="9" t="s">
        <v>414</v>
      </c>
      <c r="Y142" s="9" t="s">
        <v>391</v>
      </c>
      <c r="Z142" s="12" t="b">
        <f aca="false">FALSE()</f>
        <v>0</v>
      </c>
      <c r="AA142" s="8" t="s">
        <v>1348</v>
      </c>
    </row>
    <row r="143" customFormat="false" ht="15.75" hidden="false" customHeight="true" outlineLevel="0" collapsed="false">
      <c r="A143" s="9" t="s">
        <v>1676</v>
      </c>
      <c r="B143" s="9" t="s">
        <v>530</v>
      </c>
      <c r="C143" s="9" t="s">
        <v>531</v>
      </c>
      <c r="D143" s="9" t="s">
        <v>377</v>
      </c>
      <c r="E143" s="9" t="s">
        <v>1350</v>
      </c>
      <c r="F143" s="9" t="s">
        <v>1336</v>
      </c>
      <c r="G143" s="9" t="s">
        <v>1351</v>
      </c>
      <c r="H143" s="9" t="s">
        <v>1352</v>
      </c>
      <c r="I143" s="9"/>
      <c r="J143" s="9"/>
      <c r="K143" s="9"/>
      <c r="L143" s="9"/>
      <c r="M143" s="9"/>
      <c r="N143" s="9"/>
      <c r="O143" s="9"/>
      <c r="P143" s="9"/>
      <c r="Q143" s="9" t="s">
        <v>1353</v>
      </c>
      <c r="R143" s="9"/>
      <c r="S143" s="9"/>
      <c r="T143" s="9"/>
      <c r="U143" s="9"/>
      <c r="V143" s="9"/>
      <c r="W143" s="9"/>
      <c r="X143" s="9" t="s">
        <v>414</v>
      </c>
      <c r="Y143" s="9" t="s">
        <v>391</v>
      </c>
      <c r="Z143" s="12" t="b">
        <f aca="false">FALSE()</f>
        <v>0</v>
      </c>
      <c r="AA143" s="8" t="s">
        <v>1348</v>
      </c>
    </row>
    <row r="144" customFormat="false" ht="15.75" hidden="false" customHeight="true" outlineLevel="0" collapsed="false">
      <c r="A144" s="9" t="s">
        <v>1677</v>
      </c>
      <c r="B144" s="9" t="s">
        <v>530</v>
      </c>
      <c r="C144" s="9" t="s">
        <v>531</v>
      </c>
      <c r="D144" s="9" t="s">
        <v>377</v>
      </c>
      <c r="E144" s="9" t="s">
        <v>1355</v>
      </c>
      <c r="F144" s="9" t="s">
        <v>1336</v>
      </c>
      <c r="G144" s="9" t="s">
        <v>1351</v>
      </c>
      <c r="H144" s="9" t="s">
        <v>1352</v>
      </c>
      <c r="I144" s="9"/>
      <c r="J144" s="9"/>
      <c r="K144" s="9"/>
      <c r="L144" s="9"/>
      <c r="M144" s="9"/>
      <c r="N144" s="9"/>
      <c r="O144" s="9"/>
      <c r="P144" s="9"/>
      <c r="Q144" s="9" t="s">
        <v>1353</v>
      </c>
      <c r="R144" s="9"/>
      <c r="S144" s="9"/>
      <c r="T144" s="9"/>
      <c r="U144" s="9"/>
      <c r="V144" s="9"/>
      <c r="W144" s="9"/>
      <c r="X144" s="9" t="s">
        <v>414</v>
      </c>
      <c r="Y144" s="9" t="s">
        <v>391</v>
      </c>
      <c r="Z144" s="12" t="b">
        <f aca="false">FALSE()</f>
        <v>0</v>
      </c>
      <c r="AA144" s="8" t="s">
        <v>1348</v>
      </c>
    </row>
    <row r="145" customFormat="false" ht="15.75" hidden="false" customHeight="true" outlineLevel="0" collapsed="false">
      <c r="A145" s="9" t="s">
        <v>1678</v>
      </c>
      <c r="B145" s="9" t="s">
        <v>530</v>
      </c>
      <c r="C145" s="9" t="s">
        <v>531</v>
      </c>
      <c r="D145" s="9" t="s">
        <v>377</v>
      </c>
      <c r="E145" s="9" t="s">
        <v>886</v>
      </c>
      <c r="F145" s="9" t="s">
        <v>1336</v>
      </c>
      <c r="G145" s="9" t="s">
        <v>1337</v>
      </c>
      <c r="H145" s="9" t="s">
        <v>1338</v>
      </c>
      <c r="I145" s="9" t="s">
        <v>1679</v>
      </c>
      <c r="J145" s="9" t="s">
        <v>377</v>
      </c>
      <c r="K145" s="9" t="s">
        <v>887</v>
      </c>
      <c r="L145" s="9" t="s">
        <v>888</v>
      </c>
      <c r="M145" s="9" t="s">
        <v>1537</v>
      </c>
      <c r="N145" s="9" t="s">
        <v>890</v>
      </c>
      <c r="O145" s="9" t="s">
        <v>890</v>
      </c>
      <c r="P145" s="9" t="s">
        <v>1680</v>
      </c>
      <c r="Q145" s="9" t="s">
        <v>113</v>
      </c>
      <c r="R145" s="9" t="s">
        <v>1681</v>
      </c>
      <c r="S145" s="9" t="s">
        <v>398</v>
      </c>
      <c r="T145" s="9" t="s">
        <v>377</v>
      </c>
      <c r="U145" s="9" t="s">
        <v>1682</v>
      </c>
      <c r="V145" s="9" t="s">
        <v>1347</v>
      </c>
      <c r="W145" s="9"/>
      <c r="X145" s="9" t="s">
        <v>377</v>
      </c>
      <c r="Y145" s="9" t="s">
        <v>377</v>
      </c>
      <c r="Z145" s="12" t="b">
        <f aca="false">FALSE()</f>
        <v>0</v>
      </c>
      <c r="AA145" s="8" t="s">
        <v>1348</v>
      </c>
    </row>
    <row r="146" customFormat="false" ht="15.75" hidden="false" customHeight="true" outlineLevel="0" collapsed="false">
      <c r="A146" s="9" t="s">
        <v>1683</v>
      </c>
      <c r="B146" s="9" t="s">
        <v>530</v>
      </c>
      <c r="C146" s="9" t="s">
        <v>531</v>
      </c>
      <c r="D146" s="9" t="s">
        <v>377</v>
      </c>
      <c r="E146" s="9" t="s">
        <v>866</v>
      </c>
      <c r="F146" s="9" t="s">
        <v>1336</v>
      </c>
      <c r="G146" s="9" t="s">
        <v>1351</v>
      </c>
      <c r="H146" s="9" t="s">
        <v>1352</v>
      </c>
      <c r="I146" s="9"/>
      <c r="J146" s="9"/>
      <c r="K146" s="9"/>
      <c r="L146" s="9"/>
      <c r="M146" s="9"/>
      <c r="N146" s="9"/>
      <c r="O146" s="9"/>
      <c r="P146" s="9"/>
      <c r="Q146" s="9" t="s">
        <v>1353</v>
      </c>
      <c r="R146" s="9"/>
      <c r="S146" s="9"/>
      <c r="T146" s="9"/>
      <c r="U146" s="9"/>
      <c r="V146" s="9"/>
      <c r="W146" s="9"/>
      <c r="X146" s="9" t="s">
        <v>414</v>
      </c>
      <c r="Y146" s="9" t="s">
        <v>391</v>
      </c>
      <c r="Z146" s="12" t="b">
        <f aca="false">FALSE()</f>
        <v>0</v>
      </c>
      <c r="AA146" s="8" t="s">
        <v>1348</v>
      </c>
    </row>
    <row r="147" customFormat="false" ht="15.75" hidden="false" customHeight="true" outlineLevel="0" collapsed="false">
      <c r="A147" s="9" t="s">
        <v>1684</v>
      </c>
      <c r="B147" s="9" t="s">
        <v>530</v>
      </c>
      <c r="C147" s="9" t="s">
        <v>531</v>
      </c>
      <c r="D147" s="9" t="s">
        <v>377</v>
      </c>
      <c r="E147" s="9" t="s">
        <v>912</v>
      </c>
      <c r="F147" s="9" t="s">
        <v>1336</v>
      </c>
      <c r="G147" s="9" t="s">
        <v>1351</v>
      </c>
      <c r="H147" s="9" t="s">
        <v>1352</v>
      </c>
      <c r="I147" s="9"/>
      <c r="J147" s="9"/>
      <c r="K147" s="9"/>
      <c r="L147" s="9"/>
      <c r="M147" s="9"/>
      <c r="N147" s="9"/>
      <c r="O147" s="9"/>
      <c r="P147" s="9"/>
      <c r="Q147" s="9" t="s">
        <v>1353</v>
      </c>
      <c r="R147" s="9"/>
      <c r="S147" s="9"/>
      <c r="T147" s="9"/>
      <c r="U147" s="9"/>
      <c r="V147" s="9"/>
      <c r="W147" s="9"/>
      <c r="X147" s="9" t="s">
        <v>414</v>
      </c>
      <c r="Y147" s="9" t="s">
        <v>391</v>
      </c>
      <c r="Z147" s="12" t="b">
        <f aca="false">FALSE()</f>
        <v>0</v>
      </c>
      <c r="AA147" s="8" t="s">
        <v>1348</v>
      </c>
    </row>
    <row r="148" customFormat="false" ht="15.75" hidden="false" customHeight="true" outlineLevel="0" collapsed="false">
      <c r="A148" s="9" t="s">
        <v>1685</v>
      </c>
      <c r="B148" s="9" t="s">
        <v>530</v>
      </c>
      <c r="C148" s="9" t="s">
        <v>531</v>
      </c>
      <c r="D148" s="9" t="s">
        <v>377</v>
      </c>
      <c r="E148" s="9" t="s">
        <v>966</v>
      </c>
      <c r="F148" s="9" t="s">
        <v>1336</v>
      </c>
      <c r="G148" s="9" t="s">
        <v>1351</v>
      </c>
      <c r="H148" s="9" t="s">
        <v>1352</v>
      </c>
      <c r="I148" s="9"/>
      <c r="J148" s="9"/>
      <c r="K148" s="9"/>
      <c r="L148" s="9"/>
      <c r="M148" s="9"/>
      <c r="N148" s="9"/>
      <c r="O148" s="9"/>
      <c r="P148" s="9"/>
      <c r="Q148" s="9" t="s">
        <v>1353</v>
      </c>
      <c r="R148" s="9"/>
      <c r="S148" s="9"/>
      <c r="T148" s="9"/>
      <c r="U148" s="9"/>
      <c r="V148" s="9"/>
      <c r="W148" s="9"/>
      <c r="X148" s="9" t="s">
        <v>414</v>
      </c>
      <c r="Y148" s="9" t="s">
        <v>391</v>
      </c>
      <c r="Z148" s="12" t="b">
        <f aca="false">FALSE()</f>
        <v>0</v>
      </c>
      <c r="AA148" s="8" t="s">
        <v>1348</v>
      </c>
    </row>
    <row r="149" customFormat="false" ht="15.75" hidden="false" customHeight="true" outlineLevel="0" collapsed="false">
      <c r="A149" s="9" t="s">
        <v>1686</v>
      </c>
      <c r="B149" s="9" t="s">
        <v>530</v>
      </c>
      <c r="C149" s="9" t="s">
        <v>531</v>
      </c>
      <c r="D149" s="9" t="s">
        <v>377</v>
      </c>
      <c r="E149" s="9" t="s">
        <v>947</v>
      </c>
      <c r="F149" s="9" t="s">
        <v>1336</v>
      </c>
      <c r="G149" s="9" t="s">
        <v>1351</v>
      </c>
      <c r="H149" s="9" t="s">
        <v>1352</v>
      </c>
      <c r="I149" s="9"/>
      <c r="J149" s="9"/>
      <c r="K149" s="9"/>
      <c r="L149" s="9"/>
      <c r="M149" s="9"/>
      <c r="N149" s="9"/>
      <c r="O149" s="9"/>
      <c r="P149" s="9"/>
      <c r="Q149" s="9" t="s">
        <v>1353</v>
      </c>
      <c r="R149" s="9"/>
      <c r="S149" s="9"/>
      <c r="T149" s="9"/>
      <c r="U149" s="9"/>
      <c r="V149" s="9"/>
      <c r="W149" s="9"/>
      <c r="X149" s="9" t="s">
        <v>414</v>
      </c>
      <c r="Y149" s="9" t="s">
        <v>391</v>
      </c>
      <c r="Z149" s="12" t="b">
        <f aca="false">FALSE()</f>
        <v>0</v>
      </c>
      <c r="AA149" s="8" t="s">
        <v>1348</v>
      </c>
    </row>
    <row r="150" customFormat="false" ht="15.75" hidden="false" customHeight="true" outlineLevel="0" collapsed="false">
      <c r="A150" s="9" t="s">
        <v>1687</v>
      </c>
      <c r="B150" s="9" t="s">
        <v>534</v>
      </c>
      <c r="C150" s="9" t="s">
        <v>535</v>
      </c>
      <c r="D150" s="9" t="s">
        <v>377</v>
      </c>
      <c r="E150" s="9" t="s">
        <v>1021</v>
      </c>
      <c r="F150" s="9" t="s">
        <v>1336</v>
      </c>
      <c r="G150" s="9" t="s">
        <v>1376</v>
      </c>
      <c r="H150" s="9" t="s">
        <v>1338</v>
      </c>
      <c r="I150" s="9" t="s">
        <v>1688</v>
      </c>
      <c r="J150" s="9" t="s">
        <v>377</v>
      </c>
      <c r="K150" s="9" t="s">
        <v>1022</v>
      </c>
      <c r="L150" s="9" t="s">
        <v>1340</v>
      </c>
      <c r="M150" s="9" t="s">
        <v>1341</v>
      </c>
      <c r="N150" s="9" t="s">
        <v>1342</v>
      </c>
      <c r="O150" s="9" t="s">
        <v>68</v>
      </c>
      <c r="P150" s="9" t="s">
        <v>1689</v>
      </c>
      <c r="Q150" s="9" t="s">
        <v>1344</v>
      </c>
      <c r="R150" s="9" t="s">
        <v>1345</v>
      </c>
      <c r="S150" s="9" t="s">
        <v>398</v>
      </c>
      <c r="T150" s="9" t="s">
        <v>377</v>
      </c>
      <c r="U150" s="9" t="s">
        <v>1690</v>
      </c>
      <c r="V150" s="9" t="s">
        <v>1347</v>
      </c>
      <c r="W150" s="9"/>
      <c r="X150" s="9" t="s">
        <v>377</v>
      </c>
      <c r="Y150" s="9" t="s">
        <v>377</v>
      </c>
      <c r="Z150" s="12" t="b">
        <f aca="false">FALSE()</f>
        <v>0</v>
      </c>
      <c r="AA150" s="8" t="s">
        <v>1348</v>
      </c>
    </row>
    <row r="151" customFormat="false" ht="15.75" hidden="false" customHeight="true" outlineLevel="0" collapsed="false">
      <c r="A151" s="9" t="s">
        <v>1691</v>
      </c>
      <c r="B151" s="9" t="s">
        <v>534</v>
      </c>
      <c r="C151" s="9" t="s">
        <v>535</v>
      </c>
      <c r="D151" s="9" t="s">
        <v>377</v>
      </c>
      <c r="E151" s="9" t="s">
        <v>1350</v>
      </c>
      <c r="F151" s="9" t="s">
        <v>1336</v>
      </c>
      <c r="G151" s="9" t="s">
        <v>1351</v>
      </c>
      <c r="H151" s="9" t="s">
        <v>1352</v>
      </c>
      <c r="I151" s="9"/>
      <c r="J151" s="9"/>
      <c r="K151" s="9"/>
      <c r="L151" s="9"/>
      <c r="M151" s="9"/>
      <c r="N151" s="9"/>
      <c r="O151" s="9"/>
      <c r="P151" s="9"/>
      <c r="Q151" s="9" t="s">
        <v>1353</v>
      </c>
      <c r="R151" s="9"/>
      <c r="S151" s="9"/>
      <c r="T151" s="9"/>
      <c r="U151" s="9"/>
      <c r="V151" s="9"/>
      <c r="W151" s="9"/>
      <c r="X151" s="9" t="s">
        <v>414</v>
      </c>
      <c r="Y151" s="9" t="s">
        <v>391</v>
      </c>
      <c r="Z151" s="12" t="b">
        <f aca="false">FALSE()</f>
        <v>0</v>
      </c>
      <c r="AA151" s="8" t="s">
        <v>1348</v>
      </c>
    </row>
    <row r="152" customFormat="false" ht="15.75" hidden="false" customHeight="true" outlineLevel="0" collapsed="false">
      <c r="A152" s="9" t="s">
        <v>1692</v>
      </c>
      <c r="B152" s="9" t="s">
        <v>534</v>
      </c>
      <c r="C152" s="9" t="s">
        <v>535</v>
      </c>
      <c r="D152" s="9" t="s">
        <v>377</v>
      </c>
      <c r="E152" s="9" t="s">
        <v>1355</v>
      </c>
      <c r="F152" s="9" t="s">
        <v>1336</v>
      </c>
      <c r="G152" s="9" t="s">
        <v>1351</v>
      </c>
      <c r="H152" s="9" t="s">
        <v>1352</v>
      </c>
      <c r="I152" s="9"/>
      <c r="J152" s="9"/>
      <c r="K152" s="9"/>
      <c r="L152" s="9"/>
      <c r="M152" s="9"/>
      <c r="N152" s="9"/>
      <c r="O152" s="9"/>
      <c r="P152" s="9"/>
      <c r="Q152" s="9" t="s">
        <v>1353</v>
      </c>
      <c r="R152" s="9"/>
      <c r="S152" s="9"/>
      <c r="T152" s="9"/>
      <c r="U152" s="9"/>
      <c r="V152" s="9"/>
      <c r="W152" s="9"/>
      <c r="X152" s="9" t="s">
        <v>414</v>
      </c>
      <c r="Y152" s="9" t="s">
        <v>391</v>
      </c>
      <c r="Z152" s="12" t="b">
        <f aca="false">FALSE()</f>
        <v>0</v>
      </c>
      <c r="AA152" s="8" t="s">
        <v>1348</v>
      </c>
    </row>
    <row r="153" customFormat="false" ht="15.75" hidden="false" customHeight="true" outlineLevel="0" collapsed="false">
      <c r="A153" s="9" t="s">
        <v>1693</v>
      </c>
      <c r="B153" s="9" t="s">
        <v>534</v>
      </c>
      <c r="C153" s="9" t="s">
        <v>535</v>
      </c>
      <c r="D153" s="9" t="s">
        <v>377</v>
      </c>
      <c r="E153" s="9" t="s">
        <v>886</v>
      </c>
      <c r="F153" s="9" t="s">
        <v>1336</v>
      </c>
      <c r="G153" s="9" t="s">
        <v>1337</v>
      </c>
      <c r="H153" s="9" t="s">
        <v>1338</v>
      </c>
      <c r="I153" s="9" t="s">
        <v>1688</v>
      </c>
      <c r="J153" s="9" t="s">
        <v>377</v>
      </c>
      <c r="K153" s="9" t="s">
        <v>887</v>
      </c>
      <c r="L153" s="9" t="s">
        <v>888</v>
      </c>
      <c r="M153" s="9" t="s">
        <v>1537</v>
      </c>
      <c r="N153" s="9" t="s">
        <v>890</v>
      </c>
      <c r="O153" s="9" t="s">
        <v>890</v>
      </c>
      <c r="P153" s="9" t="s">
        <v>1694</v>
      </c>
      <c r="Q153" s="9" t="s">
        <v>1344</v>
      </c>
      <c r="R153" s="9" t="s">
        <v>1681</v>
      </c>
      <c r="S153" s="9" t="s">
        <v>398</v>
      </c>
      <c r="T153" s="9" t="s">
        <v>377</v>
      </c>
      <c r="U153" s="9" t="s">
        <v>1690</v>
      </c>
      <c r="V153" s="9" t="s">
        <v>1347</v>
      </c>
      <c r="W153" s="9"/>
      <c r="X153" s="9" t="s">
        <v>377</v>
      </c>
      <c r="Y153" s="9" t="s">
        <v>377</v>
      </c>
      <c r="Z153" s="12" t="b">
        <f aca="false">FALSE()</f>
        <v>0</v>
      </c>
      <c r="AA153" s="8" t="s">
        <v>1348</v>
      </c>
    </row>
    <row r="154" customFormat="false" ht="15.75" hidden="false" customHeight="true" outlineLevel="0" collapsed="false">
      <c r="A154" s="9" t="s">
        <v>1695</v>
      </c>
      <c r="B154" s="9" t="s">
        <v>534</v>
      </c>
      <c r="C154" s="9" t="s">
        <v>535</v>
      </c>
      <c r="D154" s="9" t="s">
        <v>377</v>
      </c>
      <c r="E154" s="9" t="s">
        <v>866</v>
      </c>
      <c r="F154" s="9" t="s">
        <v>1336</v>
      </c>
      <c r="G154" s="9" t="s">
        <v>1351</v>
      </c>
      <c r="H154" s="9" t="s">
        <v>1352</v>
      </c>
      <c r="I154" s="9"/>
      <c r="J154" s="9"/>
      <c r="K154" s="9"/>
      <c r="L154" s="9"/>
      <c r="M154" s="9"/>
      <c r="N154" s="9"/>
      <c r="O154" s="9"/>
      <c r="P154" s="9"/>
      <c r="Q154" s="9" t="s">
        <v>1353</v>
      </c>
      <c r="R154" s="9"/>
      <c r="S154" s="9"/>
      <c r="T154" s="9"/>
      <c r="U154" s="9"/>
      <c r="V154" s="9"/>
      <c r="W154" s="9"/>
      <c r="X154" s="9" t="s">
        <v>414</v>
      </c>
      <c r="Y154" s="9" t="s">
        <v>391</v>
      </c>
      <c r="Z154" s="12" t="b">
        <f aca="false">FALSE()</f>
        <v>0</v>
      </c>
      <c r="AA154" s="8" t="s">
        <v>1348</v>
      </c>
    </row>
    <row r="155" customFormat="false" ht="15.75" hidden="false" customHeight="true" outlineLevel="0" collapsed="false">
      <c r="A155" s="9" t="s">
        <v>1696</v>
      </c>
      <c r="B155" s="9" t="s">
        <v>534</v>
      </c>
      <c r="C155" s="9" t="s">
        <v>535</v>
      </c>
      <c r="D155" s="9" t="s">
        <v>377</v>
      </c>
      <c r="E155" s="9" t="s">
        <v>912</v>
      </c>
      <c r="F155" s="9" t="s">
        <v>1336</v>
      </c>
      <c r="G155" s="9" t="s">
        <v>1351</v>
      </c>
      <c r="H155" s="9" t="s">
        <v>1352</v>
      </c>
      <c r="I155" s="9"/>
      <c r="J155" s="9"/>
      <c r="K155" s="9"/>
      <c r="L155" s="9"/>
      <c r="M155" s="9"/>
      <c r="N155" s="9"/>
      <c r="O155" s="9"/>
      <c r="P155" s="9"/>
      <c r="Q155" s="9" t="s">
        <v>1353</v>
      </c>
      <c r="R155" s="9"/>
      <c r="S155" s="9"/>
      <c r="T155" s="9"/>
      <c r="U155" s="9"/>
      <c r="V155" s="9"/>
      <c r="W155" s="9"/>
      <c r="X155" s="9" t="s">
        <v>414</v>
      </c>
      <c r="Y155" s="9" t="s">
        <v>391</v>
      </c>
      <c r="Z155" s="12" t="b">
        <f aca="false">FALSE()</f>
        <v>0</v>
      </c>
      <c r="AA155" s="8" t="s">
        <v>1348</v>
      </c>
    </row>
    <row r="156" customFormat="false" ht="15.75" hidden="false" customHeight="true" outlineLevel="0" collapsed="false">
      <c r="A156" s="9" t="s">
        <v>1697</v>
      </c>
      <c r="B156" s="9" t="s">
        <v>534</v>
      </c>
      <c r="C156" s="9" t="s">
        <v>535</v>
      </c>
      <c r="D156" s="9" t="s">
        <v>377</v>
      </c>
      <c r="E156" s="9" t="s">
        <v>966</v>
      </c>
      <c r="F156" s="9" t="s">
        <v>1336</v>
      </c>
      <c r="G156" s="9" t="s">
        <v>1351</v>
      </c>
      <c r="H156" s="9" t="s">
        <v>1352</v>
      </c>
      <c r="I156" s="9"/>
      <c r="J156" s="9"/>
      <c r="K156" s="9"/>
      <c r="L156" s="9"/>
      <c r="M156" s="9"/>
      <c r="N156" s="9"/>
      <c r="O156" s="9"/>
      <c r="P156" s="9"/>
      <c r="Q156" s="9" t="s">
        <v>1353</v>
      </c>
      <c r="R156" s="9"/>
      <c r="S156" s="9"/>
      <c r="T156" s="9"/>
      <c r="U156" s="9"/>
      <c r="V156" s="9"/>
      <c r="W156" s="9"/>
      <c r="X156" s="9" t="s">
        <v>414</v>
      </c>
      <c r="Y156" s="9" t="s">
        <v>391</v>
      </c>
      <c r="Z156" s="12" t="b">
        <f aca="false">FALSE()</f>
        <v>0</v>
      </c>
      <c r="AA156" s="8" t="s">
        <v>1348</v>
      </c>
    </row>
    <row r="157" customFormat="false" ht="15.75" hidden="false" customHeight="true" outlineLevel="0" collapsed="false">
      <c r="A157" s="9" t="s">
        <v>1698</v>
      </c>
      <c r="B157" s="9" t="s">
        <v>534</v>
      </c>
      <c r="C157" s="9" t="s">
        <v>535</v>
      </c>
      <c r="D157" s="9" t="s">
        <v>377</v>
      </c>
      <c r="E157" s="9" t="s">
        <v>947</v>
      </c>
      <c r="F157" s="9" t="s">
        <v>1336</v>
      </c>
      <c r="G157" s="9" t="s">
        <v>1351</v>
      </c>
      <c r="H157" s="9" t="s">
        <v>1352</v>
      </c>
      <c r="I157" s="9"/>
      <c r="J157" s="9"/>
      <c r="K157" s="9"/>
      <c r="L157" s="9"/>
      <c r="M157" s="9"/>
      <c r="N157" s="9"/>
      <c r="O157" s="9"/>
      <c r="P157" s="9"/>
      <c r="Q157" s="9" t="s">
        <v>1353</v>
      </c>
      <c r="R157" s="9"/>
      <c r="S157" s="9"/>
      <c r="T157" s="9"/>
      <c r="U157" s="9"/>
      <c r="V157" s="9"/>
      <c r="W157" s="9"/>
      <c r="X157" s="9" t="s">
        <v>414</v>
      </c>
      <c r="Y157" s="9" t="s">
        <v>391</v>
      </c>
      <c r="Z157" s="12" t="b">
        <f aca="false">FALSE()</f>
        <v>0</v>
      </c>
      <c r="AA157" s="8" t="s">
        <v>1348</v>
      </c>
    </row>
    <row r="158" customFormat="false" ht="15.75" hidden="false" customHeight="true" outlineLevel="0" collapsed="false">
      <c r="A158" s="9" t="s">
        <v>1699</v>
      </c>
      <c r="B158" s="9" t="s">
        <v>537</v>
      </c>
      <c r="C158" s="9" t="s">
        <v>538</v>
      </c>
      <c r="D158" s="9" t="s">
        <v>377</v>
      </c>
      <c r="E158" s="9" t="s">
        <v>1021</v>
      </c>
      <c r="F158" s="9" t="s">
        <v>1336</v>
      </c>
      <c r="G158" s="9" t="s">
        <v>1351</v>
      </c>
      <c r="H158" s="9" t="s">
        <v>1352</v>
      </c>
      <c r="I158" s="9"/>
      <c r="J158" s="9"/>
      <c r="K158" s="9"/>
      <c r="L158" s="9"/>
      <c r="M158" s="9"/>
      <c r="N158" s="9"/>
      <c r="O158" s="9"/>
      <c r="P158" s="9"/>
      <c r="Q158" s="9" t="s">
        <v>1353</v>
      </c>
      <c r="R158" s="9"/>
      <c r="S158" s="9"/>
      <c r="T158" s="9"/>
      <c r="U158" s="9"/>
      <c r="V158" s="9"/>
      <c r="W158" s="9"/>
      <c r="X158" s="9" t="s">
        <v>414</v>
      </c>
      <c r="Y158" s="9" t="s">
        <v>391</v>
      </c>
      <c r="Z158" s="12" t="b">
        <f aca="false">FALSE()</f>
        <v>0</v>
      </c>
      <c r="AA158" s="8" t="s">
        <v>1348</v>
      </c>
    </row>
    <row r="159" customFormat="false" ht="15.75" hidden="false" customHeight="true" outlineLevel="0" collapsed="false">
      <c r="A159" s="9" t="s">
        <v>1700</v>
      </c>
      <c r="B159" s="9" t="s">
        <v>537</v>
      </c>
      <c r="C159" s="9" t="s">
        <v>538</v>
      </c>
      <c r="D159" s="9" t="s">
        <v>377</v>
      </c>
      <c r="E159" s="9" t="s">
        <v>1350</v>
      </c>
      <c r="F159" s="9" t="s">
        <v>1336</v>
      </c>
      <c r="G159" s="9" t="s">
        <v>1351</v>
      </c>
      <c r="H159" s="9" t="s">
        <v>1352</v>
      </c>
      <c r="I159" s="9"/>
      <c r="J159" s="9"/>
      <c r="K159" s="9"/>
      <c r="L159" s="9"/>
      <c r="M159" s="9"/>
      <c r="N159" s="9"/>
      <c r="O159" s="9"/>
      <c r="P159" s="9"/>
      <c r="Q159" s="9" t="s">
        <v>1353</v>
      </c>
      <c r="R159" s="9"/>
      <c r="S159" s="9"/>
      <c r="T159" s="9"/>
      <c r="U159" s="9"/>
      <c r="V159" s="9"/>
      <c r="W159" s="9"/>
      <c r="X159" s="9" t="s">
        <v>414</v>
      </c>
      <c r="Y159" s="9" t="s">
        <v>391</v>
      </c>
      <c r="Z159" s="12" t="b">
        <f aca="false">FALSE()</f>
        <v>0</v>
      </c>
      <c r="AA159" s="8" t="s">
        <v>1348</v>
      </c>
    </row>
    <row r="160" customFormat="false" ht="15.75" hidden="false" customHeight="true" outlineLevel="0" collapsed="false">
      <c r="A160" s="9" t="s">
        <v>1701</v>
      </c>
      <c r="B160" s="9" t="s">
        <v>537</v>
      </c>
      <c r="C160" s="9" t="s">
        <v>538</v>
      </c>
      <c r="D160" s="9" t="s">
        <v>377</v>
      </c>
      <c r="E160" s="9" t="s">
        <v>1355</v>
      </c>
      <c r="F160" s="9" t="s">
        <v>1336</v>
      </c>
      <c r="G160" s="9" t="s">
        <v>1376</v>
      </c>
      <c r="H160" s="9" t="s">
        <v>1338</v>
      </c>
      <c r="I160" s="9" t="s">
        <v>1702</v>
      </c>
      <c r="J160" s="9" t="s">
        <v>377</v>
      </c>
      <c r="K160" s="9" t="s">
        <v>1390</v>
      </c>
      <c r="L160" s="9" t="s">
        <v>1703</v>
      </c>
      <c r="M160" s="9" t="s">
        <v>1704</v>
      </c>
      <c r="N160" s="9" t="s">
        <v>1391</v>
      </c>
      <c r="O160" s="9" t="s">
        <v>1705</v>
      </c>
      <c r="P160" s="9" t="s">
        <v>1706</v>
      </c>
      <c r="Q160" s="9" t="s">
        <v>113</v>
      </c>
      <c r="R160" s="9" t="s">
        <v>1707</v>
      </c>
      <c r="S160" s="9" t="s">
        <v>398</v>
      </c>
      <c r="T160" s="9" t="s">
        <v>377</v>
      </c>
      <c r="U160" s="9" t="s">
        <v>1708</v>
      </c>
      <c r="V160" s="9" t="s">
        <v>1347</v>
      </c>
      <c r="W160" s="9"/>
      <c r="X160" s="9" t="s">
        <v>377</v>
      </c>
      <c r="Y160" s="9" t="s">
        <v>377</v>
      </c>
      <c r="Z160" s="12" t="b">
        <f aca="false">FALSE()</f>
        <v>0</v>
      </c>
      <c r="AA160" s="8" t="s">
        <v>1348</v>
      </c>
    </row>
    <row r="161" customFormat="false" ht="15.75" hidden="false" customHeight="true" outlineLevel="0" collapsed="false">
      <c r="A161" s="9" t="s">
        <v>1709</v>
      </c>
      <c r="B161" s="9" t="s">
        <v>537</v>
      </c>
      <c r="C161" s="9" t="s">
        <v>538</v>
      </c>
      <c r="D161" s="9" t="s">
        <v>377</v>
      </c>
      <c r="E161" s="9" t="s">
        <v>886</v>
      </c>
      <c r="F161" s="9" t="s">
        <v>1336</v>
      </c>
      <c r="G161" s="9" t="s">
        <v>1337</v>
      </c>
      <c r="H161" s="9" t="s">
        <v>1338</v>
      </c>
      <c r="I161" s="9" t="s">
        <v>1702</v>
      </c>
      <c r="J161" s="9" t="s">
        <v>377</v>
      </c>
      <c r="K161" s="9" t="s">
        <v>900</v>
      </c>
      <c r="L161" s="9" t="s">
        <v>1181</v>
      </c>
      <c r="M161" s="9" t="s">
        <v>1710</v>
      </c>
      <c r="N161" s="9" t="s">
        <v>903</v>
      </c>
      <c r="O161" s="9" t="s">
        <v>904</v>
      </c>
      <c r="P161" s="9" t="s">
        <v>1711</v>
      </c>
      <c r="Q161" s="9" t="s">
        <v>113</v>
      </c>
      <c r="R161" s="9" t="s">
        <v>1712</v>
      </c>
      <c r="S161" s="9" t="s">
        <v>398</v>
      </c>
      <c r="T161" s="9" t="s">
        <v>377</v>
      </c>
      <c r="U161" s="9" t="s">
        <v>1713</v>
      </c>
      <c r="V161" s="9" t="s">
        <v>1347</v>
      </c>
      <c r="W161" s="9"/>
      <c r="X161" s="9" t="s">
        <v>377</v>
      </c>
      <c r="Y161" s="9" t="s">
        <v>377</v>
      </c>
      <c r="Z161" s="12" t="b">
        <f aca="false">FALSE()</f>
        <v>0</v>
      </c>
      <c r="AA161" s="8" t="s">
        <v>1348</v>
      </c>
    </row>
    <row r="162" customFormat="false" ht="15.75" hidden="false" customHeight="true" outlineLevel="0" collapsed="false">
      <c r="A162" s="9" t="s">
        <v>1714</v>
      </c>
      <c r="B162" s="9" t="s">
        <v>537</v>
      </c>
      <c r="C162" s="9" t="s">
        <v>538</v>
      </c>
      <c r="D162" s="9" t="s">
        <v>377</v>
      </c>
      <c r="E162" s="9" t="s">
        <v>866</v>
      </c>
      <c r="F162" s="9" t="s">
        <v>1336</v>
      </c>
      <c r="G162" s="9" t="s">
        <v>1351</v>
      </c>
      <c r="H162" s="9" t="s">
        <v>1352</v>
      </c>
      <c r="I162" s="9"/>
      <c r="J162" s="9"/>
      <c r="K162" s="9"/>
      <c r="L162" s="9"/>
      <c r="M162" s="9"/>
      <c r="N162" s="9"/>
      <c r="O162" s="9"/>
      <c r="P162" s="9"/>
      <c r="Q162" s="9" t="s">
        <v>1353</v>
      </c>
      <c r="R162" s="9"/>
      <c r="S162" s="9"/>
      <c r="T162" s="9"/>
      <c r="U162" s="9"/>
      <c r="V162" s="9"/>
      <c r="W162" s="9"/>
      <c r="X162" s="9" t="s">
        <v>414</v>
      </c>
      <c r="Y162" s="9" t="s">
        <v>391</v>
      </c>
      <c r="Z162" s="12" t="b">
        <f aca="false">FALSE()</f>
        <v>0</v>
      </c>
      <c r="AA162" s="8" t="s">
        <v>1348</v>
      </c>
    </row>
    <row r="163" customFormat="false" ht="15.75" hidden="false" customHeight="true" outlineLevel="0" collapsed="false">
      <c r="A163" s="9" t="s">
        <v>1715</v>
      </c>
      <c r="B163" s="9" t="s">
        <v>537</v>
      </c>
      <c r="C163" s="9" t="s">
        <v>538</v>
      </c>
      <c r="D163" s="9" t="s">
        <v>377</v>
      </c>
      <c r="E163" s="9" t="s">
        <v>912</v>
      </c>
      <c r="F163" s="9" t="s">
        <v>1336</v>
      </c>
      <c r="G163" s="9" t="s">
        <v>1351</v>
      </c>
      <c r="H163" s="9" t="s">
        <v>1352</v>
      </c>
      <c r="I163" s="9"/>
      <c r="J163" s="9"/>
      <c r="K163" s="9"/>
      <c r="L163" s="9"/>
      <c r="M163" s="9"/>
      <c r="N163" s="9"/>
      <c r="O163" s="9"/>
      <c r="P163" s="9"/>
      <c r="Q163" s="9" t="s">
        <v>1353</v>
      </c>
      <c r="R163" s="9"/>
      <c r="S163" s="9"/>
      <c r="T163" s="9"/>
      <c r="U163" s="9"/>
      <c r="V163" s="9"/>
      <c r="W163" s="9"/>
      <c r="X163" s="9" t="s">
        <v>414</v>
      </c>
      <c r="Y163" s="9" t="s">
        <v>391</v>
      </c>
      <c r="Z163" s="12" t="b">
        <f aca="false">FALSE()</f>
        <v>0</v>
      </c>
      <c r="AA163" s="8" t="s">
        <v>1348</v>
      </c>
    </row>
    <row r="164" customFormat="false" ht="15.75" hidden="false" customHeight="true" outlineLevel="0" collapsed="false">
      <c r="A164" s="9" t="s">
        <v>1716</v>
      </c>
      <c r="B164" s="9" t="s">
        <v>537</v>
      </c>
      <c r="C164" s="9" t="s">
        <v>538</v>
      </c>
      <c r="D164" s="9" t="s">
        <v>377</v>
      </c>
      <c r="E164" s="9" t="s">
        <v>966</v>
      </c>
      <c r="F164" s="9" t="s">
        <v>1336</v>
      </c>
      <c r="G164" s="9" t="s">
        <v>1351</v>
      </c>
      <c r="H164" s="9" t="s">
        <v>1352</v>
      </c>
      <c r="I164" s="9"/>
      <c r="J164" s="9"/>
      <c r="K164" s="9"/>
      <c r="L164" s="9"/>
      <c r="M164" s="9"/>
      <c r="N164" s="9"/>
      <c r="O164" s="9"/>
      <c r="P164" s="9"/>
      <c r="Q164" s="9" t="s">
        <v>1353</v>
      </c>
      <c r="R164" s="9"/>
      <c r="S164" s="9"/>
      <c r="T164" s="9"/>
      <c r="U164" s="9"/>
      <c r="V164" s="9"/>
      <c r="W164" s="9"/>
      <c r="X164" s="9" t="s">
        <v>414</v>
      </c>
      <c r="Y164" s="9" t="s">
        <v>391</v>
      </c>
      <c r="Z164" s="12" t="b">
        <f aca="false">FALSE()</f>
        <v>0</v>
      </c>
      <c r="AA164" s="8" t="s">
        <v>1348</v>
      </c>
    </row>
    <row r="165" customFormat="false" ht="15.75" hidden="false" customHeight="true" outlineLevel="0" collapsed="false">
      <c r="A165" s="9" t="s">
        <v>1717</v>
      </c>
      <c r="B165" s="9" t="s">
        <v>537</v>
      </c>
      <c r="C165" s="9" t="s">
        <v>538</v>
      </c>
      <c r="D165" s="9" t="s">
        <v>377</v>
      </c>
      <c r="E165" s="9" t="s">
        <v>947</v>
      </c>
      <c r="F165" s="9" t="s">
        <v>1336</v>
      </c>
      <c r="G165" s="9" t="s">
        <v>1351</v>
      </c>
      <c r="H165" s="9" t="s">
        <v>1352</v>
      </c>
      <c r="I165" s="9"/>
      <c r="J165" s="9"/>
      <c r="K165" s="9"/>
      <c r="L165" s="9"/>
      <c r="M165" s="9"/>
      <c r="N165" s="9"/>
      <c r="O165" s="9"/>
      <c r="P165" s="9"/>
      <c r="Q165" s="9" t="s">
        <v>1353</v>
      </c>
      <c r="R165" s="9"/>
      <c r="S165" s="9"/>
      <c r="T165" s="9"/>
      <c r="U165" s="9"/>
      <c r="V165" s="9"/>
      <c r="W165" s="9"/>
      <c r="X165" s="9" t="s">
        <v>414</v>
      </c>
      <c r="Y165" s="9" t="s">
        <v>391</v>
      </c>
      <c r="Z165" s="12" t="b">
        <f aca="false">FALSE()</f>
        <v>0</v>
      </c>
      <c r="AA165" s="8" t="s">
        <v>1348</v>
      </c>
    </row>
    <row r="166" customFormat="false" ht="15.75" hidden="false" customHeight="true" outlineLevel="0" collapsed="false">
      <c r="A166" s="9" t="s">
        <v>1718</v>
      </c>
      <c r="B166" s="9" t="s">
        <v>541</v>
      </c>
      <c r="C166" s="9" t="s">
        <v>543</v>
      </c>
      <c r="D166" s="9" t="s">
        <v>377</v>
      </c>
      <c r="E166" s="9" t="s">
        <v>1021</v>
      </c>
      <c r="F166" s="9" t="s">
        <v>1336</v>
      </c>
      <c r="G166" s="9" t="s">
        <v>1351</v>
      </c>
      <c r="H166" s="9" t="s">
        <v>1352</v>
      </c>
      <c r="I166" s="9"/>
      <c r="J166" s="9"/>
      <c r="K166" s="9"/>
      <c r="L166" s="9"/>
      <c r="M166" s="9"/>
      <c r="N166" s="9"/>
      <c r="O166" s="9"/>
      <c r="P166" s="9"/>
      <c r="Q166" s="9" t="s">
        <v>1353</v>
      </c>
      <c r="R166" s="9"/>
      <c r="S166" s="9"/>
      <c r="T166" s="9"/>
      <c r="U166" s="9"/>
      <c r="V166" s="9"/>
      <c r="W166" s="9"/>
      <c r="X166" s="9" t="s">
        <v>414</v>
      </c>
      <c r="Y166" s="9" t="s">
        <v>391</v>
      </c>
      <c r="Z166" s="12" t="b">
        <f aca="false">FALSE()</f>
        <v>0</v>
      </c>
      <c r="AA166" s="8" t="s">
        <v>1348</v>
      </c>
    </row>
    <row r="167" customFormat="false" ht="15.75" hidden="false" customHeight="true" outlineLevel="0" collapsed="false">
      <c r="A167" s="9" t="s">
        <v>1719</v>
      </c>
      <c r="B167" s="9" t="s">
        <v>541</v>
      </c>
      <c r="C167" s="9" t="s">
        <v>543</v>
      </c>
      <c r="D167" s="9" t="s">
        <v>377</v>
      </c>
      <c r="E167" s="9" t="s">
        <v>1350</v>
      </c>
      <c r="F167" s="9" t="s">
        <v>1336</v>
      </c>
      <c r="G167" s="9" t="s">
        <v>1351</v>
      </c>
      <c r="H167" s="9" t="s">
        <v>1352</v>
      </c>
      <c r="I167" s="9"/>
      <c r="J167" s="9"/>
      <c r="K167" s="9"/>
      <c r="L167" s="9"/>
      <c r="M167" s="9"/>
      <c r="N167" s="9"/>
      <c r="O167" s="9"/>
      <c r="P167" s="9"/>
      <c r="Q167" s="9" t="s">
        <v>1353</v>
      </c>
      <c r="R167" s="9"/>
      <c r="S167" s="9"/>
      <c r="T167" s="9"/>
      <c r="U167" s="9"/>
      <c r="V167" s="9"/>
      <c r="W167" s="9"/>
      <c r="X167" s="9" t="s">
        <v>414</v>
      </c>
      <c r="Y167" s="9" t="s">
        <v>391</v>
      </c>
      <c r="Z167" s="12" t="b">
        <f aca="false">FALSE()</f>
        <v>0</v>
      </c>
      <c r="AA167" s="8" t="s">
        <v>1348</v>
      </c>
    </row>
    <row r="168" customFormat="false" ht="15.75" hidden="false" customHeight="true" outlineLevel="0" collapsed="false">
      <c r="A168" s="9" t="s">
        <v>1720</v>
      </c>
      <c r="B168" s="9" t="s">
        <v>541</v>
      </c>
      <c r="C168" s="9" t="s">
        <v>543</v>
      </c>
      <c r="D168" s="9" t="s">
        <v>377</v>
      </c>
      <c r="E168" s="9" t="s">
        <v>1355</v>
      </c>
      <c r="F168" s="9" t="s">
        <v>1336</v>
      </c>
      <c r="G168" s="9" t="s">
        <v>1351</v>
      </c>
      <c r="H168" s="9" t="s">
        <v>1352</v>
      </c>
      <c r="I168" s="9"/>
      <c r="J168" s="9"/>
      <c r="K168" s="9"/>
      <c r="L168" s="9"/>
      <c r="M168" s="9"/>
      <c r="N168" s="9"/>
      <c r="O168" s="9"/>
      <c r="P168" s="9"/>
      <c r="Q168" s="9" t="s">
        <v>1353</v>
      </c>
      <c r="R168" s="9"/>
      <c r="S168" s="9"/>
      <c r="T168" s="9"/>
      <c r="U168" s="9"/>
      <c r="V168" s="9"/>
      <c r="W168" s="9"/>
      <c r="X168" s="9" t="s">
        <v>414</v>
      </c>
      <c r="Y168" s="9" t="s">
        <v>391</v>
      </c>
      <c r="Z168" s="12" t="b">
        <f aca="false">FALSE()</f>
        <v>0</v>
      </c>
      <c r="AA168" s="8" t="s">
        <v>1348</v>
      </c>
    </row>
    <row r="169" customFormat="false" ht="15.75" hidden="false" customHeight="true" outlineLevel="0" collapsed="false">
      <c r="A169" s="9" t="s">
        <v>1721</v>
      </c>
      <c r="B169" s="9" t="s">
        <v>541</v>
      </c>
      <c r="C169" s="9" t="s">
        <v>543</v>
      </c>
      <c r="D169" s="9" t="s">
        <v>377</v>
      </c>
      <c r="E169" s="9" t="s">
        <v>886</v>
      </c>
      <c r="F169" s="9" t="s">
        <v>1336</v>
      </c>
      <c r="G169" s="9" t="s">
        <v>1337</v>
      </c>
      <c r="H169" s="9" t="s">
        <v>1338</v>
      </c>
      <c r="I169" s="9" t="s">
        <v>1722</v>
      </c>
      <c r="J169" s="9" t="s">
        <v>377</v>
      </c>
      <c r="K169" s="9" t="s">
        <v>900</v>
      </c>
      <c r="L169" s="9" t="s">
        <v>1723</v>
      </c>
      <c r="M169" s="9" t="s">
        <v>1724</v>
      </c>
      <c r="N169" s="9" t="s">
        <v>903</v>
      </c>
      <c r="O169" s="9" t="s">
        <v>904</v>
      </c>
      <c r="P169" s="9" t="s">
        <v>1725</v>
      </c>
      <c r="Q169" s="9" t="s">
        <v>113</v>
      </c>
      <c r="R169" s="9" t="s">
        <v>1726</v>
      </c>
      <c r="S169" s="9" t="s">
        <v>398</v>
      </c>
      <c r="T169" s="9" t="s">
        <v>377</v>
      </c>
      <c r="U169" s="9" t="s">
        <v>1727</v>
      </c>
      <c r="V169" s="9" t="s">
        <v>1347</v>
      </c>
      <c r="W169" s="9"/>
      <c r="X169" s="9" t="s">
        <v>377</v>
      </c>
      <c r="Y169" s="9" t="s">
        <v>377</v>
      </c>
      <c r="Z169" s="12" t="b">
        <f aca="false">FALSE()</f>
        <v>0</v>
      </c>
      <c r="AA169" s="8" t="s">
        <v>1348</v>
      </c>
    </row>
    <row r="170" customFormat="false" ht="15.75" hidden="false" customHeight="true" outlineLevel="0" collapsed="false">
      <c r="A170" s="9" t="s">
        <v>1728</v>
      </c>
      <c r="B170" s="9" t="s">
        <v>541</v>
      </c>
      <c r="C170" s="9" t="s">
        <v>543</v>
      </c>
      <c r="D170" s="9" t="s">
        <v>377</v>
      </c>
      <c r="E170" s="9" t="s">
        <v>866</v>
      </c>
      <c r="F170" s="9" t="s">
        <v>1336</v>
      </c>
      <c r="G170" s="9" t="s">
        <v>1351</v>
      </c>
      <c r="H170" s="9" t="s">
        <v>1352</v>
      </c>
      <c r="I170" s="9"/>
      <c r="J170" s="9"/>
      <c r="K170" s="9"/>
      <c r="L170" s="9"/>
      <c r="M170" s="9"/>
      <c r="N170" s="9"/>
      <c r="O170" s="9"/>
      <c r="P170" s="9"/>
      <c r="Q170" s="9" t="s">
        <v>1353</v>
      </c>
      <c r="R170" s="9"/>
      <c r="S170" s="9"/>
      <c r="T170" s="9"/>
      <c r="U170" s="9"/>
      <c r="V170" s="9"/>
      <c r="W170" s="9"/>
      <c r="X170" s="9" t="s">
        <v>414</v>
      </c>
      <c r="Y170" s="9" t="s">
        <v>391</v>
      </c>
      <c r="Z170" s="12" t="b">
        <f aca="false">FALSE()</f>
        <v>0</v>
      </c>
      <c r="AA170" s="8" t="s">
        <v>1348</v>
      </c>
    </row>
    <row r="171" customFormat="false" ht="15.75" hidden="false" customHeight="true" outlineLevel="0" collapsed="false">
      <c r="A171" s="9" t="s">
        <v>1729</v>
      </c>
      <c r="B171" s="9" t="s">
        <v>541</v>
      </c>
      <c r="C171" s="9" t="s">
        <v>543</v>
      </c>
      <c r="D171" s="9" t="s">
        <v>377</v>
      </c>
      <c r="E171" s="9" t="s">
        <v>912</v>
      </c>
      <c r="F171" s="9" t="s">
        <v>1336</v>
      </c>
      <c r="G171" s="9" t="s">
        <v>1351</v>
      </c>
      <c r="H171" s="9" t="s">
        <v>1352</v>
      </c>
      <c r="I171" s="9"/>
      <c r="J171" s="9"/>
      <c r="K171" s="9"/>
      <c r="L171" s="9"/>
      <c r="M171" s="9"/>
      <c r="N171" s="9"/>
      <c r="O171" s="9"/>
      <c r="P171" s="9"/>
      <c r="Q171" s="9" t="s">
        <v>1353</v>
      </c>
      <c r="R171" s="9"/>
      <c r="S171" s="9"/>
      <c r="T171" s="9"/>
      <c r="U171" s="9"/>
      <c r="V171" s="9"/>
      <c r="W171" s="9"/>
      <c r="X171" s="9" t="s">
        <v>414</v>
      </c>
      <c r="Y171" s="9" t="s">
        <v>391</v>
      </c>
      <c r="Z171" s="12" t="b">
        <f aca="false">FALSE()</f>
        <v>0</v>
      </c>
      <c r="AA171" s="8" t="s">
        <v>1348</v>
      </c>
    </row>
    <row r="172" customFormat="false" ht="15.75" hidden="false" customHeight="true" outlineLevel="0" collapsed="false">
      <c r="A172" s="9" t="s">
        <v>1730</v>
      </c>
      <c r="B172" s="9" t="s">
        <v>541</v>
      </c>
      <c r="C172" s="9" t="s">
        <v>543</v>
      </c>
      <c r="D172" s="9" t="s">
        <v>377</v>
      </c>
      <c r="E172" s="9" t="s">
        <v>966</v>
      </c>
      <c r="F172" s="9" t="s">
        <v>1336</v>
      </c>
      <c r="G172" s="9" t="s">
        <v>1351</v>
      </c>
      <c r="H172" s="9" t="s">
        <v>1352</v>
      </c>
      <c r="I172" s="9"/>
      <c r="J172" s="9"/>
      <c r="K172" s="9"/>
      <c r="L172" s="9"/>
      <c r="M172" s="9"/>
      <c r="N172" s="9"/>
      <c r="O172" s="9"/>
      <c r="P172" s="9"/>
      <c r="Q172" s="9" t="s">
        <v>1353</v>
      </c>
      <c r="R172" s="9"/>
      <c r="S172" s="9"/>
      <c r="T172" s="9"/>
      <c r="U172" s="9"/>
      <c r="V172" s="9"/>
      <c r="W172" s="9"/>
      <c r="X172" s="9" t="s">
        <v>414</v>
      </c>
      <c r="Y172" s="9" t="s">
        <v>391</v>
      </c>
      <c r="Z172" s="12" t="b">
        <f aca="false">FALSE()</f>
        <v>0</v>
      </c>
      <c r="AA172" s="8" t="s">
        <v>1348</v>
      </c>
    </row>
    <row r="173" customFormat="false" ht="15.75" hidden="false" customHeight="true" outlineLevel="0" collapsed="false">
      <c r="A173" s="9" t="s">
        <v>1731</v>
      </c>
      <c r="B173" s="9" t="s">
        <v>541</v>
      </c>
      <c r="C173" s="9" t="s">
        <v>543</v>
      </c>
      <c r="D173" s="9" t="s">
        <v>377</v>
      </c>
      <c r="E173" s="9" t="s">
        <v>947</v>
      </c>
      <c r="F173" s="9" t="s">
        <v>1336</v>
      </c>
      <c r="G173" s="9" t="s">
        <v>1351</v>
      </c>
      <c r="H173" s="9" t="s">
        <v>1352</v>
      </c>
      <c r="I173" s="9"/>
      <c r="J173" s="9"/>
      <c r="K173" s="9"/>
      <c r="L173" s="9"/>
      <c r="M173" s="9"/>
      <c r="N173" s="9"/>
      <c r="O173" s="9"/>
      <c r="P173" s="9"/>
      <c r="Q173" s="9" t="s">
        <v>1353</v>
      </c>
      <c r="R173" s="9"/>
      <c r="S173" s="9"/>
      <c r="T173" s="9"/>
      <c r="U173" s="9"/>
      <c r="V173" s="9"/>
      <c r="W173" s="9"/>
      <c r="X173" s="9" t="s">
        <v>414</v>
      </c>
      <c r="Y173" s="9" t="s">
        <v>391</v>
      </c>
      <c r="Z173" s="12" t="b">
        <f aca="false">FALSE()</f>
        <v>0</v>
      </c>
      <c r="AA173" s="8" t="s">
        <v>1348</v>
      </c>
    </row>
    <row r="174" customFormat="false" ht="15.75" hidden="false" customHeight="true" outlineLevel="0" collapsed="false">
      <c r="A174" s="9" t="s">
        <v>1732</v>
      </c>
      <c r="B174" s="9" t="s">
        <v>546</v>
      </c>
      <c r="C174" s="9" t="s">
        <v>547</v>
      </c>
      <c r="D174" s="9" t="s">
        <v>384</v>
      </c>
      <c r="E174" s="9" t="s">
        <v>1021</v>
      </c>
      <c r="F174" s="9" t="s">
        <v>1336</v>
      </c>
      <c r="G174" s="9" t="s">
        <v>1494</v>
      </c>
      <c r="H174" s="9" t="s">
        <v>1338</v>
      </c>
      <c r="I174" s="9" t="s">
        <v>1733</v>
      </c>
      <c r="J174" s="9" t="s">
        <v>384</v>
      </c>
      <c r="K174" s="9" t="s">
        <v>1022</v>
      </c>
      <c r="L174" s="9" t="s">
        <v>1734</v>
      </c>
      <c r="M174" s="9" t="s">
        <v>1735</v>
      </c>
      <c r="N174" s="9" t="s">
        <v>1025</v>
      </c>
      <c r="O174" s="9" t="s">
        <v>1032</v>
      </c>
      <c r="P174" s="9" t="s">
        <v>1736</v>
      </c>
      <c r="Q174" s="9" t="s">
        <v>113</v>
      </c>
      <c r="R174" s="9" t="s">
        <v>1737</v>
      </c>
      <c r="S174" s="9" t="s">
        <v>398</v>
      </c>
      <c r="T174" s="9" t="s">
        <v>384</v>
      </c>
      <c r="U174" s="9" t="s">
        <v>1738</v>
      </c>
      <c r="V174" s="9" t="s">
        <v>1347</v>
      </c>
      <c r="W174" s="9"/>
      <c r="X174" s="9" t="s">
        <v>384</v>
      </c>
      <c r="Y174" s="9" t="s">
        <v>384</v>
      </c>
      <c r="Z174" s="12" t="b">
        <f aca="false">FALSE()</f>
        <v>0</v>
      </c>
      <c r="AA174" s="8" t="s">
        <v>1348</v>
      </c>
    </row>
    <row r="175" customFormat="false" ht="15.75" hidden="false" customHeight="true" outlineLevel="0" collapsed="false">
      <c r="A175" s="9" t="s">
        <v>1739</v>
      </c>
      <c r="B175" s="9" t="s">
        <v>546</v>
      </c>
      <c r="C175" s="9" t="s">
        <v>547</v>
      </c>
      <c r="D175" s="9" t="s">
        <v>384</v>
      </c>
      <c r="E175" s="9" t="s">
        <v>1350</v>
      </c>
      <c r="F175" s="9" t="s">
        <v>1336</v>
      </c>
      <c r="G175" s="9" t="s">
        <v>1494</v>
      </c>
      <c r="H175" s="9" t="s">
        <v>1338</v>
      </c>
      <c r="I175" s="9" t="s">
        <v>1733</v>
      </c>
      <c r="J175" s="9" t="s">
        <v>384</v>
      </c>
      <c r="K175" s="9" t="s">
        <v>1502</v>
      </c>
      <c r="L175" s="9" t="s">
        <v>1503</v>
      </c>
      <c r="M175" s="9" t="s">
        <v>1740</v>
      </c>
      <c r="N175" s="9" t="s">
        <v>1386</v>
      </c>
      <c r="O175" s="9" t="s">
        <v>1386</v>
      </c>
      <c r="P175" s="9" t="s">
        <v>1736</v>
      </c>
      <c r="Q175" s="9" t="s">
        <v>113</v>
      </c>
      <c r="R175" s="9" t="s">
        <v>1737</v>
      </c>
      <c r="S175" s="9" t="s">
        <v>398</v>
      </c>
      <c r="T175" s="9" t="s">
        <v>384</v>
      </c>
      <c r="U175" s="9" t="s">
        <v>1741</v>
      </c>
      <c r="V175" s="9" t="s">
        <v>1347</v>
      </c>
      <c r="W175" s="9"/>
      <c r="X175" s="9" t="s">
        <v>384</v>
      </c>
      <c r="Y175" s="9" t="s">
        <v>384</v>
      </c>
      <c r="Z175" s="12" t="b">
        <f aca="false">FALSE()</f>
        <v>0</v>
      </c>
      <c r="AA175" s="8" t="s">
        <v>1348</v>
      </c>
    </row>
    <row r="176" customFormat="false" ht="15.75" hidden="false" customHeight="true" outlineLevel="0" collapsed="false">
      <c r="A176" s="9" t="s">
        <v>1742</v>
      </c>
      <c r="B176" s="9" t="s">
        <v>546</v>
      </c>
      <c r="C176" s="9" t="s">
        <v>547</v>
      </c>
      <c r="D176" s="9" t="s">
        <v>384</v>
      </c>
      <c r="E176" s="9" t="s">
        <v>1355</v>
      </c>
      <c r="F176" s="9" t="s">
        <v>1336</v>
      </c>
      <c r="G176" s="9" t="s">
        <v>1494</v>
      </c>
      <c r="H176" s="9" t="s">
        <v>1338</v>
      </c>
      <c r="I176" s="9" t="s">
        <v>1733</v>
      </c>
      <c r="J176" s="9" t="s">
        <v>384</v>
      </c>
      <c r="K176" s="9" t="s">
        <v>1507</v>
      </c>
      <c r="L176" s="9" t="s">
        <v>1508</v>
      </c>
      <c r="M176" s="9" t="s">
        <v>1509</v>
      </c>
      <c r="N176" s="9" t="s">
        <v>1510</v>
      </c>
      <c r="O176" s="9" t="s">
        <v>1510</v>
      </c>
      <c r="P176" s="9" t="s">
        <v>1736</v>
      </c>
      <c r="Q176" s="9" t="s">
        <v>113</v>
      </c>
      <c r="R176" s="9" t="s">
        <v>1737</v>
      </c>
      <c r="S176" s="9" t="s">
        <v>398</v>
      </c>
      <c r="T176" s="9" t="s">
        <v>384</v>
      </c>
      <c r="U176" s="9" t="s">
        <v>1741</v>
      </c>
      <c r="V176" s="9" t="s">
        <v>1347</v>
      </c>
      <c r="W176" s="9"/>
      <c r="X176" s="9" t="s">
        <v>384</v>
      </c>
      <c r="Y176" s="9" t="s">
        <v>384</v>
      </c>
      <c r="Z176" s="12" t="b">
        <f aca="false">FALSE()</f>
        <v>0</v>
      </c>
      <c r="AA176" s="8" t="s">
        <v>1348</v>
      </c>
    </row>
    <row r="177" customFormat="false" ht="15.75" hidden="false" customHeight="true" outlineLevel="0" collapsed="false">
      <c r="A177" s="9" t="s">
        <v>1743</v>
      </c>
      <c r="B177" s="9" t="s">
        <v>546</v>
      </c>
      <c r="C177" s="9" t="s">
        <v>547</v>
      </c>
      <c r="D177" s="9" t="s">
        <v>384</v>
      </c>
      <c r="E177" s="9" t="s">
        <v>886</v>
      </c>
      <c r="F177" s="9" t="s">
        <v>1336</v>
      </c>
      <c r="G177" s="9" t="s">
        <v>1494</v>
      </c>
      <c r="H177" s="9" t="s">
        <v>1338</v>
      </c>
      <c r="I177" s="9" t="s">
        <v>1733</v>
      </c>
      <c r="J177" s="9" t="s">
        <v>384</v>
      </c>
      <c r="K177" s="9" t="s">
        <v>887</v>
      </c>
      <c r="L177" s="9" t="s">
        <v>888</v>
      </c>
      <c r="M177" s="9" t="s">
        <v>1744</v>
      </c>
      <c r="N177" s="9" t="s">
        <v>890</v>
      </c>
      <c r="O177" s="9" t="s">
        <v>890</v>
      </c>
      <c r="P177" s="9" t="s">
        <v>1736</v>
      </c>
      <c r="Q177" s="9" t="s">
        <v>113</v>
      </c>
      <c r="R177" s="9" t="s">
        <v>1737</v>
      </c>
      <c r="S177" s="9" t="s">
        <v>398</v>
      </c>
      <c r="T177" s="9" t="s">
        <v>384</v>
      </c>
      <c r="U177" s="9" t="s">
        <v>1741</v>
      </c>
      <c r="V177" s="9" t="s">
        <v>1347</v>
      </c>
      <c r="W177" s="9"/>
      <c r="X177" s="9" t="s">
        <v>384</v>
      </c>
      <c r="Y177" s="9" t="s">
        <v>384</v>
      </c>
      <c r="Z177" s="12" t="b">
        <f aca="false">FALSE()</f>
        <v>0</v>
      </c>
      <c r="AA177" s="8" t="s">
        <v>1348</v>
      </c>
    </row>
    <row r="178" customFormat="false" ht="15.75" hidden="false" customHeight="true" outlineLevel="0" collapsed="false">
      <c r="A178" s="9" t="s">
        <v>1745</v>
      </c>
      <c r="B178" s="9" t="s">
        <v>546</v>
      </c>
      <c r="C178" s="9" t="s">
        <v>547</v>
      </c>
      <c r="D178" s="9" t="s">
        <v>384</v>
      </c>
      <c r="E178" s="9" t="s">
        <v>866</v>
      </c>
      <c r="F178" s="9" t="s">
        <v>1336</v>
      </c>
      <c r="G178" s="9" t="s">
        <v>1494</v>
      </c>
      <c r="H178" s="9" t="s">
        <v>1338</v>
      </c>
      <c r="I178" s="9" t="s">
        <v>1733</v>
      </c>
      <c r="J178" s="9" t="s">
        <v>384</v>
      </c>
      <c r="K178" s="9" t="s">
        <v>867</v>
      </c>
      <c r="L178" s="9" t="s">
        <v>868</v>
      </c>
      <c r="M178" s="9" t="s">
        <v>1370</v>
      </c>
      <c r="N178" s="9" t="s">
        <v>870</v>
      </c>
      <c r="O178" s="9" t="s">
        <v>870</v>
      </c>
      <c r="P178" s="9" t="s">
        <v>1736</v>
      </c>
      <c r="Q178" s="9" t="s">
        <v>113</v>
      </c>
      <c r="R178" s="9" t="s">
        <v>1737</v>
      </c>
      <c r="S178" s="9" t="s">
        <v>398</v>
      </c>
      <c r="T178" s="9" t="s">
        <v>384</v>
      </c>
      <c r="U178" s="9" t="s">
        <v>1741</v>
      </c>
      <c r="V178" s="9" t="s">
        <v>1347</v>
      </c>
      <c r="W178" s="9"/>
      <c r="X178" s="9" t="s">
        <v>384</v>
      </c>
      <c r="Y178" s="9" t="s">
        <v>384</v>
      </c>
      <c r="Z178" s="12" t="b">
        <f aca="false">FALSE()</f>
        <v>0</v>
      </c>
      <c r="AA178" s="8" t="s">
        <v>1348</v>
      </c>
    </row>
    <row r="179" customFormat="false" ht="15.75" hidden="false" customHeight="true" outlineLevel="0" collapsed="false">
      <c r="A179" s="9" t="s">
        <v>1746</v>
      </c>
      <c r="B179" s="9" t="s">
        <v>546</v>
      </c>
      <c r="C179" s="9" t="s">
        <v>547</v>
      </c>
      <c r="D179" s="9" t="s">
        <v>384</v>
      </c>
      <c r="E179" s="9" t="s">
        <v>912</v>
      </c>
      <c r="F179" s="9" t="s">
        <v>1336</v>
      </c>
      <c r="G179" s="9" t="s">
        <v>1363</v>
      </c>
      <c r="H179" s="9" t="s">
        <v>1338</v>
      </c>
      <c r="I179" s="9" t="s">
        <v>1733</v>
      </c>
      <c r="J179" s="9" t="s">
        <v>384</v>
      </c>
      <c r="K179" s="9" t="s">
        <v>913</v>
      </c>
      <c r="L179" s="9" t="s">
        <v>914</v>
      </c>
      <c r="M179" s="9" t="s">
        <v>1747</v>
      </c>
      <c r="N179" s="9" t="s">
        <v>916</v>
      </c>
      <c r="O179" s="9" t="s">
        <v>916</v>
      </c>
      <c r="P179" s="9" t="s">
        <v>1365</v>
      </c>
      <c r="Q179" s="9" t="s">
        <v>113</v>
      </c>
      <c r="R179" s="9" t="s">
        <v>1366</v>
      </c>
      <c r="S179" s="9" t="s">
        <v>398</v>
      </c>
      <c r="T179" s="9" t="s">
        <v>384</v>
      </c>
      <c r="U179" s="9" t="s">
        <v>1748</v>
      </c>
      <c r="V179" s="9" t="s">
        <v>1347</v>
      </c>
      <c r="W179" s="9"/>
      <c r="X179" s="9" t="s">
        <v>384</v>
      </c>
      <c r="Y179" s="9" t="s">
        <v>384</v>
      </c>
      <c r="Z179" s="12" t="b">
        <f aca="false">FALSE()</f>
        <v>0</v>
      </c>
      <c r="AA179" s="8" t="s">
        <v>1348</v>
      </c>
    </row>
    <row r="180" customFormat="false" ht="15.75" hidden="false" customHeight="true" outlineLevel="0" collapsed="false">
      <c r="A180" s="9" t="s">
        <v>1749</v>
      </c>
      <c r="B180" s="9" t="s">
        <v>546</v>
      </c>
      <c r="C180" s="9" t="s">
        <v>547</v>
      </c>
      <c r="D180" s="9" t="s">
        <v>384</v>
      </c>
      <c r="E180" s="9" t="s">
        <v>966</v>
      </c>
      <c r="F180" s="9" t="s">
        <v>1336</v>
      </c>
      <c r="G180" s="9" t="s">
        <v>1494</v>
      </c>
      <c r="H180" s="9" t="s">
        <v>1338</v>
      </c>
      <c r="I180" s="9" t="s">
        <v>1733</v>
      </c>
      <c r="J180" s="9" t="s">
        <v>384</v>
      </c>
      <c r="K180" s="9" t="s">
        <v>967</v>
      </c>
      <c r="L180" s="9" t="s">
        <v>1152</v>
      </c>
      <c r="M180" s="9" t="s">
        <v>1370</v>
      </c>
      <c r="N180" s="9" t="s">
        <v>1153</v>
      </c>
      <c r="O180" s="9" t="s">
        <v>1153</v>
      </c>
      <c r="P180" s="9" t="s">
        <v>1736</v>
      </c>
      <c r="Q180" s="9" t="s">
        <v>113</v>
      </c>
      <c r="R180" s="9" t="s">
        <v>1737</v>
      </c>
      <c r="S180" s="9" t="s">
        <v>398</v>
      </c>
      <c r="T180" s="9" t="s">
        <v>384</v>
      </c>
      <c r="U180" s="9" t="s">
        <v>1741</v>
      </c>
      <c r="V180" s="9" t="s">
        <v>1347</v>
      </c>
      <c r="W180" s="9"/>
      <c r="X180" s="9" t="s">
        <v>384</v>
      </c>
      <c r="Y180" s="9" t="s">
        <v>384</v>
      </c>
      <c r="Z180" s="12" t="b">
        <f aca="false">FALSE()</f>
        <v>0</v>
      </c>
      <c r="AA180" s="8" t="s">
        <v>1348</v>
      </c>
    </row>
    <row r="181" customFormat="false" ht="15.75" hidden="false" customHeight="true" outlineLevel="0" collapsed="false">
      <c r="A181" s="9" t="s">
        <v>1750</v>
      </c>
      <c r="B181" s="9" t="s">
        <v>546</v>
      </c>
      <c r="C181" s="9" t="s">
        <v>547</v>
      </c>
      <c r="D181" s="9" t="s">
        <v>384</v>
      </c>
      <c r="E181" s="9" t="s">
        <v>947</v>
      </c>
      <c r="F181" s="9" t="s">
        <v>1336</v>
      </c>
      <c r="G181" s="9" t="s">
        <v>1363</v>
      </c>
      <c r="H181" s="9" t="s">
        <v>1338</v>
      </c>
      <c r="I181" s="9" t="s">
        <v>1733</v>
      </c>
      <c r="J181" s="9" t="s">
        <v>384</v>
      </c>
      <c r="K181" s="9" t="s">
        <v>948</v>
      </c>
      <c r="L181" s="9" t="s">
        <v>1568</v>
      </c>
      <c r="M181" s="9" t="s">
        <v>1751</v>
      </c>
      <c r="N181" s="9" t="s">
        <v>951</v>
      </c>
      <c r="O181" s="9" t="s">
        <v>951</v>
      </c>
      <c r="P181" s="9" t="s">
        <v>1436</v>
      </c>
      <c r="Q181" s="9" t="s">
        <v>113</v>
      </c>
      <c r="R181" s="9" t="s">
        <v>1437</v>
      </c>
      <c r="S181" s="9" t="s">
        <v>398</v>
      </c>
      <c r="T181" s="9" t="s">
        <v>384</v>
      </c>
      <c r="U181" s="9" t="s">
        <v>1752</v>
      </c>
      <c r="V181" s="9" t="s">
        <v>1347</v>
      </c>
      <c r="W181" s="9"/>
      <c r="X181" s="9" t="s">
        <v>384</v>
      </c>
      <c r="Y181" s="9" t="s">
        <v>384</v>
      </c>
      <c r="Z181" s="12" t="b">
        <f aca="false">FALSE()</f>
        <v>0</v>
      </c>
      <c r="AA181" s="8" t="s">
        <v>1348</v>
      </c>
    </row>
    <row r="182" customFormat="false" ht="15.75" hidden="false" customHeight="true" outlineLevel="0" collapsed="false">
      <c r="A182" s="9" t="s">
        <v>1753</v>
      </c>
      <c r="B182" s="9" t="s">
        <v>550</v>
      </c>
      <c r="C182" s="9" t="s">
        <v>551</v>
      </c>
      <c r="D182" s="9" t="s">
        <v>377</v>
      </c>
      <c r="E182" s="9" t="s">
        <v>1021</v>
      </c>
      <c r="F182" s="9" t="s">
        <v>1336</v>
      </c>
      <c r="G182" s="9" t="s">
        <v>1351</v>
      </c>
      <c r="H182" s="9" t="s">
        <v>1352</v>
      </c>
      <c r="I182" s="9"/>
      <c r="J182" s="9"/>
      <c r="K182" s="9"/>
      <c r="L182" s="9"/>
      <c r="M182" s="9"/>
      <c r="N182" s="9"/>
      <c r="O182" s="9"/>
      <c r="P182" s="9"/>
      <c r="Q182" s="9" t="s">
        <v>1353</v>
      </c>
      <c r="R182" s="9"/>
      <c r="S182" s="9"/>
      <c r="T182" s="9"/>
      <c r="U182" s="9"/>
      <c r="V182" s="9"/>
      <c r="W182" s="9"/>
      <c r="X182" s="9" t="s">
        <v>414</v>
      </c>
      <c r="Y182" s="9" t="s">
        <v>391</v>
      </c>
      <c r="Z182" s="12" t="b">
        <f aca="false">FALSE()</f>
        <v>0</v>
      </c>
      <c r="AA182" s="8" t="s">
        <v>1348</v>
      </c>
    </row>
    <row r="183" customFormat="false" ht="15.75" hidden="false" customHeight="true" outlineLevel="0" collapsed="false">
      <c r="A183" s="9" t="s">
        <v>1754</v>
      </c>
      <c r="B183" s="9" t="s">
        <v>550</v>
      </c>
      <c r="C183" s="9" t="s">
        <v>551</v>
      </c>
      <c r="D183" s="9" t="s">
        <v>377</v>
      </c>
      <c r="E183" s="9" t="s">
        <v>1350</v>
      </c>
      <c r="F183" s="9" t="s">
        <v>1336</v>
      </c>
      <c r="G183" s="9" t="s">
        <v>1351</v>
      </c>
      <c r="H183" s="9" t="s">
        <v>1352</v>
      </c>
      <c r="I183" s="9"/>
      <c r="J183" s="9"/>
      <c r="K183" s="9"/>
      <c r="L183" s="9"/>
      <c r="M183" s="9"/>
      <c r="N183" s="9"/>
      <c r="O183" s="9"/>
      <c r="P183" s="9"/>
      <c r="Q183" s="9" t="s">
        <v>1353</v>
      </c>
      <c r="R183" s="9"/>
      <c r="S183" s="9"/>
      <c r="T183" s="9"/>
      <c r="U183" s="9"/>
      <c r="V183" s="9"/>
      <c r="W183" s="9"/>
      <c r="X183" s="9" t="s">
        <v>414</v>
      </c>
      <c r="Y183" s="9" t="s">
        <v>391</v>
      </c>
      <c r="Z183" s="12" t="b">
        <f aca="false">FALSE()</f>
        <v>0</v>
      </c>
      <c r="AA183" s="8" t="s">
        <v>1348</v>
      </c>
    </row>
    <row r="184" customFormat="false" ht="15.75" hidden="false" customHeight="true" outlineLevel="0" collapsed="false">
      <c r="A184" s="9" t="s">
        <v>1755</v>
      </c>
      <c r="B184" s="9" t="s">
        <v>550</v>
      </c>
      <c r="C184" s="9" t="s">
        <v>551</v>
      </c>
      <c r="D184" s="9" t="s">
        <v>377</v>
      </c>
      <c r="E184" s="9" t="s">
        <v>1355</v>
      </c>
      <c r="F184" s="9" t="s">
        <v>1336</v>
      </c>
      <c r="G184" s="9" t="s">
        <v>1351</v>
      </c>
      <c r="H184" s="9" t="s">
        <v>1352</v>
      </c>
      <c r="I184" s="9"/>
      <c r="J184" s="9"/>
      <c r="K184" s="9"/>
      <c r="L184" s="9"/>
      <c r="M184" s="9"/>
      <c r="N184" s="9"/>
      <c r="O184" s="9"/>
      <c r="P184" s="9"/>
      <c r="Q184" s="9" t="s">
        <v>1353</v>
      </c>
      <c r="R184" s="9"/>
      <c r="S184" s="9"/>
      <c r="T184" s="9"/>
      <c r="U184" s="9"/>
      <c r="V184" s="9"/>
      <c r="W184" s="9"/>
      <c r="X184" s="9" t="s">
        <v>414</v>
      </c>
      <c r="Y184" s="9" t="s">
        <v>391</v>
      </c>
      <c r="Z184" s="12" t="b">
        <f aca="false">FALSE()</f>
        <v>0</v>
      </c>
      <c r="AA184" s="8" t="s">
        <v>1348</v>
      </c>
    </row>
    <row r="185" customFormat="false" ht="15.75" hidden="false" customHeight="true" outlineLevel="0" collapsed="false">
      <c r="A185" s="9" t="s">
        <v>1756</v>
      </c>
      <c r="B185" s="9" t="s">
        <v>550</v>
      </c>
      <c r="C185" s="9" t="s">
        <v>551</v>
      </c>
      <c r="D185" s="9" t="s">
        <v>377</v>
      </c>
      <c r="E185" s="9" t="s">
        <v>886</v>
      </c>
      <c r="F185" s="9" t="s">
        <v>1336</v>
      </c>
      <c r="G185" s="9" t="s">
        <v>1337</v>
      </c>
      <c r="H185" s="9" t="s">
        <v>1338</v>
      </c>
      <c r="I185" s="9" t="s">
        <v>1757</v>
      </c>
      <c r="J185" s="9" t="s">
        <v>377</v>
      </c>
      <c r="K185" s="9" t="s">
        <v>900</v>
      </c>
      <c r="L185" s="9" t="s">
        <v>1181</v>
      </c>
      <c r="M185" s="9" t="s">
        <v>1558</v>
      </c>
      <c r="N185" s="9" t="s">
        <v>903</v>
      </c>
      <c r="O185" s="9" t="s">
        <v>904</v>
      </c>
      <c r="P185" s="9" t="s">
        <v>1758</v>
      </c>
      <c r="Q185" s="9" t="s">
        <v>113</v>
      </c>
      <c r="R185" s="9" t="s">
        <v>1759</v>
      </c>
      <c r="S185" s="9" t="s">
        <v>398</v>
      </c>
      <c r="T185" s="9" t="s">
        <v>377</v>
      </c>
      <c r="U185" s="9" t="s">
        <v>1428</v>
      </c>
      <c r="V185" s="9" t="s">
        <v>1347</v>
      </c>
      <c r="W185" s="9"/>
      <c r="X185" s="9" t="s">
        <v>377</v>
      </c>
      <c r="Y185" s="9" t="s">
        <v>377</v>
      </c>
      <c r="Z185" s="12" t="b">
        <f aca="false">FALSE()</f>
        <v>0</v>
      </c>
      <c r="AA185" s="8" t="s">
        <v>1348</v>
      </c>
    </row>
    <row r="186" customFormat="false" ht="15.75" hidden="false" customHeight="true" outlineLevel="0" collapsed="false">
      <c r="A186" s="9" t="s">
        <v>1760</v>
      </c>
      <c r="B186" s="9" t="s">
        <v>550</v>
      </c>
      <c r="C186" s="9" t="s">
        <v>551</v>
      </c>
      <c r="D186" s="9" t="s">
        <v>377</v>
      </c>
      <c r="E186" s="9" t="s">
        <v>866</v>
      </c>
      <c r="F186" s="9" t="s">
        <v>1336</v>
      </c>
      <c r="G186" s="9" t="s">
        <v>1337</v>
      </c>
      <c r="H186" s="9" t="s">
        <v>1338</v>
      </c>
      <c r="I186" s="9" t="s">
        <v>1757</v>
      </c>
      <c r="J186" s="9" t="s">
        <v>377</v>
      </c>
      <c r="K186" s="9" t="s">
        <v>867</v>
      </c>
      <c r="L186" s="9" t="s">
        <v>868</v>
      </c>
      <c r="M186" s="9" t="s">
        <v>1370</v>
      </c>
      <c r="N186" s="9" t="s">
        <v>870</v>
      </c>
      <c r="O186" s="9" t="s">
        <v>870</v>
      </c>
      <c r="P186" s="9" t="s">
        <v>1758</v>
      </c>
      <c r="Q186" s="9" t="s">
        <v>113</v>
      </c>
      <c r="R186" s="9" t="s">
        <v>1761</v>
      </c>
      <c r="S186" s="9" t="s">
        <v>398</v>
      </c>
      <c r="T186" s="9" t="s">
        <v>377</v>
      </c>
      <c r="U186" s="9"/>
      <c r="V186" s="9" t="s">
        <v>1347</v>
      </c>
      <c r="W186" s="9"/>
      <c r="X186" s="9" t="s">
        <v>377</v>
      </c>
      <c r="Y186" s="9" t="s">
        <v>377</v>
      </c>
      <c r="Z186" s="12" t="b">
        <f aca="false">FALSE()</f>
        <v>0</v>
      </c>
      <c r="AA186" s="8" t="s">
        <v>1348</v>
      </c>
    </row>
    <row r="187" customFormat="false" ht="15.75" hidden="false" customHeight="true" outlineLevel="0" collapsed="false">
      <c r="A187" s="9" t="s">
        <v>1762</v>
      </c>
      <c r="B187" s="9" t="s">
        <v>550</v>
      </c>
      <c r="C187" s="9" t="s">
        <v>551</v>
      </c>
      <c r="D187" s="9" t="s">
        <v>377</v>
      </c>
      <c r="E187" s="9" t="s">
        <v>912</v>
      </c>
      <c r="F187" s="9" t="s">
        <v>1336</v>
      </c>
      <c r="G187" s="9" t="s">
        <v>1363</v>
      </c>
      <c r="H187" s="9" t="s">
        <v>1338</v>
      </c>
      <c r="I187" s="9" t="s">
        <v>1757</v>
      </c>
      <c r="J187" s="9" t="s">
        <v>377</v>
      </c>
      <c r="K187" s="9" t="s">
        <v>913</v>
      </c>
      <c r="L187" s="9" t="s">
        <v>914</v>
      </c>
      <c r="M187" s="9" t="s">
        <v>1763</v>
      </c>
      <c r="N187" s="9" t="s">
        <v>916</v>
      </c>
      <c r="O187" s="9" t="s">
        <v>916</v>
      </c>
      <c r="P187" s="9" t="s">
        <v>1365</v>
      </c>
      <c r="Q187" s="9" t="s">
        <v>113</v>
      </c>
      <c r="R187" s="9" t="s">
        <v>1366</v>
      </c>
      <c r="S187" s="9" t="s">
        <v>398</v>
      </c>
      <c r="T187" s="9" t="s">
        <v>377</v>
      </c>
      <c r="U187" s="9" t="s">
        <v>1764</v>
      </c>
      <c r="V187" s="9" t="s">
        <v>1347</v>
      </c>
      <c r="W187" s="9"/>
      <c r="X187" s="9" t="s">
        <v>377</v>
      </c>
      <c r="Y187" s="9" t="s">
        <v>377</v>
      </c>
      <c r="Z187" s="12" t="b">
        <f aca="false">FALSE()</f>
        <v>0</v>
      </c>
      <c r="AA187" s="8" t="s">
        <v>1348</v>
      </c>
    </row>
    <row r="188" customFormat="false" ht="15.75" hidden="false" customHeight="true" outlineLevel="0" collapsed="false">
      <c r="A188" s="9" t="s">
        <v>1765</v>
      </c>
      <c r="B188" s="9" t="s">
        <v>550</v>
      </c>
      <c r="C188" s="9" t="s">
        <v>551</v>
      </c>
      <c r="D188" s="9" t="s">
        <v>377</v>
      </c>
      <c r="E188" s="9" t="s">
        <v>966</v>
      </c>
      <c r="F188" s="9" t="s">
        <v>1336</v>
      </c>
      <c r="G188" s="9" t="s">
        <v>1337</v>
      </c>
      <c r="H188" s="9" t="s">
        <v>1338</v>
      </c>
      <c r="I188" s="9" t="s">
        <v>1757</v>
      </c>
      <c r="J188" s="9" t="s">
        <v>377</v>
      </c>
      <c r="K188" s="9" t="s">
        <v>967</v>
      </c>
      <c r="L188" s="9" t="s">
        <v>1369</v>
      </c>
      <c r="M188" s="9" t="s">
        <v>1370</v>
      </c>
      <c r="N188" s="9" t="s">
        <v>1153</v>
      </c>
      <c r="O188" s="9" t="s">
        <v>1153</v>
      </c>
      <c r="P188" s="9" t="s">
        <v>1766</v>
      </c>
      <c r="Q188" s="9" t="s">
        <v>113</v>
      </c>
      <c r="R188" s="9" t="s">
        <v>1372</v>
      </c>
      <c r="S188" s="9" t="s">
        <v>398</v>
      </c>
      <c r="T188" s="9" t="s">
        <v>377</v>
      </c>
      <c r="U188" s="9" t="s">
        <v>1767</v>
      </c>
      <c r="V188" s="9" t="s">
        <v>1347</v>
      </c>
      <c r="W188" s="9"/>
      <c r="X188" s="9" t="s">
        <v>377</v>
      </c>
      <c r="Y188" s="9" t="s">
        <v>377</v>
      </c>
      <c r="Z188" s="12" t="b">
        <f aca="false">FALSE()</f>
        <v>0</v>
      </c>
      <c r="AA188" s="8" t="s">
        <v>1348</v>
      </c>
    </row>
    <row r="189" customFormat="false" ht="15.75" hidden="false" customHeight="true" outlineLevel="0" collapsed="false">
      <c r="A189" s="9" t="s">
        <v>1768</v>
      </c>
      <c r="B189" s="9" t="s">
        <v>550</v>
      </c>
      <c r="C189" s="9" t="s">
        <v>551</v>
      </c>
      <c r="D189" s="9" t="s">
        <v>377</v>
      </c>
      <c r="E189" s="9" t="s">
        <v>947</v>
      </c>
      <c r="F189" s="9" t="s">
        <v>1336</v>
      </c>
      <c r="G189" s="9" t="s">
        <v>1363</v>
      </c>
      <c r="H189" s="9" t="s">
        <v>1338</v>
      </c>
      <c r="I189" s="9" t="s">
        <v>1757</v>
      </c>
      <c r="J189" s="9" t="s">
        <v>377</v>
      </c>
      <c r="K189" s="9" t="s">
        <v>948</v>
      </c>
      <c r="L189" s="9" t="s">
        <v>1568</v>
      </c>
      <c r="M189" s="9" t="s">
        <v>1769</v>
      </c>
      <c r="N189" s="9" t="s">
        <v>951</v>
      </c>
      <c r="O189" s="9" t="s">
        <v>951</v>
      </c>
      <c r="P189" s="9" t="s">
        <v>1436</v>
      </c>
      <c r="Q189" s="9" t="s">
        <v>113</v>
      </c>
      <c r="R189" s="9" t="s">
        <v>1437</v>
      </c>
      <c r="S189" s="9" t="s">
        <v>398</v>
      </c>
      <c r="T189" s="9" t="s">
        <v>377</v>
      </c>
      <c r="U189" s="9" t="s">
        <v>1770</v>
      </c>
      <c r="V189" s="9" t="s">
        <v>1347</v>
      </c>
      <c r="W189" s="9"/>
      <c r="X189" s="9" t="s">
        <v>377</v>
      </c>
      <c r="Y189" s="9" t="s">
        <v>377</v>
      </c>
      <c r="Z189" s="12" t="b">
        <f aca="false">FALSE()</f>
        <v>0</v>
      </c>
      <c r="AA189" s="8" t="s">
        <v>1348</v>
      </c>
    </row>
    <row r="190" customFormat="false" ht="15.75" hidden="false" customHeight="true" outlineLevel="0" collapsed="false">
      <c r="A190" s="9" t="s">
        <v>1771</v>
      </c>
      <c r="B190" s="9" t="s">
        <v>554</v>
      </c>
      <c r="C190" s="9" t="s">
        <v>555</v>
      </c>
      <c r="D190" s="9" t="s">
        <v>377</v>
      </c>
      <c r="E190" s="9" t="s">
        <v>1021</v>
      </c>
      <c r="F190" s="9" t="s">
        <v>1336</v>
      </c>
      <c r="G190" s="9" t="s">
        <v>1337</v>
      </c>
      <c r="H190" s="9" t="s">
        <v>1338</v>
      </c>
      <c r="I190" s="9" t="s">
        <v>1772</v>
      </c>
      <c r="J190" s="9" t="s">
        <v>377</v>
      </c>
      <c r="K190" s="9" t="s">
        <v>1022</v>
      </c>
      <c r="L190" s="9" t="s">
        <v>1340</v>
      </c>
      <c r="M190" s="9" t="s">
        <v>1341</v>
      </c>
      <c r="N190" s="9" t="s">
        <v>1342</v>
      </c>
      <c r="O190" s="9" t="s">
        <v>68</v>
      </c>
      <c r="P190" s="9" t="s">
        <v>1773</v>
      </c>
      <c r="Q190" s="9" t="s">
        <v>113</v>
      </c>
      <c r="R190" s="9" t="s">
        <v>1345</v>
      </c>
      <c r="S190" s="9" t="s">
        <v>398</v>
      </c>
      <c r="T190" s="9" t="s">
        <v>377</v>
      </c>
      <c r="U190" s="9" t="s">
        <v>1774</v>
      </c>
      <c r="V190" s="9" t="s">
        <v>1347</v>
      </c>
      <c r="W190" s="9"/>
      <c r="X190" s="9" t="s">
        <v>377</v>
      </c>
      <c r="Y190" s="9" t="s">
        <v>377</v>
      </c>
      <c r="Z190" s="12" t="b">
        <f aca="false">FALSE()</f>
        <v>0</v>
      </c>
      <c r="AA190" s="8" t="s">
        <v>1348</v>
      </c>
    </row>
    <row r="191" customFormat="false" ht="15.75" hidden="false" customHeight="true" outlineLevel="0" collapsed="false">
      <c r="A191" s="9" t="s">
        <v>1775</v>
      </c>
      <c r="B191" s="9" t="s">
        <v>554</v>
      </c>
      <c r="C191" s="9" t="s">
        <v>555</v>
      </c>
      <c r="D191" s="9" t="s">
        <v>377</v>
      </c>
      <c r="E191" s="9" t="s">
        <v>1350</v>
      </c>
      <c r="F191" s="9" t="s">
        <v>1336</v>
      </c>
      <c r="G191" s="9" t="s">
        <v>1351</v>
      </c>
      <c r="H191" s="9" t="s">
        <v>1352</v>
      </c>
      <c r="I191" s="9"/>
      <c r="J191" s="9"/>
      <c r="K191" s="9"/>
      <c r="L191" s="9"/>
      <c r="M191" s="9"/>
      <c r="N191" s="9"/>
      <c r="O191" s="9"/>
      <c r="P191" s="9"/>
      <c r="Q191" s="9" t="s">
        <v>1353</v>
      </c>
      <c r="R191" s="9"/>
      <c r="S191" s="9"/>
      <c r="T191" s="9"/>
      <c r="U191" s="9"/>
      <c r="V191" s="9"/>
      <c r="W191" s="9"/>
      <c r="X191" s="9" t="s">
        <v>414</v>
      </c>
      <c r="Y191" s="9" t="s">
        <v>391</v>
      </c>
      <c r="Z191" s="12" t="b">
        <f aca="false">FALSE()</f>
        <v>0</v>
      </c>
      <c r="AA191" s="8" t="s">
        <v>1348</v>
      </c>
    </row>
    <row r="192" customFormat="false" ht="15.75" hidden="false" customHeight="true" outlineLevel="0" collapsed="false">
      <c r="A192" s="9" t="s">
        <v>1776</v>
      </c>
      <c r="B192" s="9" t="s">
        <v>554</v>
      </c>
      <c r="C192" s="9" t="s">
        <v>555</v>
      </c>
      <c r="D192" s="9" t="s">
        <v>377</v>
      </c>
      <c r="E192" s="9" t="s">
        <v>1355</v>
      </c>
      <c r="F192" s="9" t="s">
        <v>1336</v>
      </c>
      <c r="G192" s="9" t="s">
        <v>1351</v>
      </c>
      <c r="H192" s="9" t="s">
        <v>1352</v>
      </c>
      <c r="I192" s="9"/>
      <c r="J192" s="9"/>
      <c r="K192" s="9"/>
      <c r="L192" s="9"/>
      <c r="M192" s="9"/>
      <c r="N192" s="9"/>
      <c r="O192" s="9"/>
      <c r="P192" s="9"/>
      <c r="Q192" s="9" t="s">
        <v>1353</v>
      </c>
      <c r="R192" s="9"/>
      <c r="S192" s="9"/>
      <c r="T192" s="9"/>
      <c r="U192" s="9"/>
      <c r="V192" s="9"/>
      <c r="W192" s="9"/>
      <c r="X192" s="9" t="s">
        <v>414</v>
      </c>
      <c r="Y192" s="9" t="s">
        <v>391</v>
      </c>
      <c r="Z192" s="12" t="b">
        <f aca="false">FALSE()</f>
        <v>0</v>
      </c>
      <c r="AA192" s="8" t="s">
        <v>1348</v>
      </c>
    </row>
    <row r="193" customFormat="false" ht="15.75" hidden="false" customHeight="true" outlineLevel="0" collapsed="false">
      <c r="A193" s="9" t="s">
        <v>1777</v>
      </c>
      <c r="B193" s="9" t="s">
        <v>554</v>
      </c>
      <c r="C193" s="9" t="s">
        <v>555</v>
      </c>
      <c r="D193" s="9" t="s">
        <v>377</v>
      </c>
      <c r="E193" s="9" t="s">
        <v>886</v>
      </c>
      <c r="F193" s="9" t="s">
        <v>1336</v>
      </c>
      <c r="G193" s="9" t="s">
        <v>1337</v>
      </c>
      <c r="H193" s="9" t="s">
        <v>1338</v>
      </c>
      <c r="I193" s="9" t="s">
        <v>1772</v>
      </c>
      <c r="J193" s="9" t="s">
        <v>377</v>
      </c>
      <c r="K193" s="9" t="s">
        <v>958</v>
      </c>
      <c r="L193" s="9" t="s">
        <v>1778</v>
      </c>
      <c r="M193" s="9" t="s">
        <v>1779</v>
      </c>
      <c r="N193" s="9" t="s">
        <v>1780</v>
      </c>
      <c r="O193" s="9" t="s">
        <v>1780</v>
      </c>
      <c r="P193" s="9" t="s">
        <v>1781</v>
      </c>
      <c r="Q193" s="9" t="s">
        <v>113</v>
      </c>
      <c r="R193" s="9" t="s">
        <v>1782</v>
      </c>
      <c r="S193" s="9" t="s">
        <v>398</v>
      </c>
      <c r="T193" s="9" t="s">
        <v>377</v>
      </c>
      <c r="U193" s="9" t="s">
        <v>1774</v>
      </c>
      <c r="V193" s="9" t="s">
        <v>1347</v>
      </c>
      <c r="W193" s="9"/>
      <c r="X193" s="9" t="s">
        <v>377</v>
      </c>
      <c r="Y193" s="9" t="s">
        <v>377</v>
      </c>
      <c r="Z193" s="12" t="b">
        <f aca="false">FALSE()</f>
        <v>0</v>
      </c>
      <c r="AA193" s="8" t="s">
        <v>1348</v>
      </c>
    </row>
    <row r="194" customFormat="false" ht="15.75" hidden="false" customHeight="true" outlineLevel="0" collapsed="false">
      <c r="A194" s="9" t="s">
        <v>1783</v>
      </c>
      <c r="B194" s="9" t="s">
        <v>554</v>
      </c>
      <c r="C194" s="9" t="s">
        <v>555</v>
      </c>
      <c r="D194" s="9" t="s">
        <v>377</v>
      </c>
      <c r="E194" s="9" t="s">
        <v>866</v>
      </c>
      <c r="F194" s="9" t="s">
        <v>1336</v>
      </c>
      <c r="G194" s="9" t="s">
        <v>1351</v>
      </c>
      <c r="H194" s="9" t="s">
        <v>1352</v>
      </c>
      <c r="I194" s="9"/>
      <c r="J194" s="9"/>
      <c r="K194" s="9"/>
      <c r="L194" s="9"/>
      <c r="M194" s="9"/>
      <c r="N194" s="9"/>
      <c r="O194" s="9"/>
      <c r="P194" s="9"/>
      <c r="Q194" s="9" t="s">
        <v>1353</v>
      </c>
      <c r="R194" s="9"/>
      <c r="S194" s="9"/>
      <c r="T194" s="9"/>
      <c r="U194" s="9"/>
      <c r="V194" s="9"/>
      <c r="W194" s="9"/>
      <c r="X194" s="9" t="s">
        <v>414</v>
      </c>
      <c r="Y194" s="9" t="s">
        <v>391</v>
      </c>
      <c r="Z194" s="12" t="b">
        <f aca="false">FALSE()</f>
        <v>0</v>
      </c>
      <c r="AA194" s="8" t="s">
        <v>1348</v>
      </c>
    </row>
    <row r="195" customFormat="false" ht="15.75" hidden="false" customHeight="true" outlineLevel="0" collapsed="false">
      <c r="A195" s="9" t="s">
        <v>1784</v>
      </c>
      <c r="B195" s="9" t="s">
        <v>554</v>
      </c>
      <c r="C195" s="9" t="s">
        <v>555</v>
      </c>
      <c r="D195" s="9" t="s">
        <v>377</v>
      </c>
      <c r="E195" s="9" t="s">
        <v>912</v>
      </c>
      <c r="F195" s="9" t="s">
        <v>1336</v>
      </c>
      <c r="G195" s="9" t="s">
        <v>1363</v>
      </c>
      <c r="H195" s="9" t="s">
        <v>1338</v>
      </c>
      <c r="I195" s="9" t="s">
        <v>1772</v>
      </c>
      <c r="J195" s="9" t="s">
        <v>377</v>
      </c>
      <c r="K195" s="9" t="s">
        <v>913</v>
      </c>
      <c r="L195" s="9" t="s">
        <v>914</v>
      </c>
      <c r="M195" s="9" t="s">
        <v>1785</v>
      </c>
      <c r="N195" s="9" t="s">
        <v>916</v>
      </c>
      <c r="O195" s="9" t="s">
        <v>916</v>
      </c>
      <c r="P195" s="9" t="s">
        <v>1365</v>
      </c>
      <c r="Q195" s="9" t="s">
        <v>113</v>
      </c>
      <c r="R195" s="9" t="s">
        <v>1366</v>
      </c>
      <c r="S195" s="9" t="s">
        <v>398</v>
      </c>
      <c r="T195" s="9" t="s">
        <v>377</v>
      </c>
      <c r="U195" s="9" t="s">
        <v>1786</v>
      </c>
      <c r="V195" s="9" t="s">
        <v>1347</v>
      </c>
      <c r="W195" s="9"/>
      <c r="X195" s="9" t="s">
        <v>377</v>
      </c>
      <c r="Y195" s="9" t="s">
        <v>377</v>
      </c>
      <c r="Z195" s="12" t="b">
        <f aca="false">FALSE()</f>
        <v>0</v>
      </c>
      <c r="AA195" s="8" t="s">
        <v>1348</v>
      </c>
    </row>
    <row r="196" customFormat="false" ht="15.75" hidden="false" customHeight="true" outlineLevel="0" collapsed="false">
      <c r="A196" s="9" t="s">
        <v>1787</v>
      </c>
      <c r="B196" s="9" t="s">
        <v>554</v>
      </c>
      <c r="C196" s="9" t="s">
        <v>555</v>
      </c>
      <c r="D196" s="9" t="s">
        <v>377</v>
      </c>
      <c r="E196" s="9" t="s">
        <v>966</v>
      </c>
      <c r="F196" s="9" t="s">
        <v>1336</v>
      </c>
      <c r="G196" s="9" t="s">
        <v>1337</v>
      </c>
      <c r="H196" s="9" t="s">
        <v>1338</v>
      </c>
      <c r="I196" s="9" t="s">
        <v>1772</v>
      </c>
      <c r="J196" s="9" t="s">
        <v>377</v>
      </c>
      <c r="K196" s="9" t="s">
        <v>967</v>
      </c>
      <c r="L196" s="9" t="s">
        <v>968</v>
      </c>
      <c r="M196" s="9" t="s">
        <v>1370</v>
      </c>
      <c r="N196" s="9" t="s">
        <v>970</v>
      </c>
      <c r="O196" s="9" t="s">
        <v>970</v>
      </c>
      <c r="P196" s="9" t="s">
        <v>1788</v>
      </c>
      <c r="Q196" s="9" t="s">
        <v>113</v>
      </c>
      <c r="R196" s="9" t="s">
        <v>1372</v>
      </c>
      <c r="S196" s="9" t="s">
        <v>398</v>
      </c>
      <c r="T196" s="9" t="s">
        <v>377</v>
      </c>
      <c r="U196" s="9" t="s">
        <v>1774</v>
      </c>
      <c r="V196" s="9" t="s">
        <v>1347</v>
      </c>
      <c r="W196" s="9"/>
      <c r="X196" s="9" t="s">
        <v>377</v>
      </c>
      <c r="Y196" s="9" t="s">
        <v>377</v>
      </c>
      <c r="Z196" s="12" t="b">
        <f aca="false">FALSE()</f>
        <v>0</v>
      </c>
      <c r="AA196" s="8" t="s">
        <v>1348</v>
      </c>
    </row>
    <row r="197" customFormat="false" ht="15.75" hidden="false" customHeight="true" outlineLevel="0" collapsed="false">
      <c r="A197" s="9" t="s">
        <v>1789</v>
      </c>
      <c r="B197" s="9" t="s">
        <v>554</v>
      </c>
      <c r="C197" s="9" t="s">
        <v>555</v>
      </c>
      <c r="D197" s="9" t="s">
        <v>377</v>
      </c>
      <c r="E197" s="9" t="s">
        <v>947</v>
      </c>
      <c r="F197" s="9" t="s">
        <v>1336</v>
      </c>
      <c r="G197" s="9" t="s">
        <v>1351</v>
      </c>
      <c r="H197" s="9" t="s">
        <v>1352</v>
      </c>
      <c r="I197" s="9"/>
      <c r="J197" s="9"/>
      <c r="K197" s="9"/>
      <c r="L197" s="9"/>
      <c r="M197" s="9"/>
      <c r="N197" s="9"/>
      <c r="O197" s="9"/>
      <c r="P197" s="9"/>
      <c r="Q197" s="9" t="s">
        <v>1353</v>
      </c>
      <c r="R197" s="9"/>
      <c r="S197" s="9"/>
      <c r="T197" s="9"/>
      <c r="U197" s="9"/>
      <c r="V197" s="9"/>
      <c r="W197" s="9"/>
      <c r="X197" s="9" t="s">
        <v>414</v>
      </c>
      <c r="Y197" s="9" t="s">
        <v>391</v>
      </c>
      <c r="Z197" s="12" t="b">
        <f aca="false">FALSE()</f>
        <v>0</v>
      </c>
      <c r="AA197" s="8" t="s">
        <v>1348</v>
      </c>
    </row>
    <row r="198" customFormat="false" ht="15.75" hidden="false" customHeight="true" outlineLevel="0" collapsed="false">
      <c r="A198" s="9" t="s">
        <v>1790</v>
      </c>
      <c r="B198" s="9" t="s">
        <v>558</v>
      </c>
      <c r="C198" s="9" t="s">
        <v>559</v>
      </c>
      <c r="D198" s="9" t="s">
        <v>377</v>
      </c>
      <c r="E198" s="9" t="s">
        <v>1021</v>
      </c>
      <c r="F198" s="9" t="s">
        <v>1336</v>
      </c>
      <c r="G198" s="9" t="s">
        <v>1351</v>
      </c>
      <c r="H198" s="9" t="s">
        <v>1352</v>
      </c>
      <c r="I198" s="9"/>
      <c r="J198" s="9"/>
      <c r="K198" s="9"/>
      <c r="L198" s="9"/>
      <c r="M198" s="9"/>
      <c r="N198" s="9"/>
      <c r="O198" s="9"/>
      <c r="P198" s="9"/>
      <c r="Q198" s="9" t="s">
        <v>1353</v>
      </c>
      <c r="R198" s="9"/>
      <c r="S198" s="9"/>
      <c r="T198" s="9"/>
      <c r="U198" s="9"/>
      <c r="V198" s="9"/>
      <c r="W198" s="9"/>
      <c r="X198" s="9" t="s">
        <v>414</v>
      </c>
      <c r="Y198" s="9" t="s">
        <v>391</v>
      </c>
      <c r="Z198" s="12" t="b">
        <f aca="false">FALSE()</f>
        <v>0</v>
      </c>
      <c r="AA198" s="8" t="s">
        <v>1348</v>
      </c>
    </row>
    <row r="199" customFormat="false" ht="15.75" hidden="false" customHeight="true" outlineLevel="0" collapsed="false">
      <c r="A199" s="9" t="s">
        <v>1791</v>
      </c>
      <c r="B199" s="9" t="s">
        <v>558</v>
      </c>
      <c r="C199" s="9" t="s">
        <v>559</v>
      </c>
      <c r="D199" s="9" t="s">
        <v>377</v>
      </c>
      <c r="E199" s="9" t="s">
        <v>1350</v>
      </c>
      <c r="F199" s="9" t="s">
        <v>1336</v>
      </c>
      <c r="G199" s="9" t="s">
        <v>1351</v>
      </c>
      <c r="H199" s="9" t="s">
        <v>1352</v>
      </c>
      <c r="I199" s="9"/>
      <c r="J199" s="9"/>
      <c r="K199" s="9"/>
      <c r="L199" s="9"/>
      <c r="M199" s="9"/>
      <c r="N199" s="9"/>
      <c r="O199" s="9"/>
      <c r="P199" s="9"/>
      <c r="Q199" s="9" t="s">
        <v>1353</v>
      </c>
      <c r="R199" s="9"/>
      <c r="S199" s="9"/>
      <c r="T199" s="9"/>
      <c r="U199" s="9"/>
      <c r="V199" s="9"/>
      <c r="W199" s="9"/>
      <c r="X199" s="9" t="s">
        <v>414</v>
      </c>
      <c r="Y199" s="9" t="s">
        <v>391</v>
      </c>
      <c r="Z199" s="12" t="b">
        <f aca="false">FALSE()</f>
        <v>0</v>
      </c>
      <c r="AA199" s="8" t="s">
        <v>1348</v>
      </c>
    </row>
    <row r="200" customFormat="false" ht="15.75" hidden="false" customHeight="true" outlineLevel="0" collapsed="false">
      <c r="A200" s="9" t="s">
        <v>1792</v>
      </c>
      <c r="B200" s="9" t="s">
        <v>558</v>
      </c>
      <c r="C200" s="9" t="s">
        <v>559</v>
      </c>
      <c r="D200" s="9" t="s">
        <v>377</v>
      </c>
      <c r="E200" s="9" t="s">
        <v>1355</v>
      </c>
      <c r="F200" s="9" t="s">
        <v>1336</v>
      </c>
      <c r="G200" s="9" t="s">
        <v>1351</v>
      </c>
      <c r="H200" s="9" t="s">
        <v>1352</v>
      </c>
      <c r="I200" s="9"/>
      <c r="J200" s="9"/>
      <c r="K200" s="9"/>
      <c r="L200" s="9"/>
      <c r="M200" s="9"/>
      <c r="N200" s="9"/>
      <c r="O200" s="9"/>
      <c r="P200" s="9"/>
      <c r="Q200" s="9" t="s">
        <v>1353</v>
      </c>
      <c r="R200" s="9"/>
      <c r="S200" s="9"/>
      <c r="T200" s="9"/>
      <c r="U200" s="9"/>
      <c r="V200" s="9"/>
      <c r="W200" s="9"/>
      <c r="X200" s="9" t="s">
        <v>414</v>
      </c>
      <c r="Y200" s="9" t="s">
        <v>391</v>
      </c>
      <c r="Z200" s="12" t="b">
        <f aca="false">FALSE()</f>
        <v>0</v>
      </c>
      <c r="AA200" s="8" t="s">
        <v>1348</v>
      </c>
    </row>
    <row r="201" customFormat="false" ht="15.75" hidden="false" customHeight="true" outlineLevel="0" collapsed="false">
      <c r="A201" s="9" t="s">
        <v>1793</v>
      </c>
      <c r="B201" s="9" t="s">
        <v>558</v>
      </c>
      <c r="C201" s="9" t="s">
        <v>559</v>
      </c>
      <c r="D201" s="9" t="s">
        <v>377</v>
      </c>
      <c r="E201" s="9" t="s">
        <v>886</v>
      </c>
      <c r="F201" s="9" t="s">
        <v>1336</v>
      </c>
      <c r="G201" s="9" t="s">
        <v>1337</v>
      </c>
      <c r="H201" s="9" t="s">
        <v>1338</v>
      </c>
      <c r="I201" s="9" t="s">
        <v>1794</v>
      </c>
      <c r="J201" s="9" t="s">
        <v>377</v>
      </c>
      <c r="K201" s="9" t="s">
        <v>887</v>
      </c>
      <c r="L201" s="9" t="s">
        <v>888</v>
      </c>
      <c r="M201" s="9" t="s">
        <v>1537</v>
      </c>
      <c r="N201" s="9" t="s">
        <v>890</v>
      </c>
      <c r="O201" s="9" t="s">
        <v>890</v>
      </c>
      <c r="P201" s="9" t="s">
        <v>1795</v>
      </c>
      <c r="Q201" s="9" t="s">
        <v>113</v>
      </c>
      <c r="R201" s="9" t="s">
        <v>1681</v>
      </c>
      <c r="S201" s="9" t="s">
        <v>398</v>
      </c>
      <c r="T201" s="9" t="s">
        <v>377</v>
      </c>
      <c r="U201" s="9" t="s">
        <v>1796</v>
      </c>
      <c r="V201" s="9" t="s">
        <v>1347</v>
      </c>
      <c r="W201" s="9"/>
      <c r="X201" s="9" t="s">
        <v>377</v>
      </c>
      <c r="Y201" s="9" t="s">
        <v>377</v>
      </c>
      <c r="Z201" s="12" t="b">
        <f aca="false">FALSE()</f>
        <v>0</v>
      </c>
      <c r="AA201" s="8" t="s">
        <v>1348</v>
      </c>
    </row>
    <row r="202" customFormat="false" ht="15.75" hidden="false" customHeight="true" outlineLevel="0" collapsed="false">
      <c r="A202" s="9" t="s">
        <v>1797</v>
      </c>
      <c r="B202" s="9" t="s">
        <v>558</v>
      </c>
      <c r="C202" s="9" t="s">
        <v>559</v>
      </c>
      <c r="D202" s="9" t="s">
        <v>377</v>
      </c>
      <c r="E202" s="9" t="s">
        <v>866</v>
      </c>
      <c r="F202" s="9" t="s">
        <v>1336</v>
      </c>
      <c r="G202" s="9" t="s">
        <v>1351</v>
      </c>
      <c r="H202" s="9" t="s">
        <v>1352</v>
      </c>
      <c r="I202" s="9"/>
      <c r="J202" s="9"/>
      <c r="K202" s="9"/>
      <c r="L202" s="9"/>
      <c r="M202" s="9"/>
      <c r="N202" s="9"/>
      <c r="O202" s="9"/>
      <c r="P202" s="9"/>
      <c r="Q202" s="9" t="s">
        <v>1353</v>
      </c>
      <c r="R202" s="9"/>
      <c r="S202" s="9"/>
      <c r="T202" s="9"/>
      <c r="U202" s="9"/>
      <c r="V202" s="9"/>
      <c r="W202" s="9"/>
      <c r="X202" s="9" t="s">
        <v>414</v>
      </c>
      <c r="Y202" s="9" t="s">
        <v>391</v>
      </c>
      <c r="Z202" s="12" t="b">
        <f aca="false">FALSE()</f>
        <v>0</v>
      </c>
      <c r="AA202" s="8" t="s">
        <v>1348</v>
      </c>
    </row>
    <row r="203" customFormat="false" ht="15.75" hidden="false" customHeight="true" outlineLevel="0" collapsed="false">
      <c r="A203" s="9" t="s">
        <v>1798</v>
      </c>
      <c r="B203" s="9" t="s">
        <v>558</v>
      </c>
      <c r="C203" s="9" t="s">
        <v>559</v>
      </c>
      <c r="D203" s="9" t="s">
        <v>377</v>
      </c>
      <c r="E203" s="9" t="s">
        <v>912</v>
      </c>
      <c r="F203" s="9" t="s">
        <v>1336</v>
      </c>
      <c r="G203" s="9" t="s">
        <v>1351</v>
      </c>
      <c r="H203" s="9" t="s">
        <v>1352</v>
      </c>
      <c r="I203" s="9"/>
      <c r="J203" s="9"/>
      <c r="K203" s="9"/>
      <c r="L203" s="9"/>
      <c r="M203" s="9"/>
      <c r="N203" s="9"/>
      <c r="O203" s="9"/>
      <c r="P203" s="9"/>
      <c r="Q203" s="9" t="s">
        <v>1353</v>
      </c>
      <c r="R203" s="9"/>
      <c r="S203" s="9"/>
      <c r="T203" s="9"/>
      <c r="U203" s="9"/>
      <c r="V203" s="9"/>
      <c r="W203" s="9"/>
      <c r="X203" s="9" t="s">
        <v>414</v>
      </c>
      <c r="Y203" s="9" t="s">
        <v>391</v>
      </c>
      <c r="Z203" s="12" t="b">
        <f aca="false">FALSE()</f>
        <v>0</v>
      </c>
      <c r="AA203" s="8" t="s">
        <v>1348</v>
      </c>
    </row>
    <row r="204" customFormat="false" ht="15.75" hidden="false" customHeight="true" outlineLevel="0" collapsed="false">
      <c r="A204" s="9" t="s">
        <v>1799</v>
      </c>
      <c r="B204" s="9" t="s">
        <v>558</v>
      </c>
      <c r="C204" s="9" t="s">
        <v>559</v>
      </c>
      <c r="D204" s="9" t="s">
        <v>377</v>
      </c>
      <c r="E204" s="9" t="s">
        <v>966</v>
      </c>
      <c r="F204" s="9" t="s">
        <v>1336</v>
      </c>
      <c r="G204" s="9" t="s">
        <v>1337</v>
      </c>
      <c r="H204" s="9" t="s">
        <v>1338</v>
      </c>
      <c r="I204" s="9" t="s">
        <v>1794</v>
      </c>
      <c r="J204" s="9" t="s">
        <v>377</v>
      </c>
      <c r="K204" s="9" t="s">
        <v>967</v>
      </c>
      <c r="L204" s="9" t="s">
        <v>968</v>
      </c>
      <c r="M204" s="9" t="s">
        <v>1370</v>
      </c>
      <c r="N204" s="9" t="s">
        <v>970</v>
      </c>
      <c r="O204" s="9" t="s">
        <v>970</v>
      </c>
      <c r="P204" s="9" t="s">
        <v>1800</v>
      </c>
      <c r="Q204" s="9" t="s">
        <v>113</v>
      </c>
      <c r="R204" s="9" t="s">
        <v>1372</v>
      </c>
      <c r="S204" s="9" t="s">
        <v>398</v>
      </c>
      <c r="T204" s="9" t="s">
        <v>377</v>
      </c>
      <c r="U204" s="9" t="s">
        <v>1796</v>
      </c>
      <c r="V204" s="9" t="s">
        <v>1347</v>
      </c>
      <c r="W204" s="9"/>
      <c r="X204" s="9" t="s">
        <v>377</v>
      </c>
      <c r="Y204" s="9" t="s">
        <v>377</v>
      </c>
      <c r="Z204" s="12" t="b">
        <f aca="false">FALSE()</f>
        <v>0</v>
      </c>
      <c r="AA204" s="8" t="s">
        <v>1348</v>
      </c>
    </row>
    <row r="205" customFormat="false" ht="15.75" hidden="false" customHeight="true" outlineLevel="0" collapsed="false">
      <c r="A205" s="9" t="s">
        <v>1801</v>
      </c>
      <c r="B205" s="9" t="s">
        <v>558</v>
      </c>
      <c r="C205" s="9" t="s">
        <v>559</v>
      </c>
      <c r="D205" s="9" t="s">
        <v>377</v>
      </c>
      <c r="E205" s="9" t="s">
        <v>947</v>
      </c>
      <c r="F205" s="9" t="s">
        <v>1336</v>
      </c>
      <c r="G205" s="9" t="s">
        <v>1351</v>
      </c>
      <c r="H205" s="9" t="s">
        <v>1352</v>
      </c>
      <c r="I205" s="9"/>
      <c r="J205" s="9"/>
      <c r="K205" s="9"/>
      <c r="L205" s="9"/>
      <c r="M205" s="9"/>
      <c r="N205" s="9"/>
      <c r="O205" s="9"/>
      <c r="P205" s="9"/>
      <c r="Q205" s="9" t="s">
        <v>1353</v>
      </c>
      <c r="R205" s="9"/>
      <c r="S205" s="9"/>
      <c r="T205" s="9"/>
      <c r="U205" s="9"/>
      <c r="V205" s="9"/>
      <c r="W205" s="9"/>
      <c r="X205" s="9" t="s">
        <v>414</v>
      </c>
      <c r="Y205" s="9" t="s">
        <v>391</v>
      </c>
      <c r="Z205" s="12" t="b">
        <f aca="false">FALSE()</f>
        <v>0</v>
      </c>
      <c r="AA205" s="8" t="s">
        <v>1348</v>
      </c>
    </row>
    <row r="206" customFormat="false" ht="15.75" hidden="false" customHeight="true" outlineLevel="0" collapsed="false">
      <c r="A206" s="9" t="s">
        <v>1802</v>
      </c>
      <c r="B206" s="9" t="s">
        <v>562</v>
      </c>
      <c r="C206" s="9" t="s">
        <v>563</v>
      </c>
      <c r="D206" s="9" t="s">
        <v>377</v>
      </c>
      <c r="E206" s="9" t="s">
        <v>1021</v>
      </c>
      <c r="F206" s="9" t="s">
        <v>1336</v>
      </c>
      <c r="G206" s="9" t="s">
        <v>1494</v>
      </c>
      <c r="H206" s="9" t="s">
        <v>1338</v>
      </c>
      <c r="I206" s="9" t="s">
        <v>1803</v>
      </c>
      <c r="J206" s="9" t="s">
        <v>377</v>
      </c>
      <c r="K206" s="9" t="s">
        <v>1022</v>
      </c>
      <c r="L206" s="9" t="s">
        <v>1804</v>
      </c>
      <c r="M206" s="9" t="s">
        <v>1805</v>
      </c>
      <c r="N206" s="9" t="s">
        <v>1025</v>
      </c>
      <c r="O206" s="9" t="s">
        <v>1025</v>
      </c>
      <c r="P206" s="9" t="s">
        <v>1806</v>
      </c>
      <c r="Q206" s="9" t="s">
        <v>113</v>
      </c>
      <c r="R206" s="9" t="s">
        <v>1807</v>
      </c>
      <c r="S206" s="9" t="s">
        <v>398</v>
      </c>
      <c r="T206" s="9" t="s">
        <v>377</v>
      </c>
      <c r="U206" s="9" t="s">
        <v>1808</v>
      </c>
      <c r="V206" s="9" t="s">
        <v>1347</v>
      </c>
      <c r="W206" s="9"/>
      <c r="X206" s="9" t="s">
        <v>377</v>
      </c>
      <c r="Y206" s="9" t="s">
        <v>377</v>
      </c>
      <c r="Z206" s="12" t="b">
        <f aca="false">FALSE()</f>
        <v>0</v>
      </c>
      <c r="AA206" s="8" t="s">
        <v>1348</v>
      </c>
    </row>
    <row r="207" customFormat="false" ht="15.75" hidden="false" customHeight="true" outlineLevel="0" collapsed="false">
      <c r="A207" s="9" t="s">
        <v>1809</v>
      </c>
      <c r="B207" s="9" t="s">
        <v>562</v>
      </c>
      <c r="C207" s="9" t="s">
        <v>563</v>
      </c>
      <c r="D207" s="9" t="s">
        <v>377</v>
      </c>
      <c r="E207" s="9" t="s">
        <v>1350</v>
      </c>
      <c r="F207" s="9" t="s">
        <v>1336</v>
      </c>
      <c r="G207" s="9" t="s">
        <v>1351</v>
      </c>
      <c r="H207" s="9" t="s">
        <v>1352</v>
      </c>
      <c r="I207" s="9"/>
      <c r="J207" s="9"/>
      <c r="K207" s="9"/>
      <c r="L207" s="9"/>
      <c r="M207" s="9"/>
      <c r="N207" s="9"/>
      <c r="O207" s="9"/>
      <c r="P207" s="9"/>
      <c r="Q207" s="9" t="s">
        <v>1353</v>
      </c>
      <c r="R207" s="9"/>
      <c r="S207" s="9"/>
      <c r="T207" s="9"/>
      <c r="U207" s="9"/>
      <c r="V207" s="9"/>
      <c r="W207" s="9"/>
      <c r="X207" s="9" t="s">
        <v>414</v>
      </c>
      <c r="Y207" s="9" t="s">
        <v>391</v>
      </c>
      <c r="Z207" s="12" t="b">
        <f aca="false">FALSE()</f>
        <v>0</v>
      </c>
      <c r="AA207" s="8" t="s">
        <v>1348</v>
      </c>
    </row>
    <row r="208" customFormat="false" ht="15.75" hidden="false" customHeight="true" outlineLevel="0" collapsed="false">
      <c r="A208" s="9" t="s">
        <v>1810</v>
      </c>
      <c r="B208" s="9" t="s">
        <v>562</v>
      </c>
      <c r="C208" s="9" t="s">
        <v>563</v>
      </c>
      <c r="D208" s="9" t="s">
        <v>377</v>
      </c>
      <c r="E208" s="9" t="s">
        <v>1355</v>
      </c>
      <c r="F208" s="9" t="s">
        <v>1336</v>
      </c>
      <c r="G208" s="9" t="s">
        <v>1351</v>
      </c>
      <c r="H208" s="9" t="s">
        <v>1352</v>
      </c>
      <c r="I208" s="9"/>
      <c r="J208" s="9"/>
      <c r="K208" s="9"/>
      <c r="L208" s="9"/>
      <c r="M208" s="9"/>
      <c r="N208" s="9"/>
      <c r="O208" s="9"/>
      <c r="P208" s="9"/>
      <c r="Q208" s="9" t="s">
        <v>1353</v>
      </c>
      <c r="R208" s="9"/>
      <c r="S208" s="9"/>
      <c r="T208" s="9"/>
      <c r="U208" s="9"/>
      <c r="V208" s="9"/>
      <c r="W208" s="9"/>
      <c r="X208" s="9" t="s">
        <v>414</v>
      </c>
      <c r="Y208" s="9" t="s">
        <v>391</v>
      </c>
      <c r="Z208" s="12" t="b">
        <f aca="false">FALSE()</f>
        <v>0</v>
      </c>
      <c r="AA208" s="8" t="s">
        <v>1348</v>
      </c>
    </row>
    <row r="209" customFormat="false" ht="15.75" hidden="false" customHeight="true" outlineLevel="0" collapsed="false">
      <c r="A209" s="9" t="s">
        <v>1811</v>
      </c>
      <c r="B209" s="9" t="s">
        <v>562</v>
      </c>
      <c r="C209" s="9" t="s">
        <v>563</v>
      </c>
      <c r="D209" s="9" t="s">
        <v>377</v>
      </c>
      <c r="E209" s="9" t="s">
        <v>886</v>
      </c>
      <c r="F209" s="9" t="s">
        <v>1336</v>
      </c>
      <c r="G209" s="9" t="s">
        <v>1351</v>
      </c>
      <c r="H209" s="9" t="s">
        <v>1352</v>
      </c>
      <c r="I209" s="9"/>
      <c r="J209" s="9"/>
      <c r="K209" s="9"/>
      <c r="L209" s="9"/>
      <c r="M209" s="9"/>
      <c r="N209" s="9"/>
      <c r="O209" s="9"/>
      <c r="P209" s="9"/>
      <c r="Q209" s="9" t="s">
        <v>1353</v>
      </c>
      <c r="R209" s="9"/>
      <c r="S209" s="9"/>
      <c r="T209" s="9"/>
      <c r="U209" s="9"/>
      <c r="V209" s="9"/>
      <c r="W209" s="9"/>
      <c r="X209" s="9" t="s">
        <v>414</v>
      </c>
      <c r="Y209" s="9" t="s">
        <v>391</v>
      </c>
      <c r="Z209" s="12" t="b">
        <f aca="false">FALSE()</f>
        <v>0</v>
      </c>
      <c r="AA209" s="8" t="s">
        <v>1348</v>
      </c>
    </row>
    <row r="210" customFormat="false" ht="15.75" hidden="false" customHeight="true" outlineLevel="0" collapsed="false">
      <c r="A210" s="9" t="s">
        <v>1812</v>
      </c>
      <c r="B210" s="9" t="s">
        <v>562</v>
      </c>
      <c r="C210" s="9" t="s">
        <v>563</v>
      </c>
      <c r="D210" s="9" t="s">
        <v>377</v>
      </c>
      <c r="E210" s="9" t="s">
        <v>866</v>
      </c>
      <c r="F210" s="9" t="s">
        <v>1336</v>
      </c>
      <c r="G210" s="9" t="s">
        <v>1351</v>
      </c>
      <c r="H210" s="9" t="s">
        <v>1352</v>
      </c>
      <c r="I210" s="9"/>
      <c r="J210" s="9"/>
      <c r="K210" s="9"/>
      <c r="L210" s="9"/>
      <c r="M210" s="9"/>
      <c r="N210" s="9"/>
      <c r="O210" s="9"/>
      <c r="P210" s="9"/>
      <c r="Q210" s="9" t="s">
        <v>1353</v>
      </c>
      <c r="R210" s="9"/>
      <c r="S210" s="9"/>
      <c r="T210" s="9"/>
      <c r="U210" s="9"/>
      <c r="V210" s="9"/>
      <c r="W210" s="9"/>
      <c r="X210" s="9" t="s">
        <v>414</v>
      </c>
      <c r="Y210" s="9" t="s">
        <v>391</v>
      </c>
      <c r="Z210" s="12" t="b">
        <f aca="false">FALSE()</f>
        <v>0</v>
      </c>
      <c r="AA210" s="8" t="s">
        <v>1348</v>
      </c>
    </row>
    <row r="211" customFormat="false" ht="15.75" hidden="false" customHeight="true" outlineLevel="0" collapsed="false">
      <c r="A211" s="9" t="s">
        <v>1813</v>
      </c>
      <c r="B211" s="9" t="s">
        <v>562</v>
      </c>
      <c r="C211" s="9" t="s">
        <v>563</v>
      </c>
      <c r="D211" s="9" t="s">
        <v>377</v>
      </c>
      <c r="E211" s="9" t="s">
        <v>912</v>
      </c>
      <c r="F211" s="9" t="s">
        <v>1336</v>
      </c>
      <c r="G211" s="9" t="s">
        <v>1363</v>
      </c>
      <c r="H211" s="9" t="s">
        <v>1338</v>
      </c>
      <c r="I211" s="9" t="s">
        <v>1803</v>
      </c>
      <c r="J211" s="9" t="s">
        <v>377</v>
      </c>
      <c r="K211" s="9" t="s">
        <v>913</v>
      </c>
      <c r="L211" s="9" t="s">
        <v>914</v>
      </c>
      <c r="M211" s="9" t="s">
        <v>1814</v>
      </c>
      <c r="N211" s="9" t="s">
        <v>916</v>
      </c>
      <c r="O211" s="9" t="s">
        <v>916</v>
      </c>
      <c r="P211" s="9" t="s">
        <v>1365</v>
      </c>
      <c r="Q211" s="9" t="s">
        <v>113</v>
      </c>
      <c r="R211" s="9" t="s">
        <v>1366</v>
      </c>
      <c r="S211" s="9" t="s">
        <v>398</v>
      </c>
      <c r="T211" s="9" t="s">
        <v>377</v>
      </c>
      <c r="U211" s="9" t="s">
        <v>1815</v>
      </c>
      <c r="V211" s="9" t="s">
        <v>1347</v>
      </c>
      <c r="W211" s="9"/>
      <c r="X211" s="9" t="s">
        <v>377</v>
      </c>
      <c r="Y211" s="9" t="s">
        <v>377</v>
      </c>
      <c r="Z211" s="12" t="b">
        <f aca="false">FALSE()</f>
        <v>0</v>
      </c>
      <c r="AA211" s="8" t="s">
        <v>1348</v>
      </c>
    </row>
    <row r="212" customFormat="false" ht="15.75" hidden="false" customHeight="true" outlineLevel="0" collapsed="false">
      <c r="A212" s="9" t="s">
        <v>1816</v>
      </c>
      <c r="B212" s="9" t="s">
        <v>562</v>
      </c>
      <c r="C212" s="9" t="s">
        <v>563</v>
      </c>
      <c r="D212" s="9" t="s">
        <v>377</v>
      </c>
      <c r="E212" s="9" t="s">
        <v>966</v>
      </c>
      <c r="F212" s="9" t="s">
        <v>1336</v>
      </c>
      <c r="G212" s="9" t="s">
        <v>1351</v>
      </c>
      <c r="H212" s="9" t="s">
        <v>1352</v>
      </c>
      <c r="I212" s="9"/>
      <c r="J212" s="9"/>
      <c r="K212" s="9"/>
      <c r="L212" s="9"/>
      <c r="M212" s="9"/>
      <c r="N212" s="9"/>
      <c r="O212" s="9"/>
      <c r="P212" s="9"/>
      <c r="Q212" s="9" t="s">
        <v>1353</v>
      </c>
      <c r="R212" s="9"/>
      <c r="S212" s="9"/>
      <c r="T212" s="9"/>
      <c r="U212" s="9"/>
      <c r="V212" s="9"/>
      <c r="W212" s="9"/>
      <c r="X212" s="9" t="s">
        <v>414</v>
      </c>
      <c r="Y212" s="9" t="s">
        <v>391</v>
      </c>
      <c r="Z212" s="12" t="b">
        <f aca="false">FALSE()</f>
        <v>0</v>
      </c>
      <c r="AA212" s="8" t="s">
        <v>1348</v>
      </c>
    </row>
    <row r="213" customFormat="false" ht="15.75" hidden="false" customHeight="true" outlineLevel="0" collapsed="false">
      <c r="A213" s="9" t="s">
        <v>1817</v>
      </c>
      <c r="B213" s="9" t="s">
        <v>562</v>
      </c>
      <c r="C213" s="9" t="s">
        <v>563</v>
      </c>
      <c r="D213" s="9" t="s">
        <v>377</v>
      </c>
      <c r="E213" s="9" t="s">
        <v>947</v>
      </c>
      <c r="F213" s="9" t="s">
        <v>1336</v>
      </c>
      <c r="G213" s="9" t="s">
        <v>1351</v>
      </c>
      <c r="H213" s="9" t="s">
        <v>1352</v>
      </c>
      <c r="I213" s="9"/>
      <c r="J213" s="9"/>
      <c r="K213" s="9"/>
      <c r="L213" s="9"/>
      <c r="M213" s="9"/>
      <c r="N213" s="9"/>
      <c r="O213" s="9"/>
      <c r="P213" s="9"/>
      <c r="Q213" s="9" t="s">
        <v>1353</v>
      </c>
      <c r="R213" s="9"/>
      <c r="S213" s="9"/>
      <c r="T213" s="9"/>
      <c r="U213" s="9"/>
      <c r="V213" s="9"/>
      <c r="W213" s="9"/>
      <c r="X213" s="9" t="s">
        <v>414</v>
      </c>
      <c r="Y213" s="9" t="s">
        <v>391</v>
      </c>
      <c r="Z213" s="12" t="b">
        <f aca="false">FALSE()</f>
        <v>0</v>
      </c>
      <c r="AA213" s="8" t="s">
        <v>1348</v>
      </c>
    </row>
    <row r="214" customFormat="false" ht="15.75" hidden="false" customHeight="true" outlineLevel="0" collapsed="false">
      <c r="A214" s="9" t="s">
        <v>1818</v>
      </c>
      <c r="B214" s="9" t="s">
        <v>566</v>
      </c>
      <c r="C214" s="9" t="s">
        <v>567</v>
      </c>
      <c r="D214" s="9" t="s">
        <v>377</v>
      </c>
      <c r="E214" s="9" t="s">
        <v>1021</v>
      </c>
      <c r="F214" s="9" t="s">
        <v>1336</v>
      </c>
      <c r="G214" s="9" t="s">
        <v>1494</v>
      </c>
      <c r="H214" s="9" t="s">
        <v>1338</v>
      </c>
      <c r="I214" s="9" t="s">
        <v>1819</v>
      </c>
      <c r="J214" s="9" t="s">
        <v>377</v>
      </c>
      <c r="K214" s="9" t="s">
        <v>1022</v>
      </c>
      <c r="L214" s="9" t="s">
        <v>1820</v>
      </c>
      <c r="M214" s="9" t="s">
        <v>1821</v>
      </c>
      <c r="N214" s="9" t="s">
        <v>1025</v>
      </c>
      <c r="O214" s="9" t="s">
        <v>1025</v>
      </c>
      <c r="P214" s="9" t="s">
        <v>1806</v>
      </c>
      <c r="Q214" s="9" t="s">
        <v>113</v>
      </c>
      <c r="R214" s="9" t="s">
        <v>1822</v>
      </c>
      <c r="S214" s="9" t="s">
        <v>398</v>
      </c>
      <c r="T214" s="9" t="s">
        <v>377</v>
      </c>
      <c r="U214" s="9" t="s">
        <v>1823</v>
      </c>
      <c r="V214" s="9" t="s">
        <v>1347</v>
      </c>
      <c r="W214" s="9"/>
      <c r="X214" s="9" t="s">
        <v>377</v>
      </c>
      <c r="Y214" s="9" t="s">
        <v>377</v>
      </c>
      <c r="Z214" s="12" t="b">
        <f aca="false">FALSE()</f>
        <v>0</v>
      </c>
      <c r="AA214" s="8" t="s">
        <v>1348</v>
      </c>
    </row>
    <row r="215" customFormat="false" ht="15.75" hidden="false" customHeight="true" outlineLevel="0" collapsed="false">
      <c r="A215" s="9" t="s">
        <v>1824</v>
      </c>
      <c r="B215" s="9" t="s">
        <v>566</v>
      </c>
      <c r="C215" s="9" t="s">
        <v>567</v>
      </c>
      <c r="D215" s="9" t="s">
        <v>377</v>
      </c>
      <c r="E215" s="9" t="s">
        <v>1350</v>
      </c>
      <c r="F215" s="9" t="s">
        <v>1336</v>
      </c>
      <c r="G215" s="9" t="s">
        <v>1351</v>
      </c>
      <c r="H215" s="9" t="s">
        <v>1352</v>
      </c>
      <c r="I215" s="9"/>
      <c r="J215" s="9"/>
      <c r="K215" s="9"/>
      <c r="L215" s="9"/>
      <c r="M215" s="9"/>
      <c r="N215" s="9"/>
      <c r="O215" s="9"/>
      <c r="P215" s="9"/>
      <c r="Q215" s="9" t="s">
        <v>1353</v>
      </c>
      <c r="R215" s="9"/>
      <c r="S215" s="9"/>
      <c r="T215" s="9"/>
      <c r="U215" s="9"/>
      <c r="V215" s="9"/>
      <c r="W215" s="9"/>
      <c r="X215" s="9" t="s">
        <v>414</v>
      </c>
      <c r="Y215" s="9" t="s">
        <v>391</v>
      </c>
      <c r="Z215" s="12" t="b">
        <f aca="false">FALSE()</f>
        <v>0</v>
      </c>
      <c r="AA215" s="8" t="s">
        <v>1348</v>
      </c>
    </row>
    <row r="216" customFormat="false" ht="15.75" hidden="false" customHeight="true" outlineLevel="0" collapsed="false">
      <c r="A216" s="9" t="s">
        <v>1825</v>
      </c>
      <c r="B216" s="9" t="s">
        <v>566</v>
      </c>
      <c r="C216" s="9" t="s">
        <v>567</v>
      </c>
      <c r="D216" s="9" t="s">
        <v>377</v>
      </c>
      <c r="E216" s="9" t="s">
        <v>1355</v>
      </c>
      <c r="F216" s="9" t="s">
        <v>1336</v>
      </c>
      <c r="G216" s="9" t="s">
        <v>1351</v>
      </c>
      <c r="H216" s="9" t="s">
        <v>1352</v>
      </c>
      <c r="I216" s="9"/>
      <c r="J216" s="9"/>
      <c r="K216" s="9"/>
      <c r="L216" s="9"/>
      <c r="M216" s="9"/>
      <c r="N216" s="9"/>
      <c r="O216" s="9"/>
      <c r="P216" s="9"/>
      <c r="Q216" s="9" t="s">
        <v>1353</v>
      </c>
      <c r="R216" s="9"/>
      <c r="S216" s="9"/>
      <c r="T216" s="9"/>
      <c r="U216" s="9"/>
      <c r="V216" s="9"/>
      <c r="W216" s="9"/>
      <c r="X216" s="9" t="s">
        <v>414</v>
      </c>
      <c r="Y216" s="9" t="s">
        <v>391</v>
      </c>
      <c r="Z216" s="12" t="b">
        <f aca="false">FALSE()</f>
        <v>0</v>
      </c>
      <c r="AA216" s="8" t="s">
        <v>1348</v>
      </c>
    </row>
    <row r="217" customFormat="false" ht="15.75" hidden="false" customHeight="true" outlineLevel="0" collapsed="false">
      <c r="A217" s="9" t="s">
        <v>1826</v>
      </c>
      <c r="B217" s="9" t="s">
        <v>566</v>
      </c>
      <c r="C217" s="9" t="s">
        <v>567</v>
      </c>
      <c r="D217" s="9" t="s">
        <v>377</v>
      </c>
      <c r="E217" s="9" t="s">
        <v>886</v>
      </c>
      <c r="F217" s="9" t="s">
        <v>1336</v>
      </c>
      <c r="G217" s="9" t="s">
        <v>1351</v>
      </c>
      <c r="H217" s="9" t="s">
        <v>1352</v>
      </c>
      <c r="I217" s="9"/>
      <c r="J217" s="9"/>
      <c r="K217" s="9"/>
      <c r="L217" s="9"/>
      <c r="M217" s="9"/>
      <c r="N217" s="9"/>
      <c r="O217" s="9"/>
      <c r="P217" s="9"/>
      <c r="Q217" s="9" t="s">
        <v>1353</v>
      </c>
      <c r="R217" s="9"/>
      <c r="S217" s="9"/>
      <c r="T217" s="9"/>
      <c r="U217" s="9"/>
      <c r="V217" s="9"/>
      <c r="W217" s="9"/>
      <c r="X217" s="9" t="s">
        <v>414</v>
      </c>
      <c r="Y217" s="9" t="s">
        <v>391</v>
      </c>
      <c r="Z217" s="12" t="b">
        <f aca="false">FALSE()</f>
        <v>0</v>
      </c>
      <c r="AA217" s="8" t="s">
        <v>1348</v>
      </c>
    </row>
    <row r="218" customFormat="false" ht="15.75" hidden="false" customHeight="true" outlineLevel="0" collapsed="false">
      <c r="A218" s="9" t="s">
        <v>1827</v>
      </c>
      <c r="B218" s="9" t="s">
        <v>566</v>
      </c>
      <c r="C218" s="9" t="s">
        <v>567</v>
      </c>
      <c r="D218" s="9" t="s">
        <v>377</v>
      </c>
      <c r="E218" s="9" t="s">
        <v>866</v>
      </c>
      <c r="F218" s="9" t="s">
        <v>1336</v>
      </c>
      <c r="G218" s="9" t="s">
        <v>1351</v>
      </c>
      <c r="H218" s="9" t="s">
        <v>1352</v>
      </c>
      <c r="I218" s="9"/>
      <c r="J218" s="9"/>
      <c r="K218" s="9"/>
      <c r="L218" s="9"/>
      <c r="M218" s="9"/>
      <c r="N218" s="9"/>
      <c r="O218" s="9"/>
      <c r="P218" s="9"/>
      <c r="Q218" s="9" t="s">
        <v>1353</v>
      </c>
      <c r="R218" s="9"/>
      <c r="S218" s="9"/>
      <c r="T218" s="9"/>
      <c r="U218" s="9"/>
      <c r="V218" s="9"/>
      <c r="W218" s="9"/>
      <c r="X218" s="9" t="s">
        <v>414</v>
      </c>
      <c r="Y218" s="9" t="s">
        <v>391</v>
      </c>
      <c r="Z218" s="12" t="b">
        <f aca="false">FALSE()</f>
        <v>0</v>
      </c>
      <c r="AA218" s="8" t="s">
        <v>1348</v>
      </c>
    </row>
    <row r="219" customFormat="false" ht="15.75" hidden="false" customHeight="true" outlineLevel="0" collapsed="false">
      <c r="A219" s="9" t="s">
        <v>1828</v>
      </c>
      <c r="B219" s="9" t="s">
        <v>566</v>
      </c>
      <c r="C219" s="9" t="s">
        <v>567</v>
      </c>
      <c r="D219" s="9" t="s">
        <v>377</v>
      </c>
      <c r="E219" s="9" t="s">
        <v>912</v>
      </c>
      <c r="F219" s="9" t="s">
        <v>1336</v>
      </c>
      <c r="G219" s="9" t="s">
        <v>1363</v>
      </c>
      <c r="H219" s="9" t="s">
        <v>1338</v>
      </c>
      <c r="I219" s="9" t="s">
        <v>1819</v>
      </c>
      <c r="J219" s="9" t="s">
        <v>377</v>
      </c>
      <c r="K219" s="9" t="s">
        <v>913</v>
      </c>
      <c r="L219" s="9" t="s">
        <v>914</v>
      </c>
      <c r="M219" s="9" t="s">
        <v>1829</v>
      </c>
      <c r="N219" s="9" t="s">
        <v>916</v>
      </c>
      <c r="O219" s="9" t="s">
        <v>916</v>
      </c>
      <c r="P219" s="9" t="s">
        <v>1365</v>
      </c>
      <c r="Q219" s="9" t="s">
        <v>113</v>
      </c>
      <c r="R219" s="9" t="s">
        <v>1366</v>
      </c>
      <c r="S219" s="9" t="s">
        <v>398</v>
      </c>
      <c r="T219" s="9" t="s">
        <v>377</v>
      </c>
      <c r="U219" s="9" t="s">
        <v>1830</v>
      </c>
      <c r="V219" s="9" t="s">
        <v>1347</v>
      </c>
      <c r="W219" s="9"/>
      <c r="X219" s="9" t="s">
        <v>377</v>
      </c>
      <c r="Y219" s="9" t="s">
        <v>377</v>
      </c>
      <c r="Z219" s="12" t="b">
        <f aca="false">FALSE()</f>
        <v>0</v>
      </c>
      <c r="AA219" s="8" t="s">
        <v>1348</v>
      </c>
    </row>
    <row r="220" customFormat="false" ht="15.75" hidden="false" customHeight="true" outlineLevel="0" collapsed="false">
      <c r="A220" s="9" t="s">
        <v>1831</v>
      </c>
      <c r="B220" s="9" t="s">
        <v>566</v>
      </c>
      <c r="C220" s="9" t="s">
        <v>567</v>
      </c>
      <c r="D220" s="9" t="s">
        <v>377</v>
      </c>
      <c r="E220" s="9" t="s">
        <v>966</v>
      </c>
      <c r="F220" s="9" t="s">
        <v>1336</v>
      </c>
      <c r="G220" s="9" t="s">
        <v>1494</v>
      </c>
      <c r="H220" s="9" t="s">
        <v>1338</v>
      </c>
      <c r="I220" s="9" t="s">
        <v>1819</v>
      </c>
      <c r="J220" s="9" t="s">
        <v>377</v>
      </c>
      <c r="K220" s="9" t="s">
        <v>967</v>
      </c>
      <c r="L220" s="9" t="s">
        <v>1832</v>
      </c>
      <c r="M220" s="9" t="s">
        <v>1370</v>
      </c>
      <c r="N220" s="9" t="s">
        <v>970</v>
      </c>
      <c r="O220" s="9" t="s">
        <v>970</v>
      </c>
      <c r="P220" s="9" t="s">
        <v>1806</v>
      </c>
      <c r="Q220" s="9" t="s">
        <v>113</v>
      </c>
      <c r="R220" s="9" t="s">
        <v>1372</v>
      </c>
      <c r="S220" s="9" t="s">
        <v>398</v>
      </c>
      <c r="T220" s="9" t="s">
        <v>377</v>
      </c>
      <c r="U220" s="9" t="s">
        <v>1823</v>
      </c>
      <c r="V220" s="9" t="s">
        <v>1347</v>
      </c>
      <c r="W220" s="9"/>
      <c r="X220" s="9" t="s">
        <v>377</v>
      </c>
      <c r="Y220" s="9" t="s">
        <v>377</v>
      </c>
      <c r="Z220" s="12" t="b">
        <f aca="false">FALSE()</f>
        <v>0</v>
      </c>
      <c r="AA220" s="8" t="s">
        <v>1348</v>
      </c>
    </row>
    <row r="221" customFormat="false" ht="15.75" hidden="false" customHeight="true" outlineLevel="0" collapsed="false">
      <c r="A221" s="9" t="s">
        <v>1833</v>
      </c>
      <c r="B221" s="9" t="s">
        <v>566</v>
      </c>
      <c r="C221" s="9" t="s">
        <v>567</v>
      </c>
      <c r="D221" s="9" t="s">
        <v>377</v>
      </c>
      <c r="E221" s="9" t="s">
        <v>947</v>
      </c>
      <c r="F221" s="9" t="s">
        <v>1336</v>
      </c>
      <c r="G221" s="9" t="s">
        <v>1363</v>
      </c>
      <c r="H221" s="9" t="s">
        <v>1338</v>
      </c>
      <c r="I221" s="9" t="s">
        <v>1819</v>
      </c>
      <c r="J221" s="9" t="s">
        <v>377</v>
      </c>
      <c r="K221" s="9" t="s">
        <v>948</v>
      </c>
      <c r="L221" s="9" t="s">
        <v>1434</v>
      </c>
      <c r="M221" s="9" t="s">
        <v>1491</v>
      </c>
      <c r="N221" s="9" t="s">
        <v>1076</v>
      </c>
      <c r="O221" s="9" t="s">
        <v>1076</v>
      </c>
      <c r="P221" s="9" t="s">
        <v>1436</v>
      </c>
      <c r="Q221" s="9" t="s">
        <v>113</v>
      </c>
      <c r="R221" s="9" t="s">
        <v>1437</v>
      </c>
      <c r="S221" s="9" t="s">
        <v>398</v>
      </c>
      <c r="T221" s="9" t="s">
        <v>377</v>
      </c>
      <c r="U221" s="9" t="s">
        <v>1834</v>
      </c>
      <c r="V221" s="9" t="s">
        <v>1347</v>
      </c>
      <c r="W221" s="9"/>
      <c r="X221" s="9" t="s">
        <v>377</v>
      </c>
      <c r="Y221" s="9" t="s">
        <v>377</v>
      </c>
      <c r="Z221" s="12" t="b">
        <f aca="false">FALSE()</f>
        <v>0</v>
      </c>
      <c r="AA221" s="8" t="s">
        <v>1348</v>
      </c>
    </row>
    <row r="222" customFormat="false" ht="15.75" hidden="false" customHeight="true" outlineLevel="0" collapsed="false">
      <c r="A222" s="9" t="s">
        <v>1835</v>
      </c>
      <c r="B222" s="9" t="s">
        <v>570</v>
      </c>
      <c r="C222" s="9" t="s">
        <v>571</v>
      </c>
      <c r="D222" s="9" t="s">
        <v>377</v>
      </c>
      <c r="E222" s="9" t="s">
        <v>1021</v>
      </c>
      <c r="F222" s="9" t="s">
        <v>1336</v>
      </c>
      <c r="G222" s="9" t="s">
        <v>1351</v>
      </c>
      <c r="H222" s="9" t="s">
        <v>1352</v>
      </c>
      <c r="I222" s="9"/>
      <c r="J222" s="9"/>
      <c r="K222" s="9"/>
      <c r="L222" s="9"/>
      <c r="M222" s="9"/>
      <c r="N222" s="9"/>
      <c r="O222" s="9"/>
      <c r="P222" s="9"/>
      <c r="Q222" s="9" t="s">
        <v>1353</v>
      </c>
      <c r="R222" s="9"/>
      <c r="S222" s="9"/>
      <c r="T222" s="9"/>
      <c r="U222" s="9"/>
      <c r="V222" s="9"/>
      <c r="W222" s="9"/>
      <c r="X222" s="9" t="s">
        <v>414</v>
      </c>
      <c r="Y222" s="9" t="s">
        <v>391</v>
      </c>
      <c r="Z222" s="12" t="b">
        <f aca="false">FALSE()</f>
        <v>0</v>
      </c>
      <c r="AA222" s="8" t="s">
        <v>1348</v>
      </c>
    </row>
    <row r="223" customFormat="false" ht="15.75" hidden="false" customHeight="true" outlineLevel="0" collapsed="false">
      <c r="A223" s="9" t="s">
        <v>1836</v>
      </c>
      <c r="B223" s="9" t="s">
        <v>570</v>
      </c>
      <c r="C223" s="9" t="s">
        <v>571</v>
      </c>
      <c r="D223" s="9" t="s">
        <v>377</v>
      </c>
      <c r="E223" s="9" t="s">
        <v>1350</v>
      </c>
      <c r="F223" s="9" t="s">
        <v>1336</v>
      </c>
      <c r="G223" s="9" t="s">
        <v>1351</v>
      </c>
      <c r="H223" s="9" t="s">
        <v>1352</v>
      </c>
      <c r="I223" s="9"/>
      <c r="J223" s="9"/>
      <c r="K223" s="9"/>
      <c r="L223" s="9"/>
      <c r="M223" s="9"/>
      <c r="N223" s="9"/>
      <c r="O223" s="9"/>
      <c r="P223" s="9"/>
      <c r="Q223" s="9" t="s">
        <v>1353</v>
      </c>
      <c r="R223" s="9"/>
      <c r="S223" s="9"/>
      <c r="T223" s="9"/>
      <c r="U223" s="9"/>
      <c r="V223" s="9"/>
      <c r="W223" s="9"/>
      <c r="X223" s="9" t="s">
        <v>414</v>
      </c>
      <c r="Y223" s="9" t="s">
        <v>391</v>
      </c>
      <c r="Z223" s="12" t="b">
        <f aca="false">FALSE()</f>
        <v>0</v>
      </c>
      <c r="AA223" s="8" t="s">
        <v>1348</v>
      </c>
    </row>
    <row r="224" customFormat="false" ht="15.75" hidden="false" customHeight="true" outlineLevel="0" collapsed="false">
      <c r="A224" s="9" t="s">
        <v>1837</v>
      </c>
      <c r="B224" s="9" t="s">
        <v>570</v>
      </c>
      <c r="C224" s="9" t="s">
        <v>571</v>
      </c>
      <c r="D224" s="9" t="s">
        <v>377</v>
      </c>
      <c r="E224" s="9" t="s">
        <v>1355</v>
      </c>
      <c r="F224" s="9" t="s">
        <v>1336</v>
      </c>
      <c r="G224" s="9" t="s">
        <v>1351</v>
      </c>
      <c r="H224" s="9" t="s">
        <v>1352</v>
      </c>
      <c r="I224" s="9"/>
      <c r="J224" s="9"/>
      <c r="K224" s="9"/>
      <c r="L224" s="9"/>
      <c r="M224" s="9"/>
      <c r="N224" s="9"/>
      <c r="O224" s="9"/>
      <c r="P224" s="9"/>
      <c r="Q224" s="9" t="s">
        <v>1353</v>
      </c>
      <c r="R224" s="9"/>
      <c r="S224" s="9"/>
      <c r="T224" s="9"/>
      <c r="U224" s="9"/>
      <c r="V224" s="9"/>
      <c r="W224" s="9"/>
      <c r="X224" s="9" t="s">
        <v>414</v>
      </c>
      <c r="Y224" s="9" t="s">
        <v>391</v>
      </c>
      <c r="Z224" s="12" t="b">
        <f aca="false">FALSE()</f>
        <v>0</v>
      </c>
      <c r="AA224" s="8" t="s">
        <v>1348</v>
      </c>
    </row>
    <row r="225" customFormat="false" ht="15.75" hidden="false" customHeight="true" outlineLevel="0" collapsed="false">
      <c r="A225" s="9" t="s">
        <v>1838</v>
      </c>
      <c r="B225" s="9" t="s">
        <v>570</v>
      </c>
      <c r="C225" s="9" t="s">
        <v>571</v>
      </c>
      <c r="D225" s="9" t="s">
        <v>377</v>
      </c>
      <c r="E225" s="9" t="s">
        <v>886</v>
      </c>
      <c r="F225" s="9" t="s">
        <v>1336</v>
      </c>
      <c r="G225" s="9" t="s">
        <v>1337</v>
      </c>
      <c r="H225" s="9" t="s">
        <v>1338</v>
      </c>
      <c r="I225" s="9" t="s">
        <v>1839</v>
      </c>
      <c r="J225" s="9" t="s">
        <v>377</v>
      </c>
      <c r="K225" s="9" t="s">
        <v>958</v>
      </c>
      <c r="L225" s="9" t="s">
        <v>959</v>
      </c>
      <c r="M225" s="9" t="s">
        <v>1456</v>
      </c>
      <c r="N225" s="9" t="s">
        <v>961</v>
      </c>
      <c r="O225" s="9" t="s">
        <v>961</v>
      </c>
      <c r="P225" s="9" t="s">
        <v>1840</v>
      </c>
      <c r="Q225" s="9" t="s">
        <v>113</v>
      </c>
      <c r="R225" s="9" t="s">
        <v>1841</v>
      </c>
      <c r="S225" s="9" t="s">
        <v>398</v>
      </c>
      <c r="T225" s="9" t="s">
        <v>377</v>
      </c>
      <c r="U225" s="9" t="s">
        <v>1842</v>
      </c>
      <c r="V225" s="9" t="s">
        <v>1347</v>
      </c>
      <c r="W225" s="9"/>
      <c r="X225" s="9" t="s">
        <v>377</v>
      </c>
      <c r="Y225" s="9" t="s">
        <v>377</v>
      </c>
      <c r="Z225" s="12" t="b">
        <f aca="false">FALSE()</f>
        <v>0</v>
      </c>
      <c r="AA225" s="8" t="s">
        <v>1348</v>
      </c>
    </row>
    <row r="226" customFormat="false" ht="15.75" hidden="false" customHeight="true" outlineLevel="0" collapsed="false">
      <c r="A226" s="9" t="s">
        <v>1843</v>
      </c>
      <c r="B226" s="9" t="s">
        <v>570</v>
      </c>
      <c r="C226" s="9" t="s">
        <v>571</v>
      </c>
      <c r="D226" s="9" t="s">
        <v>377</v>
      </c>
      <c r="E226" s="9" t="s">
        <v>866</v>
      </c>
      <c r="F226" s="9" t="s">
        <v>1336</v>
      </c>
      <c r="G226" s="9" t="s">
        <v>1351</v>
      </c>
      <c r="H226" s="9" t="s">
        <v>1352</v>
      </c>
      <c r="I226" s="9"/>
      <c r="J226" s="9"/>
      <c r="K226" s="9"/>
      <c r="L226" s="9"/>
      <c r="M226" s="9"/>
      <c r="N226" s="9"/>
      <c r="O226" s="9"/>
      <c r="P226" s="9"/>
      <c r="Q226" s="9" t="s">
        <v>1353</v>
      </c>
      <c r="R226" s="9"/>
      <c r="S226" s="9"/>
      <c r="T226" s="9"/>
      <c r="U226" s="9"/>
      <c r="V226" s="9"/>
      <c r="W226" s="9"/>
      <c r="X226" s="9" t="s">
        <v>414</v>
      </c>
      <c r="Y226" s="9" t="s">
        <v>391</v>
      </c>
      <c r="Z226" s="12" t="b">
        <f aca="false">FALSE()</f>
        <v>0</v>
      </c>
      <c r="AA226" s="8" t="s">
        <v>1348</v>
      </c>
    </row>
    <row r="227" customFormat="false" ht="15.75" hidden="false" customHeight="true" outlineLevel="0" collapsed="false">
      <c r="A227" s="9" t="s">
        <v>1844</v>
      </c>
      <c r="B227" s="9" t="s">
        <v>570</v>
      </c>
      <c r="C227" s="9" t="s">
        <v>571</v>
      </c>
      <c r="D227" s="9" t="s">
        <v>377</v>
      </c>
      <c r="E227" s="9" t="s">
        <v>912</v>
      </c>
      <c r="F227" s="9" t="s">
        <v>1336</v>
      </c>
      <c r="G227" s="9" t="s">
        <v>1363</v>
      </c>
      <c r="H227" s="9" t="s">
        <v>1338</v>
      </c>
      <c r="I227" s="9" t="s">
        <v>1839</v>
      </c>
      <c r="J227" s="9" t="s">
        <v>377</v>
      </c>
      <c r="K227" s="9" t="s">
        <v>913</v>
      </c>
      <c r="L227" s="9" t="s">
        <v>914</v>
      </c>
      <c r="M227" s="9" t="s">
        <v>1845</v>
      </c>
      <c r="N227" s="9" t="s">
        <v>916</v>
      </c>
      <c r="O227" s="9" t="s">
        <v>916</v>
      </c>
      <c r="P227" s="9" t="s">
        <v>1365</v>
      </c>
      <c r="Q227" s="9" t="s">
        <v>113</v>
      </c>
      <c r="R227" s="9" t="s">
        <v>1366</v>
      </c>
      <c r="S227" s="9" t="s">
        <v>398</v>
      </c>
      <c r="T227" s="9" t="s">
        <v>377</v>
      </c>
      <c r="U227" s="9" t="s">
        <v>1846</v>
      </c>
      <c r="V227" s="9" t="s">
        <v>1347</v>
      </c>
      <c r="W227" s="9"/>
      <c r="X227" s="9" t="s">
        <v>377</v>
      </c>
      <c r="Y227" s="9" t="s">
        <v>377</v>
      </c>
      <c r="Z227" s="12" t="b">
        <f aca="false">FALSE()</f>
        <v>0</v>
      </c>
      <c r="AA227" s="8" t="s">
        <v>1348</v>
      </c>
    </row>
    <row r="228" customFormat="false" ht="15.75" hidden="false" customHeight="true" outlineLevel="0" collapsed="false">
      <c r="A228" s="9" t="s">
        <v>1847</v>
      </c>
      <c r="B228" s="9" t="s">
        <v>570</v>
      </c>
      <c r="C228" s="9" t="s">
        <v>571</v>
      </c>
      <c r="D228" s="9" t="s">
        <v>377</v>
      </c>
      <c r="E228" s="9" t="s">
        <v>966</v>
      </c>
      <c r="F228" s="9" t="s">
        <v>1336</v>
      </c>
      <c r="G228" s="9" t="s">
        <v>1351</v>
      </c>
      <c r="H228" s="9" t="s">
        <v>1352</v>
      </c>
      <c r="I228" s="9"/>
      <c r="J228" s="9"/>
      <c r="K228" s="9"/>
      <c r="L228" s="9"/>
      <c r="M228" s="9"/>
      <c r="N228" s="9"/>
      <c r="O228" s="9"/>
      <c r="P228" s="9"/>
      <c r="Q228" s="9" t="s">
        <v>1353</v>
      </c>
      <c r="R228" s="9"/>
      <c r="S228" s="9"/>
      <c r="T228" s="9"/>
      <c r="U228" s="9"/>
      <c r="V228" s="9"/>
      <c r="W228" s="9"/>
      <c r="X228" s="9" t="s">
        <v>414</v>
      </c>
      <c r="Y228" s="9" t="s">
        <v>391</v>
      </c>
      <c r="Z228" s="12" t="b">
        <f aca="false">FALSE()</f>
        <v>0</v>
      </c>
      <c r="AA228" s="8" t="s">
        <v>1348</v>
      </c>
    </row>
    <row r="229" customFormat="false" ht="15.75" hidden="false" customHeight="true" outlineLevel="0" collapsed="false">
      <c r="A229" s="9" t="s">
        <v>1848</v>
      </c>
      <c r="B229" s="9" t="s">
        <v>570</v>
      </c>
      <c r="C229" s="9" t="s">
        <v>571</v>
      </c>
      <c r="D229" s="9" t="s">
        <v>377</v>
      </c>
      <c r="E229" s="9" t="s">
        <v>947</v>
      </c>
      <c r="F229" s="9" t="s">
        <v>1336</v>
      </c>
      <c r="G229" s="9" t="s">
        <v>1363</v>
      </c>
      <c r="H229" s="9" t="s">
        <v>1338</v>
      </c>
      <c r="I229" s="9" t="s">
        <v>1839</v>
      </c>
      <c r="J229" s="9" t="s">
        <v>377</v>
      </c>
      <c r="K229" s="9" t="s">
        <v>948</v>
      </c>
      <c r="L229" s="9" t="s">
        <v>1434</v>
      </c>
      <c r="M229" s="9" t="s">
        <v>1849</v>
      </c>
      <c r="N229" s="9" t="s">
        <v>1076</v>
      </c>
      <c r="O229" s="9" t="s">
        <v>1076</v>
      </c>
      <c r="P229" s="9" t="s">
        <v>1436</v>
      </c>
      <c r="Q229" s="9" t="s">
        <v>113</v>
      </c>
      <c r="R229" s="9" t="s">
        <v>1437</v>
      </c>
      <c r="S229" s="9" t="s">
        <v>398</v>
      </c>
      <c r="T229" s="9" t="s">
        <v>377</v>
      </c>
      <c r="U229" s="9" t="s">
        <v>1850</v>
      </c>
      <c r="V229" s="9" t="s">
        <v>1347</v>
      </c>
      <c r="W229" s="9"/>
      <c r="X229" s="9" t="s">
        <v>377</v>
      </c>
      <c r="Y229" s="9" t="s">
        <v>377</v>
      </c>
      <c r="Z229" s="12" t="b">
        <f aca="false">FALSE()</f>
        <v>0</v>
      </c>
      <c r="AA229" s="8" t="s">
        <v>1348</v>
      </c>
    </row>
    <row r="230" customFormat="false" ht="15.75" hidden="false" customHeight="true" outlineLevel="0" collapsed="false">
      <c r="A230" s="9" t="s">
        <v>1851</v>
      </c>
      <c r="B230" s="9" t="s">
        <v>574</v>
      </c>
      <c r="C230" s="9" t="s">
        <v>575</v>
      </c>
      <c r="D230" s="9" t="s">
        <v>384</v>
      </c>
      <c r="E230" s="9" t="s">
        <v>1021</v>
      </c>
      <c r="F230" s="9" t="s">
        <v>1336</v>
      </c>
      <c r="G230" s="9" t="s">
        <v>1351</v>
      </c>
      <c r="H230" s="9" t="s">
        <v>1352</v>
      </c>
      <c r="I230" s="9"/>
      <c r="J230" s="9"/>
      <c r="K230" s="9"/>
      <c r="L230" s="9"/>
      <c r="M230" s="9"/>
      <c r="N230" s="9"/>
      <c r="O230" s="9"/>
      <c r="P230" s="9"/>
      <c r="Q230" s="9" t="s">
        <v>1353</v>
      </c>
      <c r="R230" s="9"/>
      <c r="S230" s="9"/>
      <c r="T230" s="9"/>
      <c r="U230" s="9"/>
      <c r="V230" s="9"/>
      <c r="W230" s="9"/>
      <c r="X230" s="9" t="s">
        <v>414</v>
      </c>
      <c r="Y230" s="9" t="s">
        <v>391</v>
      </c>
      <c r="Z230" s="12" t="b">
        <f aca="false">FALSE()</f>
        <v>0</v>
      </c>
      <c r="AA230" s="8" t="s">
        <v>1348</v>
      </c>
    </row>
    <row r="231" customFormat="false" ht="15.75" hidden="false" customHeight="true" outlineLevel="0" collapsed="false">
      <c r="A231" s="9" t="s">
        <v>1852</v>
      </c>
      <c r="B231" s="9" t="s">
        <v>574</v>
      </c>
      <c r="C231" s="9" t="s">
        <v>575</v>
      </c>
      <c r="D231" s="9" t="s">
        <v>384</v>
      </c>
      <c r="E231" s="9" t="s">
        <v>1350</v>
      </c>
      <c r="F231" s="9" t="s">
        <v>1336</v>
      </c>
      <c r="G231" s="9" t="s">
        <v>1351</v>
      </c>
      <c r="H231" s="9" t="s">
        <v>1352</v>
      </c>
      <c r="I231" s="9"/>
      <c r="J231" s="9"/>
      <c r="K231" s="9"/>
      <c r="L231" s="9"/>
      <c r="M231" s="9"/>
      <c r="N231" s="9"/>
      <c r="O231" s="9"/>
      <c r="P231" s="9"/>
      <c r="Q231" s="9" t="s">
        <v>1353</v>
      </c>
      <c r="R231" s="9"/>
      <c r="S231" s="9"/>
      <c r="T231" s="9"/>
      <c r="U231" s="9"/>
      <c r="V231" s="9"/>
      <c r="W231" s="9"/>
      <c r="X231" s="9" t="s">
        <v>414</v>
      </c>
      <c r="Y231" s="9" t="s">
        <v>391</v>
      </c>
      <c r="Z231" s="12" t="b">
        <f aca="false">FALSE()</f>
        <v>0</v>
      </c>
      <c r="AA231" s="8" t="s">
        <v>1348</v>
      </c>
    </row>
    <row r="232" customFormat="false" ht="15.75" hidden="false" customHeight="true" outlineLevel="0" collapsed="false">
      <c r="A232" s="9" t="s">
        <v>1853</v>
      </c>
      <c r="B232" s="9" t="s">
        <v>574</v>
      </c>
      <c r="C232" s="9" t="s">
        <v>575</v>
      </c>
      <c r="D232" s="9" t="s">
        <v>384</v>
      </c>
      <c r="E232" s="9" t="s">
        <v>1355</v>
      </c>
      <c r="F232" s="9" t="s">
        <v>1336</v>
      </c>
      <c r="G232" s="9" t="s">
        <v>1351</v>
      </c>
      <c r="H232" s="9" t="s">
        <v>1352</v>
      </c>
      <c r="I232" s="9"/>
      <c r="J232" s="9"/>
      <c r="K232" s="9"/>
      <c r="L232" s="9"/>
      <c r="M232" s="9"/>
      <c r="N232" s="9"/>
      <c r="O232" s="9"/>
      <c r="P232" s="9"/>
      <c r="Q232" s="9" t="s">
        <v>1353</v>
      </c>
      <c r="R232" s="9"/>
      <c r="S232" s="9"/>
      <c r="T232" s="9"/>
      <c r="U232" s="9"/>
      <c r="V232" s="9"/>
      <c r="W232" s="9"/>
      <c r="X232" s="9" t="s">
        <v>414</v>
      </c>
      <c r="Y232" s="9" t="s">
        <v>391</v>
      </c>
      <c r="Z232" s="12" t="b">
        <f aca="false">FALSE()</f>
        <v>0</v>
      </c>
      <c r="AA232" s="8" t="s">
        <v>1348</v>
      </c>
    </row>
    <row r="233" customFormat="false" ht="15.75" hidden="false" customHeight="true" outlineLevel="0" collapsed="false">
      <c r="A233" s="9" t="s">
        <v>1854</v>
      </c>
      <c r="B233" s="9" t="s">
        <v>574</v>
      </c>
      <c r="C233" s="9" t="s">
        <v>575</v>
      </c>
      <c r="D233" s="9" t="s">
        <v>384</v>
      </c>
      <c r="E233" s="9" t="s">
        <v>886</v>
      </c>
      <c r="F233" s="9" t="s">
        <v>1336</v>
      </c>
      <c r="G233" s="9" t="s">
        <v>1337</v>
      </c>
      <c r="H233" s="9" t="s">
        <v>1338</v>
      </c>
      <c r="I233" s="9" t="s">
        <v>1855</v>
      </c>
      <c r="J233" s="9" t="s">
        <v>384</v>
      </c>
      <c r="K233" s="9" t="s">
        <v>887</v>
      </c>
      <c r="L233" s="9" t="s">
        <v>888</v>
      </c>
      <c r="M233" s="9" t="s">
        <v>1537</v>
      </c>
      <c r="N233" s="9" t="s">
        <v>890</v>
      </c>
      <c r="O233" s="9" t="s">
        <v>890</v>
      </c>
      <c r="P233" s="9" t="s">
        <v>1856</v>
      </c>
      <c r="Q233" s="9" t="s">
        <v>1857</v>
      </c>
      <c r="R233" s="9" t="s">
        <v>1858</v>
      </c>
      <c r="S233" s="9" t="s">
        <v>398</v>
      </c>
      <c r="T233" s="9" t="s">
        <v>384</v>
      </c>
      <c r="U233" s="9" t="s">
        <v>1859</v>
      </c>
      <c r="V233" s="9" t="s">
        <v>1347</v>
      </c>
      <c r="W233" s="9"/>
      <c r="X233" s="9" t="s">
        <v>384</v>
      </c>
      <c r="Y233" s="9" t="s">
        <v>384</v>
      </c>
      <c r="Z233" s="12" t="b">
        <f aca="false">FALSE()</f>
        <v>0</v>
      </c>
      <c r="AA233" s="8" t="s">
        <v>1348</v>
      </c>
    </row>
    <row r="234" customFormat="false" ht="15.75" hidden="false" customHeight="true" outlineLevel="0" collapsed="false">
      <c r="A234" s="9" t="s">
        <v>1860</v>
      </c>
      <c r="B234" s="9" t="s">
        <v>574</v>
      </c>
      <c r="C234" s="9" t="s">
        <v>575</v>
      </c>
      <c r="D234" s="9" t="s">
        <v>384</v>
      </c>
      <c r="E234" s="9" t="s">
        <v>866</v>
      </c>
      <c r="F234" s="9" t="s">
        <v>1336</v>
      </c>
      <c r="G234" s="9" t="s">
        <v>1351</v>
      </c>
      <c r="H234" s="9" t="s">
        <v>1352</v>
      </c>
      <c r="I234" s="9"/>
      <c r="J234" s="9"/>
      <c r="K234" s="9"/>
      <c r="L234" s="9"/>
      <c r="M234" s="9"/>
      <c r="N234" s="9"/>
      <c r="O234" s="9"/>
      <c r="P234" s="9"/>
      <c r="Q234" s="9" t="s">
        <v>1353</v>
      </c>
      <c r="R234" s="9"/>
      <c r="S234" s="9"/>
      <c r="T234" s="9"/>
      <c r="U234" s="9"/>
      <c r="V234" s="9"/>
      <c r="W234" s="9"/>
      <c r="X234" s="9" t="s">
        <v>414</v>
      </c>
      <c r="Y234" s="9" t="s">
        <v>391</v>
      </c>
      <c r="Z234" s="12" t="b">
        <f aca="false">FALSE()</f>
        <v>0</v>
      </c>
      <c r="AA234" s="8" t="s">
        <v>1348</v>
      </c>
    </row>
    <row r="235" customFormat="false" ht="15.75" hidden="false" customHeight="true" outlineLevel="0" collapsed="false">
      <c r="A235" s="9" t="s">
        <v>1861</v>
      </c>
      <c r="B235" s="9" t="s">
        <v>574</v>
      </c>
      <c r="C235" s="9" t="s">
        <v>575</v>
      </c>
      <c r="D235" s="9" t="s">
        <v>384</v>
      </c>
      <c r="E235" s="9" t="s">
        <v>912</v>
      </c>
      <c r="F235" s="9" t="s">
        <v>1336</v>
      </c>
      <c r="G235" s="9" t="s">
        <v>1351</v>
      </c>
      <c r="H235" s="9" t="s">
        <v>1352</v>
      </c>
      <c r="I235" s="9"/>
      <c r="J235" s="9"/>
      <c r="K235" s="9"/>
      <c r="L235" s="9"/>
      <c r="M235" s="9"/>
      <c r="N235" s="9"/>
      <c r="O235" s="9"/>
      <c r="P235" s="9"/>
      <c r="Q235" s="9" t="s">
        <v>1353</v>
      </c>
      <c r="R235" s="9"/>
      <c r="S235" s="9"/>
      <c r="T235" s="9"/>
      <c r="U235" s="9"/>
      <c r="V235" s="9"/>
      <c r="W235" s="9"/>
      <c r="X235" s="9" t="s">
        <v>414</v>
      </c>
      <c r="Y235" s="9" t="s">
        <v>391</v>
      </c>
      <c r="Z235" s="12" t="b">
        <f aca="false">FALSE()</f>
        <v>0</v>
      </c>
      <c r="AA235" s="8" t="s">
        <v>1348</v>
      </c>
    </row>
    <row r="236" customFormat="false" ht="15.75" hidden="false" customHeight="true" outlineLevel="0" collapsed="false">
      <c r="A236" s="9" t="s">
        <v>1862</v>
      </c>
      <c r="B236" s="9" t="s">
        <v>574</v>
      </c>
      <c r="C236" s="9" t="s">
        <v>575</v>
      </c>
      <c r="D236" s="9" t="s">
        <v>384</v>
      </c>
      <c r="E236" s="9" t="s">
        <v>966</v>
      </c>
      <c r="F236" s="9" t="s">
        <v>1336</v>
      </c>
      <c r="G236" s="9" t="s">
        <v>1351</v>
      </c>
      <c r="H236" s="9" t="s">
        <v>1352</v>
      </c>
      <c r="I236" s="9"/>
      <c r="J236" s="9"/>
      <c r="K236" s="9"/>
      <c r="L236" s="9"/>
      <c r="M236" s="9"/>
      <c r="N236" s="9"/>
      <c r="O236" s="9"/>
      <c r="P236" s="9"/>
      <c r="Q236" s="9" t="s">
        <v>1353</v>
      </c>
      <c r="R236" s="9"/>
      <c r="S236" s="9"/>
      <c r="T236" s="9"/>
      <c r="U236" s="9"/>
      <c r="V236" s="9"/>
      <c r="W236" s="9"/>
      <c r="X236" s="9" t="s">
        <v>414</v>
      </c>
      <c r="Y236" s="9" t="s">
        <v>391</v>
      </c>
      <c r="Z236" s="12" t="b">
        <f aca="false">FALSE()</f>
        <v>0</v>
      </c>
      <c r="AA236" s="8" t="s">
        <v>1348</v>
      </c>
    </row>
    <row r="237" customFormat="false" ht="15.75" hidden="false" customHeight="true" outlineLevel="0" collapsed="false">
      <c r="A237" s="9" t="s">
        <v>1863</v>
      </c>
      <c r="B237" s="9" t="s">
        <v>574</v>
      </c>
      <c r="C237" s="9" t="s">
        <v>575</v>
      </c>
      <c r="D237" s="9" t="s">
        <v>384</v>
      </c>
      <c r="E237" s="9" t="s">
        <v>947</v>
      </c>
      <c r="F237" s="9" t="s">
        <v>1336</v>
      </c>
      <c r="G237" s="9" t="s">
        <v>1351</v>
      </c>
      <c r="H237" s="9" t="s">
        <v>1352</v>
      </c>
      <c r="I237" s="9"/>
      <c r="J237" s="9"/>
      <c r="K237" s="9"/>
      <c r="L237" s="9"/>
      <c r="M237" s="9"/>
      <c r="N237" s="9"/>
      <c r="O237" s="9"/>
      <c r="P237" s="9"/>
      <c r="Q237" s="9" t="s">
        <v>1353</v>
      </c>
      <c r="R237" s="9"/>
      <c r="S237" s="9"/>
      <c r="T237" s="9"/>
      <c r="U237" s="9"/>
      <c r="V237" s="9"/>
      <c r="W237" s="9"/>
      <c r="X237" s="9" t="s">
        <v>414</v>
      </c>
      <c r="Y237" s="9" t="s">
        <v>391</v>
      </c>
      <c r="Z237" s="12" t="b">
        <f aca="false">FALSE()</f>
        <v>0</v>
      </c>
      <c r="AA237" s="8" t="s">
        <v>1348</v>
      </c>
    </row>
    <row r="238" customFormat="false" ht="15.75" hidden="false" customHeight="true" outlineLevel="0" collapsed="false">
      <c r="A238" s="9" t="s">
        <v>1864</v>
      </c>
      <c r="B238" s="9" t="s">
        <v>578</v>
      </c>
      <c r="C238" s="9" t="s">
        <v>580</v>
      </c>
      <c r="D238" s="9" t="s">
        <v>377</v>
      </c>
      <c r="E238" s="9" t="s">
        <v>1021</v>
      </c>
      <c r="F238" s="9" t="s">
        <v>1336</v>
      </c>
      <c r="G238" s="9" t="s">
        <v>1351</v>
      </c>
      <c r="H238" s="9" t="s">
        <v>1352</v>
      </c>
      <c r="I238" s="9"/>
      <c r="J238" s="9"/>
      <c r="K238" s="9"/>
      <c r="L238" s="9"/>
      <c r="M238" s="9"/>
      <c r="N238" s="9"/>
      <c r="O238" s="9"/>
      <c r="P238" s="9"/>
      <c r="Q238" s="9" t="s">
        <v>1353</v>
      </c>
      <c r="R238" s="9"/>
      <c r="S238" s="9"/>
      <c r="T238" s="9"/>
      <c r="U238" s="9"/>
      <c r="V238" s="9"/>
      <c r="W238" s="9"/>
      <c r="X238" s="9" t="s">
        <v>414</v>
      </c>
      <c r="Y238" s="9" t="s">
        <v>391</v>
      </c>
      <c r="Z238" s="12" t="b">
        <f aca="false">FALSE()</f>
        <v>0</v>
      </c>
      <c r="AA238" s="8" t="s">
        <v>1348</v>
      </c>
    </row>
    <row r="239" customFormat="false" ht="15.75" hidden="false" customHeight="true" outlineLevel="0" collapsed="false">
      <c r="A239" s="9" t="s">
        <v>1865</v>
      </c>
      <c r="B239" s="9" t="s">
        <v>578</v>
      </c>
      <c r="C239" s="9" t="s">
        <v>580</v>
      </c>
      <c r="D239" s="9" t="s">
        <v>377</v>
      </c>
      <c r="E239" s="9" t="s">
        <v>1350</v>
      </c>
      <c r="F239" s="9" t="s">
        <v>1336</v>
      </c>
      <c r="G239" s="9" t="s">
        <v>1351</v>
      </c>
      <c r="H239" s="9" t="s">
        <v>1352</v>
      </c>
      <c r="I239" s="9"/>
      <c r="J239" s="9"/>
      <c r="K239" s="9"/>
      <c r="L239" s="9"/>
      <c r="M239" s="9"/>
      <c r="N239" s="9"/>
      <c r="O239" s="9"/>
      <c r="P239" s="9"/>
      <c r="Q239" s="9" t="s">
        <v>1353</v>
      </c>
      <c r="R239" s="9"/>
      <c r="S239" s="9"/>
      <c r="T239" s="9"/>
      <c r="U239" s="9"/>
      <c r="V239" s="9"/>
      <c r="W239" s="9"/>
      <c r="X239" s="9" t="s">
        <v>414</v>
      </c>
      <c r="Y239" s="9" t="s">
        <v>391</v>
      </c>
      <c r="Z239" s="12" t="b">
        <f aca="false">FALSE()</f>
        <v>0</v>
      </c>
      <c r="AA239" s="8" t="s">
        <v>1348</v>
      </c>
    </row>
    <row r="240" customFormat="false" ht="15.75" hidden="false" customHeight="true" outlineLevel="0" collapsed="false">
      <c r="A240" s="9" t="s">
        <v>1866</v>
      </c>
      <c r="B240" s="9" t="s">
        <v>578</v>
      </c>
      <c r="C240" s="9" t="s">
        <v>580</v>
      </c>
      <c r="D240" s="9" t="s">
        <v>377</v>
      </c>
      <c r="E240" s="9" t="s">
        <v>1355</v>
      </c>
      <c r="F240" s="9" t="s">
        <v>1336</v>
      </c>
      <c r="G240" s="9" t="s">
        <v>1351</v>
      </c>
      <c r="H240" s="9" t="s">
        <v>1352</v>
      </c>
      <c r="I240" s="9"/>
      <c r="J240" s="9"/>
      <c r="K240" s="9"/>
      <c r="L240" s="9"/>
      <c r="M240" s="9"/>
      <c r="N240" s="9"/>
      <c r="O240" s="9"/>
      <c r="P240" s="9"/>
      <c r="Q240" s="9" t="s">
        <v>1353</v>
      </c>
      <c r="R240" s="9"/>
      <c r="S240" s="9"/>
      <c r="T240" s="9"/>
      <c r="U240" s="9"/>
      <c r="V240" s="9"/>
      <c r="W240" s="9"/>
      <c r="X240" s="9" t="s">
        <v>414</v>
      </c>
      <c r="Y240" s="9" t="s">
        <v>391</v>
      </c>
      <c r="Z240" s="12" t="b">
        <f aca="false">FALSE()</f>
        <v>0</v>
      </c>
      <c r="AA240" s="8" t="s">
        <v>1348</v>
      </c>
    </row>
    <row r="241" customFormat="false" ht="15.75" hidden="false" customHeight="true" outlineLevel="0" collapsed="false">
      <c r="A241" s="9" t="s">
        <v>1867</v>
      </c>
      <c r="B241" s="9" t="s">
        <v>578</v>
      </c>
      <c r="C241" s="9" t="s">
        <v>580</v>
      </c>
      <c r="D241" s="9" t="s">
        <v>377</v>
      </c>
      <c r="E241" s="9" t="s">
        <v>886</v>
      </c>
      <c r="F241" s="9" t="s">
        <v>1336</v>
      </c>
      <c r="G241" s="9" t="s">
        <v>1337</v>
      </c>
      <c r="H241" s="9" t="s">
        <v>1338</v>
      </c>
      <c r="I241" s="9" t="s">
        <v>1868</v>
      </c>
      <c r="J241" s="9" t="s">
        <v>377</v>
      </c>
      <c r="K241" s="9" t="s">
        <v>958</v>
      </c>
      <c r="L241" s="9" t="s">
        <v>959</v>
      </c>
      <c r="M241" s="9" t="s">
        <v>1456</v>
      </c>
      <c r="N241" s="9" t="s">
        <v>961</v>
      </c>
      <c r="O241" s="9" t="s">
        <v>961</v>
      </c>
      <c r="P241" s="9" t="s">
        <v>1869</v>
      </c>
      <c r="Q241" s="9" t="s">
        <v>113</v>
      </c>
      <c r="R241" s="9" t="s">
        <v>1870</v>
      </c>
      <c r="S241" s="9" t="s">
        <v>398</v>
      </c>
      <c r="T241" s="9" t="s">
        <v>377</v>
      </c>
      <c r="U241" s="9" t="s">
        <v>1871</v>
      </c>
      <c r="V241" s="9" t="s">
        <v>1347</v>
      </c>
      <c r="W241" s="9"/>
      <c r="X241" s="9" t="s">
        <v>377</v>
      </c>
      <c r="Y241" s="9" t="s">
        <v>377</v>
      </c>
      <c r="Z241" s="12" t="b">
        <f aca="false">FALSE()</f>
        <v>0</v>
      </c>
      <c r="AA241" s="8" t="s">
        <v>1348</v>
      </c>
    </row>
    <row r="242" customFormat="false" ht="15.75" hidden="false" customHeight="true" outlineLevel="0" collapsed="false">
      <c r="A242" s="9" t="s">
        <v>1872</v>
      </c>
      <c r="B242" s="9" t="s">
        <v>578</v>
      </c>
      <c r="C242" s="9" t="s">
        <v>580</v>
      </c>
      <c r="D242" s="9" t="s">
        <v>377</v>
      </c>
      <c r="E242" s="9" t="s">
        <v>866</v>
      </c>
      <c r="F242" s="9" t="s">
        <v>1336</v>
      </c>
      <c r="G242" s="9" t="s">
        <v>1351</v>
      </c>
      <c r="H242" s="9" t="s">
        <v>1352</v>
      </c>
      <c r="I242" s="9"/>
      <c r="J242" s="9"/>
      <c r="K242" s="9"/>
      <c r="L242" s="9"/>
      <c r="M242" s="9"/>
      <c r="N242" s="9"/>
      <c r="O242" s="9"/>
      <c r="P242" s="9"/>
      <c r="Q242" s="9" t="s">
        <v>1353</v>
      </c>
      <c r="R242" s="9"/>
      <c r="S242" s="9"/>
      <c r="T242" s="9"/>
      <c r="U242" s="9"/>
      <c r="V242" s="9"/>
      <c r="W242" s="9"/>
      <c r="X242" s="9" t="s">
        <v>414</v>
      </c>
      <c r="Y242" s="9" t="s">
        <v>391</v>
      </c>
      <c r="Z242" s="12" t="b">
        <f aca="false">FALSE()</f>
        <v>0</v>
      </c>
      <c r="AA242" s="8" t="s">
        <v>1348</v>
      </c>
    </row>
    <row r="243" customFormat="false" ht="15.75" hidden="false" customHeight="true" outlineLevel="0" collapsed="false">
      <c r="A243" s="9" t="s">
        <v>1873</v>
      </c>
      <c r="B243" s="9" t="s">
        <v>578</v>
      </c>
      <c r="C243" s="9" t="s">
        <v>580</v>
      </c>
      <c r="D243" s="9" t="s">
        <v>377</v>
      </c>
      <c r="E243" s="9" t="s">
        <v>912</v>
      </c>
      <c r="F243" s="9" t="s">
        <v>1336</v>
      </c>
      <c r="G243" s="9" t="s">
        <v>1351</v>
      </c>
      <c r="H243" s="9" t="s">
        <v>1352</v>
      </c>
      <c r="I243" s="9"/>
      <c r="J243" s="9"/>
      <c r="K243" s="9"/>
      <c r="L243" s="9"/>
      <c r="M243" s="9"/>
      <c r="N243" s="9"/>
      <c r="O243" s="9"/>
      <c r="P243" s="9"/>
      <c r="Q243" s="9" t="s">
        <v>1353</v>
      </c>
      <c r="R243" s="9"/>
      <c r="S243" s="9"/>
      <c r="T243" s="9"/>
      <c r="U243" s="9"/>
      <c r="V243" s="9"/>
      <c r="W243" s="9"/>
      <c r="X243" s="9" t="s">
        <v>414</v>
      </c>
      <c r="Y243" s="9" t="s">
        <v>391</v>
      </c>
      <c r="Z243" s="12" t="b">
        <f aca="false">FALSE()</f>
        <v>0</v>
      </c>
      <c r="AA243" s="8" t="s">
        <v>1348</v>
      </c>
    </row>
    <row r="244" customFormat="false" ht="15.75" hidden="false" customHeight="true" outlineLevel="0" collapsed="false">
      <c r="A244" s="9" t="s">
        <v>1874</v>
      </c>
      <c r="B244" s="9" t="s">
        <v>578</v>
      </c>
      <c r="C244" s="9" t="s">
        <v>580</v>
      </c>
      <c r="D244" s="9" t="s">
        <v>377</v>
      </c>
      <c r="E244" s="9" t="s">
        <v>966</v>
      </c>
      <c r="F244" s="9" t="s">
        <v>1336</v>
      </c>
      <c r="G244" s="9" t="s">
        <v>1351</v>
      </c>
      <c r="H244" s="9" t="s">
        <v>1352</v>
      </c>
      <c r="I244" s="9"/>
      <c r="J244" s="9"/>
      <c r="K244" s="9"/>
      <c r="L244" s="9"/>
      <c r="M244" s="9"/>
      <c r="N244" s="9"/>
      <c r="O244" s="9"/>
      <c r="P244" s="9"/>
      <c r="Q244" s="9" t="s">
        <v>1353</v>
      </c>
      <c r="R244" s="9"/>
      <c r="S244" s="9"/>
      <c r="T244" s="9"/>
      <c r="U244" s="9"/>
      <c r="V244" s="9"/>
      <c r="W244" s="9"/>
      <c r="X244" s="9" t="s">
        <v>414</v>
      </c>
      <c r="Y244" s="9" t="s">
        <v>391</v>
      </c>
      <c r="Z244" s="12" t="b">
        <f aca="false">FALSE()</f>
        <v>0</v>
      </c>
      <c r="AA244" s="8" t="s">
        <v>1348</v>
      </c>
    </row>
    <row r="245" customFormat="false" ht="15.75" hidden="false" customHeight="true" outlineLevel="0" collapsed="false">
      <c r="A245" s="9" t="s">
        <v>1875</v>
      </c>
      <c r="B245" s="9" t="s">
        <v>578</v>
      </c>
      <c r="C245" s="9" t="s">
        <v>580</v>
      </c>
      <c r="D245" s="9" t="s">
        <v>377</v>
      </c>
      <c r="E245" s="9" t="s">
        <v>947</v>
      </c>
      <c r="F245" s="9" t="s">
        <v>1336</v>
      </c>
      <c r="G245" s="9" t="s">
        <v>1363</v>
      </c>
      <c r="H245" s="9" t="s">
        <v>1338</v>
      </c>
      <c r="I245" s="9" t="s">
        <v>1868</v>
      </c>
      <c r="J245" s="9" t="s">
        <v>377</v>
      </c>
      <c r="K245" s="9" t="s">
        <v>948</v>
      </c>
      <c r="L245" s="9" t="s">
        <v>1434</v>
      </c>
      <c r="M245" s="9" t="s">
        <v>1876</v>
      </c>
      <c r="N245" s="9" t="s">
        <v>1076</v>
      </c>
      <c r="O245" s="9" t="s">
        <v>1076</v>
      </c>
      <c r="P245" s="9" t="s">
        <v>1436</v>
      </c>
      <c r="Q245" s="9" t="s">
        <v>113</v>
      </c>
      <c r="R245" s="9" t="s">
        <v>1437</v>
      </c>
      <c r="S245" s="9" t="s">
        <v>398</v>
      </c>
      <c r="T245" s="9" t="s">
        <v>377</v>
      </c>
      <c r="U245" s="9" t="s">
        <v>1877</v>
      </c>
      <c r="V245" s="9" t="s">
        <v>1347</v>
      </c>
      <c r="W245" s="9"/>
      <c r="X245" s="9" t="s">
        <v>377</v>
      </c>
      <c r="Y245" s="9" t="s">
        <v>377</v>
      </c>
      <c r="Z245" s="12" t="b">
        <f aca="false">FALSE()</f>
        <v>0</v>
      </c>
      <c r="AA245" s="8" t="s">
        <v>1348</v>
      </c>
    </row>
    <row r="246" customFormat="false" ht="15.75" hidden="false" customHeight="true" outlineLevel="0" collapsed="false">
      <c r="A246" s="9" t="s">
        <v>1878</v>
      </c>
      <c r="B246" s="9" t="s">
        <v>583</v>
      </c>
      <c r="C246" s="9" t="s">
        <v>584</v>
      </c>
      <c r="D246" s="9" t="s">
        <v>377</v>
      </c>
      <c r="E246" s="9" t="s">
        <v>1021</v>
      </c>
      <c r="F246" s="9" t="s">
        <v>1336</v>
      </c>
      <c r="G246" s="9" t="s">
        <v>1351</v>
      </c>
      <c r="H246" s="9" t="s">
        <v>1352</v>
      </c>
      <c r="I246" s="9"/>
      <c r="J246" s="9"/>
      <c r="K246" s="9"/>
      <c r="L246" s="9"/>
      <c r="M246" s="9"/>
      <c r="N246" s="9"/>
      <c r="O246" s="9"/>
      <c r="P246" s="9"/>
      <c r="Q246" s="9" t="s">
        <v>1353</v>
      </c>
      <c r="R246" s="9"/>
      <c r="S246" s="9"/>
      <c r="T246" s="9"/>
      <c r="U246" s="9"/>
      <c r="V246" s="9"/>
      <c r="W246" s="9"/>
      <c r="X246" s="9" t="s">
        <v>414</v>
      </c>
      <c r="Y246" s="9" t="s">
        <v>391</v>
      </c>
      <c r="Z246" s="12" t="b">
        <f aca="false">FALSE()</f>
        <v>0</v>
      </c>
      <c r="AA246" s="8" t="s">
        <v>1348</v>
      </c>
    </row>
    <row r="247" customFormat="false" ht="15.75" hidden="false" customHeight="true" outlineLevel="0" collapsed="false">
      <c r="A247" s="9" t="s">
        <v>1879</v>
      </c>
      <c r="B247" s="9" t="s">
        <v>583</v>
      </c>
      <c r="C247" s="9" t="s">
        <v>584</v>
      </c>
      <c r="D247" s="9" t="s">
        <v>377</v>
      </c>
      <c r="E247" s="9" t="s">
        <v>1350</v>
      </c>
      <c r="F247" s="9" t="s">
        <v>1336</v>
      </c>
      <c r="G247" s="9" t="s">
        <v>1351</v>
      </c>
      <c r="H247" s="9" t="s">
        <v>1352</v>
      </c>
      <c r="I247" s="9"/>
      <c r="J247" s="9"/>
      <c r="K247" s="9"/>
      <c r="L247" s="9"/>
      <c r="M247" s="9"/>
      <c r="N247" s="9"/>
      <c r="O247" s="9"/>
      <c r="P247" s="9"/>
      <c r="Q247" s="9" t="s">
        <v>1353</v>
      </c>
      <c r="R247" s="9"/>
      <c r="S247" s="9"/>
      <c r="T247" s="9"/>
      <c r="U247" s="9"/>
      <c r="V247" s="9"/>
      <c r="W247" s="9"/>
      <c r="X247" s="9" t="s">
        <v>414</v>
      </c>
      <c r="Y247" s="9" t="s">
        <v>391</v>
      </c>
      <c r="Z247" s="12" t="b">
        <f aca="false">FALSE()</f>
        <v>0</v>
      </c>
      <c r="AA247" s="8" t="s">
        <v>1348</v>
      </c>
    </row>
    <row r="248" customFormat="false" ht="15.75" hidden="false" customHeight="true" outlineLevel="0" collapsed="false">
      <c r="A248" s="9" t="s">
        <v>1880</v>
      </c>
      <c r="B248" s="9" t="s">
        <v>583</v>
      </c>
      <c r="C248" s="9" t="s">
        <v>584</v>
      </c>
      <c r="D248" s="9" t="s">
        <v>377</v>
      </c>
      <c r="E248" s="9" t="s">
        <v>1355</v>
      </c>
      <c r="F248" s="9" t="s">
        <v>1336</v>
      </c>
      <c r="G248" s="9" t="s">
        <v>1351</v>
      </c>
      <c r="H248" s="9" t="s">
        <v>1352</v>
      </c>
      <c r="I248" s="9"/>
      <c r="J248" s="9"/>
      <c r="K248" s="9"/>
      <c r="L248" s="9"/>
      <c r="M248" s="9"/>
      <c r="N248" s="9"/>
      <c r="O248" s="9"/>
      <c r="P248" s="9"/>
      <c r="Q248" s="9" t="s">
        <v>1353</v>
      </c>
      <c r="R248" s="9"/>
      <c r="S248" s="9"/>
      <c r="T248" s="9"/>
      <c r="U248" s="9"/>
      <c r="V248" s="9"/>
      <c r="W248" s="9"/>
      <c r="X248" s="9" t="s">
        <v>414</v>
      </c>
      <c r="Y248" s="9" t="s">
        <v>391</v>
      </c>
      <c r="Z248" s="12" t="b">
        <f aca="false">FALSE()</f>
        <v>0</v>
      </c>
      <c r="AA248" s="8" t="s">
        <v>1348</v>
      </c>
    </row>
    <row r="249" customFormat="false" ht="15.75" hidden="false" customHeight="true" outlineLevel="0" collapsed="false">
      <c r="A249" s="9" t="s">
        <v>1881</v>
      </c>
      <c r="B249" s="9" t="s">
        <v>583</v>
      </c>
      <c r="C249" s="9" t="s">
        <v>584</v>
      </c>
      <c r="D249" s="9" t="s">
        <v>377</v>
      </c>
      <c r="E249" s="9" t="s">
        <v>886</v>
      </c>
      <c r="F249" s="9" t="s">
        <v>1336</v>
      </c>
      <c r="G249" s="9" t="s">
        <v>1337</v>
      </c>
      <c r="H249" s="9" t="s">
        <v>1338</v>
      </c>
      <c r="I249" s="9" t="s">
        <v>1882</v>
      </c>
      <c r="J249" s="9" t="s">
        <v>377</v>
      </c>
      <c r="K249" s="9" t="s">
        <v>958</v>
      </c>
      <c r="L249" s="9" t="s">
        <v>959</v>
      </c>
      <c r="M249" s="9" t="s">
        <v>1456</v>
      </c>
      <c r="N249" s="9" t="s">
        <v>961</v>
      </c>
      <c r="O249" s="9" t="s">
        <v>961</v>
      </c>
      <c r="P249" s="9" t="s">
        <v>1883</v>
      </c>
      <c r="Q249" s="9" t="s">
        <v>113</v>
      </c>
      <c r="R249" s="9" t="s">
        <v>1870</v>
      </c>
      <c r="S249" s="9" t="s">
        <v>398</v>
      </c>
      <c r="T249" s="9" t="s">
        <v>377</v>
      </c>
      <c r="U249" s="9" t="s">
        <v>1884</v>
      </c>
      <c r="V249" s="9" t="s">
        <v>1347</v>
      </c>
      <c r="W249" s="9"/>
      <c r="X249" s="9" t="s">
        <v>377</v>
      </c>
      <c r="Y249" s="9" t="s">
        <v>377</v>
      </c>
      <c r="Z249" s="12" t="b">
        <f aca="false">FALSE()</f>
        <v>0</v>
      </c>
      <c r="AA249" s="8" t="s">
        <v>1348</v>
      </c>
    </row>
    <row r="250" customFormat="false" ht="15.75" hidden="false" customHeight="true" outlineLevel="0" collapsed="false">
      <c r="A250" s="9" t="s">
        <v>1885</v>
      </c>
      <c r="B250" s="9" t="s">
        <v>583</v>
      </c>
      <c r="C250" s="9" t="s">
        <v>584</v>
      </c>
      <c r="D250" s="9" t="s">
        <v>377</v>
      </c>
      <c r="E250" s="9" t="s">
        <v>866</v>
      </c>
      <c r="F250" s="9" t="s">
        <v>1336</v>
      </c>
      <c r="G250" s="9" t="s">
        <v>1351</v>
      </c>
      <c r="H250" s="9" t="s">
        <v>1352</v>
      </c>
      <c r="I250" s="9"/>
      <c r="J250" s="9"/>
      <c r="K250" s="9"/>
      <c r="L250" s="9"/>
      <c r="M250" s="9"/>
      <c r="N250" s="9"/>
      <c r="O250" s="9"/>
      <c r="P250" s="9"/>
      <c r="Q250" s="9" t="s">
        <v>1353</v>
      </c>
      <c r="R250" s="9"/>
      <c r="S250" s="9"/>
      <c r="T250" s="9"/>
      <c r="U250" s="9"/>
      <c r="V250" s="9"/>
      <c r="W250" s="9"/>
      <c r="X250" s="9" t="s">
        <v>414</v>
      </c>
      <c r="Y250" s="9" t="s">
        <v>391</v>
      </c>
      <c r="Z250" s="12" t="b">
        <f aca="false">FALSE()</f>
        <v>0</v>
      </c>
      <c r="AA250" s="8" t="s">
        <v>1348</v>
      </c>
    </row>
    <row r="251" customFormat="false" ht="15.75" hidden="false" customHeight="true" outlineLevel="0" collapsed="false">
      <c r="A251" s="9" t="s">
        <v>1886</v>
      </c>
      <c r="B251" s="9" t="s">
        <v>583</v>
      </c>
      <c r="C251" s="9" t="s">
        <v>584</v>
      </c>
      <c r="D251" s="9" t="s">
        <v>377</v>
      </c>
      <c r="E251" s="9" t="s">
        <v>912</v>
      </c>
      <c r="F251" s="9" t="s">
        <v>1336</v>
      </c>
      <c r="G251" s="9" t="s">
        <v>1351</v>
      </c>
      <c r="H251" s="9" t="s">
        <v>1352</v>
      </c>
      <c r="I251" s="9"/>
      <c r="J251" s="9"/>
      <c r="K251" s="9"/>
      <c r="L251" s="9"/>
      <c r="M251" s="9"/>
      <c r="N251" s="9"/>
      <c r="O251" s="9"/>
      <c r="P251" s="9"/>
      <c r="Q251" s="9" t="s">
        <v>1353</v>
      </c>
      <c r="R251" s="9"/>
      <c r="S251" s="9"/>
      <c r="T251" s="9"/>
      <c r="U251" s="9"/>
      <c r="V251" s="9"/>
      <c r="W251" s="9"/>
      <c r="X251" s="9" t="s">
        <v>414</v>
      </c>
      <c r="Y251" s="9" t="s">
        <v>391</v>
      </c>
      <c r="Z251" s="12" t="b">
        <f aca="false">FALSE()</f>
        <v>0</v>
      </c>
      <c r="AA251" s="8" t="s">
        <v>1348</v>
      </c>
    </row>
    <row r="252" customFormat="false" ht="15.75" hidden="false" customHeight="true" outlineLevel="0" collapsed="false">
      <c r="A252" s="9" t="s">
        <v>1887</v>
      </c>
      <c r="B252" s="9" t="s">
        <v>583</v>
      </c>
      <c r="C252" s="9" t="s">
        <v>584</v>
      </c>
      <c r="D252" s="9" t="s">
        <v>377</v>
      </c>
      <c r="E252" s="9" t="s">
        <v>966</v>
      </c>
      <c r="F252" s="9" t="s">
        <v>1336</v>
      </c>
      <c r="G252" s="9" t="s">
        <v>1351</v>
      </c>
      <c r="H252" s="9" t="s">
        <v>1352</v>
      </c>
      <c r="I252" s="9"/>
      <c r="J252" s="9"/>
      <c r="K252" s="9"/>
      <c r="L252" s="9"/>
      <c r="M252" s="9"/>
      <c r="N252" s="9"/>
      <c r="O252" s="9"/>
      <c r="P252" s="9"/>
      <c r="Q252" s="9" t="s">
        <v>1353</v>
      </c>
      <c r="R252" s="9"/>
      <c r="S252" s="9"/>
      <c r="T252" s="9"/>
      <c r="U252" s="9"/>
      <c r="V252" s="9"/>
      <c r="W252" s="9"/>
      <c r="X252" s="9" t="s">
        <v>414</v>
      </c>
      <c r="Y252" s="9" t="s">
        <v>391</v>
      </c>
      <c r="Z252" s="12" t="b">
        <f aca="false">FALSE()</f>
        <v>0</v>
      </c>
      <c r="AA252" s="8" t="s">
        <v>1348</v>
      </c>
    </row>
    <row r="253" customFormat="false" ht="15.75" hidden="false" customHeight="true" outlineLevel="0" collapsed="false">
      <c r="A253" s="9" t="s">
        <v>1888</v>
      </c>
      <c r="B253" s="9" t="s">
        <v>583</v>
      </c>
      <c r="C253" s="9" t="s">
        <v>584</v>
      </c>
      <c r="D253" s="9" t="s">
        <v>377</v>
      </c>
      <c r="E253" s="9" t="s">
        <v>947</v>
      </c>
      <c r="F253" s="9" t="s">
        <v>1336</v>
      </c>
      <c r="G253" s="9" t="s">
        <v>1351</v>
      </c>
      <c r="H253" s="9" t="s">
        <v>1352</v>
      </c>
      <c r="I253" s="9"/>
      <c r="J253" s="9"/>
      <c r="K253" s="9"/>
      <c r="L253" s="9"/>
      <c r="M253" s="9"/>
      <c r="N253" s="9"/>
      <c r="O253" s="9"/>
      <c r="P253" s="9"/>
      <c r="Q253" s="9" t="s">
        <v>1353</v>
      </c>
      <c r="R253" s="9"/>
      <c r="S253" s="9"/>
      <c r="T253" s="9"/>
      <c r="U253" s="9"/>
      <c r="V253" s="9"/>
      <c r="W253" s="9"/>
      <c r="X253" s="9" t="s">
        <v>414</v>
      </c>
      <c r="Y253" s="9" t="s">
        <v>391</v>
      </c>
      <c r="Z253" s="12" t="b">
        <f aca="false">FALSE()</f>
        <v>0</v>
      </c>
      <c r="AA253" s="8" t="s">
        <v>1348</v>
      </c>
    </row>
    <row r="254" customFormat="false" ht="15.75" hidden="false" customHeight="true" outlineLevel="0" collapsed="false">
      <c r="A254" s="9" t="s">
        <v>1889</v>
      </c>
      <c r="B254" s="9" t="s">
        <v>587</v>
      </c>
      <c r="C254" s="9" t="s">
        <v>588</v>
      </c>
      <c r="D254" s="9" t="s">
        <v>377</v>
      </c>
      <c r="E254" s="9" t="s">
        <v>1021</v>
      </c>
      <c r="F254" s="9" t="s">
        <v>1405</v>
      </c>
      <c r="G254" s="9" t="s">
        <v>1337</v>
      </c>
      <c r="H254" s="9" t="s">
        <v>1890</v>
      </c>
      <c r="I254" s="9" t="s">
        <v>1891</v>
      </c>
      <c r="J254" s="9" t="s">
        <v>1892</v>
      </c>
      <c r="K254" s="9" t="s">
        <v>1022</v>
      </c>
      <c r="L254" s="9" t="s">
        <v>1378</v>
      </c>
      <c r="M254" s="9" t="s">
        <v>1379</v>
      </c>
      <c r="N254" s="9" t="s">
        <v>1025</v>
      </c>
      <c r="O254" s="9" t="s">
        <v>1025</v>
      </c>
      <c r="P254" s="9" t="s">
        <v>1893</v>
      </c>
      <c r="Q254" s="9" t="s">
        <v>113</v>
      </c>
      <c r="R254" s="9" t="s">
        <v>1381</v>
      </c>
      <c r="S254" s="9" t="s">
        <v>89</v>
      </c>
      <c r="T254" s="9"/>
      <c r="U254" s="9" t="s">
        <v>1894</v>
      </c>
      <c r="V254" s="9" t="s">
        <v>399</v>
      </c>
      <c r="W254" s="9"/>
      <c r="X254" s="9" t="s">
        <v>390</v>
      </c>
      <c r="Y254" s="9" t="s">
        <v>391</v>
      </c>
      <c r="Z254" s="12" t="b">
        <f aca="false">FALSE()</f>
        <v>0</v>
      </c>
      <c r="AA254" s="8" t="s">
        <v>1348</v>
      </c>
    </row>
    <row r="255" customFormat="false" ht="15.75" hidden="false" customHeight="true" outlineLevel="0" collapsed="false">
      <c r="A255" s="9" t="s">
        <v>1895</v>
      </c>
      <c r="B255" s="9" t="s">
        <v>587</v>
      </c>
      <c r="C255" s="9" t="s">
        <v>588</v>
      </c>
      <c r="D255" s="9" t="s">
        <v>377</v>
      </c>
      <c r="E255" s="9" t="s">
        <v>1350</v>
      </c>
      <c r="F255" s="9" t="s">
        <v>1405</v>
      </c>
      <c r="G255" s="9" t="s">
        <v>1351</v>
      </c>
      <c r="H255" s="9" t="s">
        <v>1352</v>
      </c>
      <c r="I255" s="9"/>
      <c r="J255" s="9"/>
      <c r="K255" s="9"/>
      <c r="L255" s="9"/>
      <c r="M255" s="9"/>
      <c r="N255" s="9"/>
      <c r="O255" s="9"/>
      <c r="P255" s="9"/>
      <c r="Q255" s="9" t="s">
        <v>1353</v>
      </c>
      <c r="R255" s="9"/>
      <c r="S255" s="9"/>
      <c r="T255" s="9"/>
      <c r="U255" s="9"/>
      <c r="V255" s="9"/>
      <c r="W255" s="9"/>
      <c r="X255" s="9" t="s">
        <v>414</v>
      </c>
      <c r="Y255" s="9" t="s">
        <v>391</v>
      </c>
      <c r="Z255" s="12" t="b">
        <f aca="false">FALSE()</f>
        <v>0</v>
      </c>
      <c r="AA255" s="8" t="s">
        <v>1348</v>
      </c>
    </row>
    <row r="256" customFormat="false" ht="15.75" hidden="false" customHeight="true" outlineLevel="0" collapsed="false">
      <c r="A256" s="9" t="s">
        <v>1896</v>
      </c>
      <c r="B256" s="9" t="s">
        <v>587</v>
      </c>
      <c r="C256" s="9" t="s">
        <v>588</v>
      </c>
      <c r="D256" s="9" t="s">
        <v>377</v>
      </c>
      <c r="E256" s="9" t="s">
        <v>1355</v>
      </c>
      <c r="F256" s="9" t="s">
        <v>1405</v>
      </c>
      <c r="G256" s="9" t="s">
        <v>1351</v>
      </c>
      <c r="H256" s="9" t="s">
        <v>1352</v>
      </c>
      <c r="I256" s="9"/>
      <c r="J256" s="9"/>
      <c r="K256" s="9"/>
      <c r="L256" s="9"/>
      <c r="M256" s="9"/>
      <c r="N256" s="9"/>
      <c r="O256" s="9"/>
      <c r="P256" s="9"/>
      <c r="Q256" s="9" t="s">
        <v>1353</v>
      </c>
      <c r="R256" s="9"/>
      <c r="S256" s="9"/>
      <c r="T256" s="9"/>
      <c r="U256" s="9"/>
      <c r="V256" s="9"/>
      <c r="W256" s="9"/>
      <c r="X256" s="9" t="s">
        <v>414</v>
      </c>
      <c r="Y256" s="9" t="s">
        <v>391</v>
      </c>
      <c r="Z256" s="12" t="b">
        <f aca="false">FALSE()</f>
        <v>0</v>
      </c>
      <c r="AA256" s="8" t="s">
        <v>1348</v>
      </c>
    </row>
    <row r="257" customFormat="false" ht="15.75" hidden="false" customHeight="true" outlineLevel="0" collapsed="false">
      <c r="A257" s="9" t="s">
        <v>1897</v>
      </c>
      <c r="B257" s="9" t="s">
        <v>587</v>
      </c>
      <c r="C257" s="9" t="s">
        <v>588</v>
      </c>
      <c r="D257" s="9" t="s">
        <v>377</v>
      </c>
      <c r="E257" s="9" t="s">
        <v>886</v>
      </c>
      <c r="F257" s="9" t="s">
        <v>1405</v>
      </c>
      <c r="G257" s="9" t="s">
        <v>1337</v>
      </c>
      <c r="H257" s="9" t="s">
        <v>1890</v>
      </c>
      <c r="I257" s="9" t="s">
        <v>1891</v>
      </c>
      <c r="J257" s="9" t="s">
        <v>1892</v>
      </c>
      <c r="K257" s="9" t="s">
        <v>900</v>
      </c>
      <c r="L257" s="9" t="s">
        <v>1378</v>
      </c>
      <c r="M257" s="9" t="s">
        <v>1425</v>
      </c>
      <c r="N257" s="9" t="s">
        <v>903</v>
      </c>
      <c r="O257" s="9" t="s">
        <v>904</v>
      </c>
      <c r="P257" s="9" t="s">
        <v>1898</v>
      </c>
      <c r="Q257" s="9" t="s">
        <v>113</v>
      </c>
      <c r="R257" s="9" t="s">
        <v>1726</v>
      </c>
      <c r="S257" s="9" t="s">
        <v>89</v>
      </c>
      <c r="T257" s="9"/>
      <c r="U257" s="9" t="s">
        <v>1899</v>
      </c>
      <c r="V257" s="9" t="s">
        <v>399</v>
      </c>
      <c r="W257" s="9"/>
      <c r="X257" s="9" t="s">
        <v>390</v>
      </c>
      <c r="Y257" s="9" t="s">
        <v>391</v>
      </c>
      <c r="Z257" s="12" t="b">
        <f aca="false">FALSE()</f>
        <v>0</v>
      </c>
      <c r="AA257" s="8" t="s">
        <v>1348</v>
      </c>
    </row>
    <row r="258" customFormat="false" ht="15.75" hidden="false" customHeight="true" outlineLevel="0" collapsed="false">
      <c r="A258" s="9" t="s">
        <v>1900</v>
      </c>
      <c r="B258" s="9" t="s">
        <v>587</v>
      </c>
      <c r="C258" s="9" t="s">
        <v>588</v>
      </c>
      <c r="D258" s="9" t="s">
        <v>377</v>
      </c>
      <c r="E258" s="9" t="s">
        <v>866</v>
      </c>
      <c r="F258" s="9" t="s">
        <v>1405</v>
      </c>
      <c r="G258" s="9" t="s">
        <v>1351</v>
      </c>
      <c r="H258" s="9" t="s">
        <v>1352</v>
      </c>
      <c r="I258" s="9"/>
      <c r="J258" s="9"/>
      <c r="K258" s="9"/>
      <c r="L258" s="9"/>
      <c r="M258" s="9"/>
      <c r="N258" s="9"/>
      <c r="O258" s="9"/>
      <c r="P258" s="9"/>
      <c r="Q258" s="9" t="s">
        <v>1353</v>
      </c>
      <c r="R258" s="9"/>
      <c r="S258" s="9"/>
      <c r="T258" s="9"/>
      <c r="U258" s="9"/>
      <c r="V258" s="9"/>
      <c r="W258" s="9"/>
      <c r="X258" s="9" t="s">
        <v>414</v>
      </c>
      <c r="Y258" s="9" t="s">
        <v>391</v>
      </c>
      <c r="Z258" s="12" t="b">
        <f aca="false">FALSE()</f>
        <v>0</v>
      </c>
      <c r="AA258" s="8" t="s">
        <v>1348</v>
      </c>
    </row>
    <row r="259" customFormat="false" ht="15.75" hidden="false" customHeight="true" outlineLevel="0" collapsed="false">
      <c r="A259" s="9" t="s">
        <v>1901</v>
      </c>
      <c r="B259" s="9" t="s">
        <v>587</v>
      </c>
      <c r="C259" s="9" t="s">
        <v>588</v>
      </c>
      <c r="D259" s="9" t="s">
        <v>377</v>
      </c>
      <c r="E259" s="9" t="s">
        <v>912</v>
      </c>
      <c r="F259" s="9" t="s">
        <v>1405</v>
      </c>
      <c r="G259" s="9" t="s">
        <v>1351</v>
      </c>
      <c r="H259" s="9" t="s">
        <v>1352</v>
      </c>
      <c r="I259" s="9"/>
      <c r="J259" s="9"/>
      <c r="K259" s="9"/>
      <c r="L259" s="9"/>
      <c r="M259" s="9"/>
      <c r="N259" s="9"/>
      <c r="O259" s="9"/>
      <c r="P259" s="9"/>
      <c r="Q259" s="9" t="s">
        <v>1353</v>
      </c>
      <c r="R259" s="9"/>
      <c r="S259" s="9"/>
      <c r="T259" s="9"/>
      <c r="U259" s="9"/>
      <c r="V259" s="9"/>
      <c r="W259" s="9"/>
      <c r="X259" s="9" t="s">
        <v>414</v>
      </c>
      <c r="Y259" s="9" t="s">
        <v>391</v>
      </c>
      <c r="Z259" s="12" t="b">
        <f aca="false">FALSE()</f>
        <v>0</v>
      </c>
      <c r="AA259" s="8" t="s">
        <v>1348</v>
      </c>
    </row>
    <row r="260" customFormat="false" ht="15.75" hidden="false" customHeight="true" outlineLevel="0" collapsed="false">
      <c r="A260" s="9" t="s">
        <v>1902</v>
      </c>
      <c r="B260" s="9" t="s">
        <v>587</v>
      </c>
      <c r="C260" s="9" t="s">
        <v>588</v>
      </c>
      <c r="D260" s="9" t="s">
        <v>377</v>
      </c>
      <c r="E260" s="9" t="s">
        <v>966</v>
      </c>
      <c r="F260" s="9" t="s">
        <v>1405</v>
      </c>
      <c r="G260" s="9" t="s">
        <v>1351</v>
      </c>
      <c r="H260" s="9" t="s">
        <v>1352</v>
      </c>
      <c r="I260" s="9"/>
      <c r="J260" s="9"/>
      <c r="K260" s="9"/>
      <c r="L260" s="9"/>
      <c r="M260" s="9"/>
      <c r="N260" s="9"/>
      <c r="O260" s="9"/>
      <c r="P260" s="9"/>
      <c r="Q260" s="9" t="s">
        <v>1353</v>
      </c>
      <c r="R260" s="9"/>
      <c r="S260" s="9"/>
      <c r="T260" s="9"/>
      <c r="U260" s="9"/>
      <c r="V260" s="9"/>
      <c r="W260" s="9"/>
      <c r="X260" s="9" t="s">
        <v>414</v>
      </c>
      <c r="Y260" s="9" t="s">
        <v>391</v>
      </c>
      <c r="Z260" s="12" t="b">
        <f aca="false">FALSE()</f>
        <v>0</v>
      </c>
      <c r="AA260" s="8" t="s">
        <v>1348</v>
      </c>
    </row>
    <row r="261" customFormat="false" ht="15.75" hidden="false" customHeight="true" outlineLevel="0" collapsed="false">
      <c r="A261" s="9" t="s">
        <v>1903</v>
      </c>
      <c r="B261" s="9" t="s">
        <v>587</v>
      </c>
      <c r="C261" s="9" t="s">
        <v>588</v>
      </c>
      <c r="D261" s="9" t="s">
        <v>377</v>
      </c>
      <c r="E261" s="9" t="s">
        <v>947</v>
      </c>
      <c r="F261" s="9" t="s">
        <v>1405</v>
      </c>
      <c r="G261" s="9" t="s">
        <v>1351</v>
      </c>
      <c r="H261" s="9" t="s">
        <v>1352</v>
      </c>
      <c r="I261" s="9"/>
      <c r="J261" s="9"/>
      <c r="K261" s="9"/>
      <c r="L261" s="9"/>
      <c r="M261" s="9"/>
      <c r="N261" s="9"/>
      <c r="O261" s="9"/>
      <c r="P261" s="9"/>
      <c r="Q261" s="9" t="s">
        <v>1353</v>
      </c>
      <c r="R261" s="9"/>
      <c r="S261" s="9"/>
      <c r="T261" s="9"/>
      <c r="U261" s="9"/>
      <c r="V261" s="9"/>
      <c r="W261" s="9"/>
      <c r="X261" s="9" t="s">
        <v>414</v>
      </c>
      <c r="Y261" s="9" t="s">
        <v>391</v>
      </c>
      <c r="Z261" s="12" t="b">
        <f aca="false">FALSE()</f>
        <v>0</v>
      </c>
      <c r="AA261" s="8" t="s">
        <v>1348</v>
      </c>
    </row>
    <row r="262" customFormat="false" ht="15.75" hidden="false" customHeight="true" outlineLevel="0" collapsed="false">
      <c r="A262" s="9" t="s">
        <v>1904</v>
      </c>
      <c r="B262" s="9" t="s">
        <v>591</v>
      </c>
      <c r="C262" s="9" t="s">
        <v>592</v>
      </c>
      <c r="D262" s="9" t="s">
        <v>377</v>
      </c>
      <c r="E262" s="9" t="s">
        <v>1021</v>
      </c>
      <c r="F262" s="9" t="s">
        <v>1336</v>
      </c>
      <c r="G262" s="9" t="s">
        <v>1351</v>
      </c>
      <c r="H262" s="9" t="s">
        <v>1352</v>
      </c>
      <c r="I262" s="9"/>
      <c r="J262" s="9"/>
      <c r="K262" s="9"/>
      <c r="L262" s="9"/>
      <c r="M262" s="9"/>
      <c r="N262" s="9"/>
      <c r="O262" s="9"/>
      <c r="P262" s="9"/>
      <c r="Q262" s="9" t="s">
        <v>1353</v>
      </c>
      <c r="R262" s="9"/>
      <c r="S262" s="9"/>
      <c r="T262" s="9"/>
      <c r="U262" s="9"/>
      <c r="V262" s="9"/>
      <c r="W262" s="9"/>
      <c r="X262" s="9" t="s">
        <v>414</v>
      </c>
      <c r="Y262" s="9" t="s">
        <v>391</v>
      </c>
      <c r="Z262" s="12" t="b">
        <f aca="false">FALSE()</f>
        <v>0</v>
      </c>
      <c r="AA262" s="8" t="s">
        <v>1348</v>
      </c>
    </row>
    <row r="263" customFormat="false" ht="15.75" hidden="false" customHeight="true" outlineLevel="0" collapsed="false">
      <c r="A263" s="9" t="s">
        <v>1905</v>
      </c>
      <c r="B263" s="9" t="s">
        <v>591</v>
      </c>
      <c r="C263" s="9" t="s">
        <v>592</v>
      </c>
      <c r="D263" s="9" t="s">
        <v>377</v>
      </c>
      <c r="E263" s="9" t="s">
        <v>1350</v>
      </c>
      <c r="F263" s="9" t="s">
        <v>1336</v>
      </c>
      <c r="G263" s="9" t="s">
        <v>1351</v>
      </c>
      <c r="H263" s="9" t="s">
        <v>1352</v>
      </c>
      <c r="I263" s="9"/>
      <c r="J263" s="9"/>
      <c r="K263" s="9"/>
      <c r="L263" s="9"/>
      <c r="M263" s="9"/>
      <c r="N263" s="9"/>
      <c r="O263" s="9"/>
      <c r="P263" s="9"/>
      <c r="Q263" s="9" t="s">
        <v>1353</v>
      </c>
      <c r="R263" s="9"/>
      <c r="S263" s="9"/>
      <c r="T263" s="9"/>
      <c r="U263" s="9"/>
      <c r="V263" s="9"/>
      <c r="W263" s="9"/>
      <c r="X263" s="9" t="s">
        <v>414</v>
      </c>
      <c r="Y263" s="9" t="s">
        <v>391</v>
      </c>
      <c r="Z263" s="12" t="b">
        <f aca="false">FALSE()</f>
        <v>0</v>
      </c>
      <c r="AA263" s="8" t="s">
        <v>1348</v>
      </c>
    </row>
    <row r="264" customFormat="false" ht="15.75" hidden="false" customHeight="true" outlineLevel="0" collapsed="false">
      <c r="A264" s="9" t="s">
        <v>1906</v>
      </c>
      <c r="B264" s="9" t="s">
        <v>591</v>
      </c>
      <c r="C264" s="9" t="s">
        <v>592</v>
      </c>
      <c r="D264" s="9" t="s">
        <v>377</v>
      </c>
      <c r="E264" s="9" t="s">
        <v>1355</v>
      </c>
      <c r="F264" s="9" t="s">
        <v>1336</v>
      </c>
      <c r="G264" s="9" t="s">
        <v>1351</v>
      </c>
      <c r="H264" s="9" t="s">
        <v>1352</v>
      </c>
      <c r="I264" s="9"/>
      <c r="J264" s="9"/>
      <c r="K264" s="9"/>
      <c r="L264" s="9"/>
      <c r="M264" s="9"/>
      <c r="N264" s="9"/>
      <c r="O264" s="9"/>
      <c r="P264" s="9"/>
      <c r="Q264" s="9" t="s">
        <v>1353</v>
      </c>
      <c r="R264" s="9"/>
      <c r="S264" s="9"/>
      <c r="T264" s="9"/>
      <c r="U264" s="9"/>
      <c r="V264" s="9"/>
      <c r="W264" s="9"/>
      <c r="X264" s="9" t="s">
        <v>414</v>
      </c>
      <c r="Y264" s="9" t="s">
        <v>391</v>
      </c>
      <c r="Z264" s="12" t="b">
        <f aca="false">FALSE()</f>
        <v>0</v>
      </c>
      <c r="AA264" s="8" t="s">
        <v>1348</v>
      </c>
    </row>
    <row r="265" customFormat="false" ht="15.75" hidden="false" customHeight="true" outlineLevel="0" collapsed="false">
      <c r="A265" s="9" t="s">
        <v>1907</v>
      </c>
      <c r="B265" s="9" t="s">
        <v>591</v>
      </c>
      <c r="C265" s="9" t="s">
        <v>592</v>
      </c>
      <c r="D265" s="9" t="s">
        <v>377</v>
      </c>
      <c r="E265" s="9" t="s">
        <v>886</v>
      </c>
      <c r="F265" s="9" t="s">
        <v>1336</v>
      </c>
      <c r="G265" s="9" t="s">
        <v>1337</v>
      </c>
      <c r="H265" s="9" t="s">
        <v>1338</v>
      </c>
      <c r="I265" s="9" t="s">
        <v>1908</v>
      </c>
      <c r="J265" s="9" t="s">
        <v>377</v>
      </c>
      <c r="K265" s="9" t="s">
        <v>958</v>
      </c>
      <c r="L265" s="9" t="s">
        <v>959</v>
      </c>
      <c r="M265" s="9" t="s">
        <v>1456</v>
      </c>
      <c r="N265" s="9" t="s">
        <v>961</v>
      </c>
      <c r="O265" s="9" t="s">
        <v>961</v>
      </c>
      <c r="P265" s="9" t="s">
        <v>1909</v>
      </c>
      <c r="Q265" s="9" t="s">
        <v>113</v>
      </c>
      <c r="R265" s="9" t="s">
        <v>1870</v>
      </c>
      <c r="S265" s="9" t="s">
        <v>398</v>
      </c>
      <c r="T265" s="9" t="s">
        <v>377</v>
      </c>
      <c r="U265" s="9" t="s">
        <v>1910</v>
      </c>
      <c r="V265" s="9" t="s">
        <v>1347</v>
      </c>
      <c r="W265" s="9"/>
      <c r="X265" s="9" t="s">
        <v>377</v>
      </c>
      <c r="Y265" s="9" t="s">
        <v>377</v>
      </c>
      <c r="Z265" s="12" t="b">
        <f aca="false">FALSE()</f>
        <v>0</v>
      </c>
      <c r="AA265" s="8" t="s">
        <v>1348</v>
      </c>
    </row>
    <row r="266" customFormat="false" ht="15.75" hidden="false" customHeight="true" outlineLevel="0" collapsed="false">
      <c r="A266" s="9" t="s">
        <v>1911</v>
      </c>
      <c r="B266" s="9" t="s">
        <v>591</v>
      </c>
      <c r="C266" s="9" t="s">
        <v>592</v>
      </c>
      <c r="D266" s="9" t="s">
        <v>377</v>
      </c>
      <c r="E266" s="9" t="s">
        <v>866</v>
      </c>
      <c r="F266" s="9" t="s">
        <v>1336</v>
      </c>
      <c r="G266" s="9" t="s">
        <v>1351</v>
      </c>
      <c r="H266" s="9" t="s">
        <v>1352</v>
      </c>
      <c r="I266" s="9"/>
      <c r="J266" s="9"/>
      <c r="K266" s="9"/>
      <c r="L266" s="9"/>
      <c r="M266" s="9"/>
      <c r="N266" s="9"/>
      <c r="O266" s="9"/>
      <c r="P266" s="9"/>
      <c r="Q266" s="9" t="s">
        <v>1353</v>
      </c>
      <c r="R266" s="9"/>
      <c r="S266" s="9"/>
      <c r="T266" s="9"/>
      <c r="U266" s="9"/>
      <c r="V266" s="9"/>
      <c r="W266" s="9"/>
      <c r="X266" s="9" t="s">
        <v>414</v>
      </c>
      <c r="Y266" s="9" t="s">
        <v>391</v>
      </c>
      <c r="Z266" s="12" t="b">
        <f aca="false">FALSE()</f>
        <v>0</v>
      </c>
      <c r="AA266" s="8" t="s">
        <v>1348</v>
      </c>
    </row>
    <row r="267" customFormat="false" ht="15.75" hidden="false" customHeight="true" outlineLevel="0" collapsed="false">
      <c r="A267" s="9" t="s">
        <v>1912</v>
      </c>
      <c r="B267" s="9" t="s">
        <v>591</v>
      </c>
      <c r="C267" s="9" t="s">
        <v>592</v>
      </c>
      <c r="D267" s="9" t="s">
        <v>377</v>
      </c>
      <c r="E267" s="9" t="s">
        <v>912</v>
      </c>
      <c r="F267" s="9" t="s">
        <v>1336</v>
      </c>
      <c r="G267" s="9" t="s">
        <v>1351</v>
      </c>
      <c r="H267" s="9" t="s">
        <v>1352</v>
      </c>
      <c r="I267" s="9"/>
      <c r="J267" s="9"/>
      <c r="K267" s="9"/>
      <c r="L267" s="9"/>
      <c r="M267" s="9"/>
      <c r="N267" s="9"/>
      <c r="O267" s="9"/>
      <c r="P267" s="9"/>
      <c r="Q267" s="9" t="s">
        <v>1353</v>
      </c>
      <c r="R267" s="9"/>
      <c r="S267" s="9"/>
      <c r="T267" s="9"/>
      <c r="U267" s="9"/>
      <c r="V267" s="9"/>
      <c r="W267" s="9"/>
      <c r="X267" s="9" t="s">
        <v>414</v>
      </c>
      <c r="Y267" s="9" t="s">
        <v>391</v>
      </c>
      <c r="Z267" s="12" t="b">
        <f aca="false">FALSE()</f>
        <v>0</v>
      </c>
      <c r="AA267" s="8" t="s">
        <v>1348</v>
      </c>
    </row>
    <row r="268" customFormat="false" ht="15.75" hidden="false" customHeight="true" outlineLevel="0" collapsed="false">
      <c r="A268" s="9" t="s">
        <v>1913</v>
      </c>
      <c r="B268" s="9" t="s">
        <v>591</v>
      </c>
      <c r="C268" s="9" t="s">
        <v>592</v>
      </c>
      <c r="D268" s="9" t="s">
        <v>377</v>
      </c>
      <c r="E268" s="9" t="s">
        <v>966</v>
      </c>
      <c r="F268" s="9" t="s">
        <v>1336</v>
      </c>
      <c r="G268" s="9" t="s">
        <v>1351</v>
      </c>
      <c r="H268" s="9" t="s">
        <v>1352</v>
      </c>
      <c r="I268" s="9"/>
      <c r="J268" s="9"/>
      <c r="K268" s="9"/>
      <c r="L268" s="9"/>
      <c r="M268" s="9"/>
      <c r="N268" s="9"/>
      <c r="O268" s="9"/>
      <c r="P268" s="9"/>
      <c r="Q268" s="9" t="s">
        <v>1353</v>
      </c>
      <c r="R268" s="9"/>
      <c r="S268" s="9"/>
      <c r="T268" s="9"/>
      <c r="U268" s="9"/>
      <c r="V268" s="9"/>
      <c r="W268" s="9"/>
      <c r="X268" s="9" t="s">
        <v>414</v>
      </c>
      <c r="Y268" s="9" t="s">
        <v>391</v>
      </c>
      <c r="Z268" s="12" t="b">
        <f aca="false">FALSE()</f>
        <v>0</v>
      </c>
      <c r="AA268" s="8" t="s">
        <v>1348</v>
      </c>
    </row>
    <row r="269" customFormat="false" ht="15.75" hidden="false" customHeight="true" outlineLevel="0" collapsed="false">
      <c r="A269" s="9" t="s">
        <v>1914</v>
      </c>
      <c r="B269" s="9" t="s">
        <v>591</v>
      </c>
      <c r="C269" s="9" t="s">
        <v>592</v>
      </c>
      <c r="D269" s="9" t="s">
        <v>377</v>
      </c>
      <c r="E269" s="9" t="s">
        <v>947</v>
      </c>
      <c r="F269" s="9" t="s">
        <v>1336</v>
      </c>
      <c r="G269" s="9" t="s">
        <v>1351</v>
      </c>
      <c r="H269" s="9" t="s">
        <v>1352</v>
      </c>
      <c r="I269" s="9"/>
      <c r="J269" s="9"/>
      <c r="K269" s="9"/>
      <c r="L269" s="9"/>
      <c r="M269" s="9"/>
      <c r="N269" s="9"/>
      <c r="O269" s="9"/>
      <c r="P269" s="9"/>
      <c r="Q269" s="9" t="s">
        <v>1353</v>
      </c>
      <c r="R269" s="9"/>
      <c r="S269" s="9"/>
      <c r="T269" s="9"/>
      <c r="U269" s="9"/>
      <c r="V269" s="9"/>
      <c r="W269" s="9"/>
      <c r="X269" s="9" t="s">
        <v>414</v>
      </c>
      <c r="Y269" s="9" t="s">
        <v>391</v>
      </c>
      <c r="Z269" s="12" t="b">
        <f aca="false">FALSE()</f>
        <v>0</v>
      </c>
      <c r="AA269" s="8" t="s">
        <v>1348</v>
      </c>
    </row>
    <row r="270" customFormat="false" ht="15.75" hidden="false" customHeight="true" outlineLevel="0" collapsed="false">
      <c r="A270" s="9" t="s">
        <v>1915</v>
      </c>
      <c r="B270" s="9" t="s">
        <v>595</v>
      </c>
      <c r="C270" s="9" t="s">
        <v>596</v>
      </c>
      <c r="D270" s="9" t="s">
        <v>377</v>
      </c>
      <c r="E270" s="9" t="s">
        <v>1021</v>
      </c>
      <c r="F270" s="9" t="s">
        <v>1336</v>
      </c>
      <c r="G270" s="9" t="s">
        <v>1337</v>
      </c>
      <c r="H270" s="9" t="s">
        <v>1338</v>
      </c>
      <c r="I270" s="9" t="s">
        <v>1916</v>
      </c>
      <c r="J270" s="9" t="s">
        <v>377</v>
      </c>
      <c r="K270" s="9" t="s">
        <v>1022</v>
      </c>
      <c r="L270" s="9" t="s">
        <v>1378</v>
      </c>
      <c r="M270" s="9" t="s">
        <v>1379</v>
      </c>
      <c r="N270" s="9" t="s">
        <v>1025</v>
      </c>
      <c r="O270" s="9" t="s">
        <v>1025</v>
      </c>
      <c r="P270" s="9" t="s">
        <v>1917</v>
      </c>
      <c r="Q270" s="9" t="s">
        <v>113</v>
      </c>
      <c r="R270" s="9" t="s">
        <v>1381</v>
      </c>
      <c r="S270" s="9" t="s">
        <v>398</v>
      </c>
      <c r="T270" s="9" t="s">
        <v>377</v>
      </c>
      <c r="U270" s="9" t="s">
        <v>1918</v>
      </c>
      <c r="V270" s="9" t="s">
        <v>1347</v>
      </c>
      <c r="W270" s="9"/>
      <c r="X270" s="9" t="s">
        <v>377</v>
      </c>
      <c r="Y270" s="9" t="s">
        <v>377</v>
      </c>
      <c r="Z270" s="12" t="b">
        <f aca="false">FALSE()</f>
        <v>0</v>
      </c>
      <c r="AA270" s="8" t="s">
        <v>1348</v>
      </c>
    </row>
    <row r="271" customFormat="false" ht="15.75" hidden="false" customHeight="true" outlineLevel="0" collapsed="false">
      <c r="A271" s="9" t="s">
        <v>1919</v>
      </c>
      <c r="B271" s="9" t="s">
        <v>595</v>
      </c>
      <c r="C271" s="9" t="s">
        <v>596</v>
      </c>
      <c r="D271" s="9" t="s">
        <v>377</v>
      </c>
      <c r="E271" s="9" t="s">
        <v>1350</v>
      </c>
      <c r="F271" s="9" t="s">
        <v>1336</v>
      </c>
      <c r="G271" s="9" t="s">
        <v>1337</v>
      </c>
      <c r="H271" s="9" t="s">
        <v>1338</v>
      </c>
      <c r="I271" s="9" t="s">
        <v>1916</v>
      </c>
      <c r="J271" s="9" t="s">
        <v>377</v>
      </c>
      <c r="K271" s="9" t="s">
        <v>1384</v>
      </c>
      <c r="L271" s="9" t="s">
        <v>1378</v>
      </c>
      <c r="M271" s="9" t="s">
        <v>1385</v>
      </c>
      <c r="N271" s="9" t="s">
        <v>1386</v>
      </c>
      <c r="O271" s="9" t="s">
        <v>1386</v>
      </c>
      <c r="P271" s="9" t="s">
        <v>1920</v>
      </c>
      <c r="Q271" s="9" t="s">
        <v>113</v>
      </c>
      <c r="R271" s="9" t="s">
        <v>1420</v>
      </c>
      <c r="S271" s="9" t="s">
        <v>398</v>
      </c>
      <c r="T271" s="9" t="s">
        <v>377</v>
      </c>
      <c r="U271" s="9" t="s">
        <v>1918</v>
      </c>
      <c r="V271" s="9" t="s">
        <v>1347</v>
      </c>
      <c r="W271" s="9"/>
      <c r="X271" s="9" t="s">
        <v>377</v>
      </c>
      <c r="Y271" s="9" t="s">
        <v>377</v>
      </c>
      <c r="Z271" s="12" t="b">
        <f aca="false">FALSE()</f>
        <v>0</v>
      </c>
      <c r="AA271" s="8" t="s">
        <v>1348</v>
      </c>
    </row>
    <row r="272" customFormat="false" ht="15.75" hidden="false" customHeight="true" outlineLevel="0" collapsed="false">
      <c r="A272" s="9" t="s">
        <v>1921</v>
      </c>
      <c r="B272" s="9" t="s">
        <v>595</v>
      </c>
      <c r="C272" s="9" t="s">
        <v>596</v>
      </c>
      <c r="D272" s="9" t="s">
        <v>377</v>
      </c>
      <c r="E272" s="9" t="s">
        <v>1355</v>
      </c>
      <c r="F272" s="9" t="s">
        <v>1336</v>
      </c>
      <c r="G272" s="9" t="s">
        <v>1337</v>
      </c>
      <c r="H272" s="9" t="s">
        <v>1338</v>
      </c>
      <c r="I272" s="9" t="s">
        <v>1916</v>
      </c>
      <c r="J272" s="9" t="s">
        <v>377</v>
      </c>
      <c r="K272" s="9" t="s">
        <v>1390</v>
      </c>
      <c r="L272" s="9" t="s">
        <v>924</v>
      </c>
      <c r="M272" s="9" t="s">
        <v>924</v>
      </c>
      <c r="N272" s="9" t="s">
        <v>1391</v>
      </c>
      <c r="O272" s="9" t="s">
        <v>1392</v>
      </c>
      <c r="P272" s="9" t="s">
        <v>1922</v>
      </c>
      <c r="Q272" s="9" t="s">
        <v>113</v>
      </c>
      <c r="R272" s="9" t="s">
        <v>1923</v>
      </c>
      <c r="S272" s="9" t="s">
        <v>398</v>
      </c>
      <c r="T272" s="9" t="s">
        <v>377</v>
      </c>
      <c r="U272" s="9" t="s">
        <v>1918</v>
      </c>
      <c r="V272" s="9" t="s">
        <v>1347</v>
      </c>
      <c r="W272" s="9"/>
      <c r="X272" s="9" t="s">
        <v>377</v>
      </c>
      <c r="Y272" s="9" t="s">
        <v>377</v>
      </c>
      <c r="Z272" s="12" t="b">
        <f aca="false">FALSE()</f>
        <v>0</v>
      </c>
      <c r="AA272" s="8" t="s">
        <v>1348</v>
      </c>
    </row>
    <row r="273" customFormat="false" ht="15.75" hidden="false" customHeight="true" outlineLevel="0" collapsed="false">
      <c r="A273" s="9" t="s">
        <v>1924</v>
      </c>
      <c r="B273" s="9" t="s">
        <v>595</v>
      </c>
      <c r="C273" s="9" t="s">
        <v>596</v>
      </c>
      <c r="D273" s="9" t="s">
        <v>377</v>
      </c>
      <c r="E273" s="9" t="s">
        <v>886</v>
      </c>
      <c r="F273" s="9" t="s">
        <v>1336</v>
      </c>
      <c r="G273" s="9" t="s">
        <v>1351</v>
      </c>
      <c r="H273" s="9" t="s">
        <v>1352</v>
      </c>
      <c r="I273" s="9"/>
      <c r="J273" s="9"/>
      <c r="K273" s="9"/>
      <c r="L273" s="9"/>
      <c r="M273" s="9"/>
      <c r="N273" s="9"/>
      <c r="O273" s="9"/>
      <c r="P273" s="9"/>
      <c r="Q273" s="9" t="s">
        <v>1353</v>
      </c>
      <c r="R273" s="9"/>
      <c r="S273" s="9"/>
      <c r="T273" s="9"/>
      <c r="U273" s="9"/>
      <c r="V273" s="9"/>
      <c r="W273" s="9"/>
      <c r="X273" s="9" t="s">
        <v>414</v>
      </c>
      <c r="Y273" s="9" t="s">
        <v>391</v>
      </c>
      <c r="Z273" s="12" t="b">
        <f aca="false">FALSE()</f>
        <v>0</v>
      </c>
      <c r="AA273" s="8" t="s">
        <v>1348</v>
      </c>
    </row>
    <row r="274" customFormat="false" ht="15.75" hidden="false" customHeight="true" outlineLevel="0" collapsed="false">
      <c r="A274" s="9" t="s">
        <v>1925</v>
      </c>
      <c r="B274" s="9" t="s">
        <v>595</v>
      </c>
      <c r="C274" s="9" t="s">
        <v>596</v>
      </c>
      <c r="D274" s="9" t="s">
        <v>377</v>
      </c>
      <c r="E274" s="9" t="s">
        <v>866</v>
      </c>
      <c r="F274" s="9" t="s">
        <v>1336</v>
      </c>
      <c r="G274" s="9" t="s">
        <v>1351</v>
      </c>
      <c r="H274" s="9" t="s">
        <v>1352</v>
      </c>
      <c r="I274" s="9"/>
      <c r="J274" s="9"/>
      <c r="K274" s="9"/>
      <c r="L274" s="9"/>
      <c r="M274" s="9"/>
      <c r="N274" s="9"/>
      <c r="O274" s="9"/>
      <c r="P274" s="9"/>
      <c r="Q274" s="9" t="s">
        <v>1353</v>
      </c>
      <c r="R274" s="9"/>
      <c r="S274" s="9"/>
      <c r="T274" s="9"/>
      <c r="U274" s="9"/>
      <c r="V274" s="9"/>
      <c r="W274" s="9"/>
      <c r="X274" s="9" t="s">
        <v>414</v>
      </c>
      <c r="Y274" s="9" t="s">
        <v>391</v>
      </c>
      <c r="Z274" s="12" t="b">
        <f aca="false">FALSE()</f>
        <v>0</v>
      </c>
      <c r="AA274" s="8" t="s">
        <v>1348</v>
      </c>
    </row>
    <row r="275" customFormat="false" ht="15.75" hidden="false" customHeight="true" outlineLevel="0" collapsed="false">
      <c r="A275" s="9" t="s">
        <v>1926</v>
      </c>
      <c r="B275" s="9" t="s">
        <v>595</v>
      </c>
      <c r="C275" s="9" t="s">
        <v>596</v>
      </c>
      <c r="D275" s="9" t="s">
        <v>377</v>
      </c>
      <c r="E275" s="9" t="s">
        <v>912</v>
      </c>
      <c r="F275" s="9" t="s">
        <v>1336</v>
      </c>
      <c r="G275" s="9" t="s">
        <v>1351</v>
      </c>
      <c r="H275" s="9" t="s">
        <v>1352</v>
      </c>
      <c r="I275" s="9"/>
      <c r="J275" s="9"/>
      <c r="K275" s="9"/>
      <c r="L275" s="9"/>
      <c r="M275" s="9"/>
      <c r="N275" s="9"/>
      <c r="O275" s="9"/>
      <c r="P275" s="9"/>
      <c r="Q275" s="9" t="s">
        <v>1353</v>
      </c>
      <c r="R275" s="9"/>
      <c r="S275" s="9"/>
      <c r="T275" s="9"/>
      <c r="U275" s="9"/>
      <c r="V275" s="9"/>
      <c r="W275" s="9"/>
      <c r="X275" s="9" t="s">
        <v>414</v>
      </c>
      <c r="Y275" s="9" t="s">
        <v>391</v>
      </c>
      <c r="Z275" s="12" t="b">
        <f aca="false">FALSE()</f>
        <v>0</v>
      </c>
      <c r="AA275" s="8" t="s">
        <v>1348</v>
      </c>
    </row>
    <row r="276" customFormat="false" ht="15.75" hidden="false" customHeight="true" outlineLevel="0" collapsed="false">
      <c r="A276" s="9" t="s">
        <v>1927</v>
      </c>
      <c r="B276" s="9" t="s">
        <v>595</v>
      </c>
      <c r="C276" s="9" t="s">
        <v>596</v>
      </c>
      <c r="D276" s="9" t="s">
        <v>377</v>
      </c>
      <c r="E276" s="9" t="s">
        <v>966</v>
      </c>
      <c r="F276" s="9" t="s">
        <v>1336</v>
      </c>
      <c r="G276" s="9" t="s">
        <v>1351</v>
      </c>
      <c r="H276" s="9" t="s">
        <v>1352</v>
      </c>
      <c r="I276" s="9"/>
      <c r="J276" s="9"/>
      <c r="K276" s="9"/>
      <c r="L276" s="9"/>
      <c r="M276" s="9"/>
      <c r="N276" s="9"/>
      <c r="O276" s="9"/>
      <c r="P276" s="9"/>
      <c r="Q276" s="9" t="s">
        <v>1353</v>
      </c>
      <c r="R276" s="9"/>
      <c r="S276" s="9"/>
      <c r="T276" s="9"/>
      <c r="U276" s="9"/>
      <c r="V276" s="9"/>
      <c r="W276" s="9"/>
      <c r="X276" s="9" t="s">
        <v>414</v>
      </c>
      <c r="Y276" s="9" t="s">
        <v>391</v>
      </c>
      <c r="Z276" s="12" t="b">
        <f aca="false">FALSE()</f>
        <v>0</v>
      </c>
      <c r="AA276" s="8" t="s">
        <v>1348</v>
      </c>
    </row>
    <row r="277" customFormat="false" ht="15.75" hidden="false" customHeight="true" outlineLevel="0" collapsed="false">
      <c r="A277" s="9" t="s">
        <v>1928</v>
      </c>
      <c r="B277" s="9" t="s">
        <v>595</v>
      </c>
      <c r="C277" s="9" t="s">
        <v>596</v>
      </c>
      <c r="D277" s="9" t="s">
        <v>377</v>
      </c>
      <c r="E277" s="9" t="s">
        <v>947</v>
      </c>
      <c r="F277" s="9" t="s">
        <v>1336</v>
      </c>
      <c r="G277" s="9" t="s">
        <v>1351</v>
      </c>
      <c r="H277" s="9" t="s">
        <v>1352</v>
      </c>
      <c r="I277" s="9"/>
      <c r="J277" s="9"/>
      <c r="K277" s="9"/>
      <c r="L277" s="9"/>
      <c r="M277" s="9"/>
      <c r="N277" s="9"/>
      <c r="O277" s="9"/>
      <c r="P277" s="9"/>
      <c r="Q277" s="9" t="s">
        <v>1353</v>
      </c>
      <c r="R277" s="9"/>
      <c r="S277" s="9"/>
      <c r="T277" s="9"/>
      <c r="U277" s="9"/>
      <c r="V277" s="9"/>
      <c r="W277" s="9"/>
      <c r="X277" s="9" t="s">
        <v>414</v>
      </c>
      <c r="Y277" s="9" t="s">
        <v>391</v>
      </c>
      <c r="Z277" s="12" t="b">
        <f aca="false">FALSE()</f>
        <v>0</v>
      </c>
      <c r="AA277" s="8" t="s">
        <v>1348</v>
      </c>
    </row>
    <row r="278" customFormat="false" ht="15.75" hidden="false" customHeight="true" outlineLevel="0" collapsed="false">
      <c r="A278" s="9" t="s">
        <v>1929</v>
      </c>
      <c r="B278" s="9" t="s">
        <v>599</v>
      </c>
      <c r="C278" s="9" t="s">
        <v>600</v>
      </c>
      <c r="D278" s="9" t="s">
        <v>377</v>
      </c>
      <c r="E278" s="9" t="s">
        <v>1021</v>
      </c>
      <c r="F278" s="9" t="s">
        <v>1336</v>
      </c>
      <c r="G278" s="9" t="s">
        <v>1351</v>
      </c>
      <c r="H278" s="9" t="s">
        <v>1352</v>
      </c>
      <c r="I278" s="9"/>
      <c r="J278" s="9"/>
      <c r="K278" s="9"/>
      <c r="L278" s="9"/>
      <c r="M278" s="9"/>
      <c r="N278" s="9"/>
      <c r="O278" s="9"/>
      <c r="P278" s="9"/>
      <c r="Q278" s="9" t="s">
        <v>1353</v>
      </c>
      <c r="R278" s="9"/>
      <c r="S278" s="9"/>
      <c r="T278" s="9"/>
      <c r="U278" s="9"/>
      <c r="V278" s="9"/>
      <c r="W278" s="9"/>
      <c r="X278" s="9" t="s">
        <v>414</v>
      </c>
      <c r="Y278" s="9" t="s">
        <v>391</v>
      </c>
      <c r="Z278" s="12" t="b">
        <f aca="false">FALSE()</f>
        <v>0</v>
      </c>
      <c r="AA278" s="8" t="s">
        <v>1348</v>
      </c>
    </row>
    <row r="279" customFormat="false" ht="15.75" hidden="false" customHeight="true" outlineLevel="0" collapsed="false">
      <c r="A279" s="9" t="s">
        <v>1930</v>
      </c>
      <c r="B279" s="9" t="s">
        <v>599</v>
      </c>
      <c r="C279" s="9" t="s">
        <v>600</v>
      </c>
      <c r="D279" s="9" t="s">
        <v>377</v>
      </c>
      <c r="E279" s="9" t="s">
        <v>1350</v>
      </c>
      <c r="F279" s="9" t="s">
        <v>1336</v>
      </c>
      <c r="G279" s="9" t="s">
        <v>1351</v>
      </c>
      <c r="H279" s="9" t="s">
        <v>1352</v>
      </c>
      <c r="I279" s="9"/>
      <c r="J279" s="9"/>
      <c r="K279" s="9"/>
      <c r="L279" s="9"/>
      <c r="M279" s="9"/>
      <c r="N279" s="9"/>
      <c r="O279" s="9"/>
      <c r="P279" s="9"/>
      <c r="Q279" s="9" t="s">
        <v>1353</v>
      </c>
      <c r="R279" s="9"/>
      <c r="S279" s="9"/>
      <c r="T279" s="9"/>
      <c r="U279" s="9"/>
      <c r="V279" s="9"/>
      <c r="W279" s="9"/>
      <c r="X279" s="9" t="s">
        <v>414</v>
      </c>
      <c r="Y279" s="9" t="s">
        <v>391</v>
      </c>
      <c r="Z279" s="12" t="b">
        <f aca="false">FALSE()</f>
        <v>0</v>
      </c>
      <c r="AA279" s="8" t="s">
        <v>1348</v>
      </c>
    </row>
    <row r="280" customFormat="false" ht="15.75" hidden="false" customHeight="true" outlineLevel="0" collapsed="false">
      <c r="A280" s="9" t="s">
        <v>1931</v>
      </c>
      <c r="B280" s="9" t="s">
        <v>599</v>
      </c>
      <c r="C280" s="9" t="s">
        <v>600</v>
      </c>
      <c r="D280" s="9" t="s">
        <v>377</v>
      </c>
      <c r="E280" s="9" t="s">
        <v>1355</v>
      </c>
      <c r="F280" s="9" t="s">
        <v>1336</v>
      </c>
      <c r="G280" s="9" t="s">
        <v>1351</v>
      </c>
      <c r="H280" s="9" t="s">
        <v>1352</v>
      </c>
      <c r="I280" s="9"/>
      <c r="J280" s="9"/>
      <c r="K280" s="9"/>
      <c r="L280" s="9"/>
      <c r="M280" s="9"/>
      <c r="N280" s="9"/>
      <c r="O280" s="9"/>
      <c r="P280" s="9"/>
      <c r="Q280" s="9" t="s">
        <v>1353</v>
      </c>
      <c r="R280" s="9"/>
      <c r="S280" s="9"/>
      <c r="T280" s="9"/>
      <c r="U280" s="9"/>
      <c r="V280" s="9"/>
      <c r="W280" s="9"/>
      <c r="X280" s="9" t="s">
        <v>414</v>
      </c>
      <c r="Y280" s="9" t="s">
        <v>391</v>
      </c>
      <c r="Z280" s="12" t="b">
        <f aca="false">FALSE()</f>
        <v>0</v>
      </c>
      <c r="AA280" s="8" t="s">
        <v>1348</v>
      </c>
    </row>
    <row r="281" customFormat="false" ht="15.75" hidden="false" customHeight="true" outlineLevel="0" collapsed="false">
      <c r="A281" s="9" t="s">
        <v>1932</v>
      </c>
      <c r="B281" s="9" t="s">
        <v>599</v>
      </c>
      <c r="C281" s="9" t="s">
        <v>600</v>
      </c>
      <c r="D281" s="9" t="s">
        <v>377</v>
      </c>
      <c r="E281" s="9" t="s">
        <v>886</v>
      </c>
      <c r="F281" s="9" t="s">
        <v>1336</v>
      </c>
      <c r="G281" s="9" t="s">
        <v>1337</v>
      </c>
      <c r="H281" s="9" t="s">
        <v>1338</v>
      </c>
      <c r="I281" s="9" t="s">
        <v>1933</v>
      </c>
      <c r="J281" s="9" t="s">
        <v>377</v>
      </c>
      <c r="K281" s="9" t="s">
        <v>958</v>
      </c>
      <c r="L281" s="9" t="s">
        <v>959</v>
      </c>
      <c r="M281" s="9" t="s">
        <v>1456</v>
      </c>
      <c r="N281" s="9" t="s">
        <v>961</v>
      </c>
      <c r="O281" s="9" t="s">
        <v>961</v>
      </c>
      <c r="P281" s="9" t="s">
        <v>1934</v>
      </c>
      <c r="Q281" s="9" t="s">
        <v>113</v>
      </c>
      <c r="R281" s="9" t="s">
        <v>1870</v>
      </c>
      <c r="S281" s="9" t="s">
        <v>398</v>
      </c>
      <c r="T281" s="9" t="s">
        <v>377</v>
      </c>
      <c r="U281" s="9" t="s">
        <v>1935</v>
      </c>
      <c r="V281" s="9" t="s">
        <v>1347</v>
      </c>
      <c r="W281" s="9"/>
      <c r="X281" s="9" t="s">
        <v>377</v>
      </c>
      <c r="Y281" s="9" t="s">
        <v>377</v>
      </c>
      <c r="Z281" s="12" t="b">
        <f aca="false">FALSE()</f>
        <v>0</v>
      </c>
      <c r="AA281" s="8" t="s">
        <v>1348</v>
      </c>
    </row>
    <row r="282" customFormat="false" ht="15.75" hidden="false" customHeight="true" outlineLevel="0" collapsed="false">
      <c r="A282" s="9" t="s">
        <v>1936</v>
      </c>
      <c r="B282" s="9" t="s">
        <v>599</v>
      </c>
      <c r="C282" s="9" t="s">
        <v>600</v>
      </c>
      <c r="D282" s="9" t="s">
        <v>377</v>
      </c>
      <c r="E282" s="9" t="s">
        <v>866</v>
      </c>
      <c r="F282" s="9" t="s">
        <v>1336</v>
      </c>
      <c r="G282" s="9" t="s">
        <v>1351</v>
      </c>
      <c r="H282" s="9" t="s">
        <v>1352</v>
      </c>
      <c r="I282" s="9"/>
      <c r="J282" s="9"/>
      <c r="K282" s="9"/>
      <c r="L282" s="9"/>
      <c r="M282" s="9"/>
      <c r="N282" s="9"/>
      <c r="O282" s="9"/>
      <c r="P282" s="9"/>
      <c r="Q282" s="9" t="s">
        <v>1353</v>
      </c>
      <c r="R282" s="9"/>
      <c r="S282" s="9"/>
      <c r="T282" s="9"/>
      <c r="U282" s="9"/>
      <c r="V282" s="9"/>
      <c r="W282" s="9"/>
      <c r="X282" s="9" t="s">
        <v>414</v>
      </c>
      <c r="Y282" s="9" t="s">
        <v>391</v>
      </c>
      <c r="Z282" s="12" t="b">
        <f aca="false">FALSE()</f>
        <v>0</v>
      </c>
      <c r="AA282" s="8" t="s">
        <v>1348</v>
      </c>
    </row>
    <row r="283" customFormat="false" ht="15.75" hidden="false" customHeight="true" outlineLevel="0" collapsed="false">
      <c r="A283" s="9" t="s">
        <v>1937</v>
      </c>
      <c r="B283" s="9" t="s">
        <v>599</v>
      </c>
      <c r="C283" s="9" t="s">
        <v>600</v>
      </c>
      <c r="D283" s="9" t="s">
        <v>377</v>
      </c>
      <c r="E283" s="9" t="s">
        <v>912</v>
      </c>
      <c r="F283" s="9" t="s">
        <v>1336</v>
      </c>
      <c r="G283" s="9" t="s">
        <v>1351</v>
      </c>
      <c r="H283" s="9" t="s">
        <v>1352</v>
      </c>
      <c r="I283" s="9"/>
      <c r="J283" s="9"/>
      <c r="K283" s="9"/>
      <c r="L283" s="9"/>
      <c r="M283" s="9"/>
      <c r="N283" s="9"/>
      <c r="O283" s="9"/>
      <c r="P283" s="9"/>
      <c r="Q283" s="9" t="s">
        <v>1353</v>
      </c>
      <c r="R283" s="9"/>
      <c r="S283" s="9"/>
      <c r="T283" s="9"/>
      <c r="U283" s="9"/>
      <c r="V283" s="9"/>
      <c r="W283" s="9"/>
      <c r="X283" s="9" t="s">
        <v>414</v>
      </c>
      <c r="Y283" s="9" t="s">
        <v>391</v>
      </c>
      <c r="Z283" s="12" t="b">
        <f aca="false">FALSE()</f>
        <v>0</v>
      </c>
      <c r="AA283" s="8" t="s">
        <v>1348</v>
      </c>
    </row>
    <row r="284" customFormat="false" ht="15.75" hidden="false" customHeight="true" outlineLevel="0" collapsed="false">
      <c r="A284" s="9" t="s">
        <v>1938</v>
      </c>
      <c r="B284" s="9" t="s">
        <v>599</v>
      </c>
      <c r="C284" s="9" t="s">
        <v>600</v>
      </c>
      <c r="D284" s="9" t="s">
        <v>377</v>
      </c>
      <c r="E284" s="9" t="s">
        <v>966</v>
      </c>
      <c r="F284" s="9" t="s">
        <v>1336</v>
      </c>
      <c r="G284" s="9" t="s">
        <v>1351</v>
      </c>
      <c r="H284" s="9" t="s">
        <v>1352</v>
      </c>
      <c r="I284" s="9"/>
      <c r="J284" s="9"/>
      <c r="K284" s="9"/>
      <c r="L284" s="9"/>
      <c r="M284" s="9"/>
      <c r="N284" s="9"/>
      <c r="O284" s="9"/>
      <c r="P284" s="9"/>
      <c r="Q284" s="9" t="s">
        <v>1353</v>
      </c>
      <c r="R284" s="9"/>
      <c r="S284" s="9"/>
      <c r="T284" s="9"/>
      <c r="U284" s="9"/>
      <c r="V284" s="9"/>
      <c r="W284" s="9"/>
      <c r="X284" s="9" t="s">
        <v>414</v>
      </c>
      <c r="Y284" s="9" t="s">
        <v>391</v>
      </c>
      <c r="Z284" s="12" t="b">
        <f aca="false">FALSE()</f>
        <v>0</v>
      </c>
      <c r="AA284" s="8" t="s">
        <v>1348</v>
      </c>
    </row>
    <row r="285" customFormat="false" ht="15.75" hidden="false" customHeight="true" outlineLevel="0" collapsed="false">
      <c r="A285" s="9" t="s">
        <v>1939</v>
      </c>
      <c r="B285" s="9" t="s">
        <v>599</v>
      </c>
      <c r="C285" s="9" t="s">
        <v>600</v>
      </c>
      <c r="D285" s="9" t="s">
        <v>377</v>
      </c>
      <c r="E285" s="9" t="s">
        <v>947</v>
      </c>
      <c r="F285" s="9" t="s">
        <v>1336</v>
      </c>
      <c r="G285" s="9" t="s">
        <v>1351</v>
      </c>
      <c r="H285" s="9" t="s">
        <v>1352</v>
      </c>
      <c r="I285" s="9"/>
      <c r="J285" s="9"/>
      <c r="K285" s="9"/>
      <c r="L285" s="9"/>
      <c r="M285" s="9"/>
      <c r="N285" s="9"/>
      <c r="O285" s="9"/>
      <c r="P285" s="9"/>
      <c r="Q285" s="9" t="s">
        <v>1353</v>
      </c>
      <c r="R285" s="9"/>
      <c r="S285" s="9"/>
      <c r="T285" s="9"/>
      <c r="U285" s="9"/>
      <c r="V285" s="9"/>
      <c r="W285" s="9"/>
      <c r="X285" s="9" t="s">
        <v>414</v>
      </c>
      <c r="Y285" s="9" t="s">
        <v>391</v>
      </c>
      <c r="Z285" s="12" t="b">
        <f aca="false">FALSE()</f>
        <v>0</v>
      </c>
      <c r="AA285" s="8" t="s">
        <v>1348</v>
      </c>
    </row>
    <row r="286" customFormat="false" ht="15.75" hidden="false" customHeight="true" outlineLevel="0" collapsed="false">
      <c r="A286" s="9" t="s">
        <v>1940</v>
      </c>
      <c r="B286" s="9" t="s">
        <v>603</v>
      </c>
      <c r="C286" s="9" t="s">
        <v>606</v>
      </c>
      <c r="D286" s="9" t="s">
        <v>384</v>
      </c>
      <c r="E286" s="9" t="s">
        <v>1021</v>
      </c>
      <c r="F286" s="9" t="s">
        <v>1336</v>
      </c>
      <c r="G286" s="9" t="s">
        <v>1351</v>
      </c>
      <c r="H286" s="9" t="s">
        <v>1352</v>
      </c>
      <c r="I286" s="9"/>
      <c r="J286" s="9"/>
      <c r="K286" s="9"/>
      <c r="L286" s="9"/>
      <c r="M286" s="9"/>
      <c r="N286" s="9"/>
      <c r="O286" s="9"/>
      <c r="P286" s="9"/>
      <c r="Q286" s="9" t="s">
        <v>1353</v>
      </c>
      <c r="R286" s="9"/>
      <c r="S286" s="9"/>
      <c r="T286" s="9"/>
      <c r="U286" s="9"/>
      <c r="V286" s="9"/>
      <c r="W286" s="9"/>
      <c r="X286" s="9" t="s">
        <v>414</v>
      </c>
      <c r="Y286" s="9" t="s">
        <v>391</v>
      </c>
      <c r="Z286" s="12" t="b">
        <f aca="false">FALSE()</f>
        <v>0</v>
      </c>
      <c r="AA286" s="8" t="s">
        <v>1348</v>
      </c>
    </row>
    <row r="287" customFormat="false" ht="15.75" hidden="false" customHeight="true" outlineLevel="0" collapsed="false">
      <c r="A287" s="9" t="s">
        <v>1941</v>
      </c>
      <c r="B287" s="9" t="s">
        <v>603</v>
      </c>
      <c r="C287" s="9" t="s">
        <v>606</v>
      </c>
      <c r="D287" s="9" t="s">
        <v>384</v>
      </c>
      <c r="E287" s="9" t="s">
        <v>1350</v>
      </c>
      <c r="F287" s="9" t="s">
        <v>1336</v>
      </c>
      <c r="G287" s="9" t="s">
        <v>1351</v>
      </c>
      <c r="H287" s="9" t="s">
        <v>1352</v>
      </c>
      <c r="I287" s="9"/>
      <c r="J287" s="9"/>
      <c r="K287" s="9"/>
      <c r="L287" s="9"/>
      <c r="M287" s="9"/>
      <c r="N287" s="9"/>
      <c r="O287" s="9"/>
      <c r="P287" s="9"/>
      <c r="Q287" s="9" t="s">
        <v>1353</v>
      </c>
      <c r="R287" s="9"/>
      <c r="S287" s="9"/>
      <c r="T287" s="9"/>
      <c r="U287" s="9"/>
      <c r="V287" s="9"/>
      <c r="W287" s="9"/>
      <c r="X287" s="9" t="s">
        <v>414</v>
      </c>
      <c r="Y287" s="9" t="s">
        <v>391</v>
      </c>
      <c r="Z287" s="12" t="b">
        <f aca="false">FALSE()</f>
        <v>0</v>
      </c>
      <c r="AA287" s="8" t="s">
        <v>1348</v>
      </c>
    </row>
    <row r="288" customFormat="false" ht="15.75" hidden="false" customHeight="true" outlineLevel="0" collapsed="false">
      <c r="A288" s="9" t="s">
        <v>1942</v>
      </c>
      <c r="B288" s="9" t="s">
        <v>603</v>
      </c>
      <c r="C288" s="9" t="s">
        <v>606</v>
      </c>
      <c r="D288" s="9" t="s">
        <v>384</v>
      </c>
      <c r="E288" s="9" t="s">
        <v>1355</v>
      </c>
      <c r="F288" s="9" t="s">
        <v>1336</v>
      </c>
      <c r="G288" s="9" t="s">
        <v>1351</v>
      </c>
      <c r="H288" s="9" t="s">
        <v>1352</v>
      </c>
      <c r="I288" s="9"/>
      <c r="J288" s="9"/>
      <c r="K288" s="9"/>
      <c r="L288" s="9"/>
      <c r="M288" s="9"/>
      <c r="N288" s="9"/>
      <c r="O288" s="9"/>
      <c r="P288" s="9"/>
      <c r="Q288" s="9" t="s">
        <v>1353</v>
      </c>
      <c r="R288" s="9"/>
      <c r="S288" s="9"/>
      <c r="T288" s="9"/>
      <c r="U288" s="9"/>
      <c r="V288" s="9"/>
      <c r="W288" s="9"/>
      <c r="X288" s="9" t="s">
        <v>414</v>
      </c>
      <c r="Y288" s="9" t="s">
        <v>391</v>
      </c>
      <c r="Z288" s="12" t="b">
        <f aca="false">FALSE()</f>
        <v>0</v>
      </c>
      <c r="AA288" s="8" t="s">
        <v>1348</v>
      </c>
    </row>
    <row r="289" customFormat="false" ht="15.75" hidden="false" customHeight="true" outlineLevel="0" collapsed="false">
      <c r="A289" s="9" t="s">
        <v>1943</v>
      </c>
      <c r="B289" s="9" t="s">
        <v>603</v>
      </c>
      <c r="C289" s="9" t="s">
        <v>606</v>
      </c>
      <c r="D289" s="9" t="s">
        <v>384</v>
      </c>
      <c r="E289" s="9" t="s">
        <v>886</v>
      </c>
      <c r="F289" s="9" t="s">
        <v>1336</v>
      </c>
      <c r="G289" s="9" t="s">
        <v>1351</v>
      </c>
      <c r="H289" s="9" t="s">
        <v>1352</v>
      </c>
      <c r="I289" s="9"/>
      <c r="J289" s="9"/>
      <c r="K289" s="9"/>
      <c r="L289" s="9"/>
      <c r="M289" s="9"/>
      <c r="N289" s="9"/>
      <c r="O289" s="9"/>
      <c r="P289" s="9"/>
      <c r="Q289" s="9" t="s">
        <v>1353</v>
      </c>
      <c r="R289" s="9"/>
      <c r="S289" s="9"/>
      <c r="T289" s="9"/>
      <c r="U289" s="9"/>
      <c r="V289" s="9"/>
      <c r="W289" s="9"/>
      <c r="X289" s="9" t="s">
        <v>414</v>
      </c>
      <c r="Y289" s="9" t="s">
        <v>391</v>
      </c>
      <c r="Z289" s="12" t="b">
        <f aca="false">FALSE()</f>
        <v>0</v>
      </c>
      <c r="AA289" s="8" t="s">
        <v>1348</v>
      </c>
    </row>
    <row r="290" customFormat="false" ht="15.75" hidden="false" customHeight="true" outlineLevel="0" collapsed="false">
      <c r="A290" s="9" t="s">
        <v>1944</v>
      </c>
      <c r="B290" s="9" t="s">
        <v>603</v>
      </c>
      <c r="C290" s="9" t="s">
        <v>606</v>
      </c>
      <c r="D290" s="9" t="s">
        <v>384</v>
      </c>
      <c r="E290" s="9" t="s">
        <v>866</v>
      </c>
      <c r="F290" s="9" t="s">
        <v>1336</v>
      </c>
      <c r="G290" s="9" t="s">
        <v>1351</v>
      </c>
      <c r="H290" s="9" t="s">
        <v>1352</v>
      </c>
      <c r="I290" s="9"/>
      <c r="J290" s="9"/>
      <c r="K290" s="9"/>
      <c r="L290" s="9"/>
      <c r="M290" s="9"/>
      <c r="N290" s="9"/>
      <c r="O290" s="9"/>
      <c r="P290" s="9"/>
      <c r="Q290" s="9" t="s">
        <v>1353</v>
      </c>
      <c r="R290" s="9"/>
      <c r="S290" s="9"/>
      <c r="T290" s="9"/>
      <c r="U290" s="9"/>
      <c r="V290" s="9"/>
      <c r="W290" s="9"/>
      <c r="X290" s="9" t="s">
        <v>414</v>
      </c>
      <c r="Y290" s="9" t="s">
        <v>391</v>
      </c>
      <c r="Z290" s="12" t="b">
        <f aca="false">FALSE()</f>
        <v>0</v>
      </c>
      <c r="AA290" s="8" t="s">
        <v>1348</v>
      </c>
    </row>
    <row r="291" customFormat="false" ht="15.75" hidden="false" customHeight="true" outlineLevel="0" collapsed="false">
      <c r="A291" s="9" t="s">
        <v>1945</v>
      </c>
      <c r="B291" s="9" t="s">
        <v>603</v>
      </c>
      <c r="C291" s="9" t="s">
        <v>606</v>
      </c>
      <c r="D291" s="9" t="s">
        <v>384</v>
      </c>
      <c r="E291" s="9" t="s">
        <v>912</v>
      </c>
      <c r="F291" s="9" t="s">
        <v>1336</v>
      </c>
      <c r="G291" s="9" t="s">
        <v>1351</v>
      </c>
      <c r="H291" s="9" t="s">
        <v>1352</v>
      </c>
      <c r="I291" s="9"/>
      <c r="J291" s="9"/>
      <c r="K291" s="9"/>
      <c r="L291" s="9"/>
      <c r="M291" s="9"/>
      <c r="N291" s="9"/>
      <c r="O291" s="9"/>
      <c r="P291" s="9"/>
      <c r="Q291" s="9" t="s">
        <v>1353</v>
      </c>
      <c r="R291" s="9"/>
      <c r="S291" s="9"/>
      <c r="T291" s="9"/>
      <c r="U291" s="9"/>
      <c r="V291" s="9"/>
      <c r="W291" s="9"/>
      <c r="X291" s="9" t="s">
        <v>414</v>
      </c>
      <c r="Y291" s="9" t="s">
        <v>391</v>
      </c>
      <c r="Z291" s="12" t="b">
        <f aca="false">FALSE()</f>
        <v>0</v>
      </c>
      <c r="AA291" s="8" t="s">
        <v>1348</v>
      </c>
    </row>
    <row r="292" customFormat="false" ht="15.75" hidden="false" customHeight="true" outlineLevel="0" collapsed="false">
      <c r="A292" s="9" t="s">
        <v>1946</v>
      </c>
      <c r="B292" s="9" t="s">
        <v>603</v>
      </c>
      <c r="C292" s="9" t="s">
        <v>606</v>
      </c>
      <c r="D292" s="9" t="s">
        <v>384</v>
      </c>
      <c r="E292" s="9" t="s">
        <v>966</v>
      </c>
      <c r="F292" s="9" t="s">
        <v>1336</v>
      </c>
      <c r="G292" s="9" t="s">
        <v>1351</v>
      </c>
      <c r="H292" s="9" t="s">
        <v>1352</v>
      </c>
      <c r="I292" s="9"/>
      <c r="J292" s="9"/>
      <c r="K292" s="9"/>
      <c r="L292" s="9"/>
      <c r="M292" s="9"/>
      <c r="N292" s="9"/>
      <c r="O292" s="9"/>
      <c r="P292" s="9"/>
      <c r="Q292" s="9" t="s">
        <v>1353</v>
      </c>
      <c r="R292" s="9"/>
      <c r="S292" s="9"/>
      <c r="T292" s="9"/>
      <c r="U292" s="9"/>
      <c r="V292" s="9"/>
      <c r="W292" s="9"/>
      <c r="X292" s="9" t="s">
        <v>414</v>
      </c>
      <c r="Y292" s="9" t="s">
        <v>391</v>
      </c>
      <c r="Z292" s="12" t="b">
        <f aca="false">FALSE()</f>
        <v>0</v>
      </c>
      <c r="AA292" s="8" t="s">
        <v>1348</v>
      </c>
    </row>
    <row r="293" customFormat="false" ht="15.75" hidden="false" customHeight="true" outlineLevel="0" collapsed="false">
      <c r="A293" s="9" t="s">
        <v>1947</v>
      </c>
      <c r="B293" s="9" t="s">
        <v>603</v>
      </c>
      <c r="C293" s="9" t="s">
        <v>606</v>
      </c>
      <c r="D293" s="9" t="s">
        <v>384</v>
      </c>
      <c r="E293" s="9" t="s">
        <v>947</v>
      </c>
      <c r="F293" s="9" t="s">
        <v>1336</v>
      </c>
      <c r="G293" s="9" t="s">
        <v>1351</v>
      </c>
      <c r="H293" s="9" t="s">
        <v>1352</v>
      </c>
      <c r="I293" s="9"/>
      <c r="J293" s="9"/>
      <c r="K293" s="9"/>
      <c r="L293" s="9"/>
      <c r="M293" s="9"/>
      <c r="N293" s="9"/>
      <c r="O293" s="9"/>
      <c r="P293" s="9"/>
      <c r="Q293" s="9" t="s">
        <v>1353</v>
      </c>
      <c r="R293" s="9"/>
      <c r="S293" s="9"/>
      <c r="T293" s="9"/>
      <c r="U293" s="9"/>
      <c r="V293" s="9"/>
      <c r="W293" s="9"/>
      <c r="X293" s="9" t="s">
        <v>414</v>
      </c>
      <c r="Y293" s="9" t="s">
        <v>391</v>
      </c>
      <c r="Z293" s="12" t="b">
        <f aca="false">FALSE()</f>
        <v>0</v>
      </c>
      <c r="AA293" s="8" t="s">
        <v>1348</v>
      </c>
    </row>
    <row r="294" customFormat="false" ht="15.75" hidden="false" customHeight="true" outlineLevel="0" collapsed="false">
      <c r="A294" s="9" t="s">
        <v>1948</v>
      </c>
      <c r="B294" s="9" t="s">
        <v>609</v>
      </c>
      <c r="C294" s="9" t="s">
        <v>610</v>
      </c>
      <c r="D294" s="9" t="s">
        <v>384</v>
      </c>
      <c r="E294" s="9" t="s">
        <v>1021</v>
      </c>
      <c r="F294" s="9" t="s">
        <v>1949</v>
      </c>
      <c r="G294" s="9" t="s">
        <v>1363</v>
      </c>
      <c r="H294" s="9" t="s">
        <v>1950</v>
      </c>
      <c r="I294" s="9"/>
      <c r="J294" s="9"/>
      <c r="K294" s="9" t="s">
        <v>1022</v>
      </c>
      <c r="L294" s="9" t="s">
        <v>1114</v>
      </c>
      <c r="M294" s="9" t="s">
        <v>1951</v>
      </c>
      <c r="N294" s="9" t="s">
        <v>1116</v>
      </c>
      <c r="O294" s="9" t="s">
        <v>1116</v>
      </c>
      <c r="P294" s="9"/>
      <c r="Q294" s="9" t="s">
        <v>113</v>
      </c>
      <c r="R294" s="9" t="s">
        <v>1952</v>
      </c>
      <c r="S294" s="9" t="s">
        <v>1953</v>
      </c>
      <c r="T294" s="9" t="s">
        <v>384</v>
      </c>
      <c r="U294" s="9" t="s">
        <v>1954</v>
      </c>
      <c r="V294" s="9" t="s">
        <v>1955</v>
      </c>
      <c r="W294" s="9"/>
      <c r="X294" s="9" t="s">
        <v>384</v>
      </c>
      <c r="Y294" s="9" t="s">
        <v>384</v>
      </c>
      <c r="Z294" s="12" t="b">
        <f aca="false">FALSE()</f>
        <v>0</v>
      </c>
      <c r="AA294" s="8" t="s">
        <v>1348</v>
      </c>
    </row>
    <row r="295" customFormat="false" ht="15.75" hidden="false" customHeight="true" outlineLevel="0" collapsed="false">
      <c r="A295" s="9" t="s">
        <v>1956</v>
      </c>
      <c r="B295" s="9" t="s">
        <v>609</v>
      </c>
      <c r="C295" s="9" t="s">
        <v>610</v>
      </c>
      <c r="D295" s="9" t="s">
        <v>384</v>
      </c>
      <c r="E295" s="9" t="s">
        <v>1350</v>
      </c>
      <c r="F295" s="9" t="s">
        <v>1949</v>
      </c>
      <c r="G295" s="9" t="s">
        <v>1957</v>
      </c>
      <c r="H295" s="9" t="s">
        <v>1950</v>
      </c>
      <c r="I295" s="9"/>
      <c r="J295" s="9"/>
      <c r="K295" s="9" t="s">
        <v>1384</v>
      </c>
      <c r="L295" s="9" t="s">
        <v>1958</v>
      </c>
      <c r="M295" s="9" t="s">
        <v>1959</v>
      </c>
      <c r="N295" s="9" t="s">
        <v>1960</v>
      </c>
      <c r="O295" s="9" t="s">
        <v>1960</v>
      </c>
      <c r="P295" s="9"/>
      <c r="Q295" s="9" t="s">
        <v>113</v>
      </c>
      <c r="R295" s="9" t="s">
        <v>1961</v>
      </c>
      <c r="S295" s="9" t="s">
        <v>1953</v>
      </c>
      <c r="T295" s="9" t="s">
        <v>384</v>
      </c>
      <c r="U295" s="9" t="s">
        <v>1962</v>
      </c>
      <c r="V295" s="9" t="s">
        <v>1955</v>
      </c>
      <c r="W295" s="9" t="s">
        <v>1963</v>
      </c>
      <c r="X295" s="9" t="s">
        <v>384</v>
      </c>
      <c r="Y295" s="9" t="s">
        <v>384</v>
      </c>
      <c r="Z295" s="12" t="b">
        <f aca="false">FALSE()</f>
        <v>0</v>
      </c>
      <c r="AA295" s="8" t="s">
        <v>1348</v>
      </c>
    </row>
    <row r="296" customFormat="false" ht="15.75" hidden="false" customHeight="true" outlineLevel="0" collapsed="false">
      <c r="A296" s="9" t="s">
        <v>1964</v>
      </c>
      <c r="B296" s="9" t="s">
        <v>609</v>
      </c>
      <c r="C296" s="9" t="s">
        <v>610</v>
      </c>
      <c r="D296" s="9" t="s">
        <v>384</v>
      </c>
      <c r="E296" s="9" t="s">
        <v>1355</v>
      </c>
      <c r="F296" s="9" t="s">
        <v>1949</v>
      </c>
      <c r="G296" s="9" t="s">
        <v>1337</v>
      </c>
      <c r="H296" s="9" t="s">
        <v>1950</v>
      </c>
      <c r="I296" s="9" t="s">
        <v>1965</v>
      </c>
      <c r="J296" s="9" t="s">
        <v>1966</v>
      </c>
      <c r="K296" s="9" t="s">
        <v>1390</v>
      </c>
      <c r="L296" s="9" t="s">
        <v>1703</v>
      </c>
      <c r="M296" s="9" t="s">
        <v>1704</v>
      </c>
      <c r="N296" s="9" t="s">
        <v>1391</v>
      </c>
      <c r="O296" s="9" t="s">
        <v>1705</v>
      </c>
      <c r="P296" s="9" t="s">
        <v>1967</v>
      </c>
      <c r="Q296" s="9" t="s">
        <v>1857</v>
      </c>
      <c r="R296" s="9" t="s">
        <v>1968</v>
      </c>
      <c r="S296" s="9" t="s">
        <v>1953</v>
      </c>
      <c r="T296" s="9" t="s">
        <v>384</v>
      </c>
      <c r="U296" s="9" t="s">
        <v>1969</v>
      </c>
      <c r="V296" s="9" t="s">
        <v>1955</v>
      </c>
      <c r="W296" s="9" t="s">
        <v>1970</v>
      </c>
      <c r="X296" s="9" t="s">
        <v>384</v>
      </c>
      <c r="Y296" s="9" t="s">
        <v>384</v>
      </c>
      <c r="Z296" s="12" t="b">
        <f aca="false">FALSE()</f>
        <v>0</v>
      </c>
      <c r="AA296" s="8" t="s">
        <v>1348</v>
      </c>
    </row>
    <row r="297" customFormat="false" ht="15.75" hidden="false" customHeight="true" outlineLevel="0" collapsed="false">
      <c r="A297" s="9" t="s">
        <v>1971</v>
      </c>
      <c r="B297" s="9" t="s">
        <v>609</v>
      </c>
      <c r="C297" s="9" t="s">
        <v>610</v>
      </c>
      <c r="D297" s="9" t="s">
        <v>384</v>
      </c>
      <c r="E297" s="9" t="s">
        <v>886</v>
      </c>
      <c r="F297" s="9" t="s">
        <v>1949</v>
      </c>
      <c r="G297" s="9" t="s">
        <v>1337</v>
      </c>
      <c r="H297" s="9" t="s">
        <v>1950</v>
      </c>
      <c r="I297" s="9" t="s">
        <v>1965</v>
      </c>
      <c r="J297" s="9" t="s">
        <v>1966</v>
      </c>
      <c r="K297" s="9" t="s">
        <v>887</v>
      </c>
      <c r="L297" s="9" t="s">
        <v>888</v>
      </c>
      <c r="M297" s="9" t="s">
        <v>1972</v>
      </c>
      <c r="N297" s="9" t="s">
        <v>890</v>
      </c>
      <c r="O297" s="9" t="s">
        <v>890</v>
      </c>
      <c r="P297" s="9" t="s">
        <v>1973</v>
      </c>
      <c r="Q297" s="9" t="s">
        <v>1857</v>
      </c>
      <c r="R297" s="9" t="s">
        <v>1974</v>
      </c>
      <c r="S297" s="9" t="s">
        <v>1953</v>
      </c>
      <c r="T297" s="9" t="s">
        <v>384</v>
      </c>
      <c r="U297" s="9" t="s">
        <v>1975</v>
      </c>
      <c r="V297" s="9" t="s">
        <v>1955</v>
      </c>
      <c r="W297" s="9" t="s">
        <v>1970</v>
      </c>
      <c r="X297" s="9" t="s">
        <v>384</v>
      </c>
      <c r="Y297" s="9" t="s">
        <v>384</v>
      </c>
      <c r="Z297" s="12" t="b">
        <f aca="false">FALSE()</f>
        <v>0</v>
      </c>
      <c r="AA297" s="8" t="s">
        <v>1348</v>
      </c>
    </row>
    <row r="298" customFormat="false" ht="15.75" hidden="false" customHeight="true" outlineLevel="0" collapsed="false">
      <c r="A298" s="9" t="s">
        <v>1976</v>
      </c>
      <c r="B298" s="9" t="s">
        <v>609</v>
      </c>
      <c r="C298" s="9" t="s">
        <v>610</v>
      </c>
      <c r="D298" s="9" t="s">
        <v>384</v>
      </c>
      <c r="E298" s="9" t="s">
        <v>866</v>
      </c>
      <c r="F298" s="9" t="s">
        <v>1949</v>
      </c>
      <c r="G298" s="9" t="s">
        <v>1977</v>
      </c>
      <c r="H298" s="9" t="s">
        <v>1950</v>
      </c>
      <c r="I298" s="9"/>
      <c r="J298" s="9"/>
      <c r="K298" s="9" t="s">
        <v>867</v>
      </c>
      <c r="L298" s="9" t="s">
        <v>1978</v>
      </c>
      <c r="M298" s="9" t="s">
        <v>1979</v>
      </c>
      <c r="N298" s="9" t="s">
        <v>870</v>
      </c>
      <c r="O298" s="9" t="s">
        <v>71</v>
      </c>
      <c r="P298" s="9"/>
      <c r="Q298" s="9" t="s">
        <v>113</v>
      </c>
      <c r="R298" s="9" t="s">
        <v>1980</v>
      </c>
      <c r="S298" s="9" t="s">
        <v>1953</v>
      </c>
      <c r="T298" s="9" t="s">
        <v>384</v>
      </c>
      <c r="U298" s="9" t="s">
        <v>1981</v>
      </c>
      <c r="V298" s="9" t="s">
        <v>1955</v>
      </c>
      <c r="W298" s="9"/>
      <c r="X298" s="9" t="s">
        <v>384</v>
      </c>
      <c r="Y298" s="9" t="s">
        <v>384</v>
      </c>
      <c r="Z298" s="12" t="b">
        <f aca="false">FALSE()</f>
        <v>0</v>
      </c>
      <c r="AA298" s="8" t="s">
        <v>1348</v>
      </c>
    </row>
    <row r="299" customFormat="false" ht="15.75" hidden="false" customHeight="true" outlineLevel="0" collapsed="false">
      <c r="A299" s="9" t="s">
        <v>1982</v>
      </c>
      <c r="B299" s="9" t="s">
        <v>609</v>
      </c>
      <c r="C299" s="9" t="s">
        <v>610</v>
      </c>
      <c r="D299" s="9" t="s">
        <v>384</v>
      </c>
      <c r="E299" s="9" t="s">
        <v>912</v>
      </c>
      <c r="F299" s="9" t="s">
        <v>1949</v>
      </c>
      <c r="G299" s="9" t="s">
        <v>1983</v>
      </c>
      <c r="H299" s="9" t="s">
        <v>1984</v>
      </c>
      <c r="I299" s="9"/>
      <c r="J299" s="9"/>
      <c r="K299" s="9" t="s">
        <v>913</v>
      </c>
      <c r="L299" s="9" t="s">
        <v>914</v>
      </c>
      <c r="M299" s="9" t="s">
        <v>1985</v>
      </c>
      <c r="N299" s="9" t="s">
        <v>916</v>
      </c>
      <c r="O299" s="9" t="s">
        <v>916</v>
      </c>
      <c r="P299" s="9"/>
      <c r="Q299" s="9" t="s">
        <v>113</v>
      </c>
      <c r="R299" s="9" t="s">
        <v>1986</v>
      </c>
      <c r="S299" s="9" t="s">
        <v>1987</v>
      </c>
      <c r="T299" s="9"/>
      <c r="U299" s="9" t="s">
        <v>1988</v>
      </c>
      <c r="V299" s="9" t="s">
        <v>1989</v>
      </c>
      <c r="W299" s="9"/>
      <c r="X299" s="9" t="s">
        <v>411</v>
      </c>
      <c r="Y299" s="9" t="s">
        <v>391</v>
      </c>
      <c r="Z299" s="12" t="b">
        <f aca="false">FALSE()</f>
        <v>0</v>
      </c>
      <c r="AA299" s="8" t="s">
        <v>1348</v>
      </c>
    </row>
    <row r="300" customFormat="false" ht="15.75" hidden="false" customHeight="true" outlineLevel="0" collapsed="false">
      <c r="A300" s="9" t="s">
        <v>1990</v>
      </c>
      <c r="B300" s="9" t="s">
        <v>609</v>
      </c>
      <c r="C300" s="9" t="s">
        <v>610</v>
      </c>
      <c r="D300" s="9" t="s">
        <v>384</v>
      </c>
      <c r="E300" s="9" t="s">
        <v>966</v>
      </c>
      <c r="F300" s="9" t="s">
        <v>1949</v>
      </c>
      <c r="G300" s="9" t="s">
        <v>1983</v>
      </c>
      <c r="H300" s="9" t="s">
        <v>1984</v>
      </c>
      <c r="I300" s="9"/>
      <c r="J300" s="9"/>
      <c r="K300" s="9" t="s">
        <v>967</v>
      </c>
      <c r="L300" s="9" t="s">
        <v>1991</v>
      </c>
      <c r="M300" s="9" t="s">
        <v>1992</v>
      </c>
      <c r="N300" s="9" t="s">
        <v>1993</v>
      </c>
      <c r="O300" s="9" t="s">
        <v>1153</v>
      </c>
      <c r="P300" s="9"/>
      <c r="Q300" s="9" t="s">
        <v>113</v>
      </c>
      <c r="R300" s="9" t="s">
        <v>1994</v>
      </c>
      <c r="S300" s="9" t="s">
        <v>1987</v>
      </c>
      <c r="T300" s="9"/>
      <c r="U300" s="9" t="s">
        <v>1988</v>
      </c>
      <c r="V300" s="9" t="s">
        <v>1989</v>
      </c>
      <c r="W300" s="9"/>
      <c r="X300" s="9" t="s">
        <v>411</v>
      </c>
      <c r="Y300" s="9" t="s">
        <v>391</v>
      </c>
      <c r="Z300" s="12" t="b">
        <f aca="false">FALSE()</f>
        <v>0</v>
      </c>
      <c r="AA300" s="8" t="s">
        <v>1348</v>
      </c>
    </row>
    <row r="301" customFormat="false" ht="15.75" hidden="false" customHeight="true" outlineLevel="0" collapsed="false">
      <c r="A301" s="9" t="s">
        <v>1995</v>
      </c>
      <c r="B301" s="9" t="s">
        <v>609</v>
      </c>
      <c r="C301" s="9" t="s">
        <v>610</v>
      </c>
      <c r="D301" s="9" t="s">
        <v>384</v>
      </c>
      <c r="E301" s="9" t="s">
        <v>947</v>
      </c>
      <c r="F301" s="9" t="s">
        <v>1949</v>
      </c>
      <c r="G301" s="9" t="s">
        <v>1983</v>
      </c>
      <c r="H301" s="9" t="s">
        <v>1984</v>
      </c>
      <c r="I301" s="9"/>
      <c r="J301" s="9"/>
      <c r="K301" s="9" t="s">
        <v>948</v>
      </c>
      <c r="L301" s="9" t="s">
        <v>949</v>
      </c>
      <c r="M301" s="9" t="s">
        <v>1996</v>
      </c>
      <c r="N301" s="9" t="s">
        <v>1076</v>
      </c>
      <c r="O301" s="9" t="s">
        <v>1076</v>
      </c>
      <c r="P301" s="9"/>
      <c r="Q301" s="9" t="s">
        <v>113</v>
      </c>
      <c r="R301" s="9" t="s">
        <v>1997</v>
      </c>
      <c r="S301" s="9" t="s">
        <v>1987</v>
      </c>
      <c r="T301" s="9"/>
      <c r="U301" s="9" t="s">
        <v>1988</v>
      </c>
      <c r="V301" s="9" t="s">
        <v>1989</v>
      </c>
      <c r="W301" s="9"/>
      <c r="X301" s="9" t="s">
        <v>411</v>
      </c>
      <c r="Y301" s="9" t="s">
        <v>391</v>
      </c>
      <c r="Z301" s="12" t="b">
        <f aca="false">FALSE()</f>
        <v>0</v>
      </c>
      <c r="AA301" s="8" t="s">
        <v>1348</v>
      </c>
    </row>
    <row r="302" customFormat="false" ht="15.75" hidden="false" customHeight="true" outlineLevel="0" collapsed="false">
      <c r="A302" s="9" t="s">
        <v>1998</v>
      </c>
      <c r="B302" s="9" t="s">
        <v>613</v>
      </c>
      <c r="C302" s="9" t="s">
        <v>615</v>
      </c>
      <c r="D302" s="9" t="s">
        <v>384</v>
      </c>
      <c r="E302" s="9" t="s">
        <v>1021</v>
      </c>
      <c r="F302" s="9" t="s">
        <v>1999</v>
      </c>
      <c r="G302" s="9" t="s">
        <v>1351</v>
      </c>
      <c r="H302" s="9" t="s">
        <v>1352</v>
      </c>
      <c r="I302" s="9"/>
      <c r="J302" s="9"/>
      <c r="K302" s="9"/>
      <c r="L302" s="9"/>
      <c r="M302" s="9"/>
      <c r="N302" s="9"/>
      <c r="O302" s="9"/>
      <c r="P302" s="9"/>
      <c r="Q302" s="9" t="s">
        <v>1353</v>
      </c>
      <c r="R302" s="9"/>
      <c r="S302" s="9"/>
      <c r="T302" s="9"/>
      <c r="U302" s="9"/>
      <c r="V302" s="9"/>
      <c r="W302" s="9"/>
      <c r="X302" s="9" t="s">
        <v>414</v>
      </c>
      <c r="Y302" s="9" t="s">
        <v>391</v>
      </c>
      <c r="Z302" s="12" t="b">
        <f aca="false">FALSE()</f>
        <v>0</v>
      </c>
      <c r="AA302" s="8" t="s">
        <v>1348</v>
      </c>
    </row>
    <row r="303" customFormat="false" ht="15.75" hidden="false" customHeight="true" outlineLevel="0" collapsed="false">
      <c r="A303" s="9" t="s">
        <v>2000</v>
      </c>
      <c r="B303" s="9" t="s">
        <v>613</v>
      </c>
      <c r="C303" s="9" t="s">
        <v>615</v>
      </c>
      <c r="D303" s="9" t="s">
        <v>384</v>
      </c>
      <c r="E303" s="9" t="s">
        <v>1350</v>
      </c>
      <c r="F303" s="9" t="s">
        <v>1999</v>
      </c>
      <c r="G303" s="9" t="s">
        <v>1351</v>
      </c>
      <c r="H303" s="9" t="s">
        <v>1352</v>
      </c>
      <c r="I303" s="9"/>
      <c r="J303" s="9"/>
      <c r="K303" s="9"/>
      <c r="L303" s="9"/>
      <c r="M303" s="9"/>
      <c r="N303" s="9"/>
      <c r="O303" s="9"/>
      <c r="P303" s="9"/>
      <c r="Q303" s="9" t="s">
        <v>1353</v>
      </c>
      <c r="R303" s="9"/>
      <c r="S303" s="9"/>
      <c r="T303" s="9"/>
      <c r="U303" s="9"/>
      <c r="V303" s="9"/>
      <c r="W303" s="9"/>
      <c r="X303" s="9" t="s">
        <v>414</v>
      </c>
      <c r="Y303" s="9" t="s">
        <v>391</v>
      </c>
      <c r="Z303" s="12" t="b">
        <f aca="false">FALSE()</f>
        <v>0</v>
      </c>
      <c r="AA303" s="8" t="s">
        <v>1348</v>
      </c>
    </row>
    <row r="304" customFormat="false" ht="15.75" hidden="false" customHeight="true" outlineLevel="0" collapsed="false">
      <c r="A304" s="9" t="s">
        <v>2001</v>
      </c>
      <c r="B304" s="9" t="s">
        <v>613</v>
      </c>
      <c r="C304" s="9" t="s">
        <v>615</v>
      </c>
      <c r="D304" s="9" t="s">
        <v>384</v>
      </c>
      <c r="E304" s="9" t="s">
        <v>1355</v>
      </c>
      <c r="F304" s="9" t="s">
        <v>1999</v>
      </c>
      <c r="G304" s="9" t="s">
        <v>1351</v>
      </c>
      <c r="H304" s="9" t="s">
        <v>1352</v>
      </c>
      <c r="I304" s="9"/>
      <c r="J304" s="9"/>
      <c r="K304" s="9"/>
      <c r="L304" s="9"/>
      <c r="M304" s="9"/>
      <c r="N304" s="9"/>
      <c r="O304" s="9"/>
      <c r="P304" s="9"/>
      <c r="Q304" s="9" t="s">
        <v>1353</v>
      </c>
      <c r="R304" s="9"/>
      <c r="S304" s="9"/>
      <c r="T304" s="9"/>
      <c r="U304" s="9"/>
      <c r="V304" s="9"/>
      <c r="W304" s="9"/>
      <c r="X304" s="9" t="s">
        <v>414</v>
      </c>
      <c r="Y304" s="9" t="s">
        <v>391</v>
      </c>
      <c r="Z304" s="12" t="b">
        <f aca="false">FALSE()</f>
        <v>0</v>
      </c>
      <c r="AA304" s="8" t="s">
        <v>1348</v>
      </c>
    </row>
    <row r="305" customFormat="false" ht="15.75" hidden="false" customHeight="true" outlineLevel="0" collapsed="false">
      <c r="A305" s="9" t="s">
        <v>2002</v>
      </c>
      <c r="B305" s="9" t="s">
        <v>613</v>
      </c>
      <c r="C305" s="9" t="s">
        <v>615</v>
      </c>
      <c r="D305" s="9" t="s">
        <v>384</v>
      </c>
      <c r="E305" s="9" t="s">
        <v>886</v>
      </c>
      <c r="F305" s="9" t="s">
        <v>1999</v>
      </c>
      <c r="G305" s="9" t="s">
        <v>1351</v>
      </c>
      <c r="H305" s="9" t="s">
        <v>1352</v>
      </c>
      <c r="I305" s="9"/>
      <c r="J305" s="9"/>
      <c r="K305" s="9"/>
      <c r="L305" s="9"/>
      <c r="M305" s="9"/>
      <c r="N305" s="9"/>
      <c r="O305" s="9"/>
      <c r="P305" s="9"/>
      <c r="Q305" s="9" t="s">
        <v>1353</v>
      </c>
      <c r="R305" s="9"/>
      <c r="S305" s="9"/>
      <c r="T305" s="9"/>
      <c r="U305" s="9"/>
      <c r="V305" s="9"/>
      <c r="W305" s="9"/>
      <c r="X305" s="9" t="s">
        <v>414</v>
      </c>
      <c r="Y305" s="9" t="s">
        <v>391</v>
      </c>
      <c r="Z305" s="12" t="b">
        <f aca="false">FALSE()</f>
        <v>0</v>
      </c>
      <c r="AA305" s="8" t="s">
        <v>1348</v>
      </c>
    </row>
    <row r="306" customFormat="false" ht="15.75" hidden="false" customHeight="true" outlineLevel="0" collapsed="false">
      <c r="A306" s="9" t="s">
        <v>2003</v>
      </c>
      <c r="B306" s="9" t="s">
        <v>613</v>
      </c>
      <c r="C306" s="9" t="s">
        <v>615</v>
      </c>
      <c r="D306" s="9" t="s">
        <v>384</v>
      </c>
      <c r="E306" s="9" t="s">
        <v>866</v>
      </c>
      <c r="F306" s="9" t="s">
        <v>1999</v>
      </c>
      <c r="G306" s="9" t="s">
        <v>1351</v>
      </c>
      <c r="H306" s="9" t="s">
        <v>1352</v>
      </c>
      <c r="I306" s="9"/>
      <c r="J306" s="9"/>
      <c r="K306" s="9"/>
      <c r="L306" s="9"/>
      <c r="M306" s="9"/>
      <c r="N306" s="9"/>
      <c r="O306" s="9"/>
      <c r="P306" s="9"/>
      <c r="Q306" s="9" t="s">
        <v>1353</v>
      </c>
      <c r="R306" s="9"/>
      <c r="S306" s="9"/>
      <c r="T306" s="9"/>
      <c r="U306" s="9"/>
      <c r="V306" s="9"/>
      <c r="W306" s="9"/>
      <c r="X306" s="9" t="s">
        <v>414</v>
      </c>
      <c r="Y306" s="9" t="s">
        <v>391</v>
      </c>
      <c r="Z306" s="12" t="b">
        <f aca="false">FALSE()</f>
        <v>0</v>
      </c>
      <c r="AA306" s="8" t="s">
        <v>1348</v>
      </c>
    </row>
    <row r="307" customFormat="false" ht="15.75" hidden="false" customHeight="true" outlineLevel="0" collapsed="false">
      <c r="A307" s="9" t="s">
        <v>2004</v>
      </c>
      <c r="B307" s="9" t="s">
        <v>613</v>
      </c>
      <c r="C307" s="9" t="s">
        <v>615</v>
      </c>
      <c r="D307" s="9" t="s">
        <v>384</v>
      </c>
      <c r="E307" s="9" t="s">
        <v>912</v>
      </c>
      <c r="F307" s="9" t="s">
        <v>1999</v>
      </c>
      <c r="G307" s="9" t="s">
        <v>1351</v>
      </c>
      <c r="H307" s="9" t="s">
        <v>1352</v>
      </c>
      <c r="I307" s="9"/>
      <c r="J307" s="9"/>
      <c r="K307" s="9"/>
      <c r="L307" s="9"/>
      <c r="M307" s="9"/>
      <c r="N307" s="9"/>
      <c r="O307" s="9"/>
      <c r="P307" s="9"/>
      <c r="Q307" s="9" t="s">
        <v>1353</v>
      </c>
      <c r="R307" s="9"/>
      <c r="S307" s="9"/>
      <c r="T307" s="9"/>
      <c r="U307" s="9"/>
      <c r="V307" s="9"/>
      <c r="W307" s="9"/>
      <c r="X307" s="9" t="s">
        <v>414</v>
      </c>
      <c r="Y307" s="9" t="s">
        <v>391</v>
      </c>
      <c r="Z307" s="12" t="b">
        <f aca="false">FALSE()</f>
        <v>0</v>
      </c>
      <c r="AA307" s="8" t="s">
        <v>1348</v>
      </c>
    </row>
    <row r="308" customFormat="false" ht="15.75" hidden="false" customHeight="true" outlineLevel="0" collapsed="false">
      <c r="A308" s="9" t="s">
        <v>2005</v>
      </c>
      <c r="B308" s="9" t="s">
        <v>613</v>
      </c>
      <c r="C308" s="9" t="s">
        <v>615</v>
      </c>
      <c r="D308" s="9" t="s">
        <v>384</v>
      </c>
      <c r="E308" s="9" t="s">
        <v>966</v>
      </c>
      <c r="F308" s="9" t="s">
        <v>1999</v>
      </c>
      <c r="G308" s="9" t="s">
        <v>1351</v>
      </c>
      <c r="H308" s="9" t="s">
        <v>1352</v>
      </c>
      <c r="I308" s="9"/>
      <c r="J308" s="9"/>
      <c r="K308" s="9"/>
      <c r="L308" s="9"/>
      <c r="M308" s="9"/>
      <c r="N308" s="9"/>
      <c r="O308" s="9"/>
      <c r="P308" s="9"/>
      <c r="Q308" s="9" t="s">
        <v>1353</v>
      </c>
      <c r="R308" s="9"/>
      <c r="S308" s="9"/>
      <c r="T308" s="9"/>
      <c r="U308" s="9"/>
      <c r="V308" s="9"/>
      <c r="W308" s="9"/>
      <c r="X308" s="9" t="s">
        <v>414</v>
      </c>
      <c r="Y308" s="9" t="s">
        <v>391</v>
      </c>
      <c r="Z308" s="12" t="b">
        <f aca="false">FALSE()</f>
        <v>0</v>
      </c>
      <c r="AA308" s="8" t="s">
        <v>1348</v>
      </c>
    </row>
    <row r="309" customFormat="false" ht="15.75" hidden="false" customHeight="true" outlineLevel="0" collapsed="false">
      <c r="A309" s="9" t="s">
        <v>2006</v>
      </c>
      <c r="B309" s="9" t="s">
        <v>613</v>
      </c>
      <c r="C309" s="9" t="s">
        <v>615</v>
      </c>
      <c r="D309" s="9" t="s">
        <v>384</v>
      </c>
      <c r="E309" s="9" t="s">
        <v>947</v>
      </c>
      <c r="F309" s="9" t="s">
        <v>1999</v>
      </c>
      <c r="G309" s="9" t="s">
        <v>1351</v>
      </c>
      <c r="H309" s="9" t="s">
        <v>1352</v>
      </c>
      <c r="I309" s="9"/>
      <c r="J309" s="9"/>
      <c r="K309" s="9"/>
      <c r="L309" s="9"/>
      <c r="M309" s="9"/>
      <c r="N309" s="9"/>
      <c r="O309" s="9"/>
      <c r="P309" s="9"/>
      <c r="Q309" s="9" t="s">
        <v>1353</v>
      </c>
      <c r="R309" s="9"/>
      <c r="S309" s="9"/>
      <c r="T309" s="9"/>
      <c r="U309" s="9"/>
      <c r="V309" s="9"/>
      <c r="W309" s="9"/>
      <c r="X309" s="9" t="s">
        <v>414</v>
      </c>
      <c r="Y309" s="9" t="s">
        <v>391</v>
      </c>
      <c r="Z309" s="12" t="b">
        <f aca="false">FALSE()</f>
        <v>0</v>
      </c>
      <c r="AA309" s="8" t="s">
        <v>1348</v>
      </c>
    </row>
    <row r="310" customFormat="false" ht="15.75" hidden="false" customHeight="true" outlineLevel="0" collapsed="false">
      <c r="A310" s="9" t="s">
        <v>2007</v>
      </c>
      <c r="B310" s="9" t="s">
        <v>618</v>
      </c>
      <c r="C310" s="9" t="s">
        <v>619</v>
      </c>
      <c r="D310" s="9" t="s">
        <v>384</v>
      </c>
      <c r="E310" s="9" t="s">
        <v>1021</v>
      </c>
      <c r="F310" s="9" t="s">
        <v>1949</v>
      </c>
      <c r="G310" s="9" t="s">
        <v>1337</v>
      </c>
      <c r="H310" s="9" t="s">
        <v>1950</v>
      </c>
      <c r="I310" s="9"/>
      <c r="J310" s="9"/>
      <c r="K310" s="9" t="s">
        <v>1022</v>
      </c>
      <c r="L310" s="9" t="s">
        <v>1340</v>
      </c>
      <c r="M310" s="9" t="s">
        <v>1341</v>
      </c>
      <c r="N310" s="9" t="s">
        <v>1342</v>
      </c>
      <c r="O310" s="9" t="s">
        <v>68</v>
      </c>
      <c r="P310" s="9" t="s">
        <v>2008</v>
      </c>
      <c r="Q310" s="9" t="s">
        <v>1344</v>
      </c>
      <c r="R310" s="9" t="s">
        <v>1345</v>
      </c>
      <c r="S310" s="9" t="s">
        <v>1953</v>
      </c>
      <c r="T310" s="9" t="s">
        <v>381</v>
      </c>
      <c r="U310" s="9" t="s">
        <v>2009</v>
      </c>
      <c r="V310" s="9" t="s">
        <v>1955</v>
      </c>
      <c r="W310" s="9" t="s">
        <v>1970</v>
      </c>
      <c r="X310" s="9" t="s">
        <v>381</v>
      </c>
      <c r="Y310" s="9" t="s">
        <v>377</v>
      </c>
      <c r="Z310" s="12" t="b">
        <f aca="false">FALSE()</f>
        <v>0</v>
      </c>
      <c r="AA310" s="8" t="s">
        <v>1348</v>
      </c>
    </row>
    <row r="311" customFormat="false" ht="15.75" hidden="false" customHeight="true" outlineLevel="0" collapsed="false">
      <c r="A311" s="9" t="s">
        <v>2010</v>
      </c>
      <c r="B311" s="9" t="s">
        <v>618</v>
      </c>
      <c r="C311" s="9" t="s">
        <v>619</v>
      </c>
      <c r="D311" s="9" t="s">
        <v>384</v>
      </c>
      <c r="E311" s="9" t="s">
        <v>1350</v>
      </c>
      <c r="F311" s="9" t="s">
        <v>1949</v>
      </c>
      <c r="G311" s="9" t="s">
        <v>1957</v>
      </c>
      <c r="H311" s="9" t="s">
        <v>1950</v>
      </c>
      <c r="I311" s="9"/>
      <c r="J311" s="9"/>
      <c r="K311" s="9" t="s">
        <v>1384</v>
      </c>
      <c r="L311" s="9" t="s">
        <v>2011</v>
      </c>
      <c r="M311" s="9" t="s">
        <v>2012</v>
      </c>
      <c r="N311" s="9" t="s">
        <v>2013</v>
      </c>
      <c r="O311" s="9" t="s">
        <v>2013</v>
      </c>
      <c r="P311" s="9"/>
      <c r="Q311" s="9" t="s">
        <v>113</v>
      </c>
      <c r="R311" s="9" t="s">
        <v>2014</v>
      </c>
      <c r="S311" s="9" t="s">
        <v>1953</v>
      </c>
      <c r="T311" s="9" t="s">
        <v>384</v>
      </c>
      <c r="U311" s="9" t="s">
        <v>2015</v>
      </c>
      <c r="V311" s="9" t="s">
        <v>1955</v>
      </c>
      <c r="W311" s="9"/>
      <c r="X311" s="9" t="s">
        <v>384</v>
      </c>
      <c r="Y311" s="9" t="s">
        <v>384</v>
      </c>
      <c r="Z311" s="12" t="b">
        <f aca="false">FALSE()</f>
        <v>0</v>
      </c>
      <c r="AA311" s="8" t="s">
        <v>1348</v>
      </c>
    </row>
    <row r="312" customFormat="false" ht="15.75" hidden="false" customHeight="true" outlineLevel="0" collapsed="false">
      <c r="A312" s="9" t="s">
        <v>2016</v>
      </c>
      <c r="B312" s="9" t="s">
        <v>618</v>
      </c>
      <c r="C312" s="9" t="s">
        <v>619</v>
      </c>
      <c r="D312" s="9" t="s">
        <v>384</v>
      </c>
      <c r="E312" s="9" t="s">
        <v>1355</v>
      </c>
      <c r="F312" s="9" t="s">
        <v>1949</v>
      </c>
      <c r="G312" s="9" t="s">
        <v>1337</v>
      </c>
      <c r="H312" s="9" t="s">
        <v>1950</v>
      </c>
      <c r="I312" s="9"/>
      <c r="J312" s="9"/>
      <c r="K312" s="9" t="s">
        <v>1390</v>
      </c>
      <c r="L312" s="9" t="s">
        <v>1508</v>
      </c>
      <c r="M312" s="9" t="s">
        <v>1533</v>
      </c>
      <c r="N312" s="9" t="s">
        <v>1510</v>
      </c>
      <c r="O312" s="9" t="s">
        <v>1510</v>
      </c>
      <c r="P312" s="9"/>
      <c r="Q312" s="9" t="s">
        <v>1344</v>
      </c>
      <c r="R312" s="9" t="s">
        <v>1394</v>
      </c>
      <c r="S312" s="9" t="s">
        <v>1953</v>
      </c>
      <c r="T312" s="9" t="s">
        <v>381</v>
      </c>
      <c r="U312" s="9" t="s">
        <v>2017</v>
      </c>
      <c r="V312" s="9" t="s">
        <v>1955</v>
      </c>
      <c r="W312" s="9"/>
      <c r="X312" s="9" t="s">
        <v>381</v>
      </c>
      <c r="Y312" s="9" t="s">
        <v>377</v>
      </c>
      <c r="Z312" s="12" t="b">
        <f aca="false">FALSE()</f>
        <v>0</v>
      </c>
      <c r="AA312" s="8" t="s">
        <v>1348</v>
      </c>
    </row>
    <row r="313" customFormat="false" ht="15.75" hidden="false" customHeight="true" outlineLevel="0" collapsed="false">
      <c r="A313" s="9" t="s">
        <v>2018</v>
      </c>
      <c r="B313" s="9" t="s">
        <v>618</v>
      </c>
      <c r="C313" s="9" t="s">
        <v>619</v>
      </c>
      <c r="D313" s="9" t="s">
        <v>384</v>
      </c>
      <c r="E313" s="9" t="s">
        <v>886</v>
      </c>
      <c r="F313" s="9" t="s">
        <v>1949</v>
      </c>
      <c r="G313" s="9" t="s">
        <v>1337</v>
      </c>
      <c r="H313" s="9" t="s">
        <v>1950</v>
      </c>
      <c r="I313" s="9"/>
      <c r="J313" s="9"/>
      <c r="K313" s="9" t="s">
        <v>887</v>
      </c>
      <c r="L313" s="9" t="s">
        <v>1131</v>
      </c>
      <c r="M313" s="9" t="s">
        <v>2019</v>
      </c>
      <c r="N313" s="9" t="s">
        <v>1133</v>
      </c>
      <c r="O313" s="9" t="s">
        <v>1133</v>
      </c>
      <c r="P313" s="9" t="s">
        <v>2020</v>
      </c>
      <c r="Q313" s="9" t="s">
        <v>1344</v>
      </c>
      <c r="R313" s="9" t="s">
        <v>2021</v>
      </c>
      <c r="S313" s="9" t="s">
        <v>1953</v>
      </c>
      <c r="T313" s="9" t="s">
        <v>384</v>
      </c>
      <c r="U313" s="9" t="s">
        <v>2022</v>
      </c>
      <c r="V313" s="9" t="s">
        <v>1955</v>
      </c>
      <c r="W313" s="9" t="s">
        <v>1970</v>
      </c>
      <c r="X313" s="9" t="s">
        <v>384</v>
      </c>
      <c r="Y313" s="9" t="s">
        <v>384</v>
      </c>
      <c r="Z313" s="12" t="b">
        <f aca="false">FALSE()</f>
        <v>0</v>
      </c>
      <c r="AA313" s="8" t="s">
        <v>1348</v>
      </c>
    </row>
    <row r="314" customFormat="false" ht="15.75" hidden="false" customHeight="true" outlineLevel="0" collapsed="false">
      <c r="A314" s="9" t="s">
        <v>2023</v>
      </c>
      <c r="B314" s="9" t="s">
        <v>618</v>
      </c>
      <c r="C314" s="9" t="s">
        <v>619</v>
      </c>
      <c r="D314" s="9" t="s">
        <v>384</v>
      </c>
      <c r="E314" s="9" t="s">
        <v>866</v>
      </c>
      <c r="F314" s="9" t="s">
        <v>1949</v>
      </c>
      <c r="G314" s="9" t="s">
        <v>1977</v>
      </c>
      <c r="H314" s="9" t="s">
        <v>1950</v>
      </c>
      <c r="I314" s="9"/>
      <c r="J314" s="9"/>
      <c r="K314" s="9" t="s">
        <v>867</v>
      </c>
      <c r="L314" s="9" t="s">
        <v>868</v>
      </c>
      <c r="M314" s="9" t="s">
        <v>2024</v>
      </c>
      <c r="N314" s="9" t="s">
        <v>870</v>
      </c>
      <c r="O314" s="9" t="s">
        <v>870</v>
      </c>
      <c r="P314" s="9"/>
      <c r="Q314" s="9" t="s">
        <v>113</v>
      </c>
      <c r="R314" s="9" t="s">
        <v>1980</v>
      </c>
      <c r="S314" s="9" t="s">
        <v>1953</v>
      </c>
      <c r="T314" s="9" t="s">
        <v>381</v>
      </c>
      <c r="U314" s="9" t="s">
        <v>2025</v>
      </c>
      <c r="V314" s="9" t="s">
        <v>1955</v>
      </c>
      <c r="W314" s="9"/>
      <c r="X314" s="9" t="s">
        <v>381</v>
      </c>
      <c r="Y314" s="9" t="s">
        <v>377</v>
      </c>
      <c r="Z314" s="12" t="b">
        <f aca="false">FALSE()</f>
        <v>0</v>
      </c>
      <c r="AA314" s="8" t="s">
        <v>1348</v>
      </c>
    </row>
    <row r="315" customFormat="false" ht="15.75" hidden="false" customHeight="true" outlineLevel="0" collapsed="false">
      <c r="A315" s="9" t="s">
        <v>2026</v>
      </c>
      <c r="B315" s="9" t="s">
        <v>618</v>
      </c>
      <c r="C315" s="9" t="s">
        <v>619</v>
      </c>
      <c r="D315" s="9" t="s">
        <v>384</v>
      </c>
      <c r="E315" s="9" t="s">
        <v>912</v>
      </c>
      <c r="F315" s="9" t="s">
        <v>1949</v>
      </c>
      <c r="G315" s="9" t="s">
        <v>1363</v>
      </c>
      <c r="H315" s="9" t="s">
        <v>1950</v>
      </c>
      <c r="I315" s="9" t="s">
        <v>2027</v>
      </c>
      <c r="J315" s="9" t="s">
        <v>384</v>
      </c>
      <c r="K315" s="9" t="s">
        <v>913</v>
      </c>
      <c r="L315" s="9" t="s">
        <v>914</v>
      </c>
      <c r="M315" s="9" t="s">
        <v>2028</v>
      </c>
      <c r="N315" s="9" t="s">
        <v>916</v>
      </c>
      <c r="O315" s="9" t="s">
        <v>916</v>
      </c>
      <c r="P315" s="9" t="s">
        <v>1365</v>
      </c>
      <c r="Q315" s="9" t="s">
        <v>113</v>
      </c>
      <c r="R315" s="9" t="s">
        <v>1366</v>
      </c>
      <c r="S315" s="9" t="s">
        <v>1953</v>
      </c>
      <c r="T315" s="9" t="s">
        <v>381</v>
      </c>
      <c r="U315" s="9" t="s">
        <v>2029</v>
      </c>
      <c r="V315" s="9" t="s">
        <v>1955</v>
      </c>
      <c r="W315" s="9" t="s">
        <v>1970</v>
      </c>
      <c r="X315" s="9" t="s">
        <v>381</v>
      </c>
      <c r="Y315" s="9" t="s">
        <v>377</v>
      </c>
      <c r="Z315" s="12" t="b">
        <f aca="false">FALSE()</f>
        <v>0</v>
      </c>
      <c r="AA315" s="8" t="s">
        <v>1348</v>
      </c>
    </row>
    <row r="316" customFormat="false" ht="15.75" hidden="false" customHeight="true" outlineLevel="0" collapsed="false">
      <c r="A316" s="9" t="s">
        <v>2030</v>
      </c>
      <c r="B316" s="9" t="s">
        <v>618</v>
      </c>
      <c r="C316" s="9" t="s">
        <v>619</v>
      </c>
      <c r="D316" s="9" t="s">
        <v>384</v>
      </c>
      <c r="E316" s="9" t="s">
        <v>966</v>
      </c>
      <c r="F316" s="9" t="s">
        <v>1949</v>
      </c>
      <c r="G316" s="9" t="s">
        <v>1337</v>
      </c>
      <c r="H316" s="9" t="s">
        <v>1950</v>
      </c>
      <c r="I316" s="9"/>
      <c r="J316" s="9"/>
      <c r="K316" s="9" t="s">
        <v>967</v>
      </c>
      <c r="L316" s="9" t="s">
        <v>1369</v>
      </c>
      <c r="M316" s="9" t="s">
        <v>1370</v>
      </c>
      <c r="N316" s="9" t="s">
        <v>1153</v>
      </c>
      <c r="O316" s="9" t="s">
        <v>1153</v>
      </c>
      <c r="P316" s="9" t="s">
        <v>2031</v>
      </c>
      <c r="Q316" s="9" t="s">
        <v>1344</v>
      </c>
      <c r="R316" s="9" t="s">
        <v>2032</v>
      </c>
      <c r="S316" s="9" t="s">
        <v>1953</v>
      </c>
      <c r="T316" s="9" t="s">
        <v>381</v>
      </c>
      <c r="U316" s="9" t="s">
        <v>2033</v>
      </c>
      <c r="V316" s="9" t="s">
        <v>1955</v>
      </c>
      <c r="W316" s="9" t="s">
        <v>1970</v>
      </c>
      <c r="X316" s="9" t="s">
        <v>381</v>
      </c>
      <c r="Y316" s="9" t="s">
        <v>377</v>
      </c>
      <c r="Z316" s="12" t="b">
        <f aca="false">FALSE()</f>
        <v>0</v>
      </c>
      <c r="AA316" s="8" t="s">
        <v>1348</v>
      </c>
    </row>
    <row r="317" customFormat="false" ht="15.75" hidden="false" customHeight="true" outlineLevel="0" collapsed="false">
      <c r="A317" s="9" t="s">
        <v>2034</v>
      </c>
      <c r="B317" s="9" t="s">
        <v>618</v>
      </c>
      <c r="C317" s="9" t="s">
        <v>619</v>
      </c>
      <c r="D317" s="9" t="s">
        <v>384</v>
      </c>
      <c r="E317" s="9" t="s">
        <v>947</v>
      </c>
      <c r="F317" s="9" t="s">
        <v>1949</v>
      </c>
      <c r="G317" s="9" t="s">
        <v>1363</v>
      </c>
      <c r="H317" s="9" t="s">
        <v>1950</v>
      </c>
      <c r="I317" s="9"/>
      <c r="J317" s="9"/>
      <c r="K317" s="9" t="s">
        <v>948</v>
      </c>
      <c r="L317" s="9" t="s">
        <v>949</v>
      </c>
      <c r="M317" s="9" t="s">
        <v>2035</v>
      </c>
      <c r="N317" s="9" t="s">
        <v>1076</v>
      </c>
      <c r="O317" s="9" t="s">
        <v>1076</v>
      </c>
      <c r="P317" s="9"/>
      <c r="Q317" s="9" t="s">
        <v>1344</v>
      </c>
      <c r="R317" s="9" t="s">
        <v>1997</v>
      </c>
      <c r="S317" s="9" t="s">
        <v>1953</v>
      </c>
      <c r="T317" s="9" t="s">
        <v>381</v>
      </c>
      <c r="U317" s="9" t="s">
        <v>2025</v>
      </c>
      <c r="V317" s="9" t="s">
        <v>1955</v>
      </c>
      <c r="W317" s="9"/>
      <c r="X317" s="9" t="s">
        <v>381</v>
      </c>
      <c r="Y317" s="9" t="s">
        <v>377</v>
      </c>
      <c r="Z317" s="12" t="b">
        <f aca="false">FALSE()</f>
        <v>0</v>
      </c>
      <c r="AA317" s="8" t="s">
        <v>1348</v>
      </c>
    </row>
    <row r="318" customFormat="false" ht="15.75" hidden="false" customHeight="true" outlineLevel="0" collapsed="false">
      <c r="A318" s="9" t="s">
        <v>2036</v>
      </c>
      <c r="B318" s="9" t="s">
        <v>622</v>
      </c>
      <c r="C318" s="9" t="s">
        <v>623</v>
      </c>
      <c r="D318" s="9" t="s">
        <v>384</v>
      </c>
      <c r="E318" s="9" t="s">
        <v>1021</v>
      </c>
      <c r="F318" s="9" t="s">
        <v>1336</v>
      </c>
      <c r="G318" s="9" t="s">
        <v>1351</v>
      </c>
      <c r="H318" s="9" t="s">
        <v>1352</v>
      </c>
      <c r="I318" s="9"/>
      <c r="J318" s="9"/>
      <c r="K318" s="9"/>
      <c r="L318" s="9"/>
      <c r="M318" s="9"/>
      <c r="N318" s="9"/>
      <c r="O318" s="9"/>
      <c r="P318" s="9"/>
      <c r="Q318" s="9" t="s">
        <v>1353</v>
      </c>
      <c r="R318" s="9"/>
      <c r="S318" s="9"/>
      <c r="T318" s="9"/>
      <c r="U318" s="9"/>
      <c r="V318" s="9"/>
      <c r="W318" s="9"/>
      <c r="X318" s="9" t="s">
        <v>414</v>
      </c>
      <c r="Y318" s="9" t="s">
        <v>391</v>
      </c>
      <c r="Z318" s="12" t="b">
        <f aca="false">FALSE()</f>
        <v>0</v>
      </c>
      <c r="AA318" s="8" t="s">
        <v>1348</v>
      </c>
    </row>
    <row r="319" customFormat="false" ht="15.75" hidden="false" customHeight="true" outlineLevel="0" collapsed="false">
      <c r="A319" s="9" t="s">
        <v>2037</v>
      </c>
      <c r="B319" s="9" t="s">
        <v>622</v>
      </c>
      <c r="C319" s="9" t="s">
        <v>623</v>
      </c>
      <c r="D319" s="9" t="s">
        <v>384</v>
      </c>
      <c r="E319" s="9" t="s">
        <v>1350</v>
      </c>
      <c r="F319" s="9" t="s">
        <v>1336</v>
      </c>
      <c r="G319" s="9" t="s">
        <v>1351</v>
      </c>
      <c r="H319" s="9" t="s">
        <v>1352</v>
      </c>
      <c r="I319" s="9"/>
      <c r="J319" s="9"/>
      <c r="K319" s="9"/>
      <c r="L319" s="9"/>
      <c r="M319" s="9"/>
      <c r="N319" s="9"/>
      <c r="O319" s="9"/>
      <c r="P319" s="9"/>
      <c r="Q319" s="9" t="s">
        <v>1353</v>
      </c>
      <c r="R319" s="9"/>
      <c r="S319" s="9"/>
      <c r="T319" s="9"/>
      <c r="U319" s="9"/>
      <c r="V319" s="9"/>
      <c r="W319" s="9"/>
      <c r="X319" s="9" t="s">
        <v>414</v>
      </c>
      <c r="Y319" s="9" t="s">
        <v>391</v>
      </c>
      <c r="Z319" s="12" t="b">
        <f aca="false">FALSE()</f>
        <v>0</v>
      </c>
      <c r="AA319" s="8" t="s">
        <v>1348</v>
      </c>
    </row>
    <row r="320" customFormat="false" ht="15.75" hidden="false" customHeight="true" outlineLevel="0" collapsed="false">
      <c r="A320" s="9" t="s">
        <v>2038</v>
      </c>
      <c r="B320" s="9" t="s">
        <v>622</v>
      </c>
      <c r="C320" s="9" t="s">
        <v>623</v>
      </c>
      <c r="D320" s="9" t="s">
        <v>384</v>
      </c>
      <c r="E320" s="9" t="s">
        <v>1355</v>
      </c>
      <c r="F320" s="9" t="s">
        <v>1336</v>
      </c>
      <c r="G320" s="9" t="s">
        <v>1351</v>
      </c>
      <c r="H320" s="9" t="s">
        <v>1352</v>
      </c>
      <c r="I320" s="9"/>
      <c r="J320" s="9"/>
      <c r="K320" s="9"/>
      <c r="L320" s="9"/>
      <c r="M320" s="9"/>
      <c r="N320" s="9"/>
      <c r="O320" s="9"/>
      <c r="P320" s="9"/>
      <c r="Q320" s="9" t="s">
        <v>1353</v>
      </c>
      <c r="R320" s="9"/>
      <c r="S320" s="9"/>
      <c r="T320" s="9"/>
      <c r="U320" s="9"/>
      <c r="V320" s="9"/>
      <c r="W320" s="9"/>
      <c r="X320" s="9" t="s">
        <v>414</v>
      </c>
      <c r="Y320" s="9" t="s">
        <v>391</v>
      </c>
      <c r="Z320" s="12" t="b">
        <f aca="false">FALSE()</f>
        <v>0</v>
      </c>
      <c r="AA320" s="8" t="s">
        <v>1348</v>
      </c>
    </row>
    <row r="321" customFormat="false" ht="15.75" hidden="false" customHeight="true" outlineLevel="0" collapsed="false">
      <c r="A321" s="9" t="s">
        <v>2039</v>
      </c>
      <c r="B321" s="9" t="s">
        <v>622</v>
      </c>
      <c r="C321" s="9" t="s">
        <v>623</v>
      </c>
      <c r="D321" s="9" t="s">
        <v>384</v>
      </c>
      <c r="E321" s="9" t="s">
        <v>886</v>
      </c>
      <c r="F321" s="9" t="s">
        <v>1336</v>
      </c>
      <c r="G321" s="9" t="s">
        <v>1351</v>
      </c>
      <c r="H321" s="9" t="s">
        <v>1352</v>
      </c>
      <c r="I321" s="9"/>
      <c r="J321" s="9"/>
      <c r="K321" s="9"/>
      <c r="L321" s="9"/>
      <c r="M321" s="9"/>
      <c r="N321" s="9"/>
      <c r="O321" s="9"/>
      <c r="P321" s="9"/>
      <c r="Q321" s="9" t="s">
        <v>1353</v>
      </c>
      <c r="R321" s="9"/>
      <c r="S321" s="9"/>
      <c r="T321" s="9"/>
      <c r="U321" s="9"/>
      <c r="V321" s="9"/>
      <c r="W321" s="9"/>
      <c r="X321" s="9" t="s">
        <v>414</v>
      </c>
      <c r="Y321" s="9" t="s">
        <v>391</v>
      </c>
      <c r="Z321" s="12" t="b">
        <f aca="false">FALSE()</f>
        <v>0</v>
      </c>
      <c r="AA321" s="8" t="s">
        <v>1348</v>
      </c>
    </row>
    <row r="322" customFormat="false" ht="15.75" hidden="false" customHeight="true" outlineLevel="0" collapsed="false">
      <c r="A322" s="9" t="s">
        <v>2040</v>
      </c>
      <c r="B322" s="9" t="s">
        <v>622</v>
      </c>
      <c r="C322" s="9" t="s">
        <v>623</v>
      </c>
      <c r="D322" s="9" t="s">
        <v>384</v>
      </c>
      <c r="E322" s="9" t="s">
        <v>866</v>
      </c>
      <c r="F322" s="9" t="s">
        <v>1336</v>
      </c>
      <c r="G322" s="9" t="s">
        <v>1351</v>
      </c>
      <c r="H322" s="9" t="s">
        <v>1352</v>
      </c>
      <c r="I322" s="9"/>
      <c r="J322" s="9"/>
      <c r="K322" s="9"/>
      <c r="L322" s="9"/>
      <c r="M322" s="9"/>
      <c r="N322" s="9"/>
      <c r="O322" s="9"/>
      <c r="P322" s="9"/>
      <c r="Q322" s="9" t="s">
        <v>1353</v>
      </c>
      <c r="R322" s="9"/>
      <c r="S322" s="9"/>
      <c r="T322" s="9"/>
      <c r="U322" s="9"/>
      <c r="V322" s="9"/>
      <c r="W322" s="9"/>
      <c r="X322" s="9" t="s">
        <v>414</v>
      </c>
      <c r="Y322" s="9" t="s">
        <v>391</v>
      </c>
      <c r="Z322" s="12" t="b">
        <f aca="false">FALSE()</f>
        <v>0</v>
      </c>
      <c r="AA322" s="8" t="s">
        <v>1348</v>
      </c>
    </row>
    <row r="323" customFormat="false" ht="15.75" hidden="false" customHeight="true" outlineLevel="0" collapsed="false">
      <c r="A323" s="9" t="s">
        <v>2041</v>
      </c>
      <c r="B323" s="9" t="s">
        <v>622</v>
      </c>
      <c r="C323" s="9" t="s">
        <v>623</v>
      </c>
      <c r="D323" s="9" t="s">
        <v>384</v>
      </c>
      <c r="E323" s="9" t="s">
        <v>912</v>
      </c>
      <c r="F323" s="9" t="s">
        <v>1336</v>
      </c>
      <c r="G323" s="9" t="s">
        <v>1351</v>
      </c>
      <c r="H323" s="9" t="s">
        <v>1352</v>
      </c>
      <c r="I323" s="9"/>
      <c r="J323" s="9"/>
      <c r="K323" s="9"/>
      <c r="L323" s="9"/>
      <c r="M323" s="9"/>
      <c r="N323" s="9"/>
      <c r="O323" s="9"/>
      <c r="P323" s="9"/>
      <c r="Q323" s="9" t="s">
        <v>1353</v>
      </c>
      <c r="R323" s="9"/>
      <c r="S323" s="9"/>
      <c r="T323" s="9"/>
      <c r="U323" s="9"/>
      <c r="V323" s="9"/>
      <c r="W323" s="9"/>
      <c r="X323" s="9" t="s">
        <v>414</v>
      </c>
      <c r="Y323" s="9" t="s">
        <v>391</v>
      </c>
      <c r="Z323" s="12" t="b">
        <f aca="false">FALSE()</f>
        <v>0</v>
      </c>
      <c r="AA323" s="8" t="s">
        <v>1348</v>
      </c>
    </row>
    <row r="324" customFormat="false" ht="15.75" hidden="false" customHeight="true" outlineLevel="0" collapsed="false">
      <c r="A324" s="9" t="s">
        <v>2042</v>
      </c>
      <c r="B324" s="9" t="s">
        <v>622</v>
      </c>
      <c r="C324" s="9" t="s">
        <v>623</v>
      </c>
      <c r="D324" s="9" t="s">
        <v>384</v>
      </c>
      <c r="E324" s="9" t="s">
        <v>966</v>
      </c>
      <c r="F324" s="9" t="s">
        <v>1336</v>
      </c>
      <c r="G324" s="9" t="s">
        <v>1351</v>
      </c>
      <c r="H324" s="9" t="s">
        <v>1352</v>
      </c>
      <c r="I324" s="9"/>
      <c r="J324" s="9"/>
      <c r="K324" s="9"/>
      <c r="L324" s="9"/>
      <c r="M324" s="9"/>
      <c r="N324" s="9"/>
      <c r="O324" s="9"/>
      <c r="P324" s="9"/>
      <c r="Q324" s="9" t="s">
        <v>1353</v>
      </c>
      <c r="R324" s="9"/>
      <c r="S324" s="9"/>
      <c r="T324" s="9"/>
      <c r="U324" s="9"/>
      <c r="V324" s="9"/>
      <c r="W324" s="9"/>
      <c r="X324" s="9" t="s">
        <v>414</v>
      </c>
      <c r="Y324" s="9" t="s">
        <v>391</v>
      </c>
      <c r="Z324" s="12" t="b">
        <f aca="false">FALSE()</f>
        <v>0</v>
      </c>
      <c r="AA324" s="8" t="s">
        <v>1348</v>
      </c>
    </row>
    <row r="325" customFormat="false" ht="15.75" hidden="false" customHeight="true" outlineLevel="0" collapsed="false">
      <c r="A325" s="9" t="s">
        <v>2043</v>
      </c>
      <c r="B325" s="9" t="s">
        <v>622</v>
      </c>
      <c r="C325" s="9" t="s">
        <v>623</v>
      </c>
      <c r="D325" s="9" t="s">
        <v>384</v>
      </c>
      <c r="E325" s="9" t="s">
        <v>947</v>
      </c>
      <c r="F325" s="9" t="s">
        <v>1336</v>
      </c>
      <c r="G325" s="9" t="s">
        <v>1351</v>
      </c>
      <c r="H325" s="9" t="s">
        <v>1352</v>
      </c>
      <c r="I325" s="9"/>
      <c r="J325" s="9"/>
      <c r="K325" s="9"/>
      <c r="L325" s="9"/>
      <c r="M325" s="9"/>
      <c r="N325" s="9"/>
      <c r="O325" s="9"/>
      <c r="P325" s="9"/>
      <c r="Q325" s="9" t="s">
        <v>1353</v>
      </c>
      <c r="R325" s="9"/>
      <c r="S325" s="9"/>
      <c r="T325" s="9"/>
      <c r="U325" s="9"/>
      <c r="V325" s="9"/>
      <c r="W325" s="9"/>
      <c r="X325" s="9" t="s">
        <v>414</v>
      </c>
      <c r="Y325" s="9" t="s">
        <v>391</v>
      </c>
      <c r="Z325" s="12" t="b">
        <f aca="false">FALSE()</f>
        <v>0</v>
      </c>
      <c r="AA325" s="8" t="s">
        <v>1348</v>
      </c>
    </row>
    <row r="326" customFormat="false" ht="15.75" hidden="false" customHeight="true" outlineLevel="0" collapsed="false">
      <c r="A326" s="9" t="s">
        <v>2044</v>
      </c>
      <c r="B326" s="9" t="s">
        <v>626</v>
      </c>
      <c r="C326" s="9" t="s">
        <v>628</v>
      </c>
      <c r="D326" s="9" t="s">
        <v>387</v>
      </c>
      <c r="E326" s="9" t="s">
        <v>1021</v>
      </c>
      <c r="F326" s="9" t="s">
        <v>1336</v>
      </c>
      <c r="G326" s="9" t="s">
        <v>1351</v>
      </c>
      <c r="H326" s="9" t="s">
        <v>1352</v>
      </c>
      <c r="I326" s="9"/>
      <c r="J326" s="9"/>
      <c r="K326" s="9"/>
      <c r="L326" s="9"/>
      <c r="M326" s="9"/>
      <c r="N326" s="9"/>
      <c r="O326" s="9"/>
      <c r="P326" s="9"/>
      <c r="Q326" s="9" t="s">
        <v>1353</v>
      </c>
      <c r="R326" s="9"/>
      <c r="S326" s="9"/>
      <c r="T326" s="9"/>
      <c r="U326" s="9"/>
      <c r="V326" s="9"/>
      <c r="W326" s="9"/>
      <c r="X326" s="9" t="s">
        <v>414</v>
      </c>
      <c r="Y326" s="9" t="s">
        <v>391</v>
      </c>
      <c r="Z326" s="12" t="b">
        <f aca="false">FALSE()</f>
        <v>0</v>
      </c>
      <c r="AA326" s="8" t="s">
        <v>1348</v>
      </c>
    </row>
    <row r="327" customFormat="false" ht="15.75" hidden="false" customHeight="true" outlineLevel="0" collapsed="false">
      <c r="A327" s="9" t="s">
        <v>2045</v>
      </c>
      <c r="B327" s="9" t="s">
        <v>626</v>
      </c>
      <c r="C327" s="9" t="s">
        <v>628</v>
      </c>
      <c r="D327" s="9" t="s">
        <v>387</v>
      </c>
      <c r="E327" s="9" t="s">
        <v>1350</v>
      </c>
      <c r="F327" s="9" t="s">
        <v>1336</v>
      </c>
      <c r="G327" s="9" t="s">
        <v>1351</v>
      </c>
      <c r="H327" s="9" t="s">
        <v>1352</v>
      </c>
      <c r="I327" s="9"/>
      <c r="J327" s="9"/>
      <c r="K327" s="9"/>
      <c r="L327" s="9"/>
      <c r="M327" s="9"/>
      <c r="N327" s="9"/>
      <c r="O327" s="9"/>
      <c r="P327" s="9"/>
      <c r="Q327" s="9" t="s">
        <v>1353</v>
      </c>
      <c r="R327" s="9"/>
      <c r="S327" s="9"/>
      <c r="T327" s="9"/>
      <c r="U327" s="9"/>
      <c r="V327" s="9"/>
      <c r="W327" s="9"/>
      <c r="X327" s="9" t="s">
        <v>414</v>
      </c>
      <c r="Y327" s="9" t="s">
        <v>391</v>
      </c>
      <c r="Z327" s="12" t="b">
        <f aca="false">FALSE()</f>
        <v>0</v>
      </c>
      <c r="AA327" s="8" t="s">
        <v>1348</v>
      </c>
    </row>
    <row r="328" customFormat="false" ht="15.75" hidden="false" customHeight="true" outlineLevel="0" collapsed="false">
      <c r="A328" s="9" t="s">
        <v>2046</v>
      </c>
      <c r="B328" s="9" t="s">
        <v>626</v>
      </c>
      <c r="C328" s="9" t="s">
        <v>628</v>
      </c>
      <c r="D328" s="9" t="s">
        <v>387</v>
      </c>
      <c r="E328" s="9" t="s">
        <v>1355</v>
      </c>
      <c r="F328" s="9" t="s">
        <v>1336</v>
      </c>
      <c r="G328" s="9" t="s">
        <v>1351</v>
      </c>
      <c r="H328" s="9" t="s">
        <v>1352</v>
      </c>
      <c r="I328" s="9"/>
      <c r="J328" s="9"/>
      <c r="K328" s="9"/>
      <c r="L328" s="9"/>
      <c r="M328" s="9"/>
      <c r="N328" s="9"/>
      <c r="O328" s="9"/>
      <c r="P328" s="9"/>
      <c r="Q328" s="9" t="s">
        <v>1353</v>
      </c>
      <c r="R328" s="9"/>
      <c r="S328" s="9"/>
      <c r="T328" s="9"/>
      <c r="U328" s="9"/>
      <c r="V328" s="9"/>
      <c r="W328" s="9"/>
      <c r="X328" s="9" t="s">
        <v>414</v>
      </c>
      <c r="Y328" s="9" t="s">
        <v>391</v>
      </c>
      <c r="Z328" s="12" t="b">
        <f aca="false">FALSE()</f>
        <v>0</v>
      </c>
      <c r="AA328" s="8" t="s">
        <v>1348</v>
      </c>
    </row>
    <row r="329" customFormat="false" ht="15.75" hidden="false" customHeight="true" outlineLevel="0" collapsed="false">
      <c r="A329" s="9" t="s">
        <v>2047</v>
      </c>
      <c r="B329" s="9" t="s">
        <v>626</v>
      </c>
      <c r="C329" s="9" t="s">
        <v>628</v>
      </c>
      <c r="D329" s="9" t="s">
        <v>387</v>
      </c>
      <c r="E329" s="9" t="s">
        <v>886</v>
      </c>
      <c r="F329" s="9" t="s">
        <v>1336</v>
      </c>
      <c r="G329" s="9" t="s">
        <v>1337</v>
      </c>
      <c r="H329" s="9" t="s">
        <v>1338</v>
      </c>
      <c r="I329" s="9" t="s">
        <v>2048</v>
      </c>
      <c r="J329" s="9" t="s">
        <v>387</v>
      </c>
      <c r="K329" s="9" t="s">
        <v>958</v>
      </c>
      <c r="L329" s="9" t="s">
        <v>959</v>
      </c>
      <c r="M329" s="9" t="s">
        <v>1456</v>
      </c>
      <c r="N329" s="9" t="s">
        <v>961</v>
      </c>
      <c r="O329" s="9" t="s">
        <v>961</v>
      </c>
      <c r="P329" s="9" t="s">
        <v>2049</v>
      </c>
      <c r="Q329" s="9" t="s">
        <v>113</v>
      </c>
      <c r="R329" s="9" t="s">
        <v>2050</v>
      </c>
      <c r="S329" s="9" t="s">
        <v>398</v>
      </c>
      <c r="T329" s="9" t="s">
        <v>387</v>
      </c>
      <c r="U329" s="9"/>
      <c r="V329" s="9" t="s">
        <v>1347</v>
      </c>
      <c r="W329" s="9"/>
      <c r="X329" s="9" t="s">
        <v>387</v>
      </c>
      <c r="Y329" s="9" t="s">
        <v>387</v>
      </c>
      <c r="Z329" s="12" t="b">
        <f aca="false">FALSE()</f>
        <v>0</v>
      </c>
      <c r="AA329" s="8" t="s">
        <v>1348</v>
      </c>
    </row>
    <row r="330" customFormat="false" ht="15.75" hidden="false" customHeight="true" outlineLevel="0" collapsed="false">
      <c r="A330" s="9" t="s">
        <v>2051</v>
      </c>
      <c r="B330" s="9" t="s">
        <v>626</v>
      </c>
      <c r="C330" s="9" t="s">
        <v>628</v>
      </c>
      <c r="D330" s="9" t="s">
        <v>387</v>
      </c>
      <c r="E330" s="9" t="s">
        <v>866</v>
      </c>
      <c r="F330" s="9" t="s">
        <v>1336</v>
      </c>
      <c r="G330" s="9" t="s">
        <v>1351</v>
      </c>
      <c r="H330" s="9" t="s">
        <v>1352</v>
      </c>
      <c r="I330" s="9"/>
      <c r="J330" s="9"/>
      <c r="K330" s="9"/>
      <c r="L330" s="9"/>
      <c r="M330" s="9"/>
      <c r="N330" s="9"/>
      <c r="O330" s="9"/>
      <c r="P330" s="9"/>
      <c r="Q330" s="9" t="s">
        <v>1353</v>
      </c>
      <c r="R330" s="9"/>
      <c r="S330" s="9"/>
      <c r="T330" s="9"/>
      <c r="U330" s="9"/>
      <c r="V330" s="9"/>
      <c r="W330" s="9"/>
      <c r="X330" s="9" t="s">
        <v>414</v>
      </c>
      <c r="Y330" s="9" t="s">
        <v>391</v>
      </c>
      <c r="Z330" s="12" t="b">
        <f aca="false">FALSE()</f>
        <v>0</v>
      </c>
      <c r="AA330" s="8" t="s">
        <v>1348</v>
      </c>
    </row>
    <row r="331" customFormat="false" ht="15.75" hidden="false" customHeight="true" outlineLevel="0" collapsed="false">
      <c r="A331" s="9" t="s">
        <v>2052</v>
      </c>
      <c r="B331" s="9" t="s">
        <v>626</v>
      </c>
      <c r="C331" s="9" t="s">
        <v>628</v>
      </c>
      <c r="D331" s="9" t="s">
        <v>387</v>
      </c>
      <c r="E331" s="9" t="s">
        <v>912</v>
      </c>
      <c r="F331" s="9" t="s">
        <v>1336</v>
      </c>
      <c r="G331" s="9" t="s">
        <v>1351</v>
      </c>
      <c r="H331" s="9" t="s">
        <v>1352</v>
      </c>
      <c r="I331" s="9"/>
      <c r="J331" s="9"/>
      <c r="K331" s="9"/>
      <c r="L331" s="9"/>
      <c r="M331" s="9"/>
      <c r="N331" s="9"/>
      <c r="O331" s="9"/>
      <c r="P331" s="9"/>
      <c r="Q331" s="9" t="s">
        <v>1353</v>
      </c>
      <c r="R331" s="9"/>
      <c r="S331" s="9"/>
      <c r="T331" s="9"/>
      <c r="U331" s="9"/>
      <c r="V331" s="9"/>
      <c r="W331" s="9"/>
      <c r="X331" s="9" t="s">
        <v>414</v>
      </c>
      <c r="Y331" s="9" t="s">
        <v>391</v>
      </c>
      <c r="Z331" s="12" t="b">
        <f aca="false">FALSE()</f>
        <v>0</v>
      </c>
      <c r="AA331" s="8" t="s">
        <v>1348</v>
      </c>
    </row>
    <row r="332" customFormat="false" ht="15.75" hidden="false" customHeight="true" outlineLevel="0" collapsed="false">
      <c r="A332" s="9" t="s">
        <v>2053</v>
      </c>
      <c r="B332" s="9" t="s">
        <v>626</v>
      </c>
      <c r="C332" s="9" t="s">
        <v>628</v>
      </c>
      <c r="D332" s="9" t="s">
        <v>387</v>
      </c>
      <c r="E332" s="9" t="s">
        <v>966</v>
      </c>
      <c r="F332" s="9" t="s">
        <v>1336</v>
      </c>
      <c r="G332" s="9" t="s">
        <v>1351</v>
      </c>
      <c r="H332" s="9" t="s">
        <v>1352</v>
      </c>
      <c r="I332" s="9"/>
      <c r="J332" s="9"/>
      <c r="K332" s="9"/>
      <c r="L332" s="9"/>
      <c r="M332" s="9"/>
      <c r="N332" s="9"/>
      <c r="O332" s="9"/>
      <c r="P332" s="9"/>
      <c r="Q332" s="9" t="s">
        <v>1353</v>
      </c>
      <c r="R332" s="9"/>
      <c r="S332" s="9"/>
      <c r="T332" s="9"/>
      <c r="U332" s="9"/>
      <c r="V332" s="9"/>
      <c r="W332" s="9"/>
      <c r="X332" s="9" t="s">
        <v>414</v>
      </c>
      <c r="Y332" s="9" t="s">
        <v>391</v>
      </c>
      <c r="Z332" s="12" t="b">
        <f aca="false">FALSE()</f>
        <v>0</v>
      </c>
      <c r="AA332" s="8" t="s">
        <v>1348</v>
      </c>
    </row>
    <row r="333" customFormat="false" ht="15.75" hidden="false" customHeight="true" outlineLevel="0" collapsed="false">
      <c r="A333" s="9" t="s">
        <v>2054</v>
      </c>
      <c r="B333" s="9" t="s">
        <v>626</v>
      </c>
      <c r="C333" s="9" t="s">
        <v>628</v>
      </c>
      <c r="D333" s="9" t="s">
        <v>387</v>
      </c>
      <c r="E333" s="9" t="s">
        <v>947</v>
      </c>
      <c r="F333" s="9" t="s">
        <v>1336</v>
      </c>
      <c r="G333" s="9" t="s">
        <v>1351</v>
      </c>
      <c r="H333" s="9" t="s">
        <v>1352</v>
      </c>
      <c r="I333" s="9"/>
      <c r="J333" s="9"/>
      <c r="K333" s="9"/>
      <c r="L333" s="9"/>
      <c r="M333" s="9"/>
      <c r="N333" s="9"/>
      <c r="O333" s="9"/>
      <c r="P333" s="9"/>
      <c r="Q333" s="9" t="s">
        <v>1353</v>
      </c>
      <c r="R333" s="9"/>
      <c r="S333" s="9"/>
      <c r="T333" s="9"/>
      <c r="U333" s="9"/>
      <c r="V333" s="9"/>
      <c r="W333" s="9"/>
      <c r="X333" s="9" t="s">
        <v>414</v>
      </c>
      <c r="Y333" s="9" t="s">
        <v>391</v>
      </c>
      <c r="Z333" s="12" t="b">
        <f aca="false">FALSE()</f>
        <v>0</v>
      </c>
      <c r="AA333" s="8" t="s">
        <v>1348</v>
      </c>
    </row>
    <row r="334" customFormat="false" ht="15.75" hidden="false" customHeight="true" outlineLevel="0" collapsed="false">
      <c r="A334" s="9" t="s">
        <v>2055</v>
      </c>
      <c r="B334" s="9" t="s">
        <v>632</v>
      </c>
      <c r="C334" s="9" t="s">
        <v>633</v>
      </c>
      <c r="D334" s="9" t="s">
        <v>387</v>
      </c>
      <c r="E334" s="9" t="s">
        <v>1021</v>
      </c>
      <c r="F334" s="9" t="s">
        <v>1336</v>
      </c>
      <c r="G334" s="9" t="s">
        <v>1351</v>
      </c>
      <c r="H334" s="9" t="s">
        <v>1352</v>
      </c>
      <c r="I334" s="9"/>
      <c r="J334" s="9"/>
      <c r="K334" s="9"/>
      <c r="L334" s="9"/>
      <c r="M334" s="9"/>
      <c r="N334" s="9"/>
      <c r="O334" s="9"/>
      <c r="P334" s="9"/>
      <c r="Q334" s="9" t="s">
        <v>1353</v>
      </c>
      <c r="R334" s="9"/>
      <c r="S334" s="9"/>
      <c r="T334" s="9"/>
      <c r="U334" s="9"/>
      <c r="V334" s="9"/>
      <c r="W334" s="9"/>
      <c r="X334" s="9" t="s">
        <v>414</v>
      </c>
      <c r="Y334" s="9" t="s">
        <v>391</v>
      </c>
      <c r="Z334" s="12" t="b">
        <f aca="false">FALSE()</f>
        <v>0</v>
      </c>
      <c r="AA334" s="8" t="s">
        <v>1348</v>
      </c>
    </row>
    <row r="335" customFormat="false" ht="15.75" hidden="false" customHeight="true" outlineLevel="0" collapsed="false">
      <c r="A335" s="9" t="s">
        <v>2056</v>
      </c>
      <c r="B335" s="9" t="s">
        <v>632</v>
      </c>
      <c r="C335" s="9" t="s">
        <v>633</v>
      </c>
      <c r="D335" s="9" t="s">
        <v>387</v>
      </c>
      <c r="E335" s="9" t="s">
        <v>1350</v>
      </c>
      <c r="F335" s="9" t="s">
        <v>1336</v>
      </c>
      <c r="G335" s="9" t="s">
        <v>1351</v>
      </c>
      <c r="H335" s="9" t="s">
        <v>1352</v>
      </c>
      <c r="I335" s="9"/>
      <c r="J335" s="9"/>
      <c r="K335" s="9"/>
      <c r="L335" s="9"/>
      <c r="M335" s="9"/>
      <c r="N335" s="9"/>
      <c r="O335" s="9"/>
      <c r="P335" s="9"/>
      <c r="Q335" s="9" t="s">
        <v>1353</v>
      </c>
      <c r="R335" s="9"/>
      <c r="S335" s="9"/>
      <c r="T335" s="9"/>
      <c r="U335" s="9"/>
      <c r="V335" s="9"/>
      <c r="W335" s="9"/>
      <c r="X335" s="9" t="s">
        <v>414</v>
      </c>
      <c r="Y335" s="9" t="s">
        <v>391</v>
      </c>
      <c r="Z335" s="12" t="b">
        <f aca="false">FALSE()</f>
        <v>0</v>
      </c>
      <c r="AA335" s="8" t="s">
        <v>1348</v>
      </c>
    </row>
    <row r="336" customFormat="false" ht="15.75" hidden="false" customHeight="true" outlineLevel="0" collapsed="false">
      <c r="A336" s="9" t="s">
        <v>2057</v>
      </c>
      <c r="B336" s="9" t="s">
        <v>632</v>
      </c>
      <c r="C336" s="9" t="s">
        <v>633</v>
      </c>
      <c r="D336" s="9" t="s">
        <v>387</v>
      </c>
      <c r="E336" s="9" t="s">
        <v>1355</v>
      </c>
      <c r="F336" s="9" t="s">
        <v>1336</v>
      </c>
      <c r="G336" s="9" t="s">
        <v>1337</v>
      </c>
      <c r="H336" s="9" t="s">
        <v>1338</v>
      </c>
      <c r="I336" s="9" t="s">
        <v>2058</v>
      </c>
      <c r="J336" s="9" t="s">
        <v>387</v>
      </c>
      <c r="K336" s="9" t="s">
        <v>1390</v>
      </c>
      <c r="L336" s="9" t="s">
        <v>1508</v>
      </c>
      <c r="M336" s="9" t="s">
        <v>1533</v>
      </c>
      <c r="N336" s="9" t="s">
        <v>1391</v>
      </c>
      <c r="O336" s="9" t="s">
        <v>1510</v>
      </c>
      <c r="P336" s="9" t="s">
        <v>2059</v>
      </c>
      <c r="Q336" s="9" t="s">
        <v>113</v>
      </c>
      <c r="R336" s="9" t="s">
        <v>1394</v>
      </c>
      <c r="S336" s="9" t="s">
        <v>398</v>
      </c>
      <c r="T336" s="9" t="s">
        <v>387</v>
      </c>
      <c r="U336" s="9" t="s">
        <v>2060</v>
      </c>
      <c r="V336" s="9" t="s">
        <v>1347</v>
      </c>
      <c r="W336" s="9"/>
      <c r="X336" s="9" t="s">
        <v>387</v>
      </c>
      <c r="Y336" s="9" t="s">
        <v>387</v>
      </c>
      <c r="Z336" s="12" t="b">
        <f aca="false">FALSE()</f>
        <v>0</v>
      </c>
      <c r="AA336" s="8" t="s">
        <v>1348</v>
      </c>
    </row>
    <row r="337" customFormat="false" ht="15.75" hidden="false" customHeight="true" outlineLevel="0" collapsed="false">
      <c r="A337" s="9" t="s">
        <v>2061</v>
      </c>
      <c r="B337" s="9" t="s">
        <v>632</v>
      </c>
      <c r="C337" s="9" t="s">
        <v>633</v>
      </c>
      <c r="D337" s="9" t="s">
        <v>387</v>
      </c>
      <c r="E337" s="9" t="s">
        <v>886</v>
      </c>
      <c r="F337" s="9" t="s">
        <v>1336</v>
      </c>
      <c r="G337" s="9" t="s">
        <v>1337</v>
      </c>
      <c r="H337" s="9" t="s">
        <v>1338</v>
      </c>
      <c r="I337" s="9" t="s">
        <v>2058</v>
      </c>
      <c r="J337" s="9" t="s">
        <v>387</v>
      </c>
      <c r="K337" s="9" t="s">
        <v>887</v>
      </c>
      <c r="L337" s="9" t="s">
        <v>888</v>
      </c>
      <c r="M337" s="9" t="s">
        <v>1537</v>
      </c>
      <c r="N337" s="9" t="s">
        <v>890</v>
      </c>
      <c r="O337" s="9" t="s">
        <v>890</v>
      </c>
      <c r="P337" s="9" t="s">
        <v>2062</v>
      </c>
      <c r="Q337" s="9" t="s">
        <v>113</v>
      </c>
      <c r="R337" s="9" t="s">
        <v>1681</v>
      </c>
      <c r="S337" s="9" t="s">
        <v>398</v>
      </c>
      <c r="T337" s="9" t="s">
        <v>387</v>
      </c>
      <c r="U337" s="9" t="s">
        <v>2060</v>
      </c>
      <c r="V337" s="9" t="s">
        <v>1347</v>
      </c>
      <c r="W337" s="9"/>
      <c r="X337" s="9" t="s">
        <v>387</v>
      </c>
      <c r="Y337" s="9" t="s">
        <v>387</v>
      </c>
      <c r="Z337" s="12" t="b">
        <f aca="false">FALSE()</f>
        <v>0</v>
      </c>
      <c r="AA337" s="8" t="s">
        <v>1348</v>
      </c>
    </row>
    <row r="338" customFormat="false" ht="15.75" hidden="false" customHeight="true" outlineLevel="0" collapsed="false">
      <c r="A338" s="9" t="s">
        <v>2063</v>
      </c>
      <c r="B338" s="9" t="s">
        <v>632</v>
      </c>
      <c r="C338" s="9" t="s">
        <v>633</v>
      </c>
      <c r="D338" s="9" t="s">
        <v>387</v>
      </c>
      <c r="E338" s="9" t="s">
        <v>866</v>
      </c>
      <c r="F338" s="9" t="s">
        <v>1336</v>
      </c>
      <c r="G338" s="9" t="s">
        <v>1337</v>
      </c>
      <c r="H338" s="9" t="s">
        <v>1338</v>
      </c>
      <c r="I338" s="9" t="s">
        <v>2058</v>
      </c>
      <c r="J338" s="9" t="s">
        <v>387</v>
      </c>
      <c r="K338" s="9" t="s">
        <v>867</v>
      </c>
      <c r="L338" s="9" t="s">
        <v>868</v>
      </c>
      <c r="M338" s="9" t="s">
        <v>1370</v>
      </c>
      <c r="N338" s="9" t="s">
        <v>870</v>
      </c>
      <c r="O338" s="9" t="s">
        <v>870</v>
      </c>
      <c r="P338" s="9" t="s">
        <v>2064</v>
      </c>
      <c r="Q338" s="9" t="s">
        <v>113</v>
      </c>
      <c r="R338" s="9" t="s">
        <v>1360</v>
      </c>
      <c r="S338" s="9" t="s">
        <v>398</v>
      </c>
      <c r="T338" s="9" t="s">
        <v>387</v>
      </c>
      <c r="U338" s="9" t="s">
        <v>2060</v>
      </c>
      <c r="V338" s="9" t="s">
        <v>1347</v>
      </c>
      <c r="W338" s="9"/>
      <c r="X338" s="9" t="s">
        <v>387</v>
      </c>
      <c r="Y338" s="9" t="s">
        <v>387</v>
      </c>
      <c r="Z338" s="12" t="b">
        <f aca="false">FALSE()</f>
        <v>0</v>
      </c>
      <c r="AA338" s="8" t="s">
        <v>1348</v>
      </c>
    </row>
    <row r="339" customFormat="false" ht="15.75" hidden="false" customHeight="true" outlineLevel="0" collapsed="false">
      <c r="A339" s="9" t="s">
        <v>2065</v>
      </c>
      <c r="B339" s="9" t="s">
        <v>632</v>
      </c>
      <c r="C339" s="9" t="s">
        <v>633</v>
      </c>
      <c r="D339" s="9" t="s">
        <v>387</v>
      </c>
      <c r="E339" s="9" t="s">
        <v>912</v>
      </c>
      <c r="F339" s="9" t="s">
        <v>1336</v>
      </c>
      <c r="G339" s="9" t="s">
        <v>1351</v>
      </c>
      <c r="H339" s="9" t="s">
        <v>1352</v>
      </c>
      <c r="I339" s="9"/>
      <c r="J339" s="9"/>
      <c r="K339" s="9"/>
      <c r="L339" s="9"/>
      <c r="M339" s="9"/>
      <c r="N339" s="9"/>
      <c r="O339" s="9"/>
      <c r="P339" s="9"/>
      <c r="Q339" s="9" t="s">
        <v>1353</v>
      </c>
      <c r="R339" s="9"/>
      <c r="S339" s="9"/>
      <c r="T339" s="9"/>
      <c r="U339" s="9"/>
      <c r="V339" s="9"/>
      <c r="W339" s="9"/>
      <c r="X339" s="9" t="s">
        <v>414</v>
      </c>
      <c r="Y339" s="9" t="s">
        <v>391</v>
      </c>
      <c r="Z339" s="12" t="b">
        <f aca="false">FALSE()</f>
        <v>0</v>
      </c>
      <c r="AA339" s="8" t="s">
        <v>1348</v>
      </c>
    </row>
    <row r="340" customFormat="false" ht="15.75" hidden="false" customHeight="true" outlineLevel="0" collapsed="false">
      <c r="A340" s="9" t="s">
        <v>2066</v>
      </c>
      <c r="B340" s="9" t="s">
        <v>632</v>
      </c>
      <c r="C340" s="9" t="s">
        <v>633</v>
      </c>
      <c r="D340" s="9" t="s">
        <v>387</v>
      </c>
      <c r="E340" s="9" t="s">
        <v>966</v>
      </c>
      <c r="F340" s="9" t="s">
        <v>1336</v>
      </c>
      <c r="G340" s="9" t="s">
        <v>1337</v>
      </c>
      <c r="H340" s="9" t="s">
        <v>1338</v>
      </c>
      <c r="I340" s="9" t="s">
        <v>2058</v>
      </c>
      <c r="J340" s="9" t="s">
        <v>387</v>
      </c>
      <c r="K340" s="9" t="s">
        <v>967</v>
      </c>
      <c r="L340" s="9" t="s">
        <v>1369</v>
      </c>
      <c r="M340" s="9" t="s">
        <v>1370</v>
      </c>
      <c r="N340" s="9" t="s">
        <v>1153</v>
      </c>
      <c r="O340" s="9" t="s">
        <v>1153</v>
      </c>
      <c r="P340" s="9" t="s">
        <v>2067</v>
      </c>
      <c r="Q340" s="9" t="s">
        <v>113</v>
      </c>
      <c r="R340" s="9" t="s">
        <v>1372</v>
      </c>
      <c r="S340" s="9" t="s">
        <v>398</v>
      </c>
      <c r="T340" s="9" t="s">
        <v>387</v>
      </c>
      <c r="U340" s="9" t="s">
        <v>2060</v>
      </c>
      <c r="V340" s="9" t="s">
        <v>1347</v>
      </c>
      <c r="W340" s="9"/>
      <c r="X340" s="9" t="s">
        <v>387</v>
      </c>
      <c r="Y340" s="9" t="s">
        <v>387</v>
      </c>
      <c r="Z340" s="12" t="b">
        <f aca="false">FALSE()</f>
        <v>0</v>
      </c>
      <c r="AA340" s="8" t="s">
        <v>1348</v>
      </c>
    </row>
    <row r="341" customFormat="false" ht="15.75" hidden="false" customHeight="true" outlineLevel="0" collapsed="false">
      <c r="A341" s="9" t="s">
        <v>2068</v>
      </c>
      <c r="B341" s="9" t="s">
        <v>632</v>
      </c>
      <c r="C341" s="9" t="s">
        <v>633</v>
      </c>
      <c r="D341" s="9" t="s">
        <v>387</v>
      </c>
      <c r="E341" s="9" t="s">
        <v>947</v>
      </c>
      <c r="F341" s="9" t="s">
        <v>1336</v>
      </c>
      <c r="G341" s="9" t="s">
        <v>1351</v>
      </c>
      <c r="H341" s="9" t="s">
        <v>1352</v>
      </c>
      <c r="I341" s="9"/>
      <c r="J341" s="9"/>
      <c r="K341" s="9"/>
      <c r="L341" s="9"/>
      <c r="M341" s="9"/>
      <c r="N341" s="9"/>
      <c r="O341" s="9"/>
      <c r="P341" s="9"/>
      <c r="Q341" s="9" t="s">
        <v>1353</v>
      </c>
      <c r="R341" s="9"/>
      <c r="S341" s="9"/>
      <c r="T341" s="9"/>
      <c r="U341" s="9"/>
      <c r="V341" s="9"/>
      <c r="W341" s="9"/>
      <c r="X341" s="9" t="s">
        <v>414</v>
      </c>
      <c r="Y341" s="9" t="s">
        <v>391</v>
      </c>
      <c r="Z341" s="12" t="b">
        <f aca="false">FALSE()</f>
        <v>0</v>
      </c>
      <c r="AA341" s="8" t="s">
        <v>1348</v>
      </c>
    </row>
    <row r="342" customFormat="false" ht="15.75" hidden="false" customHeight="true" outlineLevel="0" collapsed="false">
      <c r="A342" s="9" t="s">
        <v>2069</v>
      </c>
      <c r="B342" s="9" t="s">
        <v>636</v>
      </c>
      <c r="C342" s="9" t="s">
        <v>637</v>
      </c>
      <c r="D342" s="9" t="s">
        <v>387</v>
      </c>
      <c r="E342" s="9" t="s">
        <v>1021</v>
      </c>
      <c r="F342" s="9" t="s">
        <v>1336</v>
      </c>
      <c r="G342" s="9" t="s">
        <v>1494</v>
      </c>
      <c r="H342" s="9" t="s">
        <v>1338</v>
      </c>
      <c r="I342" s="9" t="s">
        <v>2070</v>
      </c>
      <c r="J342" s="9" t="s">
        <v>387</v>
      </c>
      <c r="K342" s="9" t="s">
        <v>1022</v>
      </c>
      <c r="L342" s="9" t="s">
        <v>1340</v>
      </c>
      <c r="M342" s="9" t="s">
        <v>1341</v>
      </c>
      <c r="N342" s="9" t="s">
        <v>1342</v>
      </c>
      <c r="O342" s="9" t="s">
        <v>68</v>
      </c>
      <c r="P342" s="9" t="s">
        <v>2071</v>
      </c>
      <c r="Q342" s="9" t="s">
        <v>113</v>
      </c>
      <c r="R342" s="9" t="s">
        <v>2072</v>
      </c>
      <c r="S342" s="9" t="s">
        <v>398</v>
      </c>
      <c r="T342" s="9" t="s">
        <v>387</v>
      </c>
      <c r="U342" s="9" t="s">
        <v>2073</v>
      </c>
      <c r="V342" s="9" t="s">
        <v>1347</v>
      </c>
      <c r="W342" s="9"/>
      <c r="X342" s="9" t="s">
        <v>387</v>
      </c>
      <c r="Y342" s="9" t="s">
        <v>387</v>
      </c>
      <c r="Z342" s="12" t="b">
        <f aca="false">FALSE()</f>
        <v>0</v>
      </c>
      <c r="AA342" s="8" t="s">
        <v>1348</v>
      </c>
    </row>
    <row r="343" customFormat="false" ht="15.75" hidden="false" customHeight="true" outlineLevel="0" collapsed="false">
      <c r="A343" s="9" t="s">
        <v>2074</v>
      </c>
      <c r="B343" s="9" t="s">
        <v>636</v>
      </c>
      <c r="C343" s="9" t="s">
        <v>637</v>
      </c>
      <c r="D343" s="9" t="s">
        <v>387</v>
      </c>
      <c r="E343" s="9" t="s">
        <v>1350</v>
      </c>
      <c r="F343" s="9" t="s">
        <v>1336</v>
      </c>
      <c r="G343" s="9" t="s">
        <v>1494</v>
      </c>
      <c r="H343" s="9" t="s">
        <v>399</v>
      </c>
      <c r="I343" s="9" t="s">
        <v>2070</v>
      </c>
      <c r="J343" s="9" t="s">
        <v>46</v>
      </c>
      <c r="K343" s="9" t="s">
        <v>1502</v>
      </c>
      <c r="L343" s="9" t="s">
        <v>2075</v>
      </c>
      <c r="M343" s="9" t="s">
        <v>2076</v>
      </c>
      <c r="N343" s="9" t="s">
        <v>2077</v>
      </c>
      <c r="O343" s="9" t="s">
        <v>2077</v>
      </c>
      <c r="P343" s="9" t="s">
        <v>2078</v>
      </c>
      <c r="Q343" s="9" t="s">
        <v>2079</v>
      </c>
      <c r="R343" s="9" t="s">
        <v>2072</v>
      </c>
      <c r="S343" s="9" t="s">
        <v>2079</v>
      </c>
      <c r="T343" s="9"/>
      <c r="U343" s="9" t="s">
        <v>2080</v>
      </c>
      <c r="V343" s="9" t="s">
        <v>399</v>
      </c>
      <c r="W343" s="9" t="s">
        <v>2081</v>
      </c>
      <c r="X343" s="9" t="s">
        <v>399</v>
      </c>
      <c r="Y343" s="9" t="s">
        <v>391</v>
      </c>
      <c r="Z343" s="12" t="b">
        <f aca="false">FALSE()</f>
        <v>0</v>
      </c>
      <c r="AA343" s="8" t="s">
        <v>1348</v>
      </c>
    </row>
    <row r="344" customFormat="false" ht="15.75" hidden="false" customHeight="true" outlineLevel="0" collapsed="false">
      <c r="A344" s="9" t="s">
        <v>2082</v>
      </c>
      <c r="B344" s="9" t="s">
        <v>636</v>
      </c>
      <c r="C344" s="9" t="s">
        <v>637</v>
      </c>
      <c r="D344" s="9" t="s">
        <v>387</v>
      </c>
      <c r="E344" s="9" t="s">
        <v>1355</v>
      </c>
      <c r="F344" s="9" t="s">
        <v>1336</v>
      </c>
      <c r="G344" s="9" t="s">
        <v>1494</v>
      </c>
      <c r="H344" s="9" t="s">
        <v>1338</v>
      </c>
      <c r="I344" s="9" t="s">
        <v>2070</v>
      </c>
      <c r="J344" s="9" t="s">
        <v>387</v>
      </c>
      <c r="K344" s="9" t="s">
        <v>1507</v>
      </c>
      <c r="L344" s="9" t="s">
        <v>1508</v>
      </c>
      <c r="M344" s="9" t="s">
        <v>1509</v>
      </c>
      <c r="N344" s="9" t="s">
        <v>1510</v>
      </c>
      <c r="O344" s="9" t="s">
        <v>1510</v>
      </c>
      <c r="P344" s="9" t="s">
        <v>2083</v>
      </c>
      <c r="Q344" s="9" t="s">
        <v>113</v>
      </c>
      <c r="R344" s="9" t="s">
        <v>2072</v>
      </c>
      <c r="S344" s="9" t="s">
        <v>398</v>
      </c>
      <c r="T344" s="9" t="s">
        <v>387</v>
      </c>
      <c r="U344" s="9" t="s">
        <v>2073</v>
      </c>
      <c r="V344" s="9" t="s">
        <v>1347</v>
      </c>
      <c r="W344" s="9"/>
      <c r="X344" s="9" t="s">
        <v>387</v>
      </c>
      <c r="Y344" s="9" t="s">
        <v>387</v>
      </c>
      <c r="Z344" s="12" t="b">
        <f aca="false">FALSE()</f>
        <v>0</v>
      </c>
      <c r="AA344" s="8" t="s">
        <v>1348</v>
      </c>
    </row>
    <row r="345" customFormat="false" ht="15.75" hidden="false" customHeight="true" outlineLevel="0" collapsed="false">
      <c r="A345" s="9" t="s">
        <v>2084</v>
      </c>
      <c r="B345" s="9" t="s">
        <v>636</v>
      </c>
      <c r="C345" s="9" t="s">
        <v>637</v>
      </c>
      <c r="D345" s="9" t="s">
        <v>387</v>
      </c>
      <c r="E345" s="9" t="s">
        <v>886</v>
      </c>
      <c r="F345" s="9" t="s">
        <v>1336</v>
      </c>
      <c r="G345" s="9" t="s">
        <v>1494</v>
      </c>
      <c r="H345" s="9" t="s">
        <v>1338</v>
      </c>
      <c r="I345" s="9" t="s">
        <v>2070</v>
      </c>
      <c r="J345" s="9" t="s">
        <v>387</v>
      </c>
      <c r="K345" s="9" t="s">
        <v>887</v>
      </c>
      <c r="L345" s="9" t="s">
        <v>888</v>
      </c>
      <c r="M345" s="9" t="s">
        <v>1512</v>
      </c>
      <c r="N345" s="9" t="s">
        <v>890</v>
      </c>
      <c r="O345" s="9" t="s">
        <v>890</v>
      </c>
      <c r="P345" s="9" t="s">
        <v>2083</v>
      </c>
      <c r="Q345" s="9" t="s">
        <v>113</v>
      </c>
      <c r="R345" s="9" t="s">
        <v>2072</v>
      </c>
      <c r="S345" s="9" t="s">
        <v>398</v>
      </c>
      <c r="T345" s="9" t="s">
        <v>387</v>
      </c>
      <c r="U345" s="9" t="s">
        <v>2073</v>
      </c>
      <c r="V345" s="9" t="s">
        <v>1347</v>
      </c>
      <c r="W345" s="9"/>
      <c r="X345" s="9" t="s">
        <v>387</v>
      </c>
      <c r="Y345" s="9" t="s">
        <v>387</v>
      </c>
      <c r="Z345" s="12" t="b">
        <f aca="false">FALSE()</f>
        <v>0</v>
      </c>
      <c r="AA345" s="8" t="s">
        <v>1348</v>
      </c>
    </row>
    <row r="346" customFormat="false" ht="15.75" hidden="false" customHeight="true" outlineLevel="0" collapsed="false">
      <c r="A346" s="9" t="s">
        <v>2085</v>
      </c>
      <c r="B346" s="9" t="s">
        <v>636</v>
      </c>
      <c r="C346" s="9" t="s">
        <v>637</v>
      </c>
      <c r="D346" s="9" t="s">
        <v>387</v>
      </c>
      <c r="E346" s="9" t="s">
        <v>866</v>
      </c>
      <c r="F346" s="9" t="s">
        <v>1336</v>
      </c>
      <c r="G346" s="9" t="s">
        <v>1494</v>
      </c>
      <c r="H346" s="9" t="s">
        <v>1338</v>
      </c>
      <c r="I346" s="9" t="s">
        <v>2070</v>
      </c>
      <c r="J346" s="9" t="s">
        <v>387</v>
      </c>
      <c r="K346" s="9" t="s">
        <v>867</v>
      </c>
      <c r="L346" s="9" t="s">
        <v>868</v>
      </c>
      <c r="M346" s="9" t="s">
        <v>1370</v>
      </c>
      <c r="N346" s="9" t="s">
        <v>870</v>
      </c>
      <c r="O346" s="9" t="s">
        <v>870</v>
      </c>
      <c r="P346" s="9" t="s">
        <v>2083</v>
      </c>
      <c r="Q346" s="9" t="s">
        <v>113</v>
      </c>
      <c r="R346" s="9" t="s">
        <v>2072</v>
      </c>
      <c r="S346" s="9" t="s">
        <v>398</v>
      </c>
      <c r="T346" s="9" t="s">
        <v>387</v>
      </c>
      <c r="U346" s="9" t="s">
        <v>2073</v>
      </c>
      <c r="V346" s="9" t="s">
        <v>1347</v>
      </c>
      <c r="W346" s="9"/>
      <c r="X346" s="9" t="s">
        <v>387</v>
      </c>
      <c r="Y346" s="9" t="s">
        <v>387</v>
      </c>
      <c r="Z346" s="12" t="b">
        <f aca="false">FALSE()</f>
        <v>0</v>
      </c>
      <c r="AA346" s="8" t="s">
        <v>1348</v>
      </c>
    </row>
    <row r="347" customFormat="false" ht="15.75" hidden="false" customHeight="true" outlineLevel="0" collapsed="false">
      <c r="A347" s="9" t="s">
        <v>2086</v>
      </c>
      <c r="B347" s="9" t="s">
        <v>636</v>
      </c>
      <c r="C347" s="9" t="s">
        <v>637</v>
      </c>
      <c r="D347" s="9" t="s">
        <v>387</v>
      </c>
      <c r="E347" s="9" t="s">
        <v>912</v>
      </c>
      <c r="F347" s="9" t="s">
        <v>1336</v>
      </c>
      <c r="G347" s="9" t="s">
        <v>1519</v>
      </c>
      <c r="H347" s="9" t="s">
        <v>1352</v>
      </c>
      <c r="I347" s="9" t="s">
        <v>2070</v>
      </c>
      <c r="J347" s="9" t="s">
        <v>387</v>
      </c>
      <c r="K347" s="9" t="s">
        <v>2087</v>
      </c>
      <c r="L347" s="9" t="s">
        <v>2088</v>
      </c>
      <c r="M347" s="9" t="s">
        <v>2089</v>
      </c>
      <c r="N347" s="9" t="s">
        <v>2090</v>
      </c>
      <c r="O347" s="9" t="s">
        <v>2090</v>
      </c>
      <c r="P347" s="9" t="s">
        <v>2091</v>
      </c>
      <c r="Q347" s="9" t="s">
        <v>1523</v>
      </c>
      <c r="R347" s="9" t="s">
        <v>1524</v>
      </c>
      <c r="S347" s="9" t="s">
        <v>1525</v>
      </c>
      <c r="T347" s="9"/>
      <c r="U347" s="9" t="s">
        <v>2092</v>
      </c>
      <c r="V347" s="9" t="s">
        <v>1527</v>
      </c>
      <c r="W347" s="9"/>
      <c r="X347" s="9" t="s">
        <v>408</v>
      </c>
      <c r="Y347" s="9" t="s">
        <v>391</v>
      </c>
      <c r="Z347" s="12" t="b">
        <f aca="false">TRUE()</f>
        <v>1</v>
      </c>
      <c r="AA347" s="8" t="s">
        <v>1528</v>
      </c>
    </row>
    <row r="348" customFormat="false" ht="15.75" hidden="false" customHeight="true" outlineLevel="0" collapsed="false">
      <c r="A348" s="9" t="s">
        <v>2093</v>
      </c>
      <c r="B348" s="9" t="s">
        <v>636</v>
      </c>
      <c r="C348" s="9" t="s">
        <v>637</v>
      </c>
      <c r="D348" s="9" t="s">
        <v>387</v>
      </c>
      <c r="E348" s="9" t="s">
        <v>966</v>
      </c>
      <c r="F348" s="9" t="s">
        <v>1336</v>
      </c>
      <c r="G348" s="9" t="s">
        <v>1494</v>
      </c>
      <c r="H348" s="9" t="s">
        <v>1338</v>
      </c>
      <c r="I348" s="9" t="s">
        <v>2070</v>
      </c>
      <c r="J348" s="9" t="s">
        <v>387</v>
      </c>
      <c r="K348" s="9" t="s">
        <v>967</v>
      </c>
      <c r="L348" s="9" t="s">
        <v>1152</v>
      </c>
      <c r="M348" s="9" t="s">
        <v>1370</v>
      </c>
      <c r="N348" s="9" t="s">
        <v>1153</v>
      </c>
      <c r="O348" s="9" t="s">
        <v>1153</v>
      </c>
      <c r="P348" s="9" t="s">
        <v>2083</v>
      </c>
      <c r="Q348" s="9" t="s">
        <v>113</v>
      </c>
      <c r="R348" s="9" t="s">
        <v>2072</v>
      </c>
      <c r="S348" s="9" t="s">
        <v>398</v>
      </c>
      <c r="T348" s="9" t="s">
        <v>387</v>
      </c>
      <c r="U348" s="9" t="s">
        <v>2073</v>
      </c>
      <c r="V348" s="9" t="s">
        <v>1347</v>
      </c>
      <c r="W348" s="9"/>
      <c r="X348" s="9" t="s">
        <v>387</v>
      </c>
      <c r="Y348" s="9" t="s">
        <v>387</v>
      </c>
      <c r="Z348" s="12" t="b">
        <f aca="false">FALSE()</f>
        <v>0</v>
      </c>
      <c r="AA348" s="8" t="s">
        <v>1348</v>
      </c>
    </row>
    <row r="349" customFormat="false" ht="15.75" hidden="false" customHeight="true" outlineLevel="0" collapsed="false">
      <c r="A349" s="9" t="s">
        <v>2094</v>
      </c>
      <c r="B349" s="9" t="s">
        <v>636</v>
      </c>
      <c r="C349" s="9" t="s">
        <v>637</v>
      </c>
      <c r="D349" s="9" t="s">
        <v>387</v>
      </c>
      <c r="E349" s="9" t="s">
        <v>947</v>
      </c>
      <c r="F349" s="9" t="s">
        <v>1336</v>
      </c>
      <c r="G349" s="9" t="s">
        <v>1519</v>
      </c>
      <c r="H349" s="9" t="s">
        <v>1352</v>
      </c>
      <c r="I349" s="9" t="s">
        <v>2070</v>
      </c>
      <c r="J349" s="9" t="s">
        <v>2095</v>
      </c>
      <c r="K349" s="9" t="s">
        <v>1520</v>
      </c>
      <c r="L349" s="9" t="s">
        <v>1521</v>
      </c>
      <c r="M349" s="9" t="s">
        <v>1370</v>
      </c>
      <c r="N349" s="9" t="s">
        <v>1522</v>
      </c>
      <c r="O349" s="9" t="s">
        <v>1522</v>
      </c>
      <c r="P349" s="9" t="s">
        <v>2096</v>
      </c>
      <c r="Q349" s="9" t="s">
        <v>1523</v>
      </c>
      <c r="R349" s="9" t="s">
        <v>1524</v>
      </c>
      <c r="S349" s="9" t="s">
        <v>1525</v>
      </c>
      <c r="T349" s="9"/>
      <c r="U349" s="9" t="s">
        <v>2097</v>
      </c>
      <c r="V349" s="9" t="s">
        <v>1527</v>
      </c>
      <c r="W349" s="9"/>
      <c r="X349" s="9" t="s">
        <v>408</v>
      </c>
      <c r="Y349" s="9" t="s">
        <v>391</v>
      </c>
      <c r="Z349" s="12" t="b">
        <f aca="false">TRUE()</f>
        <v>1</v>
      </c>
      <c r="AA349" s="8" t="s">
        <v>1528</v>
      </c>
    </row>
    <row r="350" customFormat="false" ht="15.75" hidden="false" customHeight="true" outlineLevel="0" collapsed="false">
      <c r="A350" s="9" t="s">
        <v>2098</v>
      </c>
      <c r="B350" s="9" t="s">
        <v>640</v>
      </c>
      <c r="C350" s="9" t="s">
        <v>641</v>
      </c>
      <c r="D350" s="9" t="s">
        <v>387</v>
      </c>
      <c r="E350" s="9" t="s">
        <v>1021</v>
      </c>
      <c r="F350" s="9" t="s">
        <v>1336</v>
      </c>
      <c r="G350" s="9" t="s">
        <v>1351</v>
      </c>
      <c r="H350" s="9" t="s">
        <v>1352</v>
      </c>
      <c r="I350" s="9"/>
      <c r="J350" s="9"/>
      <c r="K350" s="9"/>
      <c r="L350" s="9"/>
      <c r="M350" s="9"/>
      <c r="N350" s="9"/>
      <c r="O350" s="9"/>
      <c r="P350" s="9"/>
      <c r="Q350" s="9" t="s">
        <v>1353</v>
      </c>
      <c r="R350" s="9"/>
      <c r="S350" s="9"/>
      <c r="T350" s="9"/>
      <c r="U350" s="9"/>
      <c r="V350" s="9"/>
      <c r="W350" s="9"/>
      <c r="X350" s="9" t="s">
        <v>414</v>
      </c>
      <c r="Y350" s="9" t="s">
        <v>391</v>
      </c>
      <c r="Z350" s="12" t="b">
        <f aca="false">FALSE()</f>
        <v>0</v>
      </c>
      <c r="AA350" s="8" t="s">
        <v>1348</v>
      </c>
    </row>
    <row r="351" customFormat="false" ht="15.75" hidden="false" customHeight="true" outlineLevel="0" collapsed="false">
      <c r="A351" s="9" t="s">
        <v>2099</v>
      </c>
      <c r="B351" s="9" t="s">
        <v>640</v>
      </c>
      <c r="C351" s="9" t="s">
        <v>641</v>
      </c>
      <c r="D351" s="9" t="s">
        <v>387</v>
      </c>
      <c r="E351" s="9" t="s">
        <v>1350</v>
      </c>
      <c r="F351" s="9" t="s">
        <v>1336</v>
      </c>
      <c r="G351" s="9" t="s">
        <v>1351</v>
      </c>
      <c r="H351" s="9" t="s">
        <v>1352</v>
      </c>
      <c r="I351" s="9"/>
      <c r="J351" s="9"/>
      <c r="K351" s="9"/>
      <c r="L351" s="9"/>
      <c r="M351" s="9"/>
      <c r="N351" s="9"/>
      <c r="O351" s="9"/>
      <c r="P351" s="9"/>
      <c r="Q351" s="9" t="s">
        <v>1353</v>
      </c>
      <c r="R351" s="9"/>
      <c r="S351" s="9"/>
      <c r="T351" s="9"/>
      <c r="U351" s="9"/>
      <c r="V351" s="9"/>
      <c r="W351" s="9"/>
      <c r="X351" s="9" t="s">
        <v>414</v>
      </c>
      <c r="Y351" s="9" t="s">
        <v>391</v>
      </c>
      <c r="Z351" s="12" t="b">
        <f aca="false">FALSE()</f>
        <v>0</v>
      </c>
      <c r="AA351" s="8" t="s">
        <v>1348</v>
      </c>
    </row>
    <row r="352" customFormat="false" ht="15.75" hidden="false" customHeight="true" outlineLevel="0" collapsed="false">
      <c r="A352" s="9" t="s">
        <v>2100</v>
      </c>
      <c r="B352" s="9" t="s">
        <v>640</v>
      </c>
      <c r="C352" s="9" t="s">
        <v>641</v>
      </c>
      <c r="D352" s="9" t="s">
        <v>387</v>
      </c>
      <c r="E352" s="9" t="s">
        <v>1355</v>
      </c>
      <c r="F352" s="9" t="s">
        <v>1336</v>
      </c>
      <c r="G352" s="9" t="s">
        <v>1351</v>
      </c>
      <c r="H352" s="9" t="s">
        <v>1352</v>
      </c>
      <c r="I352" s="9"/>
      <c r="J352" s="9"/>
      <c r="K352" s="9"/>
      <c r="L352" s="9"/>
      <c r="M352" s="9"/>
      <c r="N352" s="9"/>
      <c r="O352" s="9"/>
      <c r="P352" s="9"/>
      <c r="Q352" s="9" t="s">
        <v>1353</v>
      </c>
      <c r="R352" s="9"/>
      <c r="S352" s="9"/>
      <c r="T352" s="9"/>
      <c r="U352" s="9"/>
      <c r="V352" s="9"/>
      <c r="W352" s="9"/>
      <c r="X352" s="9" t="s">
        <v>414</v>
      </c>
      <c r="Y352" s="9" t="s">
        <v>391</v>
      </c>
      <c r="Z352" s="12" t="b">
        <f aca="false">FALSE()</f>
        <v>0</v>
      </c>
      <c r="AA352" s="8" t="s">
        <v>1348</v>
      </c>
    </row>
    <row r="353" customFormat="false" ht="15.75" hidden="false" customHeight="true" outlineLevel="0" collapsed="false">
      <c r="A353" s="9" t="s">
        <v>2101</v>
      </c>
      <c r="B353" s="9" t="s">
        <v>640</v>
      </c>
      <c r="C353" s="9" t="s">
        <v>641</v>
      </c>
      <c r="D353" s="9" t="s">
        <v>387</v>
      </c>
      <c r="E353" s="9" t="s">
        <v>886</v>
      </c>
      <c r="F353" s="9" t="s">
        <v>1336</v>
      </c>
      <c r="G353" s="9" t="s">
        <v>1337</v>
      </c>
      <c r="H353" s="9" t="s">
        <v>1338</v>
      </c>
      <c r="I353" s="9" t="s">
        <v>2102</v>
      </c>
      <c r="J353" s="9" t="s">
        <v>387</v>
      </c>
      <c r="K353" s="9" t="s">
        <v>887</v>
      </c>
      <c r="L353" s="9" t="s">
        <v>888</v>
      </c>
      <c r="M353" s="9" t="s">
        <v>1537</v>
      </c>
      <c r="N353" s="9" t="s">
        <v>890</v>
      </c>
      <c r="O353" s="9" t="s">
        <v>890</v>
      </c>
      <c r="P353" s="9" t="s">
        <v>2103</v>
      </c>
      <c r="Q353" s="9" t="s">
        <v>1344</v>
      </c>
      <c r="R353" s="9" t="s">
        <v>1681</v>
      </c>
      <c r="S353" s="9" t="s">
        <v>398</v>
      </c>
      <c r="T353" s="9" t="s">
        <v>387</v>
      </c>
      <c r="U353" s="9" t="s">
        <v>2104</v>
      </c>
      <c r="V353" s="9" t="s">
        <v>1347</v>
      </c>
      <c r="W353" s="9"/>
      <c r="X353" s="9" t="s">
        <v>387</v>
      </c>
      <c r="Y353" s="9" t="s">
        <v>387</v>
      </c>
      <c r="Z353" s="12" t="b">
        <f aca="false">FALSE()</f>
        <v>0</v>
      </c>
      <c r="AA353" s="8" t="s">
        <v>1348</v>
      </c>
    </row>
    <row r="354" customFormat="false" ht="15.75" hidden="false" customHeight="true" outlineLevel="0" collapsed="false">
      <c r="A354" s="9" t="s">
        <v>2105</v>
      </c>
      <c r="B354" s="9" t="s">
        <v>640</v>
      </c>
      <c r="C354" s="9" t="s">
        <v>641</v>
      </c>
      <c r="D354" s="9" t="s">
        <v>387</v>
      </c>
      <c r="E354" s="9" t="s">
        <v>866</v>
      </c>
      <c r="F354" s="9" t="s">
        <v>1336</v>
      </c>
      <c r="G354" s="9" t="s">
        <v>1337</v>
      </c>
      <c r="H354" s="9" t="s">
        <v>1338</v>
      </c>
      <c r="I354" s="9" t="s">
        <v>2102</v>
      </c>
      <c r="J354" s="9" t="s">
        <v>387</v>
      </c>
      <c r="K354" s="9" t="s">
        <v>867</v>
      </c>
      <c r="L354" s="9" t="s">
        <v>868</v>
      </c>
      <c r="M354" s="9" t="s">
        <v>1397</v>
      </c>
      <c r="N354" s="9" t="s">
        <v>870</v>
      </c>
      <c r="O354" s="9" t="s">
        <v>870</v>
      </c>
      <c r="P354" s="9" t="s">
        <v>2106</v>
      </c>
      <c r="Q354" s="9" t="s">
        <v>1344</v>
      </c>
      <c r="R354" s="9" t="s">
        <v>1360</v>
      </c>
      <c r="S354" s="9" t="s">
        <v>398</v>
      </c>
      <c r="T354" s="9" t="s">
        <v>387</v>
      </c>
      <c r="U354" s="9" t="s">
        <v>2104</v>
      </c>
      <c r="V354" s="9" t="s">
        <v>1347</v>
      </c>
      <c r="W354" s="9"/>
      <c r="X354" s="9" t="s">
        <v>387</v>
      </c>
      <c r="Y354" s="9" t="s">
        <v>387</v>
      </c>
      <c r="Z354" s="12" t="b">
        <f aca="false">FALSE()</f>
        <v>0</v>
      </c>
      <c r="AA354" s="8" t="s">
        <v>1348</v>
      </c>
    </row>
    <row r="355" customFormat="false" ht="15.75" hidden="false" customHeight="true" outlineLevel="0" collapsed="false">
      <c r="A355" s="9" t="s">
        <v>2107</v>
      </c>
      <c r="B355" s="9" t="s">
        <v>640</v>
      </c>
      <c r="C355" s="9" t="s">
        <v>641</v>
      </c>
      <c r="D355" s="9" t="s">
        <v>387</v>
      </c>
      <c r="E355" s="9" t="s">
        <v>912</v>
      </c>
      <c r="F355" s="9" t="s">
        <v>1336</v>
      </c>
      <c r="G355" s="9" t="s">
        <v>1351</v>
      </c>
      <c r="H355" s="9" t="s">
        <v>1352</v>
      </c>
      <c r="I355" s="9"/>
      <c r="J355" s="9"/>
      <c r="K355" s="9"/>
      <c r="L355" s="9"/>
      <c r="M355" s="9"/>
      <c r="N355" s="9"/>
      <c r="O355" s="9"/>
      <c r="P355" s="9"/>
      <c r="Q355" s="9" t="s">
        <v>1353</v>
      </c>
      <c r="R355" s="9"/>
      <c r="S355" s="9"/>
      <c r="T355" s="9"/>
      <c r="U355" s="9"/>
      <c r="V355" s="9"/>
      <c r="W355" s="9"/>
      <c r="X355" s="9" t="s">
        <v>414</v>
      </c>
      <c r="Y355" s="9" t="s">
        <v>391</v>
      </c>
      <c r="Z355" s="12" t="b">
        <f aca="false">FALSE()</f>
        <v>0</v>
      </c>
      <c r="AA355" s="8" t="s">
        <v>1348</v>
      </c>
    </row>
    <row r="356" customFormat="false" ht="15.75" hidden="false" customHeight="true" outlineLevel="0" collapsed="false">
      <c r="A356" s="9" t="s">
        <v>2108</v>
      </c>
      <c r="B356" s="9" t="s">
        <v>640</v>
      </c>
      <c r="C356" s="9" t="s">
        <v>641</v>
      </c>
      <c r="D356" s="9" t="s">
        <v>387</v>
      </c>
      <c r="E356" s="9" t="s">
        <v>966</v>
      </c>
      <c r="F356" s="9" t="s">
        <v>1336</v>
      </c>
      <c r="G356" s="9" t="s">
        <v>1351</v>
      </c>
      <c r="H356" s="9" t="s">
        <v>1352</v>
      </c>
      <c r="I356" s="9"/>
      <c r="J356" s="9"/>
      <c r="K356" s="9"/>
      <c r="L356" s="9"/>
      <c r="M356" s="9"/>
      <c r="N356" s="9"/>
      <c r="O356" s="9"/>
      <c r="P356" s="9"/>
      <c r="Q356" s="9" t="s">
        <v>1353</v>
      </c>
      <c r="R356" s="9"/>
      <c r="S356" s="9"/>
      <c r="T356" s="9"/>
      <c r="U356" s="9"/>
      <c r="V356" s="9"/>
      <c r="W356" s="9"/>
      <c r="X356" s="9" t="s">
        <v>414</v>
      </c>
      <c r="Y356" s="9" t="s">
        <v>391</v>
      </c>
      <c r="Z356" s="12" t="b">
        <f aca="false">FALSE()</f>
        <v>0</v>
      </c>
      <c r="AA356" s="8" t="s">
        <v>1348</v>
      </c>
    </row>
    <row r="357" customFormat="false" ht="15.75" hidden="false" customHeight="true" outlineLevel="0" collapsed="false">
      <c r="A357" s="9" t="s">
        <v>2109</v>
      </c>
      <c r="B357" s="9" t="s">
        <v>640</v>
      </c>
      <c r="C357" s="9" t="s">
        <v>641</v>
      </c>
      <c r="D357" s="9" t="s">
        <v>387</v>
      </c>
      <c r="E357" s="9" t="s">
        <v>947</v>
      </c>
      <c r="F357" s="9" t="s">
        <v>1336</v>
      </c>
      <c r="G357" s="9" t="s">
        <v>1351</v>
      </c>
      <c r="H357" s="9" t="s">
        <v>1352</v>
      </c>
      <c r="I357" s="9"/>
      <c r="J357" s="9"/>
      <c r="K357" s="9"/>
      <c r="L357" s="9"/>
      <c r="M357" s="9"/>
      <c r="N357" s="9"/>
      <c r="O357" s="9"/>
      <c r="P357" s="9"/>
      <c r="Q357" s="9" t="s">
        <v>1353</v>
      </c>
      <c r="R357" s="9"/>
      <c r="S357" s="9"/>
      <c r="T357" s="9"/>
      <c r="U357" s="9"/>
      <c r="V357" s="9"/>
      <c r="W357" s="9"/>
      <c r="X357" s="9" t="s">
        <v>414</v>
      </c>
      <c r="Y357" s="9" t="s">
        <v>391</v>
      </c>
      <c r="Z357" s="12" t="b">
        <f aca="false">FALSE()</f>
        <v>0</v>
      </c>
      <c r="AA357" s="8" t="s">
        <v>1348</v>
      </c>
    </row>
    <row r="358" customFormat="false" ht="15.75" hidden="false" customHeight="true" outlineLevel="0" collapsed="false">
      <c r="A358" s="9" t="s">
        <v>2110</v>
      </c>
      <c r="B358" s="9" t="s">
        <v>644</v>
      </c>
      <c r="C358" s="9" t="s">
        <v>645</v>
      </c>
      <c r="D358" s="9" t="s">
        <v>384</v>
      </c>
      <c r="E358" s="9" t="s">
        <v>1021</v>
      </c>
      <c r="F358" s="9" t="s">
        <v>1949</v>
      </c>
      <c r="G358" s="9" t="s">
        <v>1337</v>
      </c>
      <c r="H358" s="9" t="s">
        <v>1950</v>
      </c>
      <c r="I358" s="9" t="s">
        <v>2111</v>
      </c>
      <c r="J358" s="9" t="s">
        <v>2112</v>
      </c>
      <c r="K358" s="9" t="s">
        <v>1022</v>
      </c>
      <c r="L358" s="9" t="s">
        <v>1142</v>
      </c>
      <c r="M358" s="9" t="s">
        <v>1441</v>
      </c>
      <c r="N358" s="9" t="s">
        <v>1197</v>
      </c>
      <c r="O358" s="9" t="s">
        <v>1144</v>
      </c>
      <c r="P358" s="9" t="s">
        <v>2113</v>
      </c>
      <c r="Q358" s="9" t="s">
        <v>1344</v>
      </c>
      <c r="R358" s="9" t="s">
        <v>2114</v>
      </c>
      <c r="S358" s="9" t="s">
        <v>1953</v>
      </c>
      <c r="T358" s="9" t="s">
        <v>384</v>
      </c>
      <c r="U358" s="9" t="s">
        <v>2115</v>
      </c>
      <c r="V358" s="9" t="s">
        <v>1955</v>
      </c>
      <c r="W358" s="9" t="s">
        <v>1970</v>
      </c>
      <c r="X358" s="9" t="s">
        <v>384</v>
      </c>
      <c r="Y358" s="9" t="s">
        <v>384</v>
      </c>
      <c r="Z358" s="12" t="b">
        <f aca="false">FALSE()</f>
        <v>0</v>
      </c>
      <c r="AA358" s="8" t="s">
        <v>1348</v>
      </c>
    </row>
    <row r="359" customFormat="false" ht="15.75" hidden="false" customHeight="true" outlineLevel="0" collapsed="false">
      <c r="A359" s="9" t="s">
        <v>2116</v>
      </c>
      <c r="B359" s="9" t="s">
        <v>644</v>
      </c>
      <c r="C359" s="9" t="s">
        <v>645</v>
      </c>
      <c r="D359" s="9" t="s">
        <v>384</v>
      </c>
      <c r="E359" s="9" t="s">
        <v>1350</v>
      </c>
      <c r="F359" s="9" t="s">
        <v>1949</v>
      </c>
      <c r="G359" s="9" t="s">
        <v>2117</v>
      </c>
      <c r="H359" s="9" t="s">
        <v>1950</v>
      </c>
      <c r="I359" s="9"/>
      <c r="J359" s="9"/>
      <c r="K359" s="9" t="s">
        <v>1384</v>
      </c>
      <c r="L359" s="9" t="s">
        <v>2118</v>
      </c>
      <c r="M359" s="9" t="s">
        <v>2119</v>
      </c>
      <c r="N359" s="9" t="s">
        <v>2120</v>
      </c>
      <c r="O359" s="9" t="s">
        <v>2120</v>
      </c>
      <c r="P359" s="9"/>
      <c r="Q359" s="9" t="s">
        <v>113</v>
      </c>
      <c r="R359" s="9" t="s">
        <v>2121</v>
      </c>
      <c r="S359" s="9" t="s">
        <v>1953</v>
      </c>
      <c r="T359" s="9" t="s">
        <v>384</v>
      </c>
      <c r="U359" s="9" t="s">
        <v>2122</v>
      </c>
      <c r="V359" s="9" t="s">
        <v>1955</v>
      </c>
      <c r="W359" s="9"/>
      <c r="X359" s="9" t="s">
        <v>384</v>
      </c>
      <c r="Y359" s="9" t="s">
        <v>384</v>
      </c>
      <c r="Z359" s="12" t="b">
        <f aca="false">FALSE()</f>
        <v>0</v>
      </c>
      <c r="AA359" s="8" t="s">
        <v>1348</v>
      </c>
    </row>
    <row r="360" customFormat="false" ht="15.75" hidden="false" customHeight="true" outlineLevel="0" collapsed="false">
      <c r="A360" s="9" t="s">
        <v>2123</v>
      </c>
      <c r="B360" s="9" t="s">
        <v>644</v>
      </c>
      <c r="C360" s="9" t="s">
        <v>645</v>
      </c>
      <c r="D360" s="9" t="s">
        <v>384</v>
      </c>
      <c r="E360" s="9" t="s">
        <v>1355</v>
      </c>
      <c r="F360" s="9" t="s">
        <v>1949</v>
      </c>
      <c r="G360" s="9" t="s">
        <v>2124</v>
      </c>
      <c r="H360" s="9" t="s">
        <v>1950</v>
      </c>
      <c r="I360" s="9"/>
      <c r="J360" s="9"/>
      <c r="K360" s="9" t="s">
        <v>1390</v>
      </c>
      <c r="L360" s="9" t="s">
        <v>2125</v>
      </c>
      <c r="M360" s="9" t="s">
        <v>2126</v>
      </c>
      <c r="N360" s="9" t="s">
        <v>2127</v>
      </c>
      <c r="O360" s="9" t="s">
        <v>2127</v>
      </c>
      <c r="P360" s="9"/>
      <c r="Q360" s="9" t="s">
        <v>113</v>
      </c>
      <c r="R360" s="9" t="s">
        <v>1394</v>
      </c>
      <c r="S360" s="9" t="s">
        <v>1953</v>
      </c>
      <c r="T360" s="9" t="s">
        <v>384</v>
      </c>
      <c r="U360" s="9" t="s">
        <v>2128</v>
      </c>
      <c r="V360" s="9" t="s">
        <v>1955</v>
      </c>
      <c r="W360" s="9"/>
      <c r="X360" s="9" t="s">
        <v>384</v>
      </c>
      <c r="Y360" s="9" t="s">
        <v>384</v>
      </c>
      <c r="Z360" s="12" t="b">
        <f aca="false">FALSE()</f>
        <v>0</v>
      </c>
      <c r="AA360" s="8" t="s">
        <v>1348</v>
      </c>
    </row>
    <row r="361" customFormat="false" ht="15.75" hidden="false" customHeight="true" outlineLevel="0" collapsed="false">
      <c r="A361" s="9" t="s">
        <v>2129</v>
      </c>
      <c r="B361" s="9" t="s">
        <v>644</v>
      </c>
      <c r="C361" s="9" t="s">
        <v>645</v>
      </c>
      <c r="D361" s="9" t="s">
        <v>384</v>
      </c>
      <c r="E361" s="9" t="s">
        <v>886</v>
      </c>
      <c r="F361" s="9" t="s">
        <v>1949</v>
      </c>
      <c r="G361" s="9" t="s">
        <v>1337</v>
      </c>
      <c r="H361" s="9" t="s">
        <v>1950</v>
      </c>
      <c r="I361" s="9" t="s">
        <v>2111</v>
      </c>
      <c r="J361" s="9" t="s">
        <v>2112</v>
      </c>
      <c r="K361" s="9" t="s">
        <v>958</v>
      </c>
      <c r="L361" s="9" t="s">
        <v>959</v>
      </c>
      <c r="M361" s="9" t="s">
        <v>1456</v>
      </c>
      <c r="N361" s="9" t="s">
        <v>961</v>
      </c>
      <c r="O361" s="9" t="s">
        <v>961</v>
      </c>
      <c r="P361" s="9" t="s">
        <v>2130</v>
      </c>
      <c r="Q361" s="9" t="s">
        <v>1344</v>
      </c>
      <c r="R361" s="9" t="s">
        <v>2131</v>
      </c>
      <c r="S361" s="9" t="s">
        <v>1953</v>
      </c>
      <c r="T361" s="9" t="s">
        <v>384</v>
      </c>
      <c r="U361" s="9" t="s">
        <v>2132</v>
      </c>
      <c r="V361" s="9" t="s">
        <v>1955</v>
      </c>
      <c r="W361" s="9" t="s">
        <v>1970</v>
      </c>
      <c r="X361" s="9" t="s">
        <v>384</v>
      </c>
      <c r="Y361" s="9" t="s">
        <v>384</v>
      </c>
      <c r="Z361" s="12" t="b">
        <f aca="false">FALSE()</f>
        <v>0</v>
      </c>
      <c r="AA361" s="8" t="s">
        <v>1348</v>
      </c>
    </row>
    <row r="362" customFormat="false" ht="15.75" hidden="false" customHeight="true" outlineLevel="0" collapsed="false">
      <c r="A362" s="9" t="s">
        <v>2133</v>
      </c>
      <c r="B362" s="9" t="s">
        <v>644</v>
      </c>
      <c r="C362" s="9" t="s">
        <v>645</v>
      </c>
      <c r="D362" s="9" t="s">
        <v>384</v>
      </c>
      <c r="E362" s="9" t="s">
        <v>866</v>
      </c>
      <c r="F362" s="9" t="s">
        <v>1949</v>
      </c>
      <c r="G362" s="9" t="s">
        <v>1983</v>
      </c>
      <c r="H362" s="9" t="s">
        <v>1984</v>
      </c>
      <c r="I362" s="9"/>
      <c r="J362" s="9"/>
      <c r="K362" s="9" t="s">
        <v>867</v>
      </c>
      <c r="L362" s="9" t="s">
        <v>2134</v>
      </c>
      <c r="M362" s="9" t="s">
        <v>2135</v>
      </c>
      <c r="N362" s="9" t="s">
        <v>870</v>
      </c>
      <c r="O362" s="9" t="s">
        <v>870</v>
      </c>
      <c r="P362" s="9"/>
      <c r="Q362" s="9" t="s">
        <v>113</v>
      </c>
      <c r="R362" s="9" t="s">
        <v>2136</v>
      </c>
      <c r="S362" s="9" t="s">
        <v>1987</v>
      </c>
      <c r="T362" s="9"/>
      <c r="U362" s="9" t="s">
        <v>2137</v>
      </c>
      <c r="V362" s="9" t="s">
        <v>1989</v>
      </c>
      <c r="W362" s="9"/>
      <c r="X362" s="9" t="s">
        <v>411</v>
      </c>
      <c r="Y362" s="9" t="s">
        <v>391</v>
      </c>
      <c r="Z362" s="12" t="b">
        <f aca="false">FALSE()</f>
        <v>0</v>
      </c>
      <c r="AA362" s="8" t="s">
        <v>1348</v>
      </c>
    </row>
    <row r="363" customFormat="false" ht="15.75" hidden="false" customHeight="true" outlineLevel="0" collapsed="false">
      <c r="A363" s="9" t="s">
        <v>2138</v>
      </c>
      <c r="B363" s="9" t="s">
        <v>644</v>
      </c>
      <c r="C363" s="9" t="s">
        <v>645</v>
      </c>
      <c r="D363" s="9" t="s">
        <v>384</v>
      </c>
      <c r="E363" s="9" t="s">
        <v>912</v>
      </c>
      <c r="F363" s="9" t="s">
        <v>1949</v>
      </c>
      <c r="G363" s="9" t="s">
        <v>1983</v>
      </c>
      <c r="H363" s="9" t="s">
        <v>1984</v>
      </c>
      <c r="I363" s="9"/>
      <c r="J363" s="9"/>
      <c r="K363" s="9" t="s">
        <v>913</v>
      </c>
      <c r="L363" s="9" t="s">
        <v>914</v>
      </c>
      <c r="M363" s="9" t="s">
        <v>1985</v>
      </c>
      <c r="N363" s="9" t="s">
        <v>916</v>
      </c>
      <c r="O363" s="9" t="s">
        <v>916</v>
      </c>
      <c r="P363" s="9"/>
      <c r="Q363" s="9" t="s">
        <v>113</v>
      </c>
      <c r="R363" s="9" t="s">
        <v>1986</v>
      </c>
      <c r="S363" s="9" t="s">
        <v>1987</v>
      </c>
      <c r="T363" s="9"/>
      <c r="U363" s="9" t="s">
        <v>2137</v>
      </c>
      <c r="V363" s="9" t="s">
        <v>1989</v>
      </c>
      <c r="W363" s="9"/>
      <c r="X363" s="9" t="s">
        <v>411</v>
      </c>
      <c r="Y363" s="9" t="s">
        <v>391</v>
      </c>
      <c r="Z363" s="12" t="b">
        <f aca="false">FALSE()</f>
        <v>0</v>
      </c>
      <c r="AA363" s="8" t="s">
        <v>1348</v>
      </c>
    </row>
    <row r="364" customFormat="false" ht="15.75" hidden="false" customHeight="true" outlineLevel="0" collapsed="false">
      <c r="A364" s="9" t="s">
        <v>2139</v>
      </c>
      <c r="B364" s="9" t="s">
        <v>644</v>
      </c>
      <c r="C364" s="9" t="s">
        <v>645</v>
      </c>
      <c r="D364" s="9" t="s">
        <v>384</v>
      </c>
      <c r="E364" s="9" t="s">
        <v>966</v>
      </c>
      <c r="F364" s="9" t="s">
        <v>1949</v>
      </c>
      <c r="G364" s="9" t="s">
        <v>1983</v>
      </c>
      <c r="H364" s="9" t="s">
        <v>1984</v>
      </c>
      <c r="I364" s="9"/>
      <c r="J364" s="9"/>
      <c r="K364" s="9" t="s">
        <v>967</v>
      </c>
      <c r="L364" s="9" t="s">
        <v>1991</v>
      </c>
      <c r="M364" s="9" t="s">
        <v>1992</v>
      </c>
      <c r="N364" s="9" t="s">
        <v>1993</v>
      </c>
      <c r="O364" s="9" t="s">
        <v>1153</v>
      </c>
      <c r="P364" s="9"/>
      <c r="Q364" s="9" t="s">
        <v>113</v>
      </c>
      <c r="R364" s="9" t="s">
        <v>1994</v>
      </c>
      <c r="S364" s="9" t="s">
        <v>1987</v>
      </c>
      <c r="T364" s="9"/>
      <c r="U364" s="9" t="s">
        <v>2137</v>
      </c>
      <c r="V364" s="9" t="s">
        <v>1989</v>
      </c>
      <c r="W364" s="9"/>
      <c r="X364" s="9" t="s">
        <v>411</v>
      </c>
      <c r="Y364" s="9" t="s">
        <v>391</v>
      </c>
      <c r="Z364" s="12" t="b">
        <f aca="false">FALSE()</f>
        <v>0</v>
      </c>
      <c r="AA364" s="8" t="s">
        <v>1348</v>
      </c>
    </row>
    <row r="365" customFormat="false" ht="15.75" hidden="false" customHeight="true" outlineLevel="0" collapsed="false">
      <c r="A365" s="9" t="s">
        <v>2140</v>
      </c>
      <c r="B365" s="9" t="s">
        <v>644</v>
      </c>
      <c r="C365" s="9" t="s">
        <v>645</v>
      </c>
      <c r="D365" s="9" t="s">
        <v>384</v>
      </c>
      <c r="E365" s="9" t="s">
        <v>947</v>
      </c>
      <c r="F365" s="9" t="s">
        <v>1949</v>
      </c>
      <c r="G365" s="9" t="s">
        <v>1983</v>
      </c>
      <c r="H365" s="9" t="s">
        <v>1984</v>
      </c>
      <c r="I365" s="9"/>
      <c r="J365" s="9"/>
      <c r="K365" s="9" t="s">
        <v>948</v>
      </c>
      <c r="L365" s="9" t="s">
        <v>949</v>
      </c>
      <c r="M365" s="9" t="s">
        <v>1996</v>
      </c>
      <c r="N365" s="9" t="s">
        <v>1076</v>
      </c>
      <c r="O365" s="9" t="s">
        <v>1076</v>
      </c>
      <c r="P365" s="9"/>
      <c r="Q365" s="9" t="s">
        <v>113</v>
      </c>
      <c r="R365" s="9" t="s">
        <v>1997</v>
      </c>
      <c r="S365" s="9" t="s">
        <v>1987</v>
      </c>
      <c r="T365" s="9"/>
      <c r="U365" s="9" t="s">
        <v>2137</v>
      </c>
      <c r="V365" s="9" t="s">
        <v>1989</v>
      </c>
      <c r="W365" s="9"/>
      <c r="X365" s="9" t="s">
        <v>411</v>
      </c>
      <c r="Y365" s="9" t="s">
        <v>391</v>
      </c>
      <c r="Z365" s="12" t="b">
        <f aca="false">FALSE()</f>
        <v>0</v>
      </c>
      <c r="AA365" s="8" t="s">
        <v>1348</v>
      </c>
    </row>
    <row r="366" customFormat="false" ht="15.75" hidden="false" customHeight="true" outlineLevel="0" collapsed="false">
      <c r="A366" s="9" t="s">
        <v>2141</v>
      </c>
      <c r="B366" s="9" t="s">
        <v>648</v>
      </c>
      <c r="C366" s="9" t="s">
        <v>650</v>
      </c>
      <c r="D366" s="9" t="s">
        <v>377</v>
      </c>
      <c r="E366" s="9" t="s">
        <v>1021</v>
      </c>
      <c r="F366" s="9" t="s">
        <v>1336</v>
      </c>
      <c r="G366" s="9" t="s">
        <v>1351</v>
      </c>
      <c r="H366" s="9" t="s">
        <v>1352</v>
      </c>
      <c r="I366" s="9"/>
      <c r="J366" s="9"/>
      <c r="K366" s="9"/>
      <c r="L366" s="9"/>
      <c r="M366" s="9"/>
      <c r="N366" s="9"/>
      <c r="O366" s="9"/>
      <c r="P366" s="9"/>
      <c r="Q366" s="9" t="s">
        <v>1353</v>
      </c>
      <c r="R366" s="9"/>
      <c r="S366" s="9"/>
      <c r="T366" s="9"/>
      <c r="U366" s="9"/>
      <c r="V366" s="9"/>
      <c r="W366" s="9"/>
      <c r="X366" s="9" t="s">
        <v>414</v>
      </c>
      <c r="Y366" s="9" t="s">
        <v>391</v>
      </c>
      <c r="Z366" s="12" t="b">
        <f aca="false">FALSE()</f>
        <v>0</v>
      </c>
      <c r="AA366" s="8" t="s">
        <v>1348</v>
      </c>
    </row>
    <row r="367" customFormat="false" ht="15.75" hidden="false" customHeight="true" outlineLevel="0" collapsed="false">
      <c r="A367" s="9" t="s">
        <v>2142</v>
      </c>
      <c r="B367" s="9" t="s">
        <v>648</v>
      </c>
      <c r="C367" s="9" t="s">
        <v>650</v>
      </c>
      <c r="D367" s="9" t="s">
        <v>377</v>
      </c>
      <c r="E367" s="9" t="s">
        <v>1350</v>
      </c>
      <c r="F367" s="9" t="s">
        <v>1336</v>
      </c>
      <c r="G367" s="9" t="s">
        <v>1351</v>
      </c>
      <c r="H367" s="9" t="s">
        <v>1352</v>
      </c>
      <c r="I367" s="9"/>
      <c r="J367" s="9"/>
      <c r="K367" s="9"/>
      <c r="L367" s="9"/>
      <c r="M367" s="9"/>
      <c r="N367" s="9"/>
      <c r="O367" s="9"/>
      <c r="P367" s="9"/>
      <c r="Q367" s="9" t="s">
        <v>1353</v>
      </c>
      <c r="R367" s="9"/>
      <c r="S367" s="9"/>
      <c r="T367" s="9"/>
      <c r="U367" s="9"/>
      <c r="V367" s="9"/>
      <c r="W367" s="9"/>
      <c r="X367" s="9" t="s">
        <v>414</v>
      </c>
      <c r="Y367" s="9" t="s">
        <v>391</v>
      </c>
      <c r="Z367" s="12" t="b">
        <f aca="false">FALSE()</f>
        <v>0</v>
      </c>
      <c r="AA367" s="8" t="s">
        <v>1348</v>
      </c>
    </row>
    <row r="368" customFormat="false" ht="15.75" hidden="false" customHeight="true" outlineLevel="0" collapsed="false">
      <c r="A368" s="9" t="s">
        <v>2143</v>
      </c>
      <c r="B368" s="9" t="s">
        <v>648</v>
      </c>
      <c r="C368" s="9" t="s">
        <v>650</v>
      </c>
      <c r="D368" s="9" t="s">
        <v>377</v>
      </c>
      <c r="E368" s="9" t="s">
        <v>1355</v>
      </c>
      <c r="F368" s="9" t="s">
        <v>1336</v>
      </c>
      <c r="G368" s="9" t="s">
        <v>1376</v>
      </c>
      <c r="H368" s="9" t="s">
        <v>1338</v>
      </c>
      <c r="I368" s="9" t="s">
        <v>2144</v>
      </c>
      <c r="J368" s="9" t="s">
        <v>377</v>
      </c>
      <c r="K368" s="9" t="s">
        <v>1390</v>
      </c>
      <c r="L368" s="9" t="s">
        <v>1703</v>
      </c>
      <c r="M368" s="9" t="s">
        <v>1704</v>
      </c>
      <c r="N368" s="9" t="s">
        <v>1391</v>
      </c>
      <c r="O368" s="9" t="s">
        <v>1705</v>
      </c>
      <c r="P368" s="9" t="s">
        <v>2145</v>
      </c>
      <c r="Q368" s="9" t="s">
        <v>1857</v>
      </c>
      <c r="R368" s="9" t="s">
        <v>2146</v>
      </c>
      <c r="S368" s="9" t="s">
        <v>398</v>
      </c>
      <c r="T368" s="9" t="s">
        <v>377</v>
      </c>
      <c r="U368" s="9" t="s">
        <v>2147</v>
      </c>
      <c r="V368" s="9" t="s">
        <v>1347</v>
      </c>
      <c r="W368" s="9"/>
      <c r="X368" s="9" t="s">
        <v>377</v>
      </c>
      <c r="Y368" s="9" t="s">
        <v>377</v>
      </c>
      <c r="Z368" s="12" t="b">
        <f aca="false">FALSE()</f>
        <v>0</v>
      </c>
      <c r="AA368" s="8" t="s">
        <v>1348</v>
      </c>
    </row>
    <row r="369" customFormat="false" ht="15.75" hidden="false" customHeight="true" outlineLevel="0" collapsed="false">
      <c r="A369" s="9" t="s">
        <v>2148</v>
      </c>
      <c r="B369" s="9" t="s">
        <v>648</v>
      </c>
      <c r="C369" s="9" t="s">
        <v>650</v>
      </c>
      <c r="D369" s="9" t="s">
        <v>377</v>
      </c>
      <c r="E369" s="9" t="s">
        <v>886</v>
      </c>
      <c r="F369" s="9" t="s">
        <v>1336</v>
      </c>
      <c r="G369" s="9" t="s">
        <v>1337</v>
      </c>
      <c r="H369" s="9" t="s">
        <v>1338</v>
      </c>
      <c r="I369" s="9" t="s">
        <v>2144</v>
      </c>
      <c r="J369" s="9" t="s">
        <v>377</v>
      </c>
      <c r="K369" s="9" t="s">
        <v>887</v>
      </c>
      <c r="L369" s="9" t="s">
        <v>888</v>
      </c>
      <c r="M369" s="9" t="s">
        <v>1537</v>
      </c>
      <c r="N369" s="9" t="s">
        <v>890</v>
      </c>
      <c r="O369" s="9" t="s">
        <v>890</v>
      </c>
      <c r="P369" s="9" t="s">
        <v>2149</v>
      </c>
      <c r="Q369" s="9" t="s">
        <v>1857</v>
      </c>
      <c r="R369" s="9" t="s">
        <v>2150</v>
      </c>
      <c r="S369" s="9" t="s">
        <v>398</v>
      </c>
      <c r="T369" s="9" t="s">
        <v>377</v>
      </c>
      <c r="U369" s="9" t="s">
        <v>2147</v>
      </c>
      <c r="V369" s="9" t="s">
        <v>1347</v>
      </c>
      <c r="W369" s="9"/>
      <c r="X369" s="9" t="s">
        <v>377</v>
      </c>
      <c r="Y369" s="9" t="s">
        <v>377</v>
      </c>
      <c r="Z369" s="12" t="b">
        <f aca="false">FALSE()</f>
        <v>0</v>
      </c>
      <c r="AA369" s="8" t="s">
        <v>1348</v>
      </c>
    </row>
    <row r="370" customFormat="false" ht="15.75" hidden="false" customHeight="true" outlineLevel="0" collapsed="false">
      <c r="A370" s="9" t="s">
        <v>2151</v>
      </c>
      <c r="B370" s="9" t="s">
        <v>648</v>
      </c>
      <c r="C370" s="9" t="s">
        <v>650</v>
      </c>
      <c r="D370" s="9" t="s">
        <v>377</v>
      </c>
      <c r="E370" s="9" t="s">
        <v>866</v>
      </c>
      <c r="F370" s="9" t="s">
        <v>1336</v>
      </c>
      <c r="G370" s="9" t="s">
        <v>1351</v>
      </c>
      <c r="H370" s="9" t="s">
        <v>1352</v>
      </c>
      <c r="I370" s="9"/>
      <c r="J370" s="9"/>
      <c r="K370" s="9"/>
      <c r="L370" s="9"/>
      <c r="M370" s="9"/>
      <c r="N370" s="9"/>
      <c r="O370" s="9"/>
      <c r="P370" s="9"/>
      <c r="Q370" s="9" t="s">
        <v>1353</v>
      </c>
      <c r="R370" s="9"/>
      <c r="S370" s="9"/>
      <c r="T370" s="9"/>
      <c r="U370" s="9"/>
      <c r="V370" s="9"/>
      <c r="W370" s="9"/>
      <c r="X370" s="9" t="s">
        <v>414</v>
      </c>
      <c r="Y370" s="9" t="s">
        <v>391</v>
      </c>
      <c r="Z370" s="12" t="b">
        <f aca="false">FALSE()</f>
        <v>0</v>
      </c>
      <c r="AA370" s="8" t="s">
        <v>1348</v>
      </c>
    </row>
    <row r="371" customFormat="false" ht="15.75" hidden="false" customHeight="true" outlineLevel="0" collapsed="false">
      <c r="A371" s="9" t="s">
        <v>2152</v>
      </c>
      <c r="B371" s="9" t="s">
        <v>648</v>
      </c>
      <c r="C371" s="9" t="s">
        <v>650</v>
      </c>
      <c r="D371" s="9" t="s">
        <v>377</v>
      </c>
      <c r="E371" s="9" t="s">
        <v>912</v>
      </c>
      <c r="F371" s="9" t="s">
        <v>1336</v>
      </c>
      <c r="G371" s="9" t="s">
        <v>1363</v>
      </c>
      <c r="H371" s="9" t="s">
        <v>1338</v>
      </c>
      <c r="I371" s="9" t="s">
        <v>2144</v>
      </c>
      <c r="J371" s="9" t="s">
        <v>377</v>
      </c>
      <c r="K371" s="9" t="s">
        <v>913</v>
      </c>
      <c r="L371" s="9" t="s">
        <v>914</v>
      </c>
      <c r="M371" s="9" t="s">
        <v>2153</v>
      </c>
      <c r="N371" s="9" t="s">
        <v>916</v>
      </c>
      <c r="O371" s="9" t="s">
        <v>916</v>
      </c>
      <c r="P371" s="9" t="s">
        <v>1365</v>
      </c>
      <c r="Q371" s="9" t="s">
        <v>113</v>
      </c>
      <c r="R371" s="9" t="s">
        <v>1366</v>
      </c>
      <c r="S371" s="9" t="s">
        <v>398</v>
      </c>
      <c r="T371" s="9" t="s">
        <v>377</v>
      </c>
      <c r="U371" s="9" t="s">
        <v>2154</v>
      </c>
      <c r="V371" s="9" t="s">
        <v>1347</v>
      </c>
      <c r="W371" s="9"/>
      <c r="X371" s="9" t="s">
        <v>377</v>
      </c>
      <c r="Y371" s="9" t="s">
        <v>377</v>
      </c>
      <c r="Z371" s="12" t="b">
        <f aca="false">FALSE()</f>
        <v>0</v>
      </c>
      <c r="AA371" s="8" t="s">
        <v>1348</v>
      </c>
    </row>
    <row r="372" customFormat="false" ht="15.75" hidden="false" customHeight="true" outlineLevel="0" collapsed="false">
      <c r="A372" s="9" t="s">
        <v>2155</v>
      </c>
      <c r="B372" s="9" t="s">
        <v>648</v>
      </c>
      <c r="C372" s="9" t="s">
        <v>650</v>
      </c>
      <c r="D372" s="9" t="s">
        <v>377</v>
      </c>
      <c r="E372" s="9" t="s">
        <v>966</v>
      </c>
      <c r="F372" s="9" t="s">
        <v>1336</v>
      </c>
      <c r="G372" s="9" t="s">
        <v>1337</v>
      </c>
      <c r="H372" s="9" t="s">
        <v>1338</v>
      </c>
      <c r="I372" s="9" t="s">
        <v>2144</v>
      </c>
      <c r="J372" s="9" t="s">
        <v>377</v>
      </c>
      <c r="K372" s="9" t="s">
        <v>967</v>
      </c>
      <c r="L372" s="9" t="s">
        <v>968</v>
      </c>
      <c r="M372" s="9" t="s">
        <v>1370</v>
      </c>
      <c r="N372" s="9" t="s">
        <v>970</v>
      </c>
      <c r="O372" s="9" t="s">
        <v>970</v>
      </c>
      <c r="P372" s="9" t="s">
        <v>2156</v>
      </c>
      <c r="Q372" s="9" t="s">
        <v>1857</v>
      </c>
      <c r="R372" s="9" t="s">
        <v>1372</v>
      </c>
      <c r="S372" s="9" t="s">
        <v>398</v>
      </c>
      <c r="T372" s="9" t="s">
        <v>377</v>
      </c>
      <c r="U372" s="9" t="s">
        <v>2147</v>
      </c>
      <c r="V372" s="9" t="s">
        <v>1347</v>
      </c>
      <c r="W372" s="9"/>
      <c r="X372" s="9" t="s">
        <v>377</v>
      </c>
      <c r="Y372" s="9" t="s">
        <v>377</v>
      </c>
      <c r="Z372" s="12" t="b">
        <f aca="false">FALSE()</f>
        <v>0</v>
      </c>
      <c r="AA372" s="8" t="s">
        <v>1348</v>
      </c>
    </row>
    <row r="373" customFormat="false" ht="15.75" hidden="false" customHeight="true" outlineLevel="0" collapsed="false">
      <c r="A373" s="9" t="s">
        <v>2157</v>
      </c>
      <c r="B373" s="9" t="s">
        <v>648</v>
      </c>
      <c r="C373" s="9" t="s">
        <v>650</v>
      </c>
      <c r="D373" s="9" t="s">
        <v>377</v>
      </c>
      <c r="E373" s="9" t="s">
        <v>947</v>
      </c>
      <c r="F373" s="9" t="s">
        <v>1336</v>
      </c>
      <c r="G373" s="9" t="s">
        <v>1351</v>
      </c>
      <c r="H373" s="9" t="s">
        <v>1352</v>
      </c>
      <c r="I373" s="9"/>
      <c r="J373" s="9"/>
      <c r="K373" s="9"/>
      <c r="L373" s="9"/>
      <c r="M373" s="9"/>
      <c r="N373" s="9"/>
      <c r="O373" s="9"/>
      <c r="P373" s="9"/>
      <c r="Q373" s="9" t="s">
        <v>1353</v>
      </c>
      <c r="R373" s="9"/>
      <c r="S373" s="9"/>
      <c r="T373" s="9"/>
      <c r="U373" s="9"/>
      <c r="V373" s="9"/>
      <c r="W373" s="9"/>
      <c r="X373" s="9" t="s">
        <v>414</v>
      </c>
      <c r="Y373" s="9" t="s">
        <v>391</v>
      </c>
      <c r="Z373" s="12" t="b">
        <f aca="false">FALSE()</f>
        <v>0</v>
      </c>
      <c r="AA373" s="8" t="s">
        <v>1348</v>
      </c>
    </row>
    <row r="374" customFormat="false" ht="15.75" hidden="false" customHeight="true" outlineLevel="0" collapsed="false">
      <c r="A374" s="9" t="s">
        <v>2158</v>
      </c>
      <c r="B374" s="9" t="s">
        <v>653</v>
      </c>
      <c r="C374" s="9" t="s">
        <v>655</v>
      </c>
      <c r="D374" s="9" t="s">
        <v>377</v>
      </c>
      <c r="E374" s="9" t="s">
        <v>1021</v>
      </c>
      <c r="F374" s="9" t="s">
        <v>1336</v>
      </c>
      <c r="G374" s="9" t="s">
        <v>1337</v>
      </c>
      <c r="H374" s="9" t="s">
        <v>1338</v>
      </c>
      <c r="I374" s="9" t="s">
        <v>2159</v>
      </c>
      <c r="J374" s="9" t="s">
        <v>377</v>
      </c>
      <c r="K374" s="9" t="s">
        <v>1022</v>
      </c>
      <c r="L374" s="9" t="s">
        <v>1340</v>
      </c>
      <c r="M374" s="9" t="s">
        <v>1341</v>
      </c>
      <c r="N374" s="9" t="s">
        <v>1342</v>
      </c>
      <c r="O374" s="9" t="s">
        <v>68</v>
      </c>
      <c r="P374" s="9" t="s">
        <v>2160</v>
      </c>
      <c r="Q374" s="9" t="s">
        <v>113</v>
      </c>
      <c r="R374" s="9" t="s">
        <v>1345</v>
      </c>
      <c r="S374" s="9" t="s">
        <v>398</v>
      </c>
      <c r="T374" s="9" t="s">
        <v>377</v>
      </c>
      <c r="U374" s="9" t="s">
        <v>2161</v>
      </c>
      <c r="V374" s="9" t="s">
        <v>1347</v>
      </c>
      <c r="W374" s="9"/>
      <c r="X374" s="9" t="s">
        <v>377</v>
      </c>
      <c r="Y374" s="9" t="s">
        <v>377</v>
      </c>
      <c r="Z374" s="12" t="b">
        <f aca="false">FALSE()</f>
        <v>0</v>
      </c>
      <c r="AA374" s="8" t="s">
        <v>1348</v>
      </c>
    </row>
    <row r="375" customFormat="false" ht="15.75" hidden="false" customHeight="true" outlineLevel="0" collapsed="false">
      <c r="A375" s="9" t="s">
        <v>2162</v>
      </c>
      <c r="B375" s="9" t="s">
        <v>653</v>
      </c>
      <c r="C375" s="9" t="s">
        <v>655</v>
      </c>
      <c r="D375" s="9" t="s">
        <v>377</v>
      </c>
      <c r="E375" s="9" t="s">
        <v>1350</v>
      </c>
      <c r="F375" s="9" t="s">
        <v>1336</v>
      </c>
      <c r="G375" s="9" t="s">
        <v>1351</v>
      </c>
      <c r="H375" s="9" t="s">
        <v>1352</v>
      </c>
      <c r="I375" s="9"/>
      <c r="J375" s="9"/>
      <c r="K375" s="9"/>
      <c r="L375" s="9"/>
      <c r="M375" s="9"/>
      <c r="N375" s="9"/>
      <c r="O375" s="9"/>
      <c r="P375" s="9"/>
      <c r="Q375" s="9" t="s">
        <v>1353</v>
      </c>
      <c r="R375" s="9"/>
      <c r="S375" s="9"/>
      <c r="T375" s="9"/>
      <c r="U375" s="9"/>
      <c r="V375" s="9"/>
      <c r="W375" s="9"/>
      <c r="X375" s="9" t="s">
        <v>414</v>
      </c>
      <c r="Y375" s="9" t="s">
        <v>391</v>
      </c>
      <c r="Z375" s="12" t="b">
        <f aca="false">FALSE()</f>
        <v>0</v>
      </c>
      <c r="AA375" s="8" t="s">
        <v>1348</v>
      </c>
    </row>
    <row r="376" customFormat="false" ht="15.75" hidden="false" customHeight="true" outlineLevel="0" collapsed="false">
      <c r="A376" s="9" t="s">
        <v>2163</v>
      </c>
      <c r="B376" s="9" t="s">
        <v>653</v>
      </c>
      <c r="C376" s="9" t="s">
        <v>655</v>
      </c>
      <c r="D376" s="9" t="s">
        <v>377</v>
      </c>
      <c r="E376" s="9" t="s">
        <v>1355</v>
      </c>
      <c r="F376" s="9" t="s">
        <v>1336</v>
      </c>
      <c r="G376" s="9" t="s">
        <v>1351</v>
      </c>
      <c r="H376" s="9" t="s">
        <v>1352</v>
      </c>
      <c r="I376" s="9"/>
      <c r="J376" s="9"/>
      <c r="K376" s="9"/>
      <c r="L376" s="9"/>
      <c r="M376" s="9"/>
      <c r="N376" s="9"/>
      <c r="O376" s="9"/>
      <c r="P376" s="9"/>
      <c r="Q376" s="9" t="s">
        <v>1353</v>
      </c>
      <c r="R376" s="9"/>
      <c r="S376" s="9"/>
      <c r="T376" s="9"/>
      <c r="U376" s="9"/>
      <c r="V376" s="9"/>
      <c r="W376" s="9"/>
      <c r="X376" s="9" t="s">
        <v>414</v>
      </c>
      <c r="Y376" s="9" t="s">
        <v>391</v>
      </c>
      <c r="Z376" s="12" t="b">
        <f aca="false">FALSE()</f>
        <v>0</v>
      </c>
      <c r="AA376" s="8" t="s">
        <v>1348</v>
      </c>
    </row>
    <row r="377" customFormat="false" ht="15.75" hidden="false" customHeight="true" outlineLevel="0" collapsed="false">
      <c r="A377" s="9" t="s">
        <v>2164</v>
      </c>
      <c r="B377" s="9" t="s">
        <v>653</v>
      </c>
      <c r="C377" s="9" t="s">
        <v>655</v>
      </c>
      <c r="D377" s="9" t="s">
        <v>377</v>
      </c>
      <c r="E377" s="9" t="s">
        <v>886</v>
      </c>
      <c r="F377" s="9" t="s">
        <v>1336</v>
      </c>
      <c r="G377" s="9" t="s">
        <v>1337</v>
      </c>
      <c r="H377" s="9" t="s">
        <v>1338</v>
      </c>
      <c r="I377" s="9" t="s">
        <v>2159</v>
      </c>
      <c r="J377" s="9" t="s">
        <v>377</v>
      </c>
      <c r="K377" s="9" t="s">
        <v>887</v>
      </c>
      <c r="L377" s="9" t="s">
        <v>888</v>
      </c>
      <c r="M377" s="9" t="s">
        <v>1537</v>
      </c>
      <c r="N377" s="9" t="s">
        <v>890</v>
      </c>
      <c r="O377" s="9" t="s">
        <v>890</v>
      </c>
      <c r="P377" s="9" t="s">
        <v>2165</v>
      </c>
      <c r="Q377" s="9" t="s">
        <v>113</v>
      </c>
      <c r="R377" s="9" t="s">
        <v>2166</v>
      </c>
      <c r="S377" s="9" t="s">
        <v>398</v>
      </c>
      <c r="T377" s="9" t="s">
        <v>377</v>
      </c>
      <c r="U377" s="9" t="s">
        <v>2161</v>
      </c>
      <c r="V377" s="9" t="s">
        <v>1347</v>
      </c>
      <c r="W377" s="9"/>
      <c r="X377" s="9" t="s">
        <v>377</v>
      </c>
      <c r="Y377" s="9" t="s">
        <v>377</v>
      </c>
      <c r="Z377" s="12" t="b">
        <f aca="false">FALSE()</f>
        <v>0</v>
      </c>
      <c r="AA377" s="8" t="s">
        <v>1348</v>
      </c>
    </row>
    <row r="378" customFormat="false" ht="15.75" hidden="false" customHeight="true" outlineLevel="0" collapsed="false">
      <c r="A378" s="9" t="s">
        <v>2167</v>
      </c>
      <c r="B378" s="9" t="s">
        <v>653</v>
      </c>
      <c r="C378" s="9" t="s">
        <v>655</v>
      </c>
      <c r="D378" s="9" t="s">
        <v>377</v>
      </c>
      <c r="E378" s="9" t="s">
        <v>866</v>
      </c>
      <c r="F378" s="9" t="s">
        <v>1336</v>
      </c>
      <c r="G378" s="9" t="s">
        <v>1351</v>
      </c>
      <c r="H378" s="9" t="s">
        <v>1352</v>
      </c>
      <c r="I378" s="9"/>
      <c r="J378" s="9"/>
      <c r="K378" s="9"/>
      <c r="L378" s="9"/>
      <c r="M378" s="9"/>
      <c r="N378" s="9"/>
      <c r="O378" s="9"/>
      <c r="P378" s="9"/>
      <c r="Q378" s="9" t="s">
        <v>1353</v>
      </c>
      <c r="R378" s="9"/>
      <c r="S378" s="9"/>
      <c r="T378" s="9"/>
      <c r="U378" s="9"/>
      <c r="V378" s="9"/>
      <c r="W378" s="9"/>
      <c r="X378" s="9" t="s">
        <v>414</v>
      </c>
      <c r="Y378" s="9" t="s">
        <v>391</v>
      </c>
      <c r="Z378" s="12" t="b">
        <f aca="false">FALSE()</f>
        <v>0</v>
      </c>
      <c r="AA378" s="8" t="s">
        <v>1348</v>
      </c>
    </row>
    <row r="379" customFormat="false" ht="15.75" hidden="false" customHeight="true" outlineLevel="0" collapsed="false">
      <c r="A379" s="9" t="s">
        <v>2168</v>
      </c>
      <c r="B379" s="9" t="s">
        <v>653</v>
      </c>
      <c r="C379" s="9" t="s">
        <v>655</v>
      </c>
      <c r="D379" s="9" t="s">
        <v>377</v>
      </c>
      <c r="E379" s="9" t="s">
        <v>912</v>
      </c>
      <c r="F379" s="9" t="s">
        <v>1336</v>
      </c>
      <c r="G379" s="9" t="s">
        <v>1351</v>
      </c>
      <c r="H379" s="9" t="s">
        <v>1352</v>
      </c>
      <c r="I379" s="9"/>
      <c r="J379" s="9"/>
      <c r="K379" s="9"/>
      <c r="L379" s="9"/>
      <c r="M379" s="9"/>
      <c r="N379" s="9"/>
      <c r="O379" s="9"/>
      <c r="P379" s="9"/>
      <c r="Q379" s="9" t="s">
        <v>1353</v>
      </c>
      <c r="R379" s="9"/>
      <c r="S379" s="9"/>
      <c r="T379" s="9"/>
      <c r="U379" s="9"/>
      <c r="V379" s="9"/>
      <c r="W379" s="9"/>
      <c r="X379" s="9" t="s">
        <v>414</v>
      </c>
      <c r="Y379" s="9" t="s">
        <v>391</v>
      </c>
      <c r="Z379" s="12" t="b">
        <f aca="false">FALSE()</f>
        <v>0</v>
      </c>
      <c r="AA379" s="8" t="s">
        <v>1348</v>
      </c>
    </row>
    <row r="380" customFormat="false" ht="15.75" hidden="false" customHeight="true" outlineLevel="0" collapsed="false">
      <c r="A380" s="9" t="s">
        <v>2169</v>
      </c>
      <c r="B380" s="9" t="s">
        <v>653</v>
      </c>
      <c r="C380" s="9" t="s">
        <v>655</v>
      </c>
      <c r="D380" s="9" t="s">
        <v>377</v>
      </c>
      <c r="E380" s="9" t="s">
        <v>966</v>
      </c>
      <c r="F380" s="9" t="s">
        <v>1336</v>
      </c>
      <c r="G380" s="9" t="s">
        <v>1351</v>
      </c>
      <c r="H380" s="9" t="s">
        <v>1352</v>
      </c>
      <c r="I380" s="9"/>
      <c r="J380" s="9"/>
      <c r="K380" s="9"/>
      <c r="L380" s="9"/>
      <c r="M380" s="9"/>
      <c r="N380" s="9"/>
      <c r="O380" s="9"/>
      <c r="P380" s="9"/>
      <c r="Q380" s="9" t="s">
        <v>1353</v>
      </c>
      <c r="R380" s="9"/>
      <c r="S380" s="9"/>
      <c r="T380" s="9"/>
      <c r="U380" s="9"/>
      <c r="V380" s="9"/>
      <c r="W380" s="9"/>
      <c r="X380" s="9" t="s">
        <v>414</v>
      </c>
      <c r="Y380" s="9" t="s">
        <v>391</v>
      </c>
      <c r="Z380" s="12" t="b">
        <f aca="false">FALSE()</f>
        <v>0</v>
      </c>
      <c r="AA380" s="8" t="s">
        <v>1348</v>
      </c>
    </row>
    <row r="381" customFormat="false" ht="15.75" hidden="false" customHeight="true" outlineLevel="0" collapsed="false">
      <c r="A381" s="9" t="s">
        <v>2170</v>
      </c>
      <c r="B381" s="9" t="s">
        <v>653</v>
      </c>
      <c r="C381" s="9" t="s">
        <v>655</v>
      </c>
      <c r="D381" s="9" t="s">
        <v>377</v>
      </c>
      <c r="E381" s="9" t="s">
        <v>947</v>
      </c>
      <c r="F381" s="9" t="s">
        <v>1336</v>
      </c>
      <c r="G381" s="9" t="s">
        <v>1363</v>
      </c>
      <c r="H381" s="9" t="s">
        <v>1338</v>
      </c>
      <c r="I381" s="9" t="s">
        <v>2159</v>
      </c>
      <c r="J381" s="9" t="s">
        <v>377</v>
      </c>
      <c r="K381" s="9" t="s">
        <v>948</v>
      </c>
      <c r="L381" s="9" t="s">
        <v>1434</v>
      </c>
      <c r="M381" s="9" t="s">
        <v>2171</v>
      </c>
      <c r="N381" s="9" t="s">
        <v>1076</v>
      </c>
      <c r="O381" s="9" t="s">
        <v>1076</v>
      </c>
      <c r="P381" s="9" t="s">
        <v>1436</v>
      </c>
      <c r="Q381" s="9" t="s">
        <v>113</v>
      </c>
      <c r="R381" s="9" t="s">
        <v>1437</v>
      </c>
      <c r="S381" s="9" t="s">
        <v>398</v>
      </c>
      <c r="T381" s="9" t="s">
        <v>377</v>
      </c>
      <c r="U381" s="9" t="s">
        <v>2172</v>
      </c>
      <c r="V381" s="9" t="s">
        <v>1347</v>
      </c>
      <c r="W381" s="9"/>
      <c r="X381" s="9" t="s">
        <v>377</v>
      </c>
      <c r="Y381" s="9" t="s">
        <v>377</v>
      </c>
      <c r="Z381" s="12" t="b">
        <f aca="false">FALSE()</f>
        <v>0</v>
      </c>
      <c r="AA381" s="8" t="s">
        <v>1348</v>
      </c>
    </row>
    <row r="382" customFormat="false" ht="15.75" hidden="false" customHeight="true" outlineLevel="0" collapsed="false">
      <c r="A382" s="9" t="s">
        <v>2173</v>
      </c>
      <c r="B382" s="9" t="s">
        <v>658</v>
      </c>
      <c r="C382" s="9" t="s">
        <v>659</v>
      </c>
      <c r="D382" s="9" t="s">
        <v>377</v>
      </c>
      <c r="E382" s="9" t="s">
        <v>1021</v>
      </c>
      <c r="F382" s="9" t="s">
        <v>1336</v>
      </c>
      <c r="G382" s="9" t="s">
        <v>1337</v>
      </c>
      <c r="H382" s="9" t="s">
        <v>1338</v>
      </c>
      <c r="I382" s="9" t="s">
        <v>2174</v>
      </c>
      <c r="J382" s="9" t="s">
        <v>377</v>
      </c>
      <c r="K382" s="9" t="s">
        <v>1022</v>
      </c>
      <c r="L382" s="9" t="s">
        <v>1142</v>
      </c>
      <c r="M382" s="9" t="s">
        <v>1441</v>
      </c>
      <c r="N382" s="9" t="s">
        <v>1197</v>
      </c>
      <c r="O382" s="9" t="s">
        <v>1144</v>
      </c>
      <c r="P382" s="9" t="s">
        <v>2175</v>
      </c>
      <c r="Q382" s="9" t="s">
        <v>113</v>
      </c>
      <c r="R382" s="9" t="s">
        <v>2176</v>
      </c>
      <c r="S382" s="9" t="s">
        <v>398</v>
      </c>
      <c r="T382" s="9" t="s">
        <v>377</v>
      </c>
      <c r="U382" s="9" t="s">
        <v>2177</v>
      </c>
      <c r="V382" s="9" t="s">
        <v>1347</v>
      </c>
      <c r="W382" s="9"/>
      <c r="X382" s="9" t="s">
        <v>377</v>
      </c>
      <c r="Y382" s="9" t="s">
        <v>377</v>
      </c>
      <c r="Z382" s="12" t="b">
        <f aca="false">FALSE()</f>
        <v>0</v>
      </c>
      <c r="AA382" s="8" t="s">
        <v>1348</v>
      </c>
    </row>
    <row r="383" customFormat="false" ht="15.75" hidden="false" customHeight="true" outlineLevel="0" collapsed="false">
      <c r="A383" s="9" t="s">
        <v>2178</v>
      </c>
      <c r="B383" s="9" t="s">
        <v>658</v>
      </c>
      <c r="C383" s="9" t="s">
        <v>659</v>
      </c>
      <c r="D383" s="9" t="s">
        <v>377</v>
      </c>
      <c r="E383" s="9" t="s">
        <v>1350</v>
      </c>
      <c r="F383" s="9" t="s">
        <v>1336</v>
      </c>
      <c r="G383" s="9" t="s">
        <v>1351</v>
      </c>
      <c r="H383" s="9" t="s">
        <v>1352</v>
      </c>
      <c r="I383" s="9"/>
      <c r="J383" s="9"/>
      <c r="K383" s="9"/>
      <c r="L383" s="9"/>
      <c r="M383" s="9"/>
      <c r="N383" s="9"/>
      <c r="O383" s="9"/>
      <c r="P383" s="9"/>
      <c r="Q383" s="9" t="s">
        <v>1353</v>
      </c>
      <c r="R383" s="9"/>
      <c r="S383" s="9"/>
      <c r="T383" s="9"/>
      <c r="U383" s="9"/>
      <c r="V383" s="9"/>
      <c r="W383" s="9"/>
      <c r="X383" s="9" t="s">
        <v>414</v>
      </c>
      <c r="Y383" s="9" t="s">
        <v>391</v>
      </c>
      <c r="Z383" s="12" t="b">
        <f aca="false">FALSE()</f>
        <v>0</v>
      </c>
      <c r="AA383" s="8" t="s">
        <v>1348</v>
      </c>
    </row>
    <row r="384" customFormat="false" ht="15.75" hidden="false" customHeight="true" outlineLevel="0" collapsed="false">
      <c r="A384" s="9" t="s">
        <v>2179</v>
      </c>
      <c r="B384" s="9" t="s">
        <v>658</v>
      </c>
      <c r="C384" s="9" t="s">
        <v>659</v>
      </c>
      <c r="D384" s="9" t="s">
        <v>377</v>
      </c>
      <c r="E384" s="9" t="s">
        <v>1355</v>
      </c>
      <c r="F384" s="9" t="s">
        <v>1336</v>
      </c>
      <c r="G384" s="9" t="s">
        <v>1351</v>
      </c>
      <c r="H384" s="9" t="s">
        <v>1352</v>
      </c>
      <c r="I384" s="9"/>
      <c r="J384" s="9"/>
      <c r="K384" s="9"/>
      <c r="L384" s="9"/>
      <c r="M384" s="9"/>
      <c r="N384" s="9"/>
      <c r="O384" s="9"/>
      <c r="P384" s="9"/>
      <c r="Q384" s="9" t="s">
        <v>1353</v>
      </c>
      <c r="R384" s="9"/>
      <c r="S384" s="9"/>
      <c r="T384" s="9"/>
      <c r="U384" s="9"/>
      <c r="V384" s="9"/>
      <c r="W384" s="9"/>
      <c r="X384" s="9" t="s">
        <v>414</v>
      </c>
      <c r="Y384" s="9" t="s">
        <v>391</v>
      </c>
      <c r="Z384" s="12" t="b">
        <f aca="false">FALSE()</f>
        <v>0</v>
      </c>
      <c r="AA384" s="8" t="s">
        <v>1348</v>
      </c>
    </row>
    <row r="385" customFormat="false" ht="15.75" hidden="false" customHeight="true" outlineLevel="0" collapsed="false">
      <c r="A385" s="9" t="s">
        <v>2180</v>
      </c>
      <c r="B385" s="9" t="s">
        <v>658</v>
      </c>
      <c r="C385" s="9" t="s">
        <v>659</v>
      </c>
      <c r="D385" s="9" t="s">
        <v>377</v>
      </c>
      <c r="E385" s="9" t="s">
        <v>886</v>
      </c>
      <c r="F385" s="9" t="s">
        <v>1336</v>
      </c>
      <c r="G385" s="9" t="s">
        <v>1351</v>
      </c>
      <c r="H385" s="9" t="s">
        <v>1352</v>
      </c>
      <c r="I385" s="9"/>
      <c r="J385" s="9"/>
      <c r="K385" s="9"/>
      <c r="L385" s="9"/>
      <c r="M385" s="9"/>
      <c r="N385" s="9"/>
      <c r="O385" s="9"/>
      <c r="P385" s="9"/>
      <c r="Q385" s="9" t="s">
        <v>1353</v>
      </c>
      <c r="R385" s="9"/>
      <c r="S385" s="9"/>
      <c r="T385" s="9"/>
      <c r="U385" s="9"/>
      <c r="V385" s="9"/>
      <c r="W385" s="9"/>
      <c r="X385" s="9" t="s">
        <v>414</v>
      </c>
      <c r="Y385" s="9" t="s">
        <v>391</v>
      </c>
      <c r="Z385" s="12" t="b">
        <f aca="false">FALSE()</f>
        <v>0</v>
      </c>
      <c r="AA385" s="8" t="s">
        <v>1348</v>
      </c>
    </row>
    <row r="386" customFormat="false" ht="15.75" hidden="false" customHeight="true" outlineLevel="0" collapsed="false">
      <c r="A386" s="9" t="s">
        <v>2181</v>
      </c>
      <c r="B386" s="9" t="s">
        <v>658</v>
      </c>
      <c r="C386" s="9" t="s">
        <v>659</v>
      </c>
      <c r="D386" s="9" t="s">
        <v>377</v>
      </c>
      <c r="E386" s="9" t="s">
        <v>866</v>
      </c>
      <c r="F386" s="9" t="s">
        <v>1336</v>
      </c>
      <c r="G386" s="9" t="s">
        <v>1351</v>
      </c>
      <c r="H386" s="9" t="s">
        <v>1352</v>
      </c>
      <c r="I386" s="9"/>
      <c r="J386" s="9"/>
      <c r="K386" s="9"/>
      <c r="L386" s="9"/>
      <c r="M386" s="9"/>
      <c r="N386" s="9"/>
      <c r="O386" s="9"/>
      <c r="P386" s="9"/>
      <c r="Q386" s="9" t="s">
        <v>1353</v>
      </c>
      <c r="R386" s="9"/>
      <c r="S386" s="9"/>
      <c r="T386" s="9"/>
      <c r="U386" s="9"/>
      <c r="V386" s="9"/>
      <c r="W386" s="9"/>
      <c r="X386" s="9" t="s">
        <v>414</v>
      </c>
      <c r="Y386" s="9" t="s">
        <v>391</v>
      </c>
      <c r="Z386" s="12" t="b">
        <f aca="false">FALSE()</f>
        <v>0</v>
      </c>
      <c r="AA386" s="8" t="s">
        <v>1348</v>
      </c>
    </row>
    <row r="387" customFormat="false" ht="15.75" hidden="false" customHeight="true" outlineLevel="0" collapsed="false">
      <c r="A387" s="9" t="s">
        <v>2182</v>
      </c>
      <c r="B387" s="9" t="s">
        <v>658</v>
      </c>
      <c r="C387" s="9" t="s">
        <v>659</v>
      </c>
      <c r="D387" s="9" t="s">
        <v>377</v>
      </c>
      <c r="E387" s="9" t="s">
        <v>912</v>
      </c>
      <c r="F387" s="9" t="s">
        <v>1336</v>
      </c>
      <c r="G387" s="9" t="s">
        <v>1351</v>
      </c>
      <c r="H387" s="9" t="s">
        <v>1352</v>
      </c>
      <c r="I387" s="9"/>
      <c r="J387" s="9"/>
      <c r="K387" s="9"/>
      <c r="L387" s="9"/>
      <c r="M387" s="9"/>
      <c r="N387" s="9"/>
      <c r="O387" s="9"/>
      <c r="P387" s="9"/>
      <c r="Q387" s="9" t="s">
        <v>1353</v>
      </c>
      <c r="R387" s="9"/>
      <c r="S387" s="9"/>
      <c r="T387" s="9"/>
      <c r="U387" s="9"/>
      <c r="V387" s="9"/>
      <c r="W387" s="9"/>
      <c r="X387" s="9" t="s">
        <v>414</v>
      </c>
      <c r="Y387" s="9" t="s">
        <v>391</v>
      </c>
      <c r="Z387" s="12" t="b">
        <f aca="false">FALSE()</f>
        <v>0</v>
      </c>
      <c r="AA387" s="8" t="s">
        <v>1348</v>
      </c>
    </row>
    <row r="388" customFormat="false" ht="15.75" hidden="false" customHeight="true" outlineLevel="0" collapsed="false">
      <c r="A388" s="9" t="s">
        <v>2183</v>
      </c>
      <c r="B388" s="9" t="s">
        <v>658</v>
      </c>
      <c r="C388" s="9" t="s">
        <v>659</v>
      </c>
      <c r="D388" s="9" t="s">
        <v>377</v>
      </c>
      <c r="E388" s="9" t="s">
        <v>966</v>
      </c>
      <c r="F388" s="9" t="s">
        <v>1336</v>
      </c>
      <c r="G388" s="9" t="s">
        <v>1351</v>
      </c>
      <c r="H388" s="9" t="s">
        <v>1352</v>
      </c>
      <c r="I388" s="9"/>
      <c r="J388" s="9"/>
      <c r="K388" s="9"/>
      <c r="L388" s="9"/>
      <c r="M388" s="9"/>
      <c r="N388" s="9"/>
      <c r="O388" s="9"/>
      <c r="P388" s="9"/>
      <c r="Q388" s="9" t="s">
        <v>1353</v>
      </c>
      <c r="R388" s="9"/>
      <c r="S388" s="9"/>
      <c r="T388" s="9"/>
      <c r="U388" s="9"/>
      <c r="V388" s="9"/>
      <c r="W388" s="9"/>
      <c r="X388" s="9" t="s">
        <v>414</v>
      </c>
      <c r="Y388" s="9" t="s">
        <v>391</v>
      </c>
      <c r="Z388" s="12" t="b">
        <f aca="false">FALSE()</f>
        <v>0</v>
      </c>
      <c r="AA388" s="8" t="s">
        <v>1348</v>
      </c>
    </row>
    <row r="389" customFormat="false" ht="15.75" hidden="false" customHeight="true" outlineLevel="0" collapsed="false">
      <c r="A389" s="9" t="s">
        <v>2184</v>
      </c>
      <c r="B389" s="9" t="s">
        <v>658</v>
      </c>
      <c r="C389" s="9" t="s">
        <v>659</v>
      </c>
      <c r="D389" s="9" t="s">
        <v>377</v>
      </c>
      <c r="E389" s="9" t="s">
        <v>947</v>
      </c>
      <c r="F389" s="9" t="s">
        <v>1336</v>
      </c>
      <c r="G389" s="9" t="s">
        <v>1351</v>
      </c>
      <c r="H389" s="9" t="s">
        <v>1352</v>
      </c>
      <c r="I389" s="9"/>
      <c r="J389" s="9"/>
      <c r="K389" s="9"/>
      <c r="L389" s="9"/>
      <c r="M389" s="9"/>
      <c r="N389" s="9"/>
      <c r="O389" s="9"/>
      <c r="P389" s="9"/>
      <c r="Q389" s="9" t="s">
        <v>1353</v>
      </c>
      <c r="R389" s="9"/>
      <c r="S389" s="9"/>
      <c r="T389" s="9"/>
      <c r="U389" s="9"/>
      <c r="V389" s="9"/>
      <c r="W389" s="9"/>
      <c r="X389" s="9" t="s">
        <v>414</v>
      </c>
      <c r="Y389" s="9" t="s">
        <v>391</v>
      </c>
      <c r="Z389" s="12" t="b">
        <f aca="false">FALSE()</f>
        <v>0</v>
      </c>
      <c r="AA389" s="8" t="s">
        <v>1348</v>
      </c>
    </row>
    <row r="390" customFormat="false" ht="15.75" hidden="false" customHeight="true" outlineLevel="0" collapsed="false">
      <c r="A390" s="9" t="s">
        <v>2185</v>
      </c>
      <c r="B390" s="9" t="s">
        <v>661</v>
      </c>
      <c r="C390" s="9" t="s">
        <v>662</v>
      </c>
      <c r="D390" s="9" t="s">
        <v>377</v>
      </c>
      <c r="E390" s="9" t="s">
        <v>1021</v>
      </c>
      <c r="F390" s="9" t="s">
        <v>1336</v>
      </c>
      <c r="G390" s="9" t="s">
        <v>1351</v>
      </c>
      <c r="H390" s="9" t="s">
        <v>1352</v>
      </c>
      <c r="I390" s="9"/>
      <c r="J390" s="9"/>
      <c r="K390" s="9"/>
      <c r="L390" s="9"/>
      <c r="M390" s="9"/>
      <c r="N390" s="9"/>
      <c r="O390" s="9"/>
      <c r="P390" s="9"/>
      <c r="Q390" s="9" t="s">
        <v>1353</v>
      </c>
      <c r="R390" s="9"/>
      <c r="S390" s="9"/>
      <c r="T390" s="9"/>
      <c r="U390" s="9"/>
      <c r="V390" s="9"/>
      <c r="W390" s="9"/>
      <c r="X390" s="9" t="s">
        <v>414</v>
      </c>
      <c r="Y390" s="9" t="s">
        <v>391</v>
      </c>
      <c r="Z390" s="12" t="b">
        <f aca="false">FALSE()</f>
        <v>0</v>
      </c>
      <c r="AA390" s="8" t="s">
        <v>1348</v>
      </c>
    </row>
    <row r="391" customFormat="false" ht="15.75" hidden="false" customHeight="true" outlineLevel="0" collapsed="false">
      <c r="A391" s="9" t="s">
        <v>2186</v>
      </c>
      <c r="B391" s="9" t="s">
        <v>661</v>
      </c>
      <c r="C391" s="9" t="s">
        <v>662</v>
      </c>
      <c r="D391" s="9" t="s">
        <v>377</v>
      </c>
      <c r="E391" s="9" t="s">
        <v>1350</v>
      </c>
      <c r="F391" s="9" t="s">
        <v>1336</v>
      </c>
      <c r="G391" s="9" t="s">
        <v>1351</v>
      </c>
      <c r="H391" s="9" t="s">
        <v>1352</v>
      </c>
      <c r="I391" s="9"/>
      <c r="J391" s="9"/>
      <c r="K391" s="9"/>
      <c r="L391" s="9"/>
      <c r="M391" s="9"/>
      <c r="N391" s="9"/>
      <c r="O391" s="9"/>
      <c r="P391" s="9"/>
      <c r="Q391" s="9" t="s">
        <v>1353</v>
      </c>
      <c r="R391" s="9"/>
      <c r="S391" s="9"/>
      <c r="T391" s="9"/>
      <c r="U391" s="9"/>
      <c r="V391" s="9"/>
      <c r="W391" s="9"/>
      <c r="X391" s="9" t="s">
        <v>414</v>
      </c>
      <c r="Y391" s="9" t="s">
        <v>391</v>
      </c>
      <c r="Z391" s="12" t="b">
        <f aca="false">FALSE()</f>
        <v>0</v>
      </c>
      <c r="AA391" s="8" t="s">
        <v>1348</v>
      </c>
    </row>
    <row r="392" customFormat="false" ht="15.75" hidden="false" customHeight="true" outlineLevel="0" collapsed="false">
      <c r="A392" s="9" t="s">
        <v>2187</v>
      </c>
      <c r="B392" s="9" t="s">
        <v>661</v>
      </c>
      <c r="C392" s="9" t="s">
        <v>662</v>
      </c>
      <c r="D392" s="9" t="s">
        <v>377</v>
      </c>
      <c r="E392" s="9" t="s">
        <v>1355</v>
      </c>
      <c r="F392" s="9" t="s">
        <v>1336</v>
      </c>
      <c r="G392" s="9" t="s">
        <v>1351</v>
      </c>
      <c r="H392" s="9" t="s">
        <v>1352</v>
      </c>
      <c r="I392" s="9"/>
      <c r="J392" s="9"/>
      <c r="K392" s="9"/>
      <c r="L392" s="9"/>
      <c r="M392" s="9"/>
      <c r="N392" s="9"/>
      <c r="O392" s="9"/>
      <c r="P392" s="9"/>
      <c r="Q392" s="9" t="s">
        <v>1353</v>
      </c>
      <c r="R392" s="9"/>
      <c r="S392" s="9"/>
      <c r="T392" s="9"/>
      <c r="U392" s="9"/>
      <c r="V392" s="9"/>
      <c r="W392" s="9"/>
      <c r="X392" s="9" t="s">
        <v>414</v>
      </c>
      <c r="Y392" s="9" t="s">
        <v>391</v>
      </c>
      <c r="Z392" s="12" t="b">
        <f aca="false">FALSE()</f>
        <v>0</v>
      </c>
      <c r="AA392" s="8" t="s">
        <v>1348</v>
      </c>
    </row>
    <row r="393" customFormat="false" ht="15.75" hidden="false" customHeight="true" outlineLevel="0" collapsed="false">
      <c r="A393" s="9" t="s">
        <v>2188</v>
      </c>
      <c r="B393" s="9" t="s">
        <v>661</v>
      </c>
      <c r="C393" s="9" t="s">
        <v>662</v>
      </c>
      <c r="D393" s="9" t="s">
        <v>377</v>
      </c>
      <c r="E393" s="9" t="s">
        <v>886</v>
      </c>
      <c r="F393" s="9" t="s">
        <v>1336</v>
      </c>
      <c r="G393" s="9" t="s">
        <v>1337</v>
      </c>
      <c r="H393" s="9" t="s">
        <v>1338</v>
      </c>
      <c r="I393" s="9" t="s">
        <v>2189</v>
      </c>
      <c r="J393" s="9" t="s">
        <v>377</v>
      </c>
      <c r="K393" s="9" t="s">
        <v>900</v>
      </c>
      <c r="L393" s="9" t="s">
        <v>1181</v>
      </c>
      <c r="M393" s="9" t="s">
        <v>1710</v>
      </c>
      <c r="N393" s="9" t="s">
        <v>903</v>
      </c>
      <c r="O393" s="9" t="s">
        <v>904</v>
      </c>
      <c r="P393" s="9" t="s">
        <v>2190</v>
      </c>
      <c r="Q393" s="9" t="s">
        <v>113</v>
      </c>
      <c r="R393" s="9" t="s">
        <v>1726</v>
      </c>
      <c r="S393" s="9" t="s">
        <v>398</v>
      </c>
      <c r="T393" s="9" t="s">
        <v>377</v>
      </c>
      <c r="U393" s="9" t="s">
        <v>2191</v>
      </c>
      <c r="V393" s="9" t="s">
        <v>1347</v>
      </c>
      <c r="W393" s="9"/>
      <c r="X393" s="9" t="s">
        <v>377</v>
      </c>
      <c r="Y393" s="9" t="s">
        <v>377</v>
      </c>
      <c r="Z393" s="12" t="b">
        <f aca="false">FALSE()</f>
        <v>0</v>
      </c>
      <c r="AA393" s="8" t="s">
        <v>1348</v>
      </c>
    </row>
    <row r="394" customFormat="false" ht="15.75" hidden="false" customHeight="true" outlineLevel="0" collapsed="false">
      <c r="A394" s="9" t="s">
        <v>2192</v>
      </c>
      <c r="B394" s="9" t="s">
        <v>661</v>
      </c>
      <c r="C394" s="9" t="s">
        <v>662</v>
      </c>
      <c r="D394" s="9" t="s">
        <v>377</v>
      </c>
      <c r="E394" s="9" t="s">
        <v>866</v>
      </c>
      <c r="F394" s="9" t="s">
        <v>1336</v>
      </c>
      <c r="G394" s="9" t="s">
        <v>1351</v>
      </c>
      <c r="H394" s="9" t="s">
        <v>1352</v>
      </c>
      <c r="I394" s="9"/>
      <c r="J394" s="9"/>
      <c r="K394" s="9"/>
      <c r="L394" s="9"/>
      <c r="M394" s="9"/>
      <c r="N394" s="9"/>
      <c r="O394" s="9"/>
      <c r="P394" s="9"/>
      <c r="Q394" s="9" t="s">
        <v>1353</v>
      </c>
      <c r="R394" s="9"/>
      <c r="S394" s="9"/>
      <c r="T394" s="9"/>
      <c r="U394" s="9"/>
      <c r="V394" s="9"/>
      <c r="W394" s="9"/>
      <c r="X394" s="9" t="s">
        <v>414</v>
      </c>
      <c r="Y394" s="9" t="s">
        <v>391</v>
      </c>
      <c r="Z394" s="12" t="b">
        <f aca="false">FALSE()</f>
        <v>0</v>
      </c>
      <c r="AA394" s="8" t="s">
        <v>1348</v>
      </c>
    </row>
    <row r="395" customFormat="false" ht="15.75" hidden="false" customHeight="true" outlineLevel="0" collapsed="false">
      <c r="A395" s="9" t="s">
        <v>2193</v>
      </c>
      <c r="B395" s="9" t="s">
        <v>661</v>
      </c>
      <c r="C395" s="9" t="s">
        <v>662</v>
      </c>
      <c r="D395" s="9" t="s">
        <v>377</v>
      </c>
      <c r="E395" s="9" t="s">
        <v>912</v>
      </c>
      <c r="F395" s="9" t="s">
        <v>1336</v>
      </c>
      <c r="G395" s="9" t="s">
        <v>1351</v>
      </c>
      <c r="H395" s="9" t="s">
        <v>1352</v>
      </c>
      <c r="I395" s="9"/>
      <c r="J395" s="9"/>
      <c r="K395" s="9"/>
      <c r="L395" s="9"/>
      <c r="M395" s="9"/>
      <c r="N395" s="9"/>
      <c r="O395" s="9"/>
      <c r="P395" s="9"/>
      <c r="Q395" s="9" t="s">
        <v>1353</v>
      </c>
      <c r="R395" s="9"/>
      <c r="S395" s="9"/>
      <c r="T395" s="9"/>
      <c r="U395" s="9"/>
      <c r="V395" s="9"/>
      <c r="W395" s="9"/>
      <c r="X395" s="9" t="s">
        <v>414</v>
      </c>
      <c r="Y395" s="9" t="s">
        <v>391</v>
      </c>
      <c r="Z395" s="12" t="b">
        <f aca="false">FALSE()</f>
        <v>0</v>
      </c>
      <c r="AA395" s="8" t="s">
        <v>1348</v>
      </c>
    </row>
    <row r="396" customFormat="false" ht="15.75" hidden="false" customHeight="true" outlineLevel="0" collapsed="false">
      <c r="A396" s="9" t="s">
        <v>2194</v>
      </c>
      <c r="B396" s="9" t="s">
        <v>661</v>
      </c>
      <c r="C396" s="9" t="s">
        <v>662</v>
      </c>
      <c r="D396" s="9" t="s">
        <v>377</v>
      </c>
      <c r="E396" s="9" t="s">
        <v>966</v>
      </c>
      <c r="F396" s="9" t="s">
        <v>1336</v>
      </c>
      <c r="G396" s="9" t="s">
        <v>1351</v>
      </c>
      <c r="H396" s="9" t="s">
        <v>1352</v>
      </c>
      <c r="I396" s="9"/>
      <c r="J396" s="9"/>
      <c r="K396" s="9"/>
      <c r="L396" s="9"/>
      <c r="M396" s="9"/>
      <c r="N396" s="9"/>
      <c r="O396" s="9"/>
      <c r="P396" s="9"/>
      <c r="Q396" s="9" t="s">
        <v>1353</v>
      </c>
      <c r="R396" s="9"/>
      <c r="S396" s="9"/>
      <c r="T396" s="9"/>
      <c r="U396" s="9"/>
      <c r="V396" s="9"/>
      <c r="W396" s="9"/>
      <c r="X396" s="9" t="s">
        <v>414</v>
      </c>
      <c r="Y396" s="9" t="s">
        <v>391</v>
      </c>
      <c r="Z396" s="12" t="b">
        <f aca="false">FALSE()</f>
        <v>0</v>
      </c>
      <c r="AA396" s="8" t="s">
        <v>1348</v>
      </c>
    </row>
    <row r="397" customFormat="false" ht="15.75" hidden="false" customHeight="true" outlineLevel="0" collapsed="false">
      <c r="A397" s="9" t="s">
        <v>2195</v>
      </c>
      <c r="B397" s="9" t="s">
        <v>661</v>
      </c>
      <c r="C397" s="9" t="s">
        <v>662</v>
      </c>
      <c r="D397" s="9" t="s">
        <v>377</v>
      </c>
      <c r="E397" s="9" t="s">
        <v>947</v>
      </c>
      <c r="F397" s="9" t="s">
        <v>1336</v>
      </c>
      <c r="G397" s="9" t="s">
        <v>1351</v>
      </c>
      <c r="H397" s="9" t="s">
        <v>1352</v>
      </c>
      <c r="I397" s="9"/>
      <c r="J397" s="9"/>
      <c r="K397" s="9"/>
      <c r="L397" s="9"/>
      <c r="M397" s="9"/>
      <c r="N397" s="9"/>
      <c r="O397" s="9"/>
      <c r="P397" s="9"/>
      <c r="Q397" s="9" t="s">
        <v>1353</v>
      </c>
      <c r="R397" s="9"/>
      <c r="S397" s="9"/>
      <c r="T397" s="9"/>
      <c r="U397" s="9"/>
      <c r="V397" s="9"/>
      <c r="W397" s="9"/>
      <c r="X397" s="9" t="s">
        <v>414</v>
      </c>
      <c r="Y397" s="9" t="s">
        <v>391</v>
      </c>
      <c r="Z397" s="12" t="b">
        <f aca="false">FALSE()</f>
        <v>0</v>
      </c>
      <c r="AA397" s="8" t="s">
        <v>1348</v>
      </c>
    </row>
    <row r="398" customFormat="false" ht="15.75" hidden="false" customHeight="true" outlineLevel="0" collapsed="false">
      <c r="A398" s="9" t="s">
        <v>2196</v>
      </c>
      <c r="B398" s="9" t="s">
        <v>664</v>
      </c>
      <c r="C398" s="9" t="s">
        <v>665</v>
      </c>
      <c r="D398" s="9" t="s">
        <v>384</v>
      </c>
      <c r="E398" s="9" t="s">
        <v>1021</v>
      </c>
      <c r="F398" s="9" t="s">
        <v>2197</v>
      </c>
      <c r="G398" s="9" t="s">
        <v>2198</v>
      </c>
      <c r="H398" s="9" t="s">
        <v>2199</v>
      </c>
      <c r="I398" s="9"/>
      <c r="J398" s="9"/>
      <c r="K398" s="9"/>
      <c r="L398" s="9"/>
      <c r="M398" s="9"/>
      <c r="N398" s="9"/>
      <c r="O398" s="9"/>
      <c r="P398" s="9"/>
      <c r="Q398" s="9" t="s">
        <v>1353</v>
      </c>
      <c r="R398" s="9"/>
      <c r="S398" s="9" t="s">
        <v>2200</v>
      </c>
      <c r="T398" s="9"/>
      <c r="U398" s="9" t="s">
        <v>2201</v>
      </c>
      <c r="V398" s="9"/>
      <c r="W398" s="9"/>
      <c r="X398" s="9" t="s">
        <v>420</v>
      </c>
      <c r="Y398" s="9" t="s">
        <v>391</v>
      </c>
      <c r="Z398" s="12" t="b">
        <f aca="false">FALSE()</f>
        <v>0</v>
      </c>
      <c r="AA398" s="8" t="s">
        <v>1348</v>
      </c>
    </row>
    <row r="399" customFormat="false" ht="15.75" hidden="false" customHeight="true" outlineLevel="0" collapsed="false">
      <c r="A399" s="9" t="s">
        <v>2202</v>
      </c>
      <c r="B399" s="9" t="s">
        <v>664</v>
      </c>
      <c r="C399" s="9" t="s">
        <v>665</v>
      </c>
      <c r="D399" s="9" t="s">
        <v>384</v>
      </c>
      <c r="E399" s="9" t="s">
        <v>1350</v>
      </c>
      <c r="F399" s="9" t="s">
        <v>2197</v>
      </c>
      <c r="G399" s="9" t="s">
        <v>2198</v>
      </c>
      <c r="H399" s="9" t="s">
        <v>2199</v>
      </c>
      <c r="I399" s="9"/>
      <c r="J399" s="9"/>
      <c r="K399" s="9"/>
      <c r="L399" s="9"/>
      <c r="M399" s="9"/>
      <c r="N399" s="9"/>
      <c r="O399" s="9"/>
      <c r="P399" s="9"/>
      <c r="Q399" s="9" t="s">
        <v>1353</v>
      </c>
      <c r="R399" s="9"/>
      <c r="S399" s="9" t="s">
        <v>2200</v>
      </c>
      <c r="T399" s="9"/>
      <c r="U399" s="9" t="s">
        <v>2201</v>
      </c>
      <c r="V399" s="9"/>
      <c r="W399" s="9"/>
      <c r="X399" s="9" t="s">
        <v>420</v>
      </c>
      <c r="Y399" s="9" t="s">
        <v>391</v>
      </c>
      <c r="Z399" s="12" t="b">
        <f aca="false">FALSE()</f>
        <v>0</v>
      </c>
      <c r="AA399" s="8" t="s">
        <v>1348</v>
      </c>
    </row>
    <row r="400" customFormat="false" ht="15.75" hidden="false" customHeight="true" outlineLevel="0" collapsed="false">
      <c r="A400" s="9" t="s">
        <v>2203</v>
      </c>
      <c r="B400" s="9" t="s">
        <v>664</v>
      </c>
      <c r="C400" s="9" t="s">
        <v>665</v>
      </c>
      <c r="D400" s="9" t="s">
        <v>384</v>
      </c>
      <c r="E400" s="9" t="s">
        <v>1355</v>
      </c>
      <c r="F400" s="9" t="s">
        <v>2197</v>
      </c>
      <c r="G400" s="9" t="s">
        <v>2198</v>
      </c>
      <c r="H400" s="9" t="s">
        <v>2199</v>
      </c>
      <c r="I400" s="9"/>
      <c r="J400" s="9"/>
      <c r="K400" s="9"/>
      <c r="L400" s="9"/>
      <c r="M400" s="9"/>
      <c r="N400" s="9"/>
      <c r="O400" s="9"/>
      <c r="P400" s="9"/>
      <c r="Q400" s="9" t="s">
        <v>1353</v>
      </c>
      <c r="R400" s="9"/>
      <c r="S400" s="9" t="s">
        <v>2200</v>
      </c>
      <c r="T400" s="9"/>
      <c r="U400" s="9" t="s">
        <v>2201</v>
      </c>
      <c r="V400" s="9"/>
      <c r="W400" s="9"/>
      <c r="X400" s="9" t="s">
        <v>420</v>
      </c>
      <c r="Y400" s="9" t="s">
        <v>391</v>
      </c>
      <c r="Z400" s="12" t="b">
        <f aca="false">FALSE()</f>
        <v>0</v>
      </c>
      <c r="AA400" s="8" t="s">
        <v>1348</v>
      </c>
    </row>
    <row r="401" customFormat="false" ht="15.75" hidden="false" customHeight="true" outlineLevel="0" collapsed="false">
      <c r="A401" s="9" t="s">
        <v>2204</v>
      </c>
      <c r="B401" s="9" t="s">
        <v>664</v>
      </c>
      <c r="C401" s="9" t="s">
        <v>665</v>
      </c>
      <c r="D401" s="9" t="s">
        <v>384</v>
      </c>
      <c r="E401" s="9" t="s">
        <v>886</v>
      </c>
      <c r="F401" s="9" t="s">
        <v>2197</v>
      </c>
      <c r="G401" s="9" t="s">
        <v>2198</v>
      </c>
      <c r="H401" s="9" t="s">
        <v>2199</v>
      </c>
      <c r="I401" s="9"/>
      <c r="J401" s="9"/>
      <c r="K401" s="9"/>
      <c r="L401" s="9"/>
      <c r="M401" s="9"/>
      <c r="N401" s="9"/>
      <c r="O401" s="9"/>
      <c r="P401" s="9"/>
      <c r="Q401" s="9" t="s">
        <v>1353</v>
      </c>
      <c r="R401" s="9"/>
      <c r="S401" s="9" t="s">
        <v>2200</v>
      </c>
      <c r="T401" s="9"/>
      <c r="U401" s="9" t="s">
        <v>2201</v>
      </c>
      <c r="V401" s="9"/>
      <c r="W401" s="9"/>
      <c r="X401" s="9" t="s">
        <v>420</v>
      </c>
      <c r="Y401" s="9" t="s">
        <v>391</v>
      </c>
      <c r="Z401" s="12" t="b">
        <f aca="false">FALSE()</f>
        <v>0</v>
      </c>
      <c r="AA401" s="8" t="s">
        <v>1348</v>
      </c>
    </row>
    <row r="402" customFormat="false" ht="15.75" hidden="false" customHeight="true" outlineLevel="0" collapsed="false">
      <c r="A402" s="9" t="s">
        <v>2205</v>
      </c>
      <c r="B402" s="9" t="s">
        <v>664</v>
      </c>
      <c r="C402" s="9" t="s">
        <v>665</v>
      </c>
      <c r="D402" s="9" t="s">
        <v>384</v>
      </c>
      <c r="E402" s="9" t="s">
        <v>866</v>
      </c>
      <c r="F402" s="9" t="s">
        <v>2197</v>
      </c>
      <c r="G402" s="9" t="s">
        <v>2198</v>
      </c>
      <c r="H402" s="9" t="s">
        <v>2199</v>
      </c>
      <c r="I402" s="9"/>
      <c r="J402" s="9"/>
      <c r="K402" s="9"/>
      <c r="L402" s="9"/>
      <c r="M402" s="9"/>
      <c r="N402" s="9"/>
      <c r="O402" s="9"/>
      <c r="P402" s="9"/>
      <c r="Q402" s="9" t="s">
        <v>1353</v>
      </c>
      <c r="R402" s="9"/>
      <c r="S402" s="9" t="s">
        <v>2200</v>
      </c>
      <c r="T402" s="9"/>
      <c r="U402" s="9" t="s">
        <v>2201</v>
      </c>
      <c r="V402" s="9"/>
      <c r="W402" s="9"/>
      <c r="X402" s="9" t="s">
        <v>420</v>
      </c>
      <c r="Y402" s="9" t="s">
        <v>391</v>
      </c>
      <c r="Z402" s="12" t="b">
        <f aca="false">FALSE()</f>
        <v>0</v>
      </c>
      <c r="AA402" s="8" t="s">
        <v>1348</v>
      </c>
    </row>
    <row r="403" customFormat="false" ht="15.75" hidden="false" customHeight="true" outlineLevel="0" collapsed="false">
      <c r="A403" s="9" t="s">
        <v>2206</v>
      </c>
      <c r="B403" s="9" t="s">
        <v>664</v>
      </c>
      <c r="C403" s="9" t="s">
        <v>665</v>
      </c>
      <c r="D403" s="9" t="s">
        <v>384</v>
      </c>
      <c r="E403" s="9" t="s">
        <v>912</v>
      </c>
      <c r="F403" s="9" t="s">
        <v>2197</v>
      </c>
      <c r="G403" s="9" t="s">
        <v>2198</v>
      </c>
      <c r="H403" s="9" t="s">
        <v>2199</v>
      </c>
      <c r="I403" s="9"/>
      <c r="J403" s="9"/>
      <c r="K403" s="9"/>
      <c r="L403" s="9"/>
      <c r="M403" s="9"/>
      <c r="N403" s="9"/>
      <c r="O403" s="9"/>
      <c r="P403" s="9"/>
      <c r="Q403" s="9" t="s">
        <v>1353</v>
      </c>
      <c r="R403" s="9"/>
      <c r="S403" s="9" t="s">
        <v>2200</v>
      </c>
      <c r="T403" s="9"/>
      <c r="U403" s="9" t="s">
        <v>2201</v>
      </c>
      <c r="V403" s="9"/>
      <c r="W403" s="9"/>
      <c r="X403" s="9" t="s">
        <v>420</v>
      </c>
      <c r="Y403" s="9" t="s">
        <v>391</v>
      </c>
      <c r="Z403" s="12" t="b">
        <f aca="false">FALSE()</f>
        <v>0</v>
      </c>
      <c r="AA403" s="8" t="s">
        <v>1348</v>
      </c>
    </row>
    <row r="404" customFormat="false" ht="15.75" hidden="false" customHeight="true" outlineLevel="0" collapsed="false">
      <c r="A404" s="9" t="s">
        <v>2207</v>
      </c>
      <c r="B404" s="9" t="s">
        <v>664</v>
      </c>
      <c r="C404" s="9" t="s">
        <v>665</v>
      </c>
      <c r="D404" s="9" t="s">
        <v>384</v>
      </c>
      <c r="E404" s="9" t="s">
        <v>966</v>
      </c>
      <c r="F404" s="9" t="s">
        <v>2197</v>
      </c>
      <c r="G404" s="9" t="s">
        <v>2198</v>
      </c>
      <c r="H404" s="9" t="s">
        <v>2199</v>
      </c>
      <c r="I404" s="9"/>
      <c r="J404" s="9"/>
      <c r="K404" s="9"/>
      <c r="L404" s="9"/>
      <c r="M404" s="9"/>
      <c r="N404" s="9"/>
      <c r="O404" s="9"/>
      <c r="P404" s="9"/>
      <c r="Q404" s="9" t="s">
        <v>1353</v>
      </c>
      <c r="R404" s="9"/>
      <c r="S404" s="9" t="s">
        <v>2200</v>
      </c>
      <c r="T404" s="9"/>
      <c r="U404" s="9" t="s">
        <v>2201</v>
      </c>
      <c r="V404" s="9"/>
      <c r="W404" s="9"/>
      <c r="X404" s="9" t="s">
        <v>420</v>
      </c>
      <c r="Y404" s="9" t="s">
        <v>391</v>
      </c>
      <c r="Z404" s="12" t="b">
        <f aca="false">FALSE()</f>
        <v>0</v>
      </c>
      <c r="AA404" s="8" t="s">
        <v>1348</v>
      </c>
    </row>
    <row r="405" customFormat="false" ht="15.75" hidden="false" customHeight="true" outlineLevel="0" collapsed="false">
      <c r="A405" s="9" t="s">
        <v>2208</v>
      </c>
      <c r="B405" s="9" t="s">
        <v>664</v>
      </c>
      <c r="C405" s="9" t="s">
        <v>665</v>
      </c>
      <c r="D405" s="9" t="s">
        <v>384</v>
      </c>
      <c r="E405" s="9" t="s">
        <v>947</v>
      </c>
      <c r="F405" s="9" t="s">
        <v>2197</v>
      </c>
      <c r="G405" s="9" t="s">
        <v>2198</v>
      </c>
      <c r="H405" s="9" t="s">
        <v>2199</v>
      </c>
      <c r="I405" s="9"/>
      <c r="J405" s="9"/>
      <c r="K405" s="9"/>
      <c r="L405" s="9"/>
      <c r="M405" s="9"/>
      <c r="N405" s="9"/>
      <c r="O405" s="9"/>
      <c r="P405" s="9"/>
      <c r="Q405" s="9" t="s">
        <v>1353</v>
      </c>
      <c r="R405" s="9"/>
      <c r="S405" s="9" t="s">
        <v>2200</v>
      </c>
      <c r="T405" s="9"/>
      <c r="U405" s="9" t="s">
        <v>2201</v>
      </c>
      <c r="V405" s="9"/>
      <c r="W405" s="9"/>
      <c r="X405" s="9" t="s">
        <v>420</v>
      </c>
      <c r="Y405" s="9" t="s">
        <v>391</v>
      </c>
      <c r="Z405" s="12" t="b">
        <f aca="false">FALSE()</f>
        <v>0</v>
      </c>
      <c r="AA405" s="8" t="s">
        <v>1348</v>
      </c>
    </row>
    <row r="406" customFormat="false" ht="15.75" hidden="false" customHeight="true" outlineLevel="0" collapsed="false">
      <c r="A406" s="9" t="s">
        <v>2209</v>
      </c>
      <c r="B406" s="9" t="s">
        <v>668</v>
      </c>
      <c r="C406" s="9" t="s">
        <v>670</v>
      </c>
      <c r="D406" s="9" t="s">
        <v>384</v>
      </c>
      <c r="E406" s="9" t="s">
        <v>1021</v>
      </c>
      <c r="F406" s="9" t="s">
        <v>2210</v>
      </c>
      <c r="G406" s="9" t="s">
        <v>1351</v>
      </c>
      <c r="H406" s="9" t="s">
        <v>1352</v>
      </c>
      <c r="I406" s="9"/>
      <c r="J406" s="9"/>
      <c r="K406" s="9"/>
      <c r="L406" s="9"/>
      <c r="M406" s="9"/>
      <c r="N406" s="9"/>
      <c r="O406" s="9"/>
      <c r="P406" s="9"/>
      <c r="Q406" s="9" t="s">
        <v>1353</v>
      </c>
      <c r="R406" s="9"/>
      <c r="S406" s="9"/>
      <c r="T406" s="9"/>
      <c r="U406" s="9"/>
      <c r="V406" s="9"/>
      <c r="W406" s="9"/>
      <c r="X406" s="9" t="s">
        <v>414</v>
      </c>
      <c r="Y406" s="9" t="s">
        <v>391</v>
      </c>
      <c r="Z406" s="12" t="b">
        <f aca="false">FALSE()</f>
        <v>0</v>
      </c>
      <c r="AA406" s="8" t="s">
        <v>1348</v>
      </c>
    </row>
    <row r="407" customFormat="false" ht="15.75" hidden="false" customHeight="true" outlineLevel="0" collapsed="false">
      <c r="A407" s="9" t="s">
        <v>2211</v>
      </c>
      <c r="B407" s="9" t="s">
        <v>668</v>
      </c>
      <c r="C407" s="9" t="s">
        <v>670</v>
      </c>
      <c r="D407" s="9" t="s">
        <v>384</v>
      </c>
      <c r="E407" s="9" t="s">
        <v>1350</v>
      </c>
      <c r="F407" s="9" t="s">
        <v>2210</v>
      </c>
      <c r="G407" s="9" t="s">
        <v>1351</v>
      </c>
      <c r="H407" s="9" t="s">
        <v>1352</v>
      </c>
      <c r="I407" s="9"/>
      <c r="J407" s="9"/>
      <c r="K407" s="9"/>
      <c r="L407" s="9"/>
      <c r="M407" s="9"/>
      <c r="N407" s="9"/>
      <c r="O407" s="9"/>
      <c r="P407" s="9"/>
      <c r="Q407" s="9" t="s">
        <v>1353</v>
      </c>
      <c r="R407" s="9"/>
      <c r="S407" s="9"/>
      <c r="T407" s="9"/>
      <c r="U407" s="9"/>
      <c r="V407" s="9"/>
      <c r="W407" s="9"/>
      <c r="X407" s="9" t="s">
        <v>414</v>
      </c>
      <c r="Y407" s="9" t="s">
        <v>391</v>
      </c>
      <c r="Z407" s="12" t="b">
        <f aca="false">FALSE()</f>
        <v>0</v>
      </c>
      <c r="AA407" s="8" t="s">
        <v>1348</v>
      </c>
    </row>
    <row r="408" customFormat="false" ht="15.75" hidden="false" customHeight="true" outlineLevel="0" collapsed="false">
      <c r="A408" s="9" t="s">
        <v>2212</v>
      </c>
      <c r="B408" s="9" t="s">
        <v>668</v>
      </c>
      <c r="C408" s="9" t="s">
        <v>670</v>
      </c>
      <c r="D408" s="9" t="s">
        <v>384</v>
      </c>
      <c r="E408" s="9" t="s">
        <v>1355</v>
      </c>
      <c r="F408" s="9" t="s">
        <v>2210</v>
      </c>
      <c r="G408" s="9" t="s">
        <v>1351</v>
      </c>
      <c r="H408" s="9" t="s">
        <v>1352</v>
      </c>
      <c r="I408" s="9"/>
      <c r="J408" s="9"/>
      <c r="K408" s="9"/>
      <c r="L408" s="9"/>
      <c r="M408" s="9"/>
      <c r="N408" s="9"/>
      <c r="O408" s="9"/>
      <c r="P408" s="9"/>
      <c r="Q408" s="9" t="s">
        <v>1353</v>
      </c>
      <c r="R408" s="9"/>
      <c r="S408" s="9"/>
      <c r="T408" s="9"/>
      <c r="U408" s="9"/>
      <c r="V408" s="9"/>
      <c r="W408" s="9"/>
      <c r="X408" s="9" t="s">
        <v>414</v>
      </c>
      <c r="Y408" s="9" t="s">
        <v>391</v>
      </c>
      <c r="Z408" s="12" t="b">
        <f aca="false">FALSE()</f>
        <v>0</v>
      </c>
      <c r="AA408" s="8" t="s">
        <v>1348</v>
      </c>
    </row>
    <row r="409" customFormat="false" ht="15.75" hidden="false" customHeight="true" outlineLevel="0" collapsed="false">
      <c r="A409" s="9" t="s">
        <v>2213</v>
      </c>
      <c r="B409" s="9" t="s">
        <v>668</v>
      </c>
      <c r="C409" s="9" t="s">
        <v>670</v>
      </c>
      <c r="D409" s="9" t="s">
        <v>384</v>
      </c>
      <c r="E409" s="9" t="s">
        <v>886</v>
      </c>
      <c r="F409" s="9" t="s">
        <v>2210</v>
      </c>
      <c r="G409" s="9" t="s">
        <v>1351</v>
      </c>
      <c r="H409" s="9" t="s">
        <v>1352</v>
      </c>
      <c r="I409" s="9"/>
      <c r="J409" s="9"/>
      <c r="K409" s="9"/>
      <c r="L409" s="9"/>
      <c r="M409" s="9"/>
      <c r="N409" s="9"/>
      <c r="O409" s="9"/>
      <c r="P409" s="9"/>
      <c r="Q409" s="9" t="s">
        <v>1353</v>
      </c>
      <c r="R409" s="9"/>
      <c r="S409" s="9"/>
      <c r="T409" s="9"/>
      <c r="U409" s="9"/>
      <c r="V409" s="9"/>
      <c r="W409" s="9"/>
      <c r="X409" s="9" t="s">
        <v>414</v>
      </c>
      <c r="Y409" s="9" t="s">
        <v>391</v>
      </c>
      <c r="Z409" s="12" t="b">
        <f aca="false">FALSE()</f>
        <v>0</v>
      </c>
      <c r="AA409" s="8" t="s">
        <v>1348</v>
      </c>
    </row>
    <row r="410" customFormat="false" ht="15.75" hidden="false" customHeight="true" outlineLevel="0" collapsed="false">
      <c r="A410" s="9" t="s">
        <v>2214</v>
      </c>
      <c r="B410" s="9" t="s">
        <v>668</v>
      </c>
      <c r="C410" s="9" t="s">
        <v>670</v>
      </c>
      <c r="D410" s="9" t="s">
        <v>384</v>
      </c>
      <c r="E410" s="9" t="s">
        <v>866</v>
      </c>
      <c r="F410" s="9" t="s">
        <v>2210</v>
      </c>
      <c r="G410" s="9" t="s">
        <v>1351</v>
      </c>
      <c r="H410" s="9" t="s">
        <v>1352</v>
      </c>
      <c r="I410" s="9"/>
      <c r="J410" s="9"/>
      <c r="K410" s="9"/>
      <c r="L410" s="9"/>
      <c r="M410" s="9"/>
      <c r="N410" s="9"/>
      <c r="O410" s="9"/>
      <c r="P410" s="9"/>
      <c r="Q410" s="9" t="s">
        <v>1353</v>
      </c>
      <c r="R410" s="9"/>
      <c r="S410" s="9"/>
      <c r="T410" s="9"/>
      <c r="U410" s="9"/>
      <c r="V410" s="9"/>
      <c r="W410" s="9"/>
      <c r="X410" s="9" t="s">
        <v>414</v>
      </c>
      <c r="Y410" s="9" t="s">
        <v>391</v>
      </c>
      <c r="Z410" s="12" t="b">
        <f aca="false">FALSE()</f>
        <v>0</v>
      </c>
      <c r="AA410" s="8" t="s">
        <v>1348</v>
      </c>
    </row>
    <row r="411" customFormat="false" ht="15.75" hidden="false" customHeight="true" outlineLevel="0" collapsed="false">
      <c r="A411" s="9" t="s">
        <v>2215</v>
      </c>
      <c r="B411" s="9" t="s">
        <v>668</v>
      </c>
      <c r="C411" s="9" t="s">
        <v>670</v>
      </c>
      <c r="D411" s="9" t="s">
        <v>384</v>
      </c>
      <c r="E411" s="9" t="s">
        <v>912</v>
      </c>
      <c r="F411" s="9" t="s">
        <v>2210</v>
      </c>
      <c r="G411" s="9" t="s">
        <v>1351</v>
      </c>
      <c r="H411" s="9" t="s">
        <v>1352</v>
      </c>
      <c r="I411" s="9"/>
      <c r="J411" s="9"/>
      <c r="K411" s="9"/>
      <c r="L411" s="9"/>
      <c r="M411" s="9"/>
      <c r="N411" s="9"/>
      <c r="O411" s="9"/>
      <c r="P411" s="9"/>
      <c r="Q411" s="9" t="s">
        <v>1353</v>
      </c>
      <c r="R411" s="9"/>
      <c r="S411" s="9"/>
      <c r="T411" s="9"/>
      <c r="U411" s="9"/>
      <c r="V411" s="9"/>
      <c r="W411" s="9"/>
      <c r="X411" s="9" t="s">
        <v>414</v>
      </c>
      <c r="Y411" s="9" t="s">
        <v>391</v>
      </c>
      <c r="Z411" s="12" t="b">
        <f aca="false">FALSE()</f>
        <v>0</v>
      </c>
      <c r="AA411" s="8" t="s">
        <v>1348</v>
      </c>
    </row>
    <row r="412" customFormat="false" ht="15.75" hidden="false" customHeight="true" outlineLevel="0" collapsed="false">
      <c r="A412" s="9" t="s">
        <v>2216</v>
      </c>
      <c r="B412" s="9" t="s">
        <v>668</v>
      </c>
      <c r="C412" s="9" t="s">
        <v>670</v>
      </c>
      <c r="D412" s="9" t="s">
        <v>384</v>
      </c>
      <c r="E412" s="9" t="s">
        <v>966</v>
      </c>
      <c r="F412" s="9" t="s">
        <v>2210</v>
      </c>
      <c r="G412" s="9" t="s">
        <v>1351</v>
      </c>
      <c r="H412" s="9" t="s">
        <v>1352</v>
      </c>
      <c r="I412" s="9"/>
      <c r="J412" s="9"/>
      <c r="K412" s="9"/>
      <c r="L412" s="9"/>
      <c r="M412" s="9"/>
      <c r="N412" s="9"/>
      <c r="O412" s="9"/>
      <c r="P412" s="9"/>
      <c r="Q412" s="9" t="s">
        <v>1353</v>
      </c>
      <c r="R412" s="9"/>
      <c r="S412" s="9"/>
      <c r="T412" s="9"/>
      <c r="U412" s="9"/>
      <c r="V412" s="9"/>
      <c r="W412" s="9"/>
      <c r="X412" s="9" t="s">
        <v>414</v>
      </c>
      <c r="Y412" s="9" t="s">
        <v>391</v>
      </c>
      <c r="Z412" s="12" t="b">
        <f aca="false">FALSE()</f>
        <v>0</v>
      </c>
      <c r="AA412" s="8" t="s">
        <v>1348</v>
      </c>
    </row>
    <row r="413" customFormat="false" ht="15.75" hidden="false" customHeight="true" outlineLevel="0" collapsed="false">
      <c r="A413" s="9" t="s">
        <v>2217</v>
      </c>
      <c r="B413" s="9" t="s">
        <v>668</v>
      </c>
      <c r="C413" s="9" t="s">
        <v>670</v>
      </c>
      <c r="D413" s="9" t="s">
        <v>384</v>
      </c>
      <c r="E413" s="9" t="s">
        <v>947</v>
      </c>
      <c r="F413" s="9" t="s">
        <v>2210</v>
      </c>
      <c r="G413" s="9" t="s">
        <v>1351</v>
      </c>
      <c r="H413" s="9" t="s">
        <v>1352</v>
      </c>
      <c r="I413" s="9"/>
      <c r="J413" s="9"/>
      <c r="K413" s="9"/>
      <c r="L413" s="9"/>
      <c r="M413" s="9"/>
      <c r="N413" s="9"/>
      <c r="O413" s="9"/>
      <c r="P413" s="9"/>
      <c r="Q413" s="9" t="s">
        <v>1353</v>
      </c>
      <c r="R413" s="9"/>
      <c r="S413" s="9"/>
      <c r="T413" s="9"/>
      <c r="U413" s="9"/>
      <c r="V413" s="9"/>
      <c r="W413" s="9"/>
      <c r="X413" s="9" t="s">
        <v>414</v>
      </c>
      <c r="Y413" s="9" t="s">
        <v>391</v>
      </c>
      <c r="Z413" s="12" t="b">
        <f aca="false">FALSE()</f>
        <v>0</v>
      </c>
      <c r="AA413" s="8" t="s">
        <v>1348</v>
      </c>
    </row>
    <row r="414" customFormat="false" ht="15.75" hidden="false" customHeight="true" outlineLevel="0" collapsed="false">
      <c r="A414" s="9" t="s">
        <v>2218</v>
      </c>
      <c r="B414" s="9" t="s">
        <v>673</v>
      </c>
      <c r="C414" s="9" t="s">
        <v>676</v>
      </c>
      <c r="D414" s="9" t="s">
        <v>384</v>
      </c>
      <c r="E414" s="9" t="s">
        <v>1021</v>
      </c>
      <c r="F414" s="9" t="s">
        <v>1336</v>
      </c>
      <c r="G414" s="9" t="s">
        <v>1351</v>
      </c>
      <c r="H414" s="9" t="s">
        <v>1352</v>
      </c>
      <c r="I414" s="9"/>
      <c r="J414" s="9"/>
      <c r="K414" s="9"/>
      <c r="L414" s="9"/>
      <c r="M414" s="9"/>
      <c r="N414" s="9"/>
      <c r="O414" s="9"/>
      <c r="P414" s="9"/>
      <c r="Q414" s="9" t="s">
        <v>1353</v>
      </c>
      <c r="R414" s="9"/>
      <c r="S414" s="9"/>
      <c r="T414" s="9"/>
      <c r="U414" s="9"/>
      <c r="V414" s="9"/>
      <c r="W414" s="9"/>
      <c r="X414" s="9" t="s">
        <v>414</v>
      </c>
      <c r="Y414" s="9" t="s">
        <v>391</v>
      </c>
      <c r="Z414" s="12" t="b">
        <f aca="false">FALSE()</f>
        <v>0</v>
      </c>
      <c r="AA414" s="8" t="s">
        <v>1348</v>
      </c>
    </row>
    <row r="415" customFormat="false" ht="15.75" hidden="false" customHeight="true" outlineLevel="0" collapsed="false">
      <c r="A415" s="9" t="s">
        <v>2219</v>
      </c>
      <c r="B415" s="9" t="s">
        <v>673</v>
      </c>
      <c r="C415" s="9" t="s">
        <v>676</v>
      </c>
      <c r="D415" s="9" t="s">
        <v>384</v>
      </c>
      <c r="E415" s="9" t="s">
        <v>1350</v>
      </c>
      <c r="F415" s="9" t="s">
        <v>1336</v>
      </c>
      <c r="G415" s="9" t="s">
        <v>1351</v>
      </c>
      <c r="H415" s="9" t="s">
        <v>1352</v>
      </c>
      <c r="I415" s="9"/>
      <c r="J415" s="9"/>
      <c r="K415" s="9"/>
      <c r="L415" s="9"/>
      <c r="M415" s="9"/>
      <c r="N415" s="9"/>
      <c r="O415" s="9"/>
      <c r="P415" s="9"/>
      <c r="Q415" s="9" t="s">
        <v>1353</v>
      </c>
      <c r="R415" s="9"/>
      <c r="S415" s="9"/>
      <c r="T415" s="9"/>
      <c r="U415" s="9"/>
      <c r="V415" s="9"/>
      <c r="W415" s="9"/>
      <c r="X415" s="9" t="s">
        <v>414</v>
      </c>
      <c r="Y415" s="9" t="s">
        <v>391</v>
      </c>
      <c r="Z415" s="12" t="b">
        <f aca="false">FALSE()</f>
        <v>0</v>
      </c>
      <c r="AA415" s="8" t="s">
        <v>1348</v>
      </c>
    </row>
    <row r="416" customFormat="false" ht="15.75" hidden="false" customHeight="true" outlineLevel="0" collapsed="false">
      <c r="A416" s="9" t="s">
        <v>2220</v>
      </c>
      <c r="B416" s="9" t="s">
        <v>673</v>
      </c>
      <c r="C416" s="9" t="s">
        <v>676</v>
      </c>
      <c r="D416" s="9" t="s">
        <v>384</v>
      </c>
      <c r="E416" s="9" t="s">
        <v>1355</v>
      </c>
      <c r="F416" s="9" t="s">
        <v>1336</v>
      </c>
      <c r="G416" s="9" t="s">
        <v>1351</v>
      </c>
      <c r="H416" s="9" t="s">
        <v>1352</v>
      </c>
      <c r="I416" s="9"/>
      <c r="J416" s="9"/>
      <c r="K416" s="9"/>
      <c r="L416" s="9"/>
      <c r="M416" s="9"/>
      <c r="N416" s="9"/>
      <c r="O416" s="9"/>
      <c r="P416" s="9"/>
      <c r="Q416" s="9" t="s">
        <v>1353</v>
      </c>
      <c r="R416" s="9"/>
      <c r="S416" s="9"/>
      <c r="T416" s="9"/>
      <c r="U416" s="9"/>
      <c r="V416" s="9"/>
      <c r="W416" s="9"/>
      <c r="X416" s="9" t="s">
        <v>414</v>
      </c>
      <c r="Y416" s="9" t="s">
        <v>391</v>
      </c>
      <c r="Z416" s="12" t="b">
        <f aca="false">FALSE()</f>
        <v>0</v>
      </c>
      <c r="AA416" s="8" t="s">
        <v>1348</v>
      </c>
    </row>
    <row r="417" customFormat="false" ht="15.75" hidden="false" customHeight="true" outlineLevel="0" collapsed="false">
      <c r="A417" s="9" t="s">
        <v>2221</v>
      </c>
      <c r="B417" s="9" t="s">
        <v>673</v>
      </c>
      <c r="C417" s="9" t="s">
        <v>676</v>
      </c>
      <c r="D417" s="9" t="s">
        <v>384</v>
      </c>
      <c r="E417" s="9" t="s">
        <v>886</v>
      </c>
      <c r="F417" s="9" t="s">
        <v>1336</v>
      </c>
      <c r="G417" s="9" t="s">
        <v>1351</v>
      </c>
      <c r="H417" s="9" t="s">
        <v>1352</v>
      </c>
      <c r="I417" s="9"/>
      <c r="J417" s="9"/>
      <c r="K417" s="9"/>
      <c r="L417" s="9"/>
      <c r="M417" s="9"/>
      <c r="N417" s="9"/>
      <c r="O417" s="9"/>
      <c r="P417" s="9"/>
      <c r="Q417" s="9" t="s">
        <v>1353</v>
      </c>
      <c r="R417" s="9"/>
      <c r="S417" s="9"/>
      <c r="T417" s="9"/>
      <c r="U417" s="9"/>
      <c r="V417" s="9"/>
      <c r="W417" s="9"/>
      <c r="X417" s="9" t="s">
        <v>414</v>
      </c>
      <c r="Y417" s="9" t="s">
        <v>391</v>
      </c>
      <c r="Z417" s="12" t="b">
        <f aca="false">FALSE()</f>
        <v>0</v>
      </c>
      <c r="AA417" s="8" t="s">
        <v>1348</v>
      </c>
    </row>
    <row r="418" customFormat="false" ht="15.75" hidden="false" customHeight="true" outlineLevel="0" collapsed="false">
      <c r="A418" s="9" t="s">
        <v>2222</v>
      </c>
      <c r="B418" s="9" t="s">
        <v>673</v>
      </c>
      <c r="C418" s="9" t="s">
        <v>676</v>
      </c>
      <c r="D418" s="9" t="s">
        <v>384</v>
      </c>
      <c r="E418" s="9" t="s">
        <v>866</v>
      </c>
      <c r="F418" s="9" t="s">
        <v>1336</v>
      </c>
      <c r="G418" s="9" t="s">
        <v>1351</v>
      </c>
      <c r="H418" s="9" t="s">
        <v>1352</v>
      </c>
      <c r="I418" s="9"/>
      <c r="J418" s="9"/>
      <c r="K418" s="9"/>
      <c r="L418" s="9"/>
      <c r="M418" s="9"/>
      <c r="N418" s="9"/>
      <c r="O418" s="9"/>
      <c r="P418" s="9"/>
      <c r="Q418" s="9" t="s">
        <v>1353</v>
      </c>
      <c r="R418" s="9"/>
      <c r="S418" s="9"/>
      <c r="T418" s="9"/>
      <c r="U418" s="9"/>
      <c r="V418" s="9"/>
      <c r="W418" s="9"/>
      <c r="X418" s="9" t="s">
        <v>414</v>
      </c>
      <c r="Y418" s="9" t="s">
        <v>391</v>
      </c>
      <c r="Z418" s="12" t="b">
        <f aca="false">FALSE()</f>
        <v>0</v>
      </c>
      <c r="AA418" s="8" t="s">
        <v>1348</v>
      </c>
    </row>
    <row r="419" customFormat="false" ht="15.75" hidden="false" customHeight="true" outlineLevel="0" collapsed="false">
      <c r="A419" s="9" t="s">
        <v>2223</v>
      </c>
      <c r="B419" s="9" t="s">
        <v>673</v>
      </c>
      <c r="C419" s="9" t="s">
        <v>676</v>
      </c>
      <c r="D419" s="9" t="s">
        <v>384</v>
      </c>
      <c r="E419" s="9" t="s">
        <v>912</v>
      </c>
      <c r="F419" s="9" t="s">
        <v>1336</v>
      </c>
      <c r="G419" s="9" t="s">
        <v>1351</v>
      </c>
      <c r="H419" s="9" t="s">
        <v>1352</v>
      </c>
      <c r="I419" s="9"/>
      <c r="J419" s="9"/>
      <c r="K419" s="9"/>
      <c r="L419" s="9"/>
      <c r="M419" s="9"/>
      <c r="N419" s="9"/>
      <c r="O419" s="9"/>
      <c r="P419" s="9"/>
      <c r="Q419" s="9" t="s">
        <v>1353</v>
      </c>
      <c r="R419" s="9"/>
      <c r="S419" s="9"/>
      <c r="T419" s="9"/>
      <c r="U419" s="9"/>
      <c r="V419" s="9"/>
      <c r="W419" s="9"/>
      <c r="X419" s="9" t="s">
        <v>414</v>
      </c>
      <c r="Y419" s="9" t="s">
        <v>391</v>
      </c>
      <c r="Z419" s="12" t="b">
        <f aca="false">FALSE()</f>
        <v>0</v>
      </c>
      <c r="AA419" s="8" t="s">
        <v>1348</v>
      </c>
    </row>
    <row r="420" customFormat="false" ht="15.75" hidden="false" customHeight="true" outlineLevel="0" collapsed="false">
      <c r="A420" s="9" t="s">
        <v>2224</v>
      </c>
      <c r="B420" s="9" t="s">
        <v>673</v>
      </c>
      <c r="C420" s="9" t="s">
        <v>676</v>
      </c>
      <c r="D420" s="9" t="s">
        <v>384</v>
      </c>
      <c r="E420" s="9" t="s">
        <v>966</v>
      </c>
      <c r="F420" s="9" t="s">
        <v>1336</v>
      </c>
      <c r="G420" s="9" t="s">
        <v>1351</v>
      </c>
      <c r="H420" s="9" t="s">
        <v>1352</v>
      </c>
      <c r="I420" s="9"/>
      <c r="J420" s="9"/>
      <c r="K420" s="9"/>
      <c r="L420" s="9"/>
      <c r="M420" s="9"/>
      <c r="N420" s="9"/>
      <c r="O420" s="9"/>
      <c r="P420" s="9"/>
      <c r="Q420" s="9" t="s">
        <v>1353</v>
      </c>
      <c r="R420" s="9"/>
      <c r="S420" s="9"/>
      <c r="T420" s="9"/>
      <c r="U420" s="9"/>
      <c r="V420" s="9"/>
      <c r="W420" s="9"/>
      <c r="X420" s="9" t="s">
        <v>414</v>
      </c>
      <c r="Y420" s="9" t="s">
        <v>391</v>
      </c>
      <c r="Z420" s="12" t="b">
        <f aca="false">FALSE()</f>
        <v>0</v>
      </c>
      <c r="AA420" s="8" t="s">
        <v>1348</v>
      </c>
    </row>
    <row r="421" customFormat="false" ht="15.75" hidden="false" customHeight="true" outlineLevel="0" collapsed="false">
      <c r="A421" s="9" t="s">
        <v>2225</v>
      </c>
      <c r="B421" s="9" t="s">
        <v>673</v>
      </c>
      <c r="C421" s="9" t="s">
        <v>676</v>
      </c>
      <c r="D421" s="9" t="s">
        <v>384</v>
      </c>
      <c r="E421" s="9" t="s">
        <v>947</v>
      </c>
      <c r="F421" s="9" t="s">
        <v>1336</v>
      </c>
      <c r="G421" s="9" t="s">
        <v>1351</v>
      </c>
      <c r="H421" s="9" t="s">
        <v>1352</v>
      </c>
      <c r="I421" s="9"/>
      <c r="J421" s="9"/>
      <c r="K421" s="9"/>
      <c r="L421" s="9"/>
      <c r="M421" s="9"/>
      <c r="N421" s="9"/>
      <c r="O421" s="9"/>
      <c r="P421" s="9"/>
      <c r="Q421" s="9" t="s">
        <v>1353</v>
      </c>
      <c r="R421" s="9"/>
      <c r="S421" s="9"/>
      <c r="T421" s="9"/>
      <c r="U421" s="9"/>
      <c r="V421" s="9"/>
      <c r="W421" s="9"/>
      <c r="X421" s="9" t="s">
        <v>414</v>
      </c>
      <c r="Y421" s="9" t="s">
        <v>391</v>
      </c>
      <c r="Z421" s="12" t="b">
        <f aca="false">FALSE()</f>
        <v>0</v>
      </c>
      <c r="AA421" s="8" t="s">
        <v>1348</v>
      </c>
    </row>
    <row r="422" customFormat="false" ht="15.75" hidden="false" customHeight="true" outlineLevel="0" collapsed="false">
      <c r="A422" s="9" t="s">
        <v>2226</v>
      </c>
      <c r="B422" s="9" t="s">
        <v>679</v>
      </c>
      <c r="C422" s="9" t="s">
        <v>680</v>
      </c>
      <c r="D422" s="9" t="s">
        <v>384</v>
      </c>
      <c r="E422" s="9" t="s">
        <v>1021</v>
      </c>
      <c r="F422" s="9" t="s">
        <v>1336</v>
      </c>
      <c r="G422" s="9" t="s">
        <v>1351</v>
      </c>
      <c r="H422" s="9" t="s">
        <v>1352</v>
      </c>
      <c r="I422" s="9"/>
      <c r="J422" s="9"/>
      <c r="K422" s="9"/>
      <c r="L422" s="9"/>
      <c r="M422" s="9"/>
      <c r="N422" s="9"/>
      <c r="O422" s="9"/>
      <c r="P422" s="9"/>
      <c r="Q422" s="9" t="s">
        <v>1353</v>
      </c>
      <c r="R422" s="9"/>
      <c r="S422" s="9"/>
      <c r="T422" s="9"/>
      <c r="U422" s="9"/>
      <c r="V422" s="9"/>
      <c r="W422" s="9"/>
      <c r="X422" s="9" t="s">
        <v>414</v>
      </c>
      <c r="Y422" s="9" t="s">
        <v>391</v>
      </c>
      <c r="Z422" s="12" t="b">
        <f aca="false">FALSE()</f>
        <v>0</v>
      </c>
      <c r="AA422" s="8" t="s">
        <v>1348</v>
      </c>
    </row>
    <row r="423" customFormat="false" ht="15.75" hidden="false" customHeight="true" outlineLevel="0" collapsed="false">
      <c r="A423" s="9" t="s">
        <v>2227</v>
      </c>
      <c r="B423" s="9" t="s">
        <v>679</v>
      </c>
      <c r="C423" s="9" t="s">
        <v>680</v>
      </c>
      <c r="D423" s="9" t="s">
        <v>384</v>
      </c>
      <c r="E423" s="9" t="s">
        <v>1350</v>
      </c>
      <c r="F423" s="9" t="s">
        <v>1336</v>
      </c>
      <c r="G423" s="9" t="s">
        <v>1351</v>
      </c>
      <c r="H423" s="9" t="s">
        <v>1352</v>
      </c>
      <c r="I423" s="9"/>
      <c r="J423" s="9"/>
      <c r="K423" s="9"/>
      <c r="L423" s="9"/>
      <c r="M423" s="9"/>
      <c r="N423" s="9"/>
      <c r="O423" s="9"/>
      <c r="P423" s="9"/>
      <c r="Q423" s="9" t="s">
        <v>1353</v>
      </c>
      <c r="R423" s="9"/>
      <c r="S423" s="9"/>
      <c r="T423" s="9"/>
      <c r="U423" s="9"/>
      <c r="V423" s="9"/>
      <c r="W423" s="9"/>
      <c r="X423" s="9" t="s">
        <v>414</v>
      </c>
      <c r="Y423" s="9" t="s">
        <v>391</v>
      </c>
      <c r="Z423" s="12" t="b">
        <f aca="false">FALSE()</f>
        <v>0</v>
      </c>
      <c r="AA423" s="8" t="s">
        <v>1348</v>
      </c>
    </row>
    <row r="424" customFormat="false" ht="15.75" hidden="false" customHeight="true" outlineLevel="0" collapsed="false">
      <c r="A424" s="9" t="s">
        <v>2228</v>
      </c>
      <c r="B424" s="9" t="s">
        <v>679</v>
      </c>
      <c r="C424" s="9" t="s">
        <v>680</v>
      </c>
      <c r="D424" s="9" t="s">
        <v>384</v>
      </c>
      <c r="E424" s="9" t="s">
        <v>1355</v>
      </c>
      <c r="F424" s="9" t="s">
        <v>1336</v>
      </c>
      <c r="G424" s="9" t="s">
        <v>1351</v>
      </c>
      <c r="H424" s="9" t="s">
        <v>1352</v>
      </c>
      <c r="I424" s="9"/>
      <c r="J424" s="9"/>
      <c r="K424" s="9"/>
      <c r="L424" s="9"/>
      <c r="M424" s="9"/>
      <c r="N424" s="9"/>
      <c r="O424" s="9"/>
      <c r="P424" s="9"/>
      <c r="Q424" s="9" t="s">
        <v>1353</v>
      </c>
      <c r="R424" s="9"/>
      <c r="S424" s="9"/>
      <c r="T424" s="9"/>
      <c r="U424" s="9"/>
      <c r="V424" s="9"/>
      <c r="W424" s="9"/>
      <c r="X424" s="9" t="s">
        <v>414</v>
      </c>
      <c r="Y424" s="9" t="s">
        <v>391</v>
      </c>
      <c r="Z424" s="12" t="b">
        <f aca="false">FALSE()</f>
        <v>0</v>
      </c>
      <c r="AA424" s="8" t="s">
        <v>1348</v>
      </c>
    </row>
    <row r="425" customFormat="false" ht="15.75" hidden="false" customHeight="true" outlineLevel="0" collapsed="false">
      <c r="A425" s="9" t="s">
        <v>2229</v>
      </c>
      <c r="B425" s="9" t="s">
        <v>679</v>
      </c>
      <c r="C425" s="9" t="s">
        <v>680</v>
      </c>
      <c r="D425" s="9" t="s">
        <v>384</v>
      </c>
      <c r="E425" s="9" t="s">
        <v>886</v>
      </c>
      <c r="F425" s="9" t="s">
        <v>1336</v>
      </c>
      <c r="G425" s="9" t="s">
        <v>1351</v>
      </c>
      <c r="H425" s="9" t="s">
        <v>1352</v>
      </c>
      <c r="I425" s="9"/>
      <c r="J425" s="9"/>
      <c r="K425" s="9"/>
      <c r="L425" s="9"/>
      <c r="M425" s="9"/>
      <c r="N425" s="9"/>
      <c r="O425" s="9"/>
      <c r="P425" s="9"/>
      <c r="Q425" s="9" t="s">
        <v>1353</v>
      </c>
      <c r="R425" s="9"/>
      <c r="S425" s="9"/>
      <c r="T425" s="9"/>
      <c r="U425" s="9"/>
      <c r="V425" s="9"/>
      <c r="W425" s="9"/>
      <c r="X425" s="9" t="s">
        <v>414</v>
      </c>
      <c r="Y425" s="9" t="s">
        <v>391</v>
      </c>
      <c r="Z425" s="12" t="b">
        <f aca="false">FALSE()</f>
        <v>0</v>
      </c>
      <c r="AA425" s="8" t="s">
        <v>1348</v>
      </c>
    </row>
    <row r="426" customFormat="false" ht="15.75" hidden="false" customHeight="true" outlineLevel="0" collapsed="false">
      <c r="A426" s="9" t="s">
        <v>2230</v>
      </c>
      <c r="B426" s="9" t="s">
        <v>679</v>
      </c>
      <c r="C426" s="9" t="s">
        <v>680</v>
      </c>
      <c r="D426" s="9" t="s">
        <v>384</v>
      </c>
      <c r="E426" s="9" t="s">
        <v>866</v>
      </c>
      <c r="F426" s="9" t="s">
        <v>1336</v>
      </c>
      <c r="G426" s="9" t="s">
        <v>1351</v>
      </c>
      <c r="H426" s="9" t="s">
        <v>1352</v>
      </c>
      <c r="I426" s="9"/>
      <c r="J426" s="9"/>
      <c r="K426" s="9"/>
      <c r="L426" s="9"/>
      <c r="M426" s="9"/>
      <c r="N426" s="9"/>
      <c r="O426" s="9"/>
      <c r="P426" s="9"/>
      <c r="Q426" s="9" t="s">
        <v>1353</v>
      </c>
      <c r="R426" s="9"/>
      <c r="S426" s="9"/>
      <c r="T426" s="9"/>
      <c r="U426" s="9"/>
      <c r="V426" s="9"/>
      <c r="W426" s="9"/>
      <c r="X426" s="9" t="s">
        <v>414</v>
      </c>
      <c r="Y426" s="9" t="s">
        <v>391</v>
      </c>
      <c r="Z426" s="12" t="b">
        <f aca="false">FALSE()</f>
        <v>0</v>
      </c>
      <c r="AA426" s="8" t="s">
        <v>1348</v>
      </c>
    </row>
    <row r="427" customFormat="false" ht="15.75" hidden="false" customHeight="true" outlineLevel="0" collapsed="false">
      <c r="A427" s="9" t="s">
        <v>2231</v>
      </c>
      <c r="B427" s="9" t="s">
        <v>679</v>
      </c>
      <c r="C427" s="9" t="s">
        <v>680</v>
      </c>
      <c r="D427" s="9" t="s">
        <v>384</v>
      </c>
      <c r="E427" s="9" t="s">
        <v>912</v>
      </c>
      <c r="F427" s="9" t="s">
        <v>1336</v>
      </c>
      <c r="G427" s="9" t="s">
        <v>1351</v>
      </c>
      <c r="H427" s="9" t="s">
        <v>1352</v>
      </c>
      <c r="I427" s="9"/>
      <c r="J427" s="9"/>
      <c r="K427" s="9"/>
      <c r="L427" s="9"/>
      <c r="M427" s="9"/>
      <c r="N427" s="9"/>
      <c r="O427" s="9"/>
      <c r="P427" s="9"/>
      <c r="Q427" s="9" t="s">
        <v>1353</v>
      </c>
      <c r="R427" s="9"/>
      <c r="S427" s="9"/>
      <c r="T427" s="9"/>
      <c r="U427" s="9"/>
      <c r="V427" s="9"/>
      <c r="W427" s="9"/>
      <c r="X427" s="9" t="s">
        <v>414</v>
      </c>
      <c r="Y427" s="9" t="s">
        <v>391</v>
      </c>
      <c r="Z427" s="12" t="b">
        <f aca="false">FALSE()</f>
        <v>0</v>
      </c>
      <c r="AA427" s="8" t="s">
        <v>1348</v>
      </c>
    </row>
    <row r="428" customFormat="false" ht="15.75" hidden="false" customHeight="true" outlineLevel="0" collapsed="false">
      <c r="A428" s="9" t="s">
        <v>2232</v>
      </c>
      <c r="B428" s="9" t="s">
        <v>679</v>
      </c>
      <c r="C428" s="9" t="s">
        <v>680</v>
      </c>
      <c r="D428" s="9" t="s">
        <v>384</v>
      </c>
      <c r="E428" s="9" t="s">
        <v>966</v>
      </c>
      <c r="F428" s="9" t="s">
        <v>1336</v>
      </c>
      <c r="G428" s="9" t="s">
        <v>1351</v>
      </c>
      <c r="H428" s="9" t="s">
        <v>1352</v>
      </c>
      <c r="I428" s="9"/>
      <c r="J428" s="9"/>
      <c r="K428" s="9"/>
      <c r="L428" s="9"/>
      <c r="M428" s="9"/>
      <c r="N428" s="9"/>
      <c r="O428" s="9"/>
      <c r="P428" s="9"/>
      <c r="Q428" s="9" t="s">
        <v>1353</v>
      </c>
      <c r="R428" s="9"/>
      <c r="S428" s="9"/>
      <c r="T428" s="9"/>
      <c r="U428" s="9"/>
      <c r="V428" s="9"/>
      <c r="W428" s="9"/>
      <c r="X428" s="9" t="s">
        <v>414</v>
      </c>
      <c r="Y428" s="9" t="s">
        <v>391</v>
      </c>
      <c r="Z428" s="12" t="b">
        <f aca="false">FALSE()</f>
        <v>0</v>
      </c>
      <c r="AA428" s="8" t="s">
        <v>1348</v>
      </c>
    </row>
    <row r="429" customFormat="false" ht="15.75" hidden="false" customHeight="true" outlineLevel="0" collapsed="false">
      <c r="A429" s="9" t="s">
        <v>2233</v>
      </c>
      <c r="B429" s="9" t="s">
        <v>679</v>
      </c>
      <c r="C429" s="9" t="s">
        <v>680</v>
      </c>
      <c r="D429" s="9" t="s">
        <v>384</v>
      </c>
      <c r="E429" s="9" t="s">
        <v>947</v>
      </c>
      <c r="F429" s="9" t="s">
        <v>1336</v>
      </c>
      <c r="G429" s="9" t="s">
        <v>1351</v>
      </c>
      <c r="H429" s="9" t="s">
        <v>1352</v>
      </c>
      <c r="I429" s="9"/>
      <c r="J429" s="9"/>
      <c r="K429" s="9"/>
      <c r="L429" s="9"/>
      <c r="M429" s="9"/>
      <c r="N429" s="9"/>
      <c r="O429" s="9"/>
      <c r="P429" s="9"/>
      <c r="Q429" s="9" t="s">
        <v>1353</v>
      </c>
      <c r="R429" s="9"/>
      <c r="S429" s="9"/>
      <c r="T429" s="9"/>
      <c r="U429" s="9"/>
      <c r="V429" s="9"/>
      <c r="W429" s="9"/>
      <c r="X429" s="9" t="s">
        <v>414</v>
      </c>
      <c r="Y429" s="9" t="s">
        <v>391</v>
      </c>
      <c r="Z429" s="12" t="b">
        <f aca="false">FALSE()</f>
        <v>0</v>
      </c>
      <c r="AA429" s="8" t="s">
        <v>1348</v>
      </c>
    </row>
    <row r="430" customFormat="false" ht="15.75" hidden="false" customHeight="true" outlineLevel="0" collapsed="false">
      <c r="A430" s="9" t="s">
        <v>2234</v>
      </c>
      <c r="B430" s="9" t="s">
        <v>682</v>
      </c>
      <c r="C430" s="9" t="s">
        <v>683</v>
      </c>
      <c r="D430" s="9" t="s">
        <v>384</v>
      </c>
      <c r="E430" s="9" t="s">
        <v>1021</v>
      </c>
      <c r="F430" s="9" t="s">
        <v>1336</v>
      </c>
      <c r="G430" s="9" t="s">
        <v>1351</v>
      </c>
      <c r="H430" s="9" t="s">
        <v>1352</v>
      </c>
      <c r="I430" s="9"/>
      <c r="J430" s="9"/>
      <c r="K430" s="9"/>
      <c r="L430" s="9"/>
      <c r="M430" s="9"/>
      <c r="N430" s="9"/>
      <c r="O430" s="9"/>
      <c r="P430" s="9"/>
      <c r="Q430" s="9" t="s">
        <v>1353</v>
      </c>
      <c r="R430" s="9"/>
      <c r="S430" s="9"/>
      <c r="T430" s="9"/>
      <c r="U430" s="9"/>
      <c r="V430" s="9"/>
      <c r="W430" s="9"/>
      <c r="X430" s="9" t="s">
        <v>414</v>
      </c>
      <c r="Y430" s="9" t="s">
        <v>391</v>
      </c>
      <c r="Z430" s="12" t="b">
        <f aca="false">FALSE()</f>
        <v>0</v>
      </c>
      <c r="AA430" s="8" t="s">
        <v>1348</v>
      </c>
    </row>
    <row r="431" customFormat="false" ht="15.75" hidden="false" customHeight="true" outlineLevel="0" collapsed="false">
      <c r="A431" s="9" t="s">
        <v>2235</v>
      </c>
      <c r="B431" s="9" t="s">
        <v>682</v>
      </c>
      <c r="C431" s="9" t="s">
        <v>683</v>
      </c>
      <c r="D431" s="9" t="s">
        <v>384</v>
      </c>
      <c r="E431" s="9" t="s">
        <v>1350</v>
      </c>
      <c r="F431" s="9" t="s">
        <v>1336</v>
      </c>
      <c r="G431" s="9" t="s">
        <v>1351</v>
      </c>
      <c r="H431" s="9" t="s">
        <v>1352</v>
      </c>
      <c r="I431" s="9"/>
      <c r="J431" s="9"/>
      <c r="K431" s="9"/>
      <c r="L431" s="9"/>
      <c r="M431" s="9"/>
      <c r="N431" s="9"/>
      <c r="O431" s="9"/>
      <c r="P431" s="9"/>
      <c r="Q431" s="9" t="s">
        <v>1353</v>
      </c>
      <c r="R431" s="9"/>
      <c r="S431" s="9"/>
      <c r="T431" s="9"/>
      <c r="U431" s="9"/>
      <c r="V431" s="9"/>
      <c r="W431" s="9"/>
      <c r="X431" s="9" t="s">
        <v>414</v>
      </c>
      <c r="Y431" s="9" t="s">
        <v>391</v>
      </c>
      <c r="Z431" s="12" t="b">
        <f aca="false">FALSE()</f>
        <v>0</v>
      </c>
      <c r="AA431" s="8" t="s">
        <v>1348</v>
      </c>
    </row>
    <row r="432" customFormat="false" ht="15.75" hidden="false" customHeight="true" outlineLevel="0" collapsed="false">
      <c r="A432" s="9" t="s">
        <v>2236</v>
      </c>
      <c r="B432" s="9" t="s">
        <v>682</v>
      </c>
      <c r="C432" s="9" t="s">
        <v>683</v>
      </c>
      <c r="D432" s="9" t="s">
        <v>384</v>
      </c>
      <c r="E432" s="9" t="s">
        <v>1355</v>
      </c>
      <c r="F432" s="9" t="s">
        <v>1336</v>
      </c>
      <c r="G432" s="9" t="s">
        <v>1351</v>
      </c>
      <c r="H432" s="9" t="s">
        <v>1352</v>
      </c>
      <c r="I432" s="9"/>
      <c r="J432" s="9"/>
      <c r="K432" s="9"/>
      <c r="L432" s="9"/>
      <c r="M432" s="9"/>
      <c r="N432" s="9"/>
      <c r="O432" s="9"/>
      <c r="P432" s="9"/>
      <c r="Q432" s="9" t="s">
        <v>1353</v>
      </c>
      <c r="R432" s="9"/>
      <c r="S432" s="9"/>
      <c r="T432" s="9"/>
      <c r="U432" s="9"/>
      <c r="V432" s="9"/>
      <c r="W432" s="9"/>
      <c r="X432" s="9" t="s">
        <v>414</v>
      </c>
      <c r="Y432" s="9" t="s">
        <v>391</v>
      </c>
      <c r="Z432" s="12" t="b">
        <f aca="false">FALSE()</f>
        <v>0</v>
      </c>
      <c r="AA432" s="8" t="s">
        <v>1348</v>
      </c>
    </row>
    <row r="433" customFormat="false" ht="15.75" hidden="false" customHeight="true" outlineLevel="0" collapsed="false">
      <c r="A433" s="9" t="s">
        <v>2237</v>
      </c>
      <c r="B433" s="9" t="s">
        <v>682</v>
      </c>
      <c r="C433" s="9" t="s">
        <v>683</v>
      </c>
      <c r="D433" s="9" t="s">
        <v>384</v>
      </c>
      <c r="E433" s="9" t="s">
        <v>886</v>
      </c>
      <c r="F433" s="9" t="s">
        <v>1336</v>
      </c>
      <c r="G433" s="9" t="s">
        <v>1351</v>
      </c>
      <c r="H433" s="9" t="s">
        <v>1352</v>
      </c>
      <c r="I433" s="9"/>
      <c r="J433" s="9"/>
      <c r="K433" s="9"/>
      <c r="L433" s="9"/>
      <c r="M433" s="9"/>
      <c r="N433" s="9"/>
      <c r="O433" s="9"/>
      <c r="P433" s="9"/>
      <c r="Q433" s="9" t="s">
        <v>1353</v>
      </c>
      <c r="R433" s="9"/>
      <c r="S433" s="9"/>
      <c r="T433" s="9"/>
      <c r="U433" s="9"/>
      <c r="V433" s="9"/>
      <c r="W433" s="9"/>
      <c r="X433" s="9" t="s">
        <v>414</v>
      </c>
      <c r="Y433" s="9" t="s">
        <v>391</v>
      </c>
      <c r="Z433" s="12" t="b">
        <f aca="false">FALSE()</f>
        <v>0</v>
      </c>
      <c r="AA433" s="8" t="s">
        <v>1348</v>
      </c>
    </row>
    <row r="434" customFormat="false" ht="15.75" hidden="false" customHeight="true" outlineLevel="0" collapsed="false">
      <c r="A434" s="9" t="s">
        <v>2238</v>
      </c>
      <c r="B434" s="9" t="s">
        <v>682</v>
      </c>
      <c r="C434" s="9" t="s">
        <v>683</v>
      </c>
      <c r="D434" s="9" t="s">
        <v>384</v>
      </c>
      <c r="E434" s="9" t="s">
        <v>866</v>
      </c>
      <c r="F434" s="9" t="s">
        <v>1336</v>
      </c>
      <c r="G434" s="9" t="s">
        <v>1351</v>
      </c>
      <c r="H434" s="9" t="s">
        <v>1352</v>
      </c>
      <c r="I434" s="9"/>
      <c r="J434" s="9"/>
      <c r="K434" s="9"/>
      <c r="L434" s="9"/>
      <c r="M434" s="9"/>
      <c r="N434" s="9"/>
      <c r="O434" s="9"/>
      <c r="P434" s="9"/>
      <c r="Q434" s="9" t="s">
        <v>1353</v>
      </c>
      <c r="R434" s="9"/>
      <c r="S434" s="9"/>
      <c r="T434" s="9"/>
      <c r="U434" s="9"/>
      <c r="V434" s="9"/>
      <c r="W434" s="9"/>
      <c r="X434" s="9" t="s">
        <v>414</v>
      </c>
      <c r="Y434" s="9" t="s">
        <v>391</v>
      </c>
      <c r="Z434" s="12" t="b">
        <f aca="false">FALSE()</f>
        <v>0</v>
      </c>
      <c r="AA434" s="8" t="s">
        <v>1348</v>
      </c>
    </row>
    <row r="435" customFormat="false" ht="15.75" hidden="false" customHeight="true" outlineLevel="0" collapsed="false">
      <c r="A435" s="9" t="s">
        <v>2239</v>
      </c>
      <c r="B435" s="9" t="s">
        <v>682</v>
      </c>
      <c r="C435" s="9" t="s">
        <v>683</v>
      </c>
      <c r="D435" s="9" t="s">
        <v>384</v>
      </c>
      <c r="E435" s="9" t="s">
        <v>912</v>
      </c>
      <c r="F435" s="9" t="s">
        <v>1336</v>
      </c>
      <c r="G435" s="9" t="s">
        <v>1351</v>
      </c>
      <c r="H435" s="9" t="s">
        <v>1352</v>
      </c>
      <c r="I435" s="9"/>
      <c r="J435" s="9"/>
      <c r="K435" s="9"/>
      <c r="L435" s="9"/>
      <c r="M435" s="9"/>
      <c r="N435" s="9"/>
      <c r="O435" s="9"/>
      <c r="P435" s="9"/>
      <c r="Q435" s="9" t="s">
        <v>1353</v>
      </c>
      <c r="R435" s="9"/>
      <c r="S435" s="9"/>
      <c r="T435" s="9"/>
      <c r="U435" s="9"/>
      <c r="V435" s="9"/>
      <c r="W435" s="9"/>
      <c r="X435" s="9" t="s">
        <v>414</v>
      </c>
      <c r="Y435" s="9" t="s">
        <v>391</v>
      </c>
      <c r="Z435" s="12" t="b">
        <f aca="false">FALSE()</f>
        <v>0</v>
      </c>
      <c r="AA435" s="8" t="s">
        <v>1348</v>
      </c>
    </row>
    <row r="436" customFormat="false" ht="15.75" hidden="false" customHeight="true" outlineLevel="0" collapsed="false">
      <c r="A436" s="9" t="s">
        <v>2240</v>
      </c>
      <c r="B436" s="9" t="s">
        <v>682</v>
      </c>
      <c r="C436" s="9" t="s">
        <v>683</v>
      </c>
      <c r="D436" s="9" t="s">
        <v>384</v>
      </c>
      <c r="E436" s="9" t="s">
        <v>966</v>
      </c>
      <c r="F436" s="9" t="s">
        <v>1336</v>
      </c>
      <c r="G436" s="9" t="s">
        <v>1351</v>
      </c>
      <c r="H436" s="9" t="s">
        <v>1352</v>
      </c>
      <c r="I436" s="9"/>
      <c r="J436" s="9"/>
      <c r="K436" s="9"/>
      <c r="L436" s="9"/>
      <c r="M436" s="9"/>
      <c r="N436" s="9"/>
      <c r="O436" s="9"/>
      <c r="P436" s="9"/>
      <c r="Q436" s="9" t="s">
        <v>1353</v>
      </c>
      <c r="R436" s="9"/>
      <c r="S436" s="9"/>
      <c r="T436" s="9"/>
      <c r="U436" s="9"/>
      <c r="V436" s="9"/>
      <c r="W436" s="9"/>
      <c r="X436" s="9" t="s">
        <v>414</v>
      </c>
      <c r="Y436" s="9" t="s">
        <v>391</v>
      </c>
      <c r="Z436" s="12" t="b">
        <f aca="false">FALSE()</f>
        <v>0</v>
      </c>
      <c r="AA436" s="8" t="s">
        <v>1348</v>
      </c>
    </row>
    <row r="437" customFormat="false" ht="15.75" hidden="false" customHeight="true" outlineLevel="0" collapsed="false">
      <c r="A437" s="9" t="s">
        <v>2241</v>
      </c>
      <c r="B437" s="9" t="s">
        <v>682</v>
      </c>
      <c r="C437" s="9" t="s">
        <v>683</v>
      </c>
      <c r="D437" s="9" t="s">
        <v>384</v>
      </c>
      <c r="E437" s="9" t="s">
        <v>947</v>
      </c>
      <c r="F437" s="9" t="s">
        <v>1336</v>
      </c>
      <c r="G437" s="9" t="s">
        <v>1351</v>
      </c>
      <c r="H437" s="9" t="s">
        <v>1352</v>
      </c>
      <c r="I437" s="9"/>
      <c r="J437" s="9"/>
      <c r="K437" s="9"/>
      <c r="L437" s="9"/>
      <c r="M437" s="9"/>
      <c r="N437" s="9"/>
      <c r="O437" s="9"/>
      <c r="P437" s="9"/>
      <c r="Q437" s="9" t="s">
        <v>1353</v>
      </c>
      <c r="R437" s="9"/>
      <c r="S437" s="9"/>
      <c r="T437" s="9"/>
      <c r="U437" s="9"/>
      <c r="V437" s="9"/>
      <c r="W437" s="9"/>
      <c r="X437" s="9" t="s">
        <v>414</v>
      </c>
      <c r="Y437" s="9" t="s">
        <v>391</v>
      </c>
      <c r="Z437" s="12" t="b">
        <f aca="false">FALSE()</f>
        <v>0</v>
      </c>
      <c r="AA437" s="8" t="s">
        <v>1348</v>
      </c>
    </row>
    <row r="438" customFormat="false" ht="15.75" hidden="false" customHeight="true" outlineLevel="0" collapsed="false">
      <c r="A438" s="9" t="s">
        <v>2242</v>
      </c>
      <c r="B438" s="9" t="s">
        <v>685</v>
      </c>
      <c r="C438" s="9" t="s">
        <v>686</v>
      </c>
      <c r="D438" s="9" t="s">
        <v>384</v>
      </c>
      <c r="E438" s="9" t="s">
        <v>1021</v>
      </c>
      <c r="F438" s="9" t="s">
        <v>1336</v>
      </c>
      <c r="G438" s="9" t="s">
        <v>1337</v>
      </c>
      <c r="H438" s="9" t="s">
        <v>1338</v>
      </c>
      <c r="I438" s="9" t="s">
        <v>2243</v>
      </c>
      <c r="J438" s="9" t="s">
        <v>384</v>
      </c>
      <c r="K438" s="9" t="s">
        <v>1022</v>
      </c>
      <c r="L438" s="9" t="s">
        <v>1470</v>
      </c>
      <c r="M438" s="9" t="s">
        <v>2244</v>
      </c>
      <c r="N438" s="9" t="s">
        <v>1203</v>
      </c>
      <c r="O438" s="9" t="s">
        <v>1203</v>
      </c>
      <c r="P438" s="9" t="s">
        <v>2245</v>
      </c>
      <c r="Q438" s="9" t="s">
        <v>113</v>
      </c>
      <c r="R438" s="9" t="s">
        <v>2246</v>
      </c>
      <c r="S438" s="9" t="s">
        <v>398</v>
      </c>
      <c r="T438" s="9" t="s">
        <v>384</v>
      </c>
      <c r="U438" s="9"/>
      <c r="V438" s="9" t="s">
        <v>1347</v>
      </c>
      <c r="W438" s="9"/>
      <c r="X438" s="9" t="s">
        <v>384</v>
      </c>
      <c r="Y438" s="9" t="s">
        <v>384</v>
      </c>
      <c r="Z438" s="12" t="b">
        <f aca="false">FALSE()</f>
        <v>0</v>
      </c>
      <c r="AA438" s="8" t="s">
        <v>1348</v>
      </c>
    </row>
    <row r="439" customFormat="false" ht="15.75" hidden="false" customHeight="true" outlineLevel="0" collapsed="false">
      <c r="A439" s="9" t="s">
        <v>2247</v>
      </c>
      <c r="B439" s="9" t="s">
        <v>685</v>
      </c>
      <c r="C439" s="9" t="s">
        <v>686</v>
      </c>
      <c r="D439" s="9" t="s">
        <v>384</v>
      </c>
      <c r="E439" s="9" t="s">
        <v>1350</v>
      </c>
      <c r="F439" s="9" t="s">
        <v>1336</v>
      </c>
      <c r="G439" s="9" t="s">
        <v>1337</v>
      </c>
      <c r="H439" s="9" t="s">
        <v>1338</v>
      </c>
      <c r="I439" s="9" t="s">
        <v>2243</v>
      </c>
      <c r="J439" s="9" t="s">
        <v>384</v>
      </c>
      <c r="K439" s="9" t="s">
        <v>1384</v>
      </c>
      <c r="L439" s="9" t="s">
        <v>1445</v>
      </c>
      <c r="M439" s="9" t="s">
        <v>1446</v>
      </c>
      <c r="N439" s="9" t="s">
        <v>1447</v>
      </c>
      <c r="O439" s="9" t="s">
        <v>1447</v>
      </c>
      <c r="P439" s="9" t="s">
        <v>2248</v>
      </c>
      <c r="Q439" s="9" t="s">
        <v>113</v>
      </c>
      <c r="R439" s="9" t="s">
        <v>1450</v>
      </c>
      <c r="S439" s="9" t="s">
        <v>398</v>
      </c>
      <c r="T439" s="9" t="s">
        <v>384</v>
      </c>
      <c r="U439" s="9"/>
      <c r="V439" s="9" t="s">
        <v>1347</v>
      </c>
      <c r="W439" s="9"/>
      <c r="X439" s="9" t="s">
        <v>384</v>
      </c>
      <c r="Y439" s="9" t="s">
        <v>384</v>
      </c>
      <c r="Z439" s="12" t="b">
        <f aca="false">FALSE()</f>
        <v>0</v>
      </c>
      <c r="AA439" s="8" t="s">
        <v>1348</v>
      </c>
    </row>
    <row r="440" customFormat="false" ht="15.75" hidden="false" customHeight="true" outlineLevel="0" collapsed="false">
      <c r="A440" s="9" t="s">
        <v>2249</v>
      </c>
      <c r="B440" s="9" t="s">
        <v>685</v>
      </c>
      <c r="C440" s="9" t="s">
        <v>686</v>
      </c>
      <c r="D440" s="9" t="s">
        <v>384</v>
      </c>
      <c r="E440" s="9" t="s">
        <v>1355</v>
      </c>
      <c r="F440" s="9" t="s">
        <v>1336</v>
      </c>
      <c r="G440" s="9" t="s">
        <v>1351</v>
      </c>
      <c r="H440" s="9" t="s">
        <v>1352</v>
      </c>
      <c r="I440" s="9"/>
      <c r="J440" s="9"/>
      <c r="K440" s="9"/>
      <c r="L440" s="9"/>
      <c r="M440" s="9"/>
      <c r="N440" s="9"/>
      <c r="O440" s="9"/>
      <c r="P440" s="9"/>
      <c r="Q440" s="9" t="s">
        <v>1353</v>
      </c>
      <c r="R440" s="9"/>
      <c r="S440" s="9"/>
      <c r="T440" s="9"/>
      <c r="U440" s="9"/>
      <c r="V440" s="9"/>
      <c r="W440" s="9"/>
      <c r="X440" s="9" t="s">
        <v>414</v>
      </c>
      <c r="Y440" s="9" t="s">
        <v>391</v>
      </c>
      <c r="Z440" s="12" t="b">
        <f aca="false">FALSE()</f>
        <v>0</v>
      </c>
      <c r="AA440" s="8" t="s">
        <v>1348</v>
      </c>
    </row>
    <row r="441" customFormat="false" ht="15.75" hidden="false" customHeight="true" outlineLevel="0" collapsed="false">
      <c r="A441" s="9" t="s">
        <v>2250</v>
      </c>
      <c r="B441" s="9" t="s">
        <v>685</v>
      </c>
      <c r="C441" s="9" t="s">
        <v>686</v>
      </c>
      <c r="D441" s="9" t="s">
        <v>384</v>
      </c>
      <c r="E441" s="9" t="s">
        <v>886</v>
      </c>
      <c r="F441" s="9" t="s">
        <v>1336</v>
      </c>
      <c r="G441" s="9" t="s">
        <v>1351</v>
      </c>
      <c r="H441" s="9" t="s">
        <v>1352</v>
      </c>
      <c r="I441" s="9"/>
      <c r="J441" s="9"/>
      <c r="K441" s="9"/>
      <c r="L441" s="9"/>
      <c r="M441" s="9"/>
      <c r="N441" s="9"/>
      <c r="O441" s="9"/>
      <c r="P441" s="9"/>
      <c r="Q441" s="9" t="s">
        <v>1353</v>
      </c>
      <c r="R441" s="9"/>
      <c r="S441" s="9"/>
      <c r="T441" s="9"/>
      <c r="U441" s="9"/>
      <c r="V441" s="9"/>
      <c r="W441" s="9"/>
      <c r="X441" s="9" t="s">
        <v>414</v>
      </c>
      <c r="Y441" s="9" t="s">
        <v>391</v>
      </c>
      <c r="Z441" s="12" t="b">
        <f aca="false">FALSE()</f>
        <v>0</v>
      </c>
      <c r="AA441" s="8" t="s">
        <v>1348</v>
      </c>
    </row>
    <row r="442" customFormat="false" ht="15.75" hidden="false" customHeight="true" outlineLevel="0" collapsed="false">
      <c r="A442" s="9" t="s">
        <v>2251</v>
      </c>
      <c r="B442" s="9" t="s">
        <v>685</v>
      </c>
      <c r="C442" s="9" t="s">
        <v>686</v>
      </c>
      <c r="D442" s="9" t="s">
        <v>384</v>
      </c>
      <c r="E442" s="9" t="s">
        <v>866</v>
      </c>
      <c r="F442" s="9" t="s">
        <v>1336</v>
      </c>
      <c r="G442" s="9" t="s">
        <v>1351</v>
      </c>
      <c r="H442" s="9" t="s">
        <v>1352</v>
      </c>
      <c r="I442" s="9"/>
      <c r="J442" s="9"/>
      <c r="K442" s="9"/>
      <c r="L442" s="9"/>
      <c r="M442" s="9"/>
      <c r="N442" s="9"/>
      <c r="O442" s="9"/>
      <c r="P442" s="9"/>
      <c r="Q442" s="9" t="s">
        <v>1353</v>
      </c>
      <c r="R442" s="9"/>
      <c r="S442" s="9"/>
      <c r="T442" s="9"/>
      <c r="U442" s="9"/>
      <c r="V442" s="9"/>
      <c r="W442" s="9"/>
      <c r="X442" s="9" t="s">
        <v>414</v>
      </c>
      <c r="Y442" s="9" t="s">
        <v>391</v>
      </c>
      <c r="Z442" s="12" t="b">
        <f aca="false">FALSE()</f>
        <v>0</v>
      </c>
      <c r="AA442" s="8" t="s">
        <v>1348</v>
      </c>
    </row>
    <row r="443" customFormat="false" ht="15.75" hidden="false" customHeight="true" outlineLevel="0" collapsed="false">
      <c r="A443" s="9" t="s">
        <v>2252</v>
      </c>
      <c r="B443" s="9" t="s">
        <v>685</v>
      </c>
      <c r="C443" s="9" t="s">
        <v>686</v>
      </c>
      <c r="D443" s="9" t="s">
        <v>384</v>
      </c>
      <c r="E443" s="9" t="s">
        <v>912</v>
      </c>
      <c r="F443" s="9" t="s">
        <v>1336</v>
      </c>
      <c r="G443" s="9" t="s">
        <v>1351</v>
      </c>
      <c r="H443" s="9" t="s">
        <v>1352</v>
      </c>
      <c r="I443" s="9"/>
      <c r="J443" s="9"/>
      <c r="K443" s="9"/>
      <c r="L443" s="9"/>
      <c r="M443" s="9"/>
      <c r="N443" s="9"/>
      <c r="O443" s="9"/>
      <c r="P443" s="9"/>
      <c r="Q443" s="9" t="s">
        <v>1353</v>
      </c>
      <c r="R443" s="9"/>
      <c r="S443" s="9"/>
      <c r="T443" s="9"/>
      <c r="U443" s="9"/>
      <c r="V443" s="9"/>
      <c r="W443" s="9"/>
      <c r="X443" s="9" t="s">
        <v>414</v>
      </c>
      <c r="Y443" s="9" t="s">
        <v>391</v>
      </c>
      <c r="Z443" s="12" t="b">
        <f aca="false">FALSE()</f>
        <v>0</v>
      </c>
      <c r="AA443" s="8" t="s">
        <v>1348</v>
      </c>
    </row>
    <row r="444" customFormat="false" ht="15.75" hidden="false" customHeight="true" outlineLevel="0" collapsed="false">
      <c r="A444" s="9" t="s">
        <v>2253</v>
      </c>
      <c r="B444" s="9" t="s">
        <v>685</v>
      </c>
      <c r="C444" s="9" t="s">
        <v>686</v>
      </c>
      <c r="D444" s="9" t="s">
        <v>384</v>
      </c>
      <c r="E444" s="9" t="s">
        <v>966</v>
      </c>
      <c r="F444" s="9" t="s">
        <v>1336</v>
      </c>
      <c r="G444" s="9" t="s">
        <v>1351</v>
      </c>
      <c r="H444" s="9" t="s">
        <v>1352</v>
      </c>
      <c r="I444" s="9"/>
      <c r="J444" s="9"/>
      <c r="K444" s="9"/>
      <c r="L444" s="9"/>
      <c r="M444" s="9"/>
      <c r="N444" s="9"/>
      <c r="O444" s="9"/>
      <c r="P444" s="9"/>
      <c r="Q444" s="9" t="s">
        <v>1353</v>
      </c>
      <c r="R444" s="9"/>
      <c r="S444" s="9"/>
      <c r="T444" s="9"/>
      <c r="U444" s="9"/>
      <c r="V444" s="9"/>
      <c r="W444" s="9"/>
      <c r="X444" s="9" t="s">
        <v>414</v>
      </c>
      <c r="Y444" s="9" t="s">
        <v>391</v>
      </c>
      <c r="Z444" s="12" t="b">
        <f aca="false">FALSE()</f>
        <v>0</v>
      </c>
      <c r="AA444" s="8" t="s">
        <v>1348</v>
      </c>
    </row>
    <row r="445" customFormat="false" ht="15.75" hidden="false" customHeight="true" outlineLevel="0" collapsed="false">
      <c r="A445" s="9" t="s">
        <v>2254</v>
      </c>
      <c r="B445" s="9" t="s">
        <v>685</v>
      </c>
      <c r="C445" s="9" t="s">
        <v>686</v>
      </c>
      <c r="D445" s="9" t="s">
        <v>384</v>
      </c>
      <c r="E445" s="9" t="s">
        <v>947</v>
      </c>
      <c r="F445" s="9" t="s">
        <v>1336</v>
      </c>
      <c r="G445" s="9" t="s">
        <v>1351</v>
      </c>
      <c r="H445" s="9" t="s">
        <v>1352</v>
      </c>
      <c r="I445" s="9"/>
      <c r="J445" s="9"/>
      <c r="K445" s="9"/>
      <c r="L445" s="9"/>
      <c r="M445" s="9"/>
      <c r="N445" s="9"/>
      <c r="O445" s="9"/>
      <c r="P445" s="9"/>
      <c r="Q445" s="9" t="s">
        <v>1353</v>
      </c>
      <c r="R445" s="9"/>
      <c r="S445" s="9"/>
      <c r="T445" s="9"/>
      <c r="U445" s="9"/>
      <c r="V445" s="9"/>
      <c r="W445" s="9"/>
      <c r="X445" s="9" t="s">
        <v>414</v>
      </c>
      <c r="Y445" s="9" t="s">
        <v>391</v>
      </c>
      <c r="Z445" s="12" t="b">
        <f aca="false">FALSE()</f>
        <v>0</v>
      </c>
      <c r="AA445" s="8" t="s">
        <v>1348</v>
      </c>
    </row>
    <row r="446" customFormat="false" ht="15.75" hidden="false" customHeight="true" outlineLevel="0" collapsed="false">
      <c r="A446" s="9" t="s">
        <v>2255</v>
      </c>
      <c r="B446" s="9" t="s">
        <v>688</v>
      </c>
      <c r="C446" s="9" t="s">
        <v>691</v>
      </c>
      <c r="D446" s="9" t="s">
        <v>384</v>
      </c>
      <c r="E446" s="9" t="s">
        <v>1021</v>
      </c>
      <c r="F446" s="9" t="s">
        <v>1405</v>
      </c>
      <c r="G446" s="9" t="s">
        <v>1351</v>
      </c>
      <c r="H446" s="9" t="s">
        <v>1352</v>
      </c>
      <c r="I446" s="9"/>
      <c r="J446" s="9"/>
      <c r="K446" s="9"/>
      <c r="L446" s="9"/>
      <c r="M446" s="9"/>
      <c r="N446" s="9"/>
      <c r="O446" s="9"/>
      <c r="P446" s="9"/>
      <c r="Q446" s="9" t="s">
        <v>1353</v>
      </c>
      <c r="R446" s="9"/>
      <c r="S446" s="9"/>
      <c r="T446" s="9"/>
      <c r="U446" s="9"/>
      <c r="V446" s="9"/>
      <c r="W446" s="9"/>
      <c r="X446" s="9" t="s">
        <v>414</v>
      </c>
      <c r="Y446" s="9" t="s">
        <v>391</v>
      </c>
      <c r="Z446" s="12" t="b">
        <f aca="false">FALSE()</f>
        <v>0</v>
      </c>
      <c r="AA446" s="8" t="s">
        <v>1348</v>
      </c>
    </row>
    <row r="447" customFormat="false" ht="15.75" hidden="false" customHeight="true" outlineLevel="0" collapsed="false">
      <c r="A447" s="9" t="s">
        <v>2256</v>
      </c>
      <c r="B447" s="9" t="s">
        <v>688</v>
      </c>
      <c r="C447" s="9" t="s">
        <v>691</v>
      </c>
      <c r="D447" s="9" t="s">
        <v>384</v>
      </c>
      <c r="E447" s="9" t="s">
        <v>1350</v>
      </c>
      <c r="F447" s="9" t="s">
        <v>1405</v>
      </c>
      <c r="G447" s="9" t="s">
        <v>1351</v>
      </c>
      <c r="H447" s="9" t="s">
        <v>1352</v>
      </c>
      <c r="I447" s="9"/>
      <c r="J447" s="9"/>
      <c r="K447" s="9"/>
      <c r="L447" s="9"/>
      <c r="M447" s="9"/>
      <c r="N447" s="9"/>
      <c r="O447" s="9"/>
      <c r="P447" s="9"/>
      <c r="Q447" s="9" t="s">
        <v>1353</v>
      </c>
      <c r="R447" s="9"/>
      <c r="S447" s="9"/>
      <c r="T447" s="9"/>
      <c r="U447" s="9"/>
      <c r="V447" s="9"/>
      <c r="W447" s="9"/>
      <c r="X447" s="9" t="s">
        <v>414</v>
      </c>
      <c r="Y447" s="9" t="s">
        <v>391</v>
      </c>
      <c r="Z447" s="12" t="b">
        <f aca="false">FALSE()</f>
        <v>0</v>
      </c>
      <c r="AA447" s="8" t="s">
        <v>1348</v>
      </c>
    </row>
    <row r="448" customFormat="false" ht="15.75" hidden="false" customHeight="true" outlineLevel="0" collapsed="false">
      <c r="A448" s="9" t="s">
        <v>2257</v>
      </c>
      <c r="B448" s="9" t="s">
        <v>688</v>
      </c>
      <c r="C448" s="9" t="s">
        <v>691</v>
      </c>
      <c r="D448" s="9" t="s">
        <v>384</v>
      </c>
      <c r="E448" s="9" t="s">
        <v>1355</v>
      </c>
      <c r="F448" s="9" t="s">
        <v>1405</v>
      </c>
      <c r="G448" s="9" t="s">
        <v>1337</v>
      </c>
      <c r="H448" s="9" t="s">
        <v>2258</v>
      </c>
      <c r="I448" s="9" t="s">
        <v>2259</v>
      </c>
      <c r="J448" s="9" t="s">
        <v>2260</v>
      </c>
      <c r="K448" s="9" t="s">
        <v>1390</v>
      </c>
      <c r="L448" s="9" t="s">
        <v>1703</v>
      </c>
      <c r="M448" s="9" t="s">
        <v>1704</v>
      </c>
      <c r="N448" s="9" t="s">
        <v>1391</v>
      </c>
      <c r="O448" s="9" t="s">
        <v>1705</v>
      </c>
      <c r="P448" s="9" t="s">
        <v>2261</v>
      </c>
      <c r="Q448" s="9" t="s">
        <v>113</v>
      </c>
      <c r="R448" s="9" t="s">
        <v>2262</v>
      </c>
      <c r="S448" s="9" t="s">
        <v>380</v>
      </c>
      <c r="T448" s="9"/>
      <c r="U448" s="9" t="s">
        <v>2263</v>
      </c>
      <c r="V448" s="9" t="s">
        <v>399</v>
      </c>
      <c r="W448" s="9"/>
      <c r="X448" s="9" t="s">
        <v>395</v>
      </c>
      <c r="Y448" s="9" t="s">
        <v>391</v>
      </c>
      <c r="Z448" s="12" t="b">
        <f aca="false">FALSE()</f>
        <v>0</v>
      </c>
      <c r="AA448" s="8" t="s">
        <v>1348</v>
      </c>
    </row>
    <row r="449" customFormat="false" ht="15.75" hidden="false" customHeight="true" outlineLevel="0" collapsed="false">
      <c r="A449" s="9" t="s">
        <v>2264</v>
      </c>
      <c r="B449" s="9" t="s">
        <v>688</v>
      </c>
      <c r="C449" s="9" t="s">
        <v>691</v>
      </c>
      <c r="D449" s="9" t="s">
        <v>384</v>
      </c>
      <c r="E449" s="9" t="s">
        <v>886</v>
      </c>
      <c r="F449" s="9" t="s">
        <v>1405</v>
      </c>
      <c r="G449" s="9" t="s">
        <v>1337</v>
      </c>
      <c r="H449" s="9" t="s">
        <v>2258</v>
      </c>
      <c r="I449" s="9" t="s">
        <v>2259</v>
      </c>
      <c r="J449" s="9" t="s">
        <v>2260</v>
      </c>
      <c r="K449" s="9" t="s">
        <v>900</v>
      </c>
      <c r="L449" s="9" t="s">
        <v>1723</v>
      </c>
      <c r="M449" s="9" t="s">
        <v>2265</v>
      </c>
      <c r="N449" s="9" t="s">
        <v>903</v>
      </c>
      <c r="O449" s="9" t="s">
        <v>904</v>
      </c>
      <c r="P449" s="9" t="s">
        <v>2266</v>
      </c>
      <c r="Q449" s="9" t="s">
        <v>1344</v>
      </c>
      <c r="R449" s="9" t="s">
        <v>2267</v>
      </c>
      <c r="S449" s="9" t="s">
        <v>380</v>
      </c>
      <c r="T449" s="9"/>
      <c r="U449" s="9" t="s">
        <v>2268</v>
      </c>
      <c r="V449" s="9" t="s">
        <v>399</v>
      </c>
      <c r="W449" s="9"/>
      <c r="X449" s="9" t="s">
        <v>395</v>
      </c>
      <c r="Y449" s="9" t="s">
        <v>391</v>
      </c>
      <c r="Z449" s="12" t="b">
        <f aca="false">FALSE()</f>
        <v>0</v>
      </c>
      <c r="AA449" s="8" t="s">
        <v>1348</v>
      </c>
    </row>
    <row r="450" customFormat="false" ht="15.75" hidden="false" customHeight="true" outlineLevel="0" collapsed="false">
      <c r="A450" s="9" t="s">
        <v>2269</v>
      </c>
      <c r="B450" s="9" t="s">
        <v>688</v>
      </c>
      <c r="C450" s="9" t="s">
        <v>691</v>
      </c>
      <c r="D450" s="9" t="s">
        <v>384</v>
      </c>
      <c r="E450" s="9" t="s">
        <v>866</v>
      </c>
      <c r="F450" s="9" t="s">
        <v>1405</v>
      </c>
      <c r="G450" s="9" t="s">
        <v>1351</v>
      </c>
      <c r="H450" s="9" t="s">
        <v>1352</v>
      </c>
      <c r="I450" s="9"/>
      <c r="J450" s="9"/>
      <c r="K450" s="9"/>
      <c r="L450" s="9"/>
      <c r="M450" s="9"/>
      <c r="N450" s="9"/>
      <c r="O450" s="9"/>
      <c r="P450" s="9"/>
      <c r="Q450" s="9" t="s">
        <v>1353</v>
      </c>
      <c r="R450" s="9"/>
      <c r="S450" s="9"/>
      <c r="T450" s="9"/>
      <c r="U450" s="9"/>
      <c r="V450" s="9"/>
      <c r="W450" s="9"/>
      <c r="X450" s="9" t="s">
        <v>414</v>
      </c>
      <c r="Y450" s="9" t="s">
        <v>391</v>
      </c>
      <c r="Z450" s="12" t="b">
        <f aca="false">FALSE()</f>
        <v>0</v>
      </c>
      <c r="AA450" s="8" t="s">
        <v>1348</v>
      </c>
    </row>
    <row r="451" customFormat="false" ht="15.75" hidden="false" customHeight="true" outlineLevel="0" collapsed="false">
      <c r="A451" s="9" t="s">
        <v>2270</v>
      </c>
      <c r="B451" s="9" t="s">
        <v>688</v>
      </c>
      <c r="C451" s="9" t="s">
        <v>691</v>
      </c>
      <c r="D451" s="9" t="s">
        <v>384</v>
      </c>
      <c r="E451" s="9" t="s">
        <v>912</v>
      </c>
      <c r="F451" s="9" t="s">
        <v>1405</v>
      </c>
      <c r="G451" s="9" t="s">
        <v>1363</v>
      </c>
      <c r="H451" s="9" t="s">
        <v>1890</v>
      </c>
      <c r="I451" s="9" t="s">
        <v>2259</v>
      </c>
      <c r="J451" s="9" t="s">
        <v>2260</v>
      </c>
      <c r="K451" s="9" t="s">
        <v>913</v>
      </c>
      <c r="L451" s="9" t="s">
        <v>914</v>
      </c>
      <c r="M451" s="9" t="s">
        <v>2271</v>
      </c>
      <c r="N451" s="9" t="s">
        <v>916</v>
      </c>
      <c r="O451" s="9" t="s">
        <v>916</v>
      </c>
      <c r="P451" s="9" t="s">
        <v>1365</v>
      </c>
      <c r="Q451" s="9" t="s">
        <v>113</v>
      </c>
      <c r="R451" s="9" t="s">
        <v>1366</v>
      </c>
      <c r="S451" s="9" t="s">
        <v>89</v>
      </c>
      <c r="T451" s="9"/>
      <c r="U451" s="9" t="s">
        <v>2272</v>
      </c>
      <c r="V451" s="9" t="s">
        <v>399</v>
      </c>
      <c r="W451" s="9"/>
      <c r="X451" s="9" t="s">
        <v>390</v>
      </c>
      <c r="Y451" s="9" t="s">
        <v>391</v>
      </c>
      <c r="Z451" s="12" t="b">
        <f aca="false">FALSE()</f>
        <v>0</v>
      </c>
      <c r="AA451" s="8" t="s">
        <v>1348</v>
      </c>
    </row>
    <row r="452" customFormat="false" ht="15.75" hidden="false" customHeight="true" outlineLevel="0" collapsed="false">
      <c r="A452" s="9" t="s">
        <v>2273</v>
      </c>
      <c r="B452" s="9" t="s">
        <v>688</v>
      </c>
      <c r="C452" s="9" t="s">
        <v>691</v>
      </c>
      <c r="D452" s="9" t="s">
        <v>384</v>
      </c>
      <c r="E452" s="9" t="s">
        <v>966</v>
      </c>
      <c r="F452" s="9" t="s">
        <v>1405</v>
      </c>
      <c r="G452" s="9" t="s">
        <v>1351</v>
      </c>
      <c r="H452" s="9" t="s">
        <v>1352</v>
      </c>
      <c r="I452" s="9"/>
      <c r="J452" s="9"/>
      <c r="K452" s="9"/>
      <c r="L452" s="9"/>
      <c r="M452" s="9"/>
      <c r="N452" s="9"/>
      <c r="O452" s="9"/>
      <c r="P452" s="9"/>
      <c r="Q452" s="9" t="s">
        <v>1353</v>
      </c>
      <c r="R452" s="9"/>
      <c r="S452" s="9"/>
      <c r="T452" s="9"/>
      <c r="U452" s="9"/>
      <c r="V452" s="9"/>
      <c r="W452" s="9"/>
      <c r="X452" s="9" t="s">
        <v>414</v>
      </c>
      <c r="Y452" s="9" t="s">
        <v>391</v>
      </c>
      <c r="Z452" s="12" t="b">
        <f aca="false">FALSE()</f>
        <v>0</v>
      </c>
      <c r="AA452" s="8" t="s">
        <v>1348</v>
      </c>
    </row>
    <row r="453" customFormat="false" ht="15.75" hidden="false" customHeight="true" outlineLevel="0" collapsed="false">
      <c r="A453" s="9" t="s">
        <v>2274</v>
      </c>
      <c r="B453" s="9" t="s">
        <v>688</v>
      </c>
      <c r="C453" s="9" t="s">
        <v>691</v>
      </c>
      <c r="D453" s="9" t="s">
        <v>384</v>
      </c>
      <c r="E453" s="9" t="s">
        <v>947</v>
      </c>
      <c r="F453" s="9" t="s">
        <v>1405</v>
      </c>
      <c r="G453" s="9" t="s">
        <v>1351</v>
      </c>
      <c r="H453" s="9" t="s">
        <v>1352</v>
      </c>
      <c r="I453" s="9"/>
      <c r="J453" s="9"/>
      <c r="K453" s="9"/>
      <c r="L453" s="9"/>
      <c r="M453" s="9"/>
      <c r="N453" s="9"/>
      <c r="O453" s="9"/>
      <c r="P453" s="9"/>
      <c r="Q453" s="9" t="s">
        <v>1353</v>
      </c>
      <c r="R453" s="9"/>
      <c r="S453" s="9"/>
      <c r="T453" s="9"/>
      <c r="U453" s="9"/>
      <c r="V453" s="9"/>
      <c r="W453" s="9"/>
      <c r="X453" s="9" t="s">
        <v>414</v>
      </c>
      <c r="Y453" s="9" t="s">
        <v>391</v>
      </c>
      <c r="Z453" s="12" t="b">
        <f aca="false">FALSE()</f>
        <v>0</v>
      </c>
      <c r="AA453" s="8" t="s">
        <v>1348</v>
      </c>
    </row>
    <row r="454" customFormat="false" ht="15.75" hidden="false" customHeight="true" outlineLevel="0" collapsed="false">
      <c r="A454" s="9" t="s">
        <v>2275</v>
      </c>
      <c r="B454" s="9" t="s">
        <v>694</v>
      </c>
      <c r="C454" s="9" t="s">
        <v>696</v>
      </c>
      <c r="D454" s="9" t="s">
        <v>387</v>
      </c>
      <c r="E454" s="9" t="s">
        <v>1021</v>
      </c>
      <c r="F454" s="9" t="s">
        <v>1336</v>
      </c>
      <c r="G454" s="9" t="s">
        <v>1337</v>
      </c>
      <c r="H454" s="9" t="s">
        <v>1338</v>
      </c>
      <c r="I454" s="9" t="s">
        <v>2276</v>
      </c>
      <c r="J454" s="9" t="s">
        <v>387</v>
      </c>
      <c r="K454" s="9" t="s">
        <v>1022</v>
      </c>
      <c r="L454" s="9" t="s">
        <v>1142</v>
      </c>
      <c r="M454" s="9" t="s">
        <v>1441</v>
      </c>
      <c r="N454" s="9" t="s">
        <v>1197</v>
      </c>
      <c r="O454" s="9" t="s">
        <v>1144</v>
      </c>
      <c r="P454" s="9" t="s">
        <v>2277</v>
      </c>
      <c r="Q454" s="9" t="s">
        <v>113</v>
      </c>
      <c r="R454" s="9" t="s">
        <v>2278</v>
      </c>
      <c r="S454" s="9" t="s">
        <v>398</v>
      </c>
      <c r="T454" s="9" t="s">
        <v>387</v>
      </c>
      <c r="U454" s="9"/>
      <c r="V454" s="9" t="s">
        <v>1347</v>
      </c>
      <c r="W454" s="9"/>
      <c r="X454" s="9" t="s">
        <v>387</v>
      </c>
      <c r="Y454" s="9" t="s">
        <v>387</v>
      </c>
      <c r="Z454" s="12" t="b">
        <f aca="false">FALSE()</f>
        <v>0</v>
      </c>
      <c r="AA454" s="8" t="s">
        <v>1348</v>
      </c>
    </row>
    <row r="455" customFormat="false" ht="15.75" hidden="false" customHeight="true" outlineLevel="0" collapsed="false">
      <c r="A455" s="9" t="s">
        <v>2279</v>
      </c>
      <c r="B455" s="9" t="s">
        <v>694</v>
      </c>
      <c r="C455" s="9" t="s">
        <v>696</v>
      </c>
      <c r="D455" s="9" t="s">
        <v>387</v>
      </c>
      <c r="E455" s="9" t="s">
        <v>1350</v>
      </c>
      <c r="F455" s="9" t="s">
        <v>1336</v>
      </c>
      <c r="G455" s="9" t="s">
        <v>1351</v>
      </c>
      <c r="H455" s="9" t="s">
        <v>1352</v>
      </c>
      <c r="I455" s="9"/>
      <c r="J455" s="9"/>
      <c r="K455" s="9"/>
      <c r="L455" s="9"/>
      <c r="M455" s="9"/>
      <c r="N455" s="9"/>
      <c r="O455" s="9"/>
      <c r="P455" s="9"/>
      <c r="Q455" s="9" t="s">
        <v>1353</v>
      </c>
      <c r="R455" s="9"/>
      <c r="S455" s="9"/>
      <c r="T455" s="9"/>
      <c r="U455" s="9"/>
      <c r="V455" s="9"/>
      <c r="W455" s="9"/>
      <c r="X455" s="9" t="s">
        <v>414</v>
      </c>
      <c r="Y455" s="9" t="s">
        <v>391</v>
      </c>
      <c r="Z455" s="12" t="b">
        <f aca="false">FALSE()</f>
        <v>0</v>
      </c>
      <c r="AA455" s="8" t="s">
        <v>1348</v>
      </c>
    </row>
    <row r="456" customFormat="false" ht="15.75" hidden="false" customHeight="true" outlineLevel="0" collapsed="false">
      <c r="A456" s="9" t="s">
        <v>2280</v>
      </c>
      <c r="B456" s="9" t="s">
        <v>694</v>
      </c>
      <c r="C456" s="9" t="s">
        <v>696</v>
      </c>
      <c r="D456" s="9" t="s">
        <v>387</v>
      </c>
      <c r="E456" s="9" t="s">
        <v>1355</v>
      </c>
      <c r="F456" s="9" t="s">
        <v>1336</v>
      </c>
      <c r="G456" s="9" t="s">
        <v>1351</v>
      </c>
      <c r="H456" s="9" t="s">
        <v>1352</v>
      </c>
      <c r="I456" s="9"/>
      <c r="J456" s="9"/>
      <c r="K456" s="9"/>
      <c r="L456" s="9"/>
      <c r="M456" s="9"/>
      <c r="N456" s="9"/>
      <c r="O456" s="9"/>
      <c r="P456" s="9"/>
      <c r="Q456" s="9" t="s">
        <v>1353</v>
      </c>
      <c r="R456" s="9"/>
      <c r="S456" s="9"/>
      <c r="T456" s="9"/>
      <c r="U456" s="9"/>
      <c r="V456" s="9"/>
      <c r="W456" s="9"/>
      <c r="X456" s="9" t="s">
        <v>414</v>
      </c>
      <c r="Y456" s="9" t="s">
        <v>391</v>
      </c>
      <c r="Z456" s="12" t="b">
        <f aca="false">FALSE()</f>
        <v>0</v>
      </c>
      <c r="AA456" s="8" t="s">
        <v>1348</v>
      </c>
    </row>
    <row r="457" customFormat="false" ht="15.75" hidden="false" customHeight="true" outlineLevel="0" collapsed="false">
      <c r="A457" s="9" t="s">
        <v>2281</v>
      </c>
      <c r="B457" s="9" t="s">
        <v>694</v>
      </c>
      <c r="C457" s="9" t="s">
        <v>696</v>
      </c>
      <c r="D457" s="9" t="s">
        <v>387</v>
      </c>
      <c r="E457" s="9" t="s">
        <v>886</v>
      </c>
      <c r="F457" s="9" t="s">
        <v>1336</v>
      </c>
      <c r="G457" s="9" t="s">
        <v>1351</v>
      </c>
      <c r="H457" s="9" t="s">
        <v>1352</v>
      </c>
      <c r="I457" s="9"/>
      <c r="J457" s="9"/>
      <c r="K457" s="9"/>
      <c r="L457" s="9"/>
      <c r="M457" s="9"/>
      <c r="N457" s="9"/>
      <c r="O457" s="9"/>
      <c r="P457" s="9"/>
      <c r="Q457" s="9" t="s">
        <v>1353</v>
      </c>
      <c r="R457" s="9"/>
      <c r="S457" s="9"/>
      <c r="T457" s="9"/>
      <c r="U457" s="9"/>
      <c r="V457" s="9"/>
      <c r="W457" s="9"/>
      <c r="X457" s="9" t="s">
        <v>414</v>
      </c>
      <c r="Y457" s="9" t="s">
        <v>391</v>
      </c>
      <c r="Z457" s="12" t="b">
        <f aca="false">FALSE()</f>
        <v>0</v>
      </c>
      <c r="AA457" s="8" t="s">
        <v>1348</v>
      </c>
    </row>
    <row r="458" customFormat="false" ht="15.75" hidden="false" customHeight="true" outlineLevel="0" collapsed="false">
      <c r="A458" s="9" t="s">
        <v>2282</v>
      </c>
      <c r="B458" s="9" t="s">
        <v>694</v>
      </c>
      <c r="C458" s="9" t="s">
        <v>696</v>
      </c>
      <c r="D458" s="9" t="s">
        <v>387</v>
      </c>
      <c r="E458" s="9" t="s">
        <v>866</v>
      </c>
      <c r="F458" s="9" t="s">
        <v>1336</v>
      </c>
      <c r="G458" s="9" t="s">
        <v>1351</v>
      </c>
      <c r="H458" s="9" t="s">
        <v>1352</v>
      </c>
      <c r="I458" s="9"/>
      <c r="J458" s="9"/>
      <c r="K458" s="9"/>
      <c r="L458" s="9"/>
      <c r="M458" s="9"/>
      <c r="N458" s="9"/>
      <c r="O458" s="9"/>
      <c r="P458" s="9"/>
      <c r="Q458" s="9" t="s">
        <v>1353</v>
      </c>
      <c r="R458" s="9"/>
      <c r="S458" s="9"/>
      <c r="T458" s="9"/>
      <c r="U458" s="9"/>
      <c r="V458" s="9"/>
      <c r="W458" s="9"/>
      <c r="X458" s="9" t="s">
        <v>414</v>
      </c>
      <c r="Y458" s="9" t="s">
        <v>391</v>
      </c>
      <c r="Z458" s="12" t="b">
        <f aca="false">FALSE()</f>
        <v>0</v>
      </c>
      <c r="AA458" s="8" t="s">
        <v>1348</v>
      </c>
    </row>
    <row r="459" customFormat="false" ht="15.75" hidden="false" customHeight="true" outlineLevel="0" collapsed="false">
      <c r="A459" s="9" t="s">
        <v>2283</v>
      </c>
      <c r="B459" s="9" t="s">
        <v>694</v>
      </c>
      <c r="C459" s="9" t="s">
        <v>696</v>
      </c>
      <c r="D459" s="9" t="s">
        <v>387</v>
      </c>
      <c r="E459" s="9" t="s">
        <v>912</v>
      </c>
      <c r="F459" s="9" t="s">
        <v>1336</v>
      </c>
      <c r="G459" s="9" t="s">
        <v>1351</v>
      </c>
      <c r="H459" s="9" t="s">
        <v>1352</v>
      </c>
      <c r="I459" s="9"/>
      <c r="J459" s="9"/>
      <c r="K459" s="9"/>
      <c r="L459" s="9"/>
      <c r="M459" s="9"/>
      <c r="N459" s="9"/>
      <c r="O459" s="9"/>
      <c r="P459" s="9"/>
      <c r="Q459" s="9" t="s">
        <v>1353</v>
      </c>
      <c r="R459" s="9"/>
      <c r="S459" s="9"/>
      <c r="T459" s="9"/>
      <c r="U459" s="9"/>
      <c r="V459" s="9"/>
      <c r="W459" s="9"/>
      <c r="X459" s="9" t="s">
        <v>414</v>
      </c>
      <c r="Y459" s="9" t="s">
        <v>391</v>
      </c>
      <c r="Z459" s="12" t="b">
        <f aca="false">FALSE()</f>
        <v>0</v>
      </c>
      <c r="AA459" s="8" t="s">
        <v>1348</v>
      </c>
    </row>
    <row r="460" customFormat="false" ht="15.75" hidden="false" customHeight="true" outlineLevel="0" collapsed="false">
      <c r="A460" s="9" t="s">
        <v>2284</v>
      </c>
      <c r="B460" s="9" t="s">
        <v>694</v>
      </c>
      <c r="C460" s="9" t="s">
        <v>696</v>
      </c>
      <c r="D460" s="9" t="s">
        <v>387</v>
      </c>
      <c r="E460" s="9" t="s">
        <v>966</v>
      </c>
      <c r="F460" s="9" t="s">
        <v>1336</v>
      </c>
      <c r="G460" s="9" t="s">
        <v>1351</v>
      </c>
      <c r="H460" s="9" t="s">
        <v>1352</v>
      </c>
      <c r="I460" s="9"/>
      <c r="J460" s="9"/>
      <c r="K460" s="9"/>
      <c r="L460" s="9"/>
      <c r="M460" s="9"/>
      <c r="N460" s="9"/>
      <c r="O460" s="9"/>
      <c r="P460" s="9"/>
      <c r="Q460" s="9" t="s">
        <v>1353</v>
      </c>
      <c r="R460" s="9"/>
      <c r="S460" s="9"/>
      <c r="T460" s="9"/>
      <c r="U460" s="9"/>
      <c r="V460" s="9"/>
      <c r="W460" s="9"/>
      <c r="X460" s="9" t="s">
        <v>414</v>
      </c>
      <c r="Y460" s="9" t="s">
        <v>391</v>
      </c>
      <c r="Z460" s="12" t="b">
        <f aca="false">FALSE()</f>
        <v>0</v>
      </c>
      <c r="AA460" s="8" t="s">
        <v>1348</v>
      </c>
    </row>
    <row r="461" customFormat="false" ht="15.75" hidden="false" customHeight="true" outlineLevel="0" collapsed="false">
      <c r="A461" s="9" t="s">
        <v>2285</v>
      </c>
      <c r="B461" s="9" t="s">
        <v>694</v>
      </c>
      <c r="C461" s="9" t="s">
        <v>696</v>
      </c>
      <c r="D461" s="9" t="s">
        <v>387</v>
      </c>
      <c r="E461" s="9" t="s">
        <v>947</v>
      </c>
      <c r="F461" s="9" t="s">
        <v>1336</v>
      </c>
      <c r="G461" s="9" t="s">
        <v>1351</v>
      </c>
      <c r="H461" s="9" t="s">
        <v>1352</v>
      </c>
      <c r="I461" s="9"/>
      <c r="J461" s="9"/>
      <c r="K461" s="9"/>
      <c r="L461" s="9"/>
      <c r="M461" s="9"/>
      <c r="N461" s="9"/>
      <c r="O461" s="9"/>
      <c r="P461" s="9"/>
      <c r="Q461" s="9" t="s">
        <v>1353</v>
      </c>
      <c r="R461" s="9"/>
      <c r="S461" s="9"/>
      <c r="T461" s="9"/>
      <c r="U461" s="9"/>
      <c r="V461" s="9"/>
      <c r="W461" s="9"/>
      <c r="X461" s="9" t="s">
        <v>414</v>
      </c>
      <c r="Y461" s="9" t="s">
        <v>391</v>
      </c>
      <c r="Z461" s="12" t="b">
        <f aca="false">FALSE()</f>
        <v>0</v>
      </c>
      <c r="AA461" s="8" t="s">
        <v>1348</v>
      </c>
    </row>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conditionalFormatting sqref="X6:X461">
    <cfRule type="expression" priority="2" aboveAverage="0" equalAverage="0" bottom="0" percent="0" rank="0" text="" dxfId="13">
      <formula>X6="A"</formula>
    </cfRule>
    <cfRule type="expression" priority="3" aboveAverage="0" equalAverage="0" bottom="0" percent="0" rank="0" text="" dxfId="14">
      <formula>X6="A-SF"</formula>
    </cfRule>
    <cfRule type="expression" priority="4" aboveAverage="0" equalAverage="0" bottom="0" percent="0" rank="0" text="" dxfId="15">
      <formula>X6="Q"</formula>
    </cfRule>
    <cfRule type="expression" priority="5" aboveAverage="0" equalAverage="0" bottom="0" percent="0" rank="0" text="" dxfId="16">
      <formula>X6="D"</formula>
    </cfRule>
    <cfRule type="expression" priority="6" aboveAverage="0" equalAverage="0" bottom="0" percent="0" rank="0" text="" dxfId="17">
      <formula>ISNUMBER(SEARCH("VECTOR",X6))</formula>
    </cfRule>
    <cfRule type="expression" priority="7" aboveAverage="0" equalAverage="0" bottom="0" percent="0" rank="0" text="" dxfId="18">
      <formula>OR(ISNUMBER(SEARCH("PENDING",X6)),ISNUMBER(SEARCH("HOLD",X6)))</formula>
    </cfRule>
    <cfRule type="expression" priority="8" aboveAverage="0" equalAverage="0" bottom="0" percent="0" rank="0" text="" dxfId="19">
      <formula>ISNUMBER(SEARCH("NOT LOCATED",X6))</formula>
    </cfRule>
    <cfRule type="expression" priority="9" aboveAverage="0" equalAverage="0" bottom="0" percent="0" rank="0" text="" dxfId="20">
      <formula>X6="OUT OF SCOPE"</formula>
    </cfRule>
  </conditionalFormatting>
  <conditionalFormatting sqref="Z6:Z461">
    <cfRule type="expression" priority="10" aboveAverage="0" equalAverage="0" bottom="0" percent="0" rank="0" text="" dxfId="21">
      <formula>Z6=1</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32"/>
    <col collapsed="false" customWidth="true" hidden="false" outlineLevel="0" max="4" min="4" style="0" width="24"/>
    <col collapsed="false" customWidth="true" hidden="false" outlineLevel="0" max="5" min="5" style="0" width="30"/>
    <col collapsed="false" customWidth="true" hidden="false" outlineLevel="0" max="6" min="6" style="0" width="42"/>
    <col collapsed="false" customWidth="true" hidden="false" outlineLevel="0" max="7" min="7" style="0" width="16"/>
    <col collapsed="false" customWidth="true" hidden="false" outlineLevel="0" max="8" min="8" style="0" width="15"/>
    <col collapsed="false" customWidth="true" hidden="false" outlineLevel="0" max="9" min="9" style="0" width="48"/>
    <col collapsed="false" customWidth="true" hidden="false" outlineLevel="0" max="10" min="10" style="0" width="18"/>
    <col collapsed="false" customWidth="true" hidden="false" outlineLevel="0" max="26" min="11" style="0" width="8.63"/>
  </cols>
  <sheetData>
    <row r="1" customFormat="false" ht="15" hidden="false" customHeight="false" outlineLevel="0" collapsed="false">
      <c r="A1" s="3" t="s">
        <v>1310</v>
      </c>
      <c r="B1" s="3" t="s">
        <v>1311</v>
      </c>
      <c r="C1" s="3" t="s">
        <v>1312</v>
      </c>
      <c r="D1" s="3" t="s">
        <v>1314</v>
      </c>
      <c r="E1" s="3" t="s">
        <v>2286</v>
      </c>
      <c r="F1" s="3" t="s">
        <v>372</v>
      </c>
      <c r="G1" s="3" t="s">
        <v>373</v>
      </c>
      <c r="H1" s="3" t="s">
        <v>2287</v>
      </c>
      <c r="I1" s="3" t="s">
        <v>2288</v>
      </c>
      <c r="J1" s="3" t="s">
        <v>2289</v>
      </c>
    </row>
    <row r="2" customFormat="false" ht="28.35" hidden="false" customHeight="false" outlineLevel="0" collapsed="false">
      <c r="A2" s="9" t="s">
        <v>1948</v>
      </c>
      <c r="B2" s="9" t="s">
        <v>609</v>
      </c>
      <c r="C2" s="9" t="s">
        <v>610</v>
      </c>
      <c r="D2" s="9" t="s">
        <v>1021</v>
      </c>
      <c r="E2" s="9" t="s">
        <v>1953</v>
      </c>
      <c r="F2" s="9" t="s">
        <v>384</v>
      </c>
      <c r="G2" s="9" t="s">
        <v>384</v>
      </c>
      <c r="H2" s="9" t="s">
        <v>384</v>
      </c>
      <c r="I2" s="9" t="s">
        <v>1363</v>
      </c>
      <c r="J2" s="9" t="s">
        <v>2290</v>
      </c>
    </row>
    <row r="3" customFormat="false" ht="28.35" hidden="false" customHeight="false" outlineLevel="0" collapsed="false">
      <c r="A3" s="9" t="s">
        <v>1956</v>
      </c>
      <c r="B3" s="9" t="s">
        <v>609</v>
      </c>
      <c r="C3" s="9" t="s">
        <v>610</v>
      </c>
      <c r="D3" s="9" t="s">
        <v>1350</v>
      </c>
      <c r="E3" s="9" t="s">
        <v>2291</v>
      </c>
      <c r="F3" s="9" t="s">
        <v>384</v>
      </c>
      <c r="G3" s="9" t="s">
        <v>384</v>
      </c>
      <c r="H3" s="9" t="s">
        <v>384</v>
      </c>
      <c r="I3" s="9" t="s">
        <v>2292</v>
      </c>
      <c r="J3" s="9" t="s">
        <v>2293</v>
      </c>
    </row>
    <row r="4" customFormat="false" ht="15" hidden="false" customHeight="false" outlineLevel="0" collapsed="false">
      <c r="A4" s="9" t="s">
        <v>1964</v>
      </c>
      <c r="B4" s="9" t="s">
        <v>609</v>
      </c>
      <c r="C4" s="9" t="s">
        <v>610</v>
      </c>
      <c r="D4" s="9" t="s">
        <v>1355</v>
      </c>
      <c r="E4" s="9" t="s">
        <v>1953</v>
      </c>
      <c r="F4" s="9" t="s">
        <v>384</v>
      </c>
      <c r="G4" s="9" t="s">
        <v>384</v>
      </c>
      <c r="H4" s="9" t="s">
        <v>384</v>
      </c>
      <c r="I4" s="9" t="s">
        <v>1337</v>
      </c>
      <c r="J4" s="9" t="s">
        <v>2290</v>
      </c>
    </row>
    <row r="5" customFormat="false" ht="15" hidden="false" customHeight="false" outlineLevel="0" collapsed="false">
      <c r="A5" s="9" t="s">
        <v>1971</v>
      </c>
      <c r="B5" s="9" t="s">
        <v>609</v>
      </c>
      <c r="C5" s="9" t="s">
        <v>610</v>
      </c>
      <c r="D5" s="9" t="s">
        <v>886</v>
      </c>
      <c r="E5" s="9" t="s">
        <v>1953</v>
      </c>
      <c r="F5" s="9" t="s">
        <v>384</v>
      </c>
      <c r="G5" s="9" t="s">
        <v>384</v>
      </c>
      <c r="H5" s="9" t="s">
        <v>384</v>
      </c>
      <c r="I5" s="9" t="s">
        <v>1337</v>
      </c>
      <c r="J5" s="9" t="s">
        <v>2290</v>
      </c>
    </row>
    <row r="6" customFormat="false" ht="28.35" hidden="false" customHeight="false" outlineLevel="0" collapsed="false">
      <c r="A6" s="9" t="s">
        <v>1976</v>
      </c>
      <c r="B6" s="9" t="s">
        <v>609</v>
      </c>
      <c r="C6" s="9" t="s">
        <v>610</v>
      </c>
      <c r="D6" s="9" t="s">
        <v>866</v>
      </c>
      <c r="E6" s="9" t="s">
        <v>1953</v>
      </c>
      <c r="F6" s="9" t="s">
        <v>384</v>
      </c>
      <c r="G6" s="9" t="s">
        <v>384</v>
      </c>
      <c r="H6" s="9" t="s">
        <v>384</v>
      </c>
      <c r="I6" s="9" t="s">
        <v>1977</v>
      </c>
      <c r="J6" s="9" t="s">
        <v>2290</v>
      </c>
    </row>
    <row r="7" customFormat="false" ht="28.35" hidden="false" customHeight="false" outlineLevel="0" collapsed="false">
      <c r="A7" s="9" t="s">
        <v>1982</v>
      </c>
      <c r="B7" s="9" t="s">
        <v>609</v>
      </c>
      <c r="C7" s="9" t="s">
        <v>610</v>
      </c>
      <c r="D7" s="9" t="s">
        <v>912</v>
      </c>
      <c r="E7" s="9" t="s">
        <v>1989</v>
      </c>
      <c r="F7" s="9" t="s">
        <v>411</v>
      </c>
      <c r="G7" s="9" t="s">
        <v>391</v>
      </c>
      <c r="H7" s="9" t="s">
        <v>384</v>
      </c>
      <c r="I7" s="9" t="s">
        <v>1983</v>
      </c>
      <c r="J7" s="9" t="s">
        <v>2294</v>
      </c>
    </row>
    <row r="8" customFormat="false" ht="28.35" hidden="false" customHeight="false" outlineLevel="0" collapsed="false">
      <c r="A8" s="9" t="s">
        <v>1990</v>
      </c>
      <c r="B8" s="9" t="s">
        <v>609</v>
      </c>
      <c r="C8" s="9" t="s">
        <v>610</v>
      </c>
      <c r="D8" s="9" t="s">
        <v>966</v>
      </c>
      <c r="E8" s="9" t="s">
        <v>1989</v>
      </c>
      <c r="F8" s="9" t="s">
        <v>411</v>
      </c>
      <c r="G8" s="9" t="s">
        <v>391</v>
      </c>
      <c r="H8" s="9" t="s">
        <v>384</v>
      </c>
      <c r="I8" s="9" t="s">
        <v>1983</v>
      </c>
      <c r="J8" s="9" t="s">
        <v>2294</v>
      </c>
    </row>
    <row r="9" customFormat="false" ht="28.35" hidden="false" customHeight="false" outlineLevel="0" collapsed="false">
      <c r="A9" s="9" t="s">
        <v>1995</v>
      </c>
      <c r="B9" s="9" t="s">
        <v>609</v>
      </c>
      <c r="C9" s="9" t="s">
        <v>610</v>
      </c>
      <c r="D9" s="9" t="s">
        <v>947</v>
      </c>
      <c r="E9" s="9" t="s">
        <v>1989</v>
      </c>
      <c r="F9" s="9" t="s">
        <v>411</v>
      </c>
      <c r="G9" s="9" t="s">
        <v>391</v>
      </c>
      <c r="H9" s="9" t="s">
        <v>384</v>
      </c>
      <c r="I9" s="9" t="s">
        <v>1983</v>
      </c>
      <c r="J9" s="9" t="s">
        <v>2294</v>
      </c>
    </row>
    <row r="10" customFormat="false" ht="15" hidden="false" customHeight="false" outlineLevel="0" collapsed="false">
      <c r="A10" s="9" t="s">
        <v>2007</v>
      </c>
      <c r="B10" s="9" t="s">
        <v>618</v>
      </c>
      <c r="C10" s="9" t="s">
        <v>619</v>
      </c>
      <c r="D10" s="9" t="s">
        <v>1021</v>
      </c>
      <c r="E10" s="9" t="s">
        <v>1953</v>
      </c>
      <c r="F10" s="9" t="s">
        <v>381</v>
      </c>
      <c r="G10" s="9" t="s">
        <v>377</v>
      </c>
      <c r="H10" s="9" t="s">
        <v>384</v>
      </c>
      <c r="I10" s="9" t="s">
        <v>1337</v>
      </c>
      <c r="J10" s="9" t="s">
        <v>2290</v>
      </c>
    </row>
    <row r="11" customFormat="false" ht="28.35" hidden="false" customHeight="false" outlineLevel="0" collapsed="false">
      <c r="A11" s="9" t="s">
        <v>2010</v>
      </c>
      <c r="B11" s="9" t="s">
        <v>618</v>
      </c>
      <c r="C11" s="9" t="s">
        <v>619</v>
      </c>
      <c r="D11" s="9" t="s">
        <v>1350</v>
      </c>
      <c r="E11" s="9" t="s">
        <v>1953</v>
      </c>
      <c r="F11" s="9" t="s">
        <v>384</v>
      </c>
      <c r="G11" s="9" t="s">
        <v>384</v>
      </c>
      <c r="H11" s="9" t="s">
        <v>384</v>
      </c>
      <c r="I11" s="9" t="s">
        <v>1957</v>
      </c>
      <c r="J11" s="9" t="s">
        <v>2290</v>
      </c>
    </row>
    <row r="12" customFormat="false" ht="15" hidden="false" customHeight="false" outlineLevel="0" collapsed="false">
      <c r="A12" s="9" t="s">
        <v>2016</v>
      </c>
      <c r="B12" s="9" t="s">
        <v>618</v>
      </c>
      <c r="C12" s="9" t="s">
        <v>619</v>
      </c>
      <c r="D12" s="9" t="s">
        <v>1355</v>
      </c>
      <c r="E12" s="9" t="s">
        <v>1953</v>
      </c>
      <c r="F12" s="9" t="s">
        <v>381</v>
      </c>
      <c r="G12" s="9" t="s">
        <v>377</v>
      </c>
      <c r="H12" s="9" t="s">
        <v>384</v>
      </c>
      <c r="I12" s="9" t="s">
        <v>1337</v>
      </c>
      <c r="J12" s="9" t="s">
        <v>2290</v>
      </c>
    </row>
    <row r="13" customFormat="false" ht="15" hidden="false" customHeight="false" outlineLevel="0" collapsed="false">
      <c r="A13" s="9" t="s">
        <v>2018</v>
      </c>
      <c r="B13" s="9" t="s">
        <v>618</v>
      </c>
      <c r="C13" s="9" t="s">
        <v>619</v>
      </c>
      <c r="D13" s="9" t="s">
        <v>886</v>
      </c>
      <c r="E13" s="9" t="s">
        <v>1953</v>
      </c>
      <c r="F13" s="9" t="s">
        <v>384</v>
      </c>
      <c r="G13" s="9" t="s">
        <v>384</v>
      </c>
      <c r="H13" s="9" t="s">
        <v>384</v>
      </c>
      <c r="I13" s="9" t="s">
        <v>1337</v>
      </c>
      <c r="J13" s="9" t="s">
        <v>2290</v>
      </c>
    </row>
    <row r="14" customFormat="false" ht="28.35" hidden="false" customHeight="false" outlineLevel="0" collapsed="false">
      <c r="A14" s="9" t="s">
        <v>2023</v>
      </c>
      <c r="B14" s="9" t="s">
        <v>618</v>
      </c>
      <c r="C14" s="9" t="s">
        <v>619</v>
      </c>
      <c r="D14" s="9" t="s">
        <v>866</v>
      </c>
      <c r="E14" s="9" t="s">
        <v>1953</v>
      </c>
      <c r="F14" s="9" t="s">
        <v>381</v>
      </c>
      <c r="G14" s="9" t="s">
        <v>377</v>
      </c>
      <c r="H14" s="9" t="s">
        <v>384</v>
      </c>
      <c r="I14" s="9" t="s">
        <v>1977</v>
      </c>
      <c r="J14" s="9" t="s">
        <v>2290</v>
      </c>
    </row>
    <row r="15" customFormat="false" ht="28.35" hidden="false" customHeight="false" outlineLevel="0" collapsed="false">
      <c r="A15" s="9" t="s">
        <v>2026</v>
      </c>
      <c r="B15" s="9" t="s">
        <v>618</v>
      </c>
      <c r="C15" s="9" t="s">
        <v>619</v>
      </c>
      <c r="D15" s="9" t="s">
        <v>912</v>
      </c>
      <c r="E15" s="9" t="s">
        <v>1953</v>
      </c>
      <c r="F15" s="9" t="s">
        <v>381</v>
      </c>
      <c r="G15" s="9" t="s">
        <v>377</v>
      </c>
      <c r="H15" s="9" t="s">
        <v>384</v>
      </c>
      <c r="I15" s="9" t="s">
        <v>1363</v>
      </c>
      <c r="J15" s="9" t="s">
        <v>2290</v>
      </c>
    </row>
    <row r="16" customFormat="false" ht="15" hidden="false" customHeight="false" outlineLevel="0" collapsed="false">
      <c r="A16" s="9" t="s">
        <v>2030</v>
      </c>
      <c r="B16" s="9" t="s">
        <v>618</v>
      </c>
      <c r="C16" s="9" t="s">
        <v>619</v>
      </c>
      <c r="D16" s="9" t="s">
        <v>966</v>
      </c>
      <c r="E16" s="9" t="s">
        <v>1953</v>
      </c>
      <c r="F16" s="9" t="s">
        <v>381</v>
      </c>
      <c r="G16" s="9" t="s">
        <v>377</v>
      </c>
      <c r="H16" s="9" t="s">
        <v>384</v>
      </c>
      <c r="I16" s="9" t="s">
        <v>1337</v>
      </c>
      <c r="J16" s="9" t="s">
        <v>2290</v>
      </c>
    </row>
    <row r="17" customFormat="false" ht="28.35" hidden="false" customHeight="false" outlineLevel="0" collapsed="false">
      <c r="A17" s="9" t="s">
        <v>2034</v>
      </c>
      <c r="B17" s="9" t="s">
        <v>618</v>
      </c>
      <c r="C17" s="9" t="s">
        <v>619</v>
      </c>
      <c r="D17" s="9" t="s">
        <v>947</v>
      </c>
      <c r="E17" s="9" t="s">
        <v>1953</v>
      </c>
      <c r="F17" s="9" t="s">
        <v>381</v>
      </c>
      <c r="G17" s="9" t="s">
        <v>377</v>
      </c>
      <c r="H17" s="9" t="s">
        <v>384</v>
      </c>
      <c r="I17" s="9" t="s">
        <v>1363</v>
      </c>
      <c r="J17" s="9" t="s">
        <v>2290</v>
      </c>
    </row>
    <row r="18" customFormat="false" ht="15" hidden="false" customHeight="false" outlineLevel="0" collapsed="false">
      <c r="A18" s="9" t="s">
        <v>2110</v>
      </c>
      <c r="B18" s="9" t="s">
        <v>644</v>
      </c>
      <c r="C18" s="9" t="s">
        <v>645</v>
      </c>
      <c r="D18" s="9" t="s">
        <v>1021</v>
      </c>
      <c r="E18" s="9" t="s">
        <v>1953</v>
      </c>
      <c r="F18" s="9" t="s">
        <v>384</v>
      </c>
      <c r="G18" s="9" t="s">
        <v>384</v>
      </c>
      <c r="H18" s="9" t="s">
        <v>384</v>
      </c>
      <c r="I18" s="9" t="s">
        <v>1337</v>
      </c>
      <c r="J18" s="9" t="s">
        <v>2290</v>
      </c>
    </row>
    <row r="19" customFormat="false" ht="28.35" hidden="false" customHeight="false" outlineLevel="0" collapsed="false">
      <c r="A19" s="9" t="s">
        <v>2116</v>
      </c>
      <c r="B19" s="9" t="s">
        <v>644</v>
      </c>
      <c r="C19" s="9" t="s">
        <v>645</v>
      </c>
      <c r="D19" s="9" t="s">
        <v>1350</v>
      </c>
      <c r="E19" s="9" t="s">
        <v>1953</v>
      </c>
      <c r="F19" s="9" t="s">
        <v>384</v>
      </c>
      <c r="G19" s="9" t="s">
        <v>384</v>
      </c>
      <c r="H19" s="9" t="s">
        <v>384</v>
      </c>
      <c r="I19" s="9" t="s">
        <v>2117</v>
      </c>
      <c r="J19" s="9" t="s">
        <v>2290</v>
      </c>
    </row>
    <row r="20" customFormat="false" ht="28.35" hidden="false" customHeight="false" outlineLevel="0" collapsed="false">
      <c r="A20" s="9" t="s">
        <v>2123</v>
      </c>
      <c r="B20" s="9" t="s">
        <v>644</v>
      </c>
      <c r="C20" s="9" t="s">
        <v>645</v>
      </c>
      <c r="D20" s="9" t="s">
        <v>1355</v>
      </c>
      <c r="E20" s="9" t="s">
        <v>1953</v>
      </c>
      <c r="F20" s="9" t="s">
        <v>384</v>
      </c>
      <c r="G20" s="9" t="s">
        <v>384</v>
      </c>
      <c r="H20" s="9" t="s">
        <v>384</v>
      </c>
      <c r="I20" s="9" t="s">
        <v>2124</v>
      </c>
      <c r="J20" s="9" t="s">
        <v>2290</v>
      </c>
    </row>
    <row r="21" customFormat="false" ht="15.75" hidden="false" customHeight="true" outlineLevel="0" collapsed="false">
      <c r="A21" s="9" t="s">
        <v>2129</v>
      </c>
      <c r="B21" s="9" t="s">
        <v>644</v>
      </c>
      <c r="C21" s="9" t="s">
        <v>645</v>
      </c>
      <c r="D21" s="9" t="s">
        <v>886</v>
      </c>
      <c r="E21" s="9" t="s">
        <v>1953</v>
      </c>
      <c r="F21" s="9" t="s">
        <v>384</v>
      </c>
      <c r="G21" s="9" t="s">
        <v>384</v>
      </c>
      <c r="H21" s="9" t="s">
        <v>384</v>
      </c>
      <c r="I21" s="9" t="s">
        <v>1337</v>
      </c>
      <c r="J21" s="9" t="s">
        <v>2290</v>
      </c>
    </row>
    <row r="22" customFormat="false" ht="15.75" hidden="false" customHeight="true" outlineLevel="0" collapsed="false">
      <c r="A22" s="9" t="s">
        <v>2133</v>
      </c>
      <c r="B22" s="9" t="s">
        <v>644</v>
      </c>
      <c r="C22" s="9" t="s">
        <v>645</v>
      </c>
      <c r="D22" s="9" t="s">
        <v>866</v>
      </c>
      <c r="E22" s="9" t="s">
        <v>1989</v>
      </c>
      <c r="F22" s="9" t="s">
        <v>411</v>
      </c>
      <c r="G22" s="9" t="s">
        <v>391</v>
      </c>
      <c r="H22" s="9" t="s">
        <v>384</v>
      </c>
      <c r="I22" s="9" t="s">
        <v>1983</v>
      </c>
      <c r="J22" s="9" t="s">
        <v>2294</v>
      </c>
    </row>
    <row r="23" customFormat="false" ht="15.75" hidden="false" customHeight="true" outlineLevel="0" collapsed="false">
      <c r="A23" s="9" t="s">
        <v>2138</v>
      </c>
      <c r="B23" s="9" t="s">
        <v>644</v>
      </c>
      <c r="C23" s="9" t="s">
        <v>645</v>
      </c>
      <c r="D23" s="9" t="s">
        <v>912</v>
      </c>
      <c r="E23" s="9" t="s">
        <v>1989</v>
      </c>
      <c r="F23" s="9" t="s">
        <v>411</v>
      </c>
      <c r="G23" s="9" t="s">
        <v>391</v>
      </c>
      <c r="H23" s="9" t="s">
        <v>384</v>
      </c>
      <c r="I23" s="9" t="s">
        <v>1983</v>
      </c>
      <c r="J23" s="9" t="s">
        <v>2294</v>
      </c>
    </row>
    <row r="24" customFormat="false" ht="15.75" hidden="false" customHeight="true" outlineLevel="0" collapsed="false">
      <c r="A24" s="9" t="s">
        <v>2139</v>
      </c>
      <c r="B24" s="9" t="s">
        <v>644</v>
      </c>
      <c r="C24" s="9" t="s">
        <v>645</v>
      </c>
      <c r="D24" s="9" t="s">
        <v>966</v>
      </c>
      <c r="E24" s="9" t="s">
        <v>1989</v>
      </c>
      <c r="F24" s="9" t="s">
        <v>411</v>
      </c>
      <c r="G24" s="9" t="s">
        <v>391</v>
      </c>
      <c r="H24" s="9" t="s">
        <v>384</v>
      </c>
      <c r="I24" s="9" t="s">
        <v>1983</v>
      </c>
      <c r="J24" s="9" t="s">
        <v>2294</v>
      </c>
    </row>
    <row r="25" customFormat="false" ht="15.75" hidden="false" customHeight="true" outlineLevel="0" collapsed="false">
      <c r="A25" s="9" t="s">
        <v>2140</v>
      </c>
      <c r="B25" s="9" t="s">
        <v>644</v>
      </c>
      <c r="C25" s="9" t="s">
        <v>645</v>
      </c>
      <c r="D25" s="9" t="s">
        <v>947</v>
      </c>
      <c r="E25" s="9" t="s">
        <v>1989</v>
      </c>
      <c r="F25" s="9" t="s">
        <v>411</v>
      </c>
      <c r="G25" s="9" t="s">
        <v>391</v>
      </c>
      <c r="H25" s="9" t="s">
        <v>384</v>
      </c>
      <c r="I25" s="9" t="s">
        <v>1983</v>
      </c>
      <c r="J25" s="9" t="s">
        <v>2294</v>
      </c>
    </row>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24"/>
    <col collapsed="false" customWidth="true" hidden="false" outlineLevel="0" max="4" min="4" style="0" width="46"/>
    <col collapsed="false" customWidth="true" hidden="false" outlineLevel="0" max="5" min="5" style="0" width="36"/>
    <col collapsed="false" customWidth="true" hidden="false" outlineLevel="0" max="6" min="6" style="0" width="48"/>
    <col collapsed="false" customWidth="true" hidden="false" outlineLevel="0" max="7" min="7" style="0" width="44"/>
    <col collapsed="false" customWidth="true" hidden="false" outlineLevel="0" max="8" min="8" style="0" width="62"/>
    <col collapsed="false" customWidth="true" hidden="false" outlineLevel="0" max="9" min="9" style="0" width="56"/>
    <col collapsed="false" customWidth="true" hidden="false" outlineLevel="0" max="10" min="10" style="0" width="30"/>
    <col collapsed="false" customWidth="true" hidden="false" outlineLevel="0" max="11" min="11" style="0" width="42"/>
    <col collapsed="false" customWidth="true" hidden="false" outlineLevel="0" max="12" min="12" style="0" width="16"/>
    <col collapsed="false" customWidth="true" hidden="false" outlineLevel="0" max="13" min="13" style="0" width="18"/>
    <col collapsed="false" customWidth="true" hidden="false" outlineLevel="0" max="14" min="14" style="0" width="72"/>
    <col collapsed="false" customWidth="true" hidden="false" outlineLevel="0" max="26" min="15" style="0" width="8.63"/>
  </cols>
  <sheetData>
    <row r="1" customFormat="false" ht="15" hidden="false" customHeight="false" outlineLevel="0" collapsed="false">
      <c r="A1" s="3" t="s">
        <v>1310</v>
      </c>
      <c r="B1" s="3" t="s">
        <v>1311</v>
      </c>
      <c r="C1" s="3" t="s">
        <v>1314</v>
      </c>
      <c r="D1" s="3" t="s">
        <v>1316</v>
      </c>
      <c r="E1" s="3" t="s">
        <v>2295</v>
      </c>
      <c r="F1" s="3" t="s">
        <v>1321</v>
      </c>
      <c r="G1" s="3" t="s">
        <v>1234</v>
      </c>
      <c r="H1" s="3" t="s">
        <v>2296</v>
      </c>
      <c r="I1" s="3" t="s">
        <v>2297</v>
      </c>
      <c r="J1" s="3" t="s">
        <v>2286</v>
      </c>
      <c r="K1" s="3" t="s">
        <v>372</v>
      </c>
      <c r="L1" s="3" t="s">
        <v>373</v>
      </c>
      <c r="M1" s="3" t="s">
        <v>786</v>
      </c>
      <c r="N1" s="3" t="s">
        <v>2298</v>
      </c>
    </row>
    <row r="2" customFormat="false" ht="41.75" hidden="false" customHeight="false" outlineLevel="0" collapsed="false">
      <c r="A2" s="9" t="s">
        <v>1948</v>
      </c>
      <c r="B2" s="9" t="s">
        <v>609</v>
      </c>
      <c r="C2" s="9" t="s">
        <v>1021</v>
      </c>
      <c r="D2" s="9" t="s">
        <v>1363</v>
      </c>
      <c r="E2" s="9" t="s">
        <v>1022</v>
      </c>
      <c r="F2" s="9" t="s">
        <v>1114</v>
      </c>
      <c r="G2" s="9" t="s">
        <v>1951</v>
      </c>
      <c r="H2" s="9" t="s">
        <v>1116</v>
      </c>
      <c r="I2" s="9" t="s">
        <v>1952</v>
      </c>
      <c r="J2" s="9" t="s">
        <v>1953</v>
      </c>
      <c r="K2" s="9" t="s">
        <v>384</v>
      </c>
      <c r="L2" s="9" t="s">
        <v>384</v>
      </c>
      <c r="M2" s="9" t="s">
        <v>113</v>
      </c>
      <c r="N2" s="9" t="s">
        <v>1954</v>
      </c>
    </row>
    <row r="3" customFormat="false" ht="55.2" hidden="false" customHeight="false" outlineLevel="0" collapsed="false">
      <c r="A3" s="9" t="s">
        <v>1956</v>
      </c>
      <c r="B3" s="9" t="s">
        <v>609</v>
      </c>
      <c r="C3" s="9" t="s">
        <v>1350</v>
      </c>
      <c r="D3" s="9" t="s">
        <v>1957</v>
      </c>
      <c r="E3" s="9" t="s">
        <v>1384</v>
      </c>
      <c r="F3" s="9" t="s">
        <v>1958</v>
      </c>
      <c r="G3" s="9" t="s">
        <v>1959</v>
      </c>
      <c r="H3" s="9" t="s">
        <v>1960</v>
      </c>
      <c r="I3" s="9" t="s">
        <v>2299</v>
      </c>
      <c r="J3" s="9" t="s">
        <v>2300</v>
      </c>
      <c r="K3" s="9" t="s">
        <v>384</v>
      </c>
      <c r="L3" s="9" t="s">
        <v>384</v>
      </c>
      <c r="M3" s="9" t="s">
        <v>797</v>
      </c>
      <c r="N3" s="9" t="s">
        <v>2301</v>
      </c>
    </row>
    <row r="4" customFormat="false" ht="41.75" hidden="false" customHeight="false" outlineLevel="0" collapsed="false">
      <c r="A4" s="9" t="s">
        <v>1976</v>
      </c>
      <c r="B4" s="9" t="s">
        <v>609</v>
      </c>
      <c r="C4" s="9" t="s">
        <v>866</v>
      </c>
      <c r="D4" s="9" t="s">
        <v>1977</v>
      </c>
      <c r="E4" s="9" t="s">
        <v>867</v>
      </c>
      <c r="F4" s="9" t="s">
        <v>1978</v>
      </c>
      <c r="G4" s="9" t="s">
        <v>1979</v>
      </c>
      <c r="H4" s="9" t="s">
        <v>71</v>
      </c>
      <c r="I4" s="9" t="s">
        <v>1980</v>
      </c>
      <c r="J4" s="9" t="s">
        <v>1953</v>
      </c>
      <c r="K4" s="9" t="s">
        <v>384</v>
      </c>
      <c r="L4" s="9" t="s">
        <v>384</v>
      </c>
      <c r="M4" s="9" t="s">
        <v>113</v>
      </c>
      <c r="N4" s="9" t="s">
        <v>1981</v>
      </c>
    </row>
    <row r="5" customFormat="false" ht="55.2" hidden="false" customHeight="false" outlineLevel="0" collapsed="false">
      <c r="A5" s="9" t="s">
        <v>1982</v>
      </c>
      <c r="B5" s="9" t="s">
        <v>609</v>
      </c>
      <c r="C5" s="9" t="s">
        <v>912</v>
      </c>
      <c r="D5" s="9" t="s">
        <v>1983</v>
      </c>
      <c r="E5" s="9" t="s">
        <v>913</v>
      </c>
      <c r="F5" s="9" t="s">
        <v>914</v>
      </c>
      <c r="G5" s="9" t="s">
        <v>1985</v>
      </c>
      <c r="H5" s="9" t="s">
        <v>916</v>
      </c>
      <c r="I5" s="9" t="s">
        <v>1986</v>
      </c>
      <c r="J5" s="9" t="s">
        <v>1989</v>
      </c>
      <c r="K5" s="9" t="s">
        <v>411</v>
      </c>
      <c r="L5" s="9" t="s">
        <v>391</v>
      </c>
      <c r="M5" s="9" t="s">
        <v>113</v>
      </c>
      <c r="N5" s="9" t="s">
        <v>1988</v>
      </c>
    </row>
    <row r="6" customFormat="false" ht="55.2" hidden="false" customHeight="false" outlineLevel="0" collapsed="false">
      <c r="A6" s="9" t="s">
        <v>1990</v>
      </c>
      <c r="B6" s="9" t="s">
        <v>609</v>
      </c>
      <c r="C6" s="9" t="s">
        <v>966</v>
      </c>
      <c r="D6" s="9" t="s">
        <v>1983</v>
      </c>
      <c r="E6" s="9" t="s">
        <v>967</v>
      </c>
      <c r="F6" s="9" t="s">
        <v>1991</v>
      </c>
      <c r="G6" s="9" t="s">
        <v>1992</v>
      </c>
      <c r="H6" s="9" t="s">
        <v>1993</v>
      </c>
      <c r="I6" s="9" t="s">
        <v>1994</v>
      </c>
      <c r="J6" s="9" t="s">
        <v>1989</v>
      </c>
      <c r="K6" s="9" t="s">
        <v>411</v>
      </c>
      <c r="L6" s="9" t="s">
        <v>391</v>
      </c>
      <c r="M6" s="9" t="s">
        <v>113</v>
      </c>
      <c r="N6" s="9" t="s">
        <v>1988</v>
      </c>
    </row>
    <row r="7" customFormat="false" ht="55.2" hidden="false" customHeight="false" outlineLevel="0" collapsed="false">
      <c r="A7" s="9" t="s">
        <v>1995</v>
      </c>
      <c r="B7" s="9" t="s">
        <v>609</v>
      </c>
      <c r="C7" s="9" t="s">
        <v>947</v>
      </c>
      <c r="D7" s="9" t="s">
        <v>1983</v>
      </c>
      <c r="E7" s="9" t="s">
        <v>948</v>
      </c>
      <c r="F7" s="9" t="s">
        <v>949</v>
      </c>
      <c r="G7" s="9" t="s">
        <v>1996</v>
      </c>
      <c r="H7" s="9" t="s">
        <v>1076</v>
      </c>
      <c r="I7" s="9" t="s">
        <v>1997</v>
      </c>
      <c r="J7" s="9" t="s">
        <v>1989</v>
      </c>
      <c r="K7" s="9" t="s">
        <v>411</v>
      </c>
      <c r="L7" s="9" t="s">
        <v>391</v>
      </c>
      <c r="M7" s="9" t="s">
        <v>113</v>
      </c>
      <c r="N7" s="9" t="s">
        <v>1988</v>
      </c>
    </row>
    <row r="8" customFormat="false" ht="41.75" hidden="false" customHeight="false" outlineLevel="0" collapsed="false">
      <c r="A8" s="9" t="s">
        <v>2010</v>
      </c>
      <c r="B8" s="9" t="s">
        <v>618</v>
      </c>
      <c r="C8" s="9" t="s">
        <v>1350</v>
      </c>
      <c r="D8" s="9" t="s">
        <v>1957</v>
      </c>
      <c r="E8" s="9" t="s">
        <v>1384</v>
      </c>
      <c r="F8" s="9" t="s">
        <v>2011</v>
      </c>
      <c r="G8" s="9" t="s">
        <v>2012</v>
      </c>
      <c r="H8" s="9" t="s">
        <v>2013</v>
      </c>
      <c r="I8" s="9" t="s">
        <v>2014</v>
      </c>
      <c r="J8" s="9" t="s">
        <v>1953</v>
      </c>
      <c r="K8" s="9" t="s">
        <v>384</v>
      </c>
      <c r="L8" s="9" t="s">
        <v>384</v>
      </c>
      <c r="M8" s="9" t="s">
        <v>113</v>
      </c>
      <c r="N8" s="9" t="s">
        <v>2015</v>
      </c>
    </row>
    <row r="9" customFormat="false" ht="41.75" hidden="false" customHeight="false" outlineLevel="0" collapsed="false">
      <c r="A9" s="9" t="s">
        <v>2016</v>
      </c>
      <c r="B9" s="9" t="s">
        <v>618</v>
      </c>
      <c r="C9" s="9" t="s">
        <v>1355</v>
      </c>
      <c r="D9" s="9" t="s">
        <v>1337</v>
      </c>
      <c r="E9" s="9" t="s">
        <v>1390</v>
      </c>
      <c r="F9" s="9" t="s">
        <v>1508</v>
      </c>
      <c r="G9" s="9" t="s">
        <v>1533</v>
      </c>
      <c r="H9" s="9" t="s">
        <v>1510</v>
      </c>
      <c r="I9" s="9" t="s">
        <v>1394</v>
      </c>
      <c r="J9" s="9" t="s">
        <v>1953</v>
      </c>
      <c r="K9" s="9" t="s">
        <v>381</v>
      </c>
      <c r="L9" s="9" t="s">
        <v>377</v>
      </c>
      <c r="M9" s="9" t="s">
        <v>1344</v>
      </c>
      <c r="N9" s="9" t="s">
        <v>2017</v>
      </c>
    </row>
    <row r="10" customFormat="false" ht="41.75" hidden="false" customHeight="false" outlineLevel="0" collapsed="false">
      <c r="A10" s="9" t="s">
        <v>2023</v>
      </c>
      <c r="B10" s="9" t="s">
        <v>618</v>
      </c>
      <c r="C10" s="9" t="s">
        <v>866</v>
      </c>
      <c r="D10" s="9" t="s">
        <v>1977</v>
      </c>
      <c r="E10" s="9" t="s">
        <v>867</v>
      </c>
      <c r="F10" s="9" t="s">
        <v>868</v>
      </c>
      <c r="G10" s="9" t="s">
        <v>2024</v>
      </c>
      <c r="H10" s="9" t="s">
        <v>870</v>
      </c>
      <c r="I10" s="9" t="s">
        <v>1980</v>
      </c>
      <c r="J10" s="9" t="s">
        <v>1953</v>
      </c>
      <c r="K10" s="9" t="s">
        <v>381</v>
      </c>
      <c r="L10" s="9" t="s">
        <v>377</v>
      </c>
      <c r="M10" s="9" t="s">
        <v>113</v>
      </c>
      <c r="N10" s="9" t="s">
        <v>2025</v>
      </c>
    </row>
    <row r="11" customFormat="false" ht="41.75" hidden="false" customHeight="false" outlineLevel="0" collapsed="false">
      <c r="A11" s="9" t="s">
        <v>2034</v>
      </c>
      <c r="B11" s="9" t="s">
        <v>618</v>
      </c>
      <c r="C11" s="9" t="s">
        <v>947</v>
      </c>
      <c r="D11" s="9" t="s">
        <v>1363</v>
      </c>
      <c r="E11" s="9" t="s">
        <v>948</v>
      </c>
      <c r="F11" s="9" t="s">
        <v>949</v>
      </c>
      <c r="G11" s="9" t="s">
        <v>2035</v>
      </c>
      <c r="H11" s="9" t="s">
        <v>1076</v>
      </c>
      <c r="I11" s="9" t="s">
        <v>1997</v>
      </c>
      <c r="J11" s="9" t="s">
        <v>1953</v>
      </c>
      <c r="K11" s="9" t="s">
        <v>381</v>
      </c>
      <c r="L11" s="9" t="s">
        <v>377</v>
      </c>
      <c r="M11" s="9" t="s">
        <v>1344</v>
      </c>
      <c r="N11" s="9" t="s">
        <v>2025</v>
      </c>
    </row>
    <row r="12" customFormat="false" ht="41.75" hidden="false" customHeight="false" outlineLevel="0" collapsed="false">
      <c r="A12" s="9" t="s">
        <v>2116</v>
      </c>
      <c r="B12" s="9" t="s">
        <v>644</v>
      </c>
      <c r="C12" s="9" t="s">
        <v>1350</v>
      </c>
      <c r="D12" s="9" t="s">
        <v>2117</v>
      </c>
      <c r="E12" s="9" t="s">
        <v>1384</v>
      </c>
      <c r="F12" s="9" t="s">
        <v>2118</v>
      </c>
      <c r="G12" s="9" t="s">
        <v>2119</v>
      </c>
      <c r="H12" s="9" t="s">
        <v>2120</v>
      </c>
      <c r="I12" s="9" t="s">
        <v>2121</v>
      </c>
      <c r="J12" s="9" t="s">
        <v>1953</v>
      </c>
      <c r="K12" s="9" t="s">
        <v>384</v>
      </c>
      <c r="L12" s="9" t="s">
        <v>384</v>
      </c>
      <c r="M12" s="9" t="s">
        <v>113</v>
      </c>
      <c r="N12" s="9" t="s">
        <v>2122</v>
      </c>
    </row>
    <row r="13" customFormat="false" ht="41.75" hidden="false" customHeight="false" outlineLevel="0" collapsed="false">
      <c r="A13" s="9" t="s">
        <v>2123</v>
      </c>
      <c r="B13" s="9" t="s">
        <v>644</v>
      </c>
      <c r="C13" s="9" t="s">
        <v>1355</v>
      </c>
      <c r="D13" s="9" t="s">
        <v>2124</v>
      </c>
      <c r="E13" s="9" t="s">
        <v>1390</v>
      </c>
      <c r="F13" s="9" t="s">
        <v>2125</v>
      </c>
      <c r="G13" s="9" t="s">
        <v>2126</v>
      </c>
      <c r="H13" s="9" t="s">
        <v>2127</v>
      </c>
      <c r="I13" s="9" t="s">
        <v>1394</v>
      </c>
      <c r="J13" s="9" t="s">
        <v>1953</v>
      </c>
      <c r="K13" s="9" t="s">
        <v>384</v>
      </c>
      <c r="L13" s="9" t="s">
        <v>384</v>
      </c>
      <c r="M13" s="9" t="s">
        <v>113</v>
      </c>
      <c r="N13" s="9" t="s">
        <v>2128</v>
      </c>
    </row>
    <row r="14" customFormat="false" ht="41.75" hidden="false" customHeight="false" outlineLevel="0" collapsed="false">
      <c r="A14" s="9" t="s">
        <v>2133</v>
      </c>
      <c r="B14" s="9" t="s">
        <v>644</v>
      </c>
      <c r="C14" s="9" t="s">
        <v>866</v>
      </c>
      <c r="D14" s="9" t="s">
        <v>1983</v>
      </c>
      <c r="E14" s="9" t="s">
        <v>867</v>
      </c>
      <c r="F14" s="9" t="s">
        <v>2134</v>
      </c>
      <c r="G14" s="9" t="s">
        <v>2135</v>
      </c>
      <c r="H14" s="9" t="s">
        <v>870</v>
      </c>
      <c r="I14" s="9" t="s">
        <v>2136</v>
      </c>
      <c r="J14" s="9" t="s">
        <v>1989</v>
      </c>
      <c r="K14" s="9" t="s">
        <v>411</v>
      </c>
      <c r="L14" s="9" t="s">
        <v>391</v>
      </c>
      <c r="M14" s="9" t="s">
        <v>113</v>
      </c>
      <c r="N14" s="9" t="s">
        <v>2137</v>
      </c>
    </row>
    <row r="15" customFormat="false" ht="41.75" hidden="false" customHeight="false" outlineLevel="0" collapsed="false">
      <c r="A15" s="9" t="s">
        <v>2138</v>
      </c>
      <c r="B15" s="9" t="s">
        <v>644</v>
      </c>
      <c r="C15" s="9" t="s">
        <v>912</v>
      </c>
      <c r="D15" s="9" t="s">
        <v>1983</v>
      </c>
      <c r="E15" s="9" t="s">
        <v>913</v>
      </c>
      <c r="F15" s="9" t="s">
        <v>914</v>
      </c>
      <c r="G15" s="9" t="s">
        <v>1985</v>
      </c>
      <c r="H15" s="9" t="s">
        <v>916</v>
      </c>
      <c r="I15" s="9" t="s">
        <v>1986</v>
      </c>
      <c r="J15" s="9" t="s">
        <v>1989</v>
      </c>
      <c r="K15" s="9" t="s">
        <v>411</v>
      </c>
      <c r="L15" s="9" t="s">
        <v>391</v>
      </c>
      <c r="M15" s="9" t="s">
        <v>113</v>
      </c>
      <c r="N15" s="9" t="s">
        <v>2137</v>
      </c>
    </row>
    <row r="16" customFormat="false" ht="41.75" hidden="false" customHeight="false" outlineLevel="0" collapsed="false">
      <c r="A16" s="9" t="s">
        <v>2139</v>
      </c>
      <c r="B16" s="9" t="s">
        <v>644</v>
      </c>
      <c r="C16" s="9" t="s">
        <v>966</v>
      </c>
      <c r="D16" s="9" t="s">
        <v>1983</v>
      </c>
      <c r="E16" s="9" t="s">
        <v>967</v>
      </c>
      <c r="F16" s="9" t="s">
        <v>1991</v>
      </c>
      <c r="G16" s="9" t="s">
        <v>1992</v>
      </c>
      <c r="H16" s="9" t="s">
        <v>1993</v>
      </c>
      <c r="I16" s="9" t="s">
        <v>1994</v>
      </c>
      <c r="J16" s="9" t="s">
        <v>1989</v>
      </c>
      <c r="K16" s="9" t="s">
        <v>411</v>
      </c>
      <c r="L16" s="9" t="s">
        <v>391</v>
      </c>
      <c r="M16" s="9" t="s">
        <v>113</v>
      </c>
      <c r="N16" s="9" t="s">
        <v>2137</v>
      </c>
    </row>
    <row r="17" customFormat="false" ht="41.75" hidden="false" customHeight="false" outlineLevel="0" collapsed="false">
      <c r="A17" s="9" t="s">
        <v>2140</v>
      </c>
      <c r="B17" s="9" t="s">
        <v>644</v>
      </c>
      <c r="C17" s="9" t="s">
        <v>947</v>
      </c>
      <c r="D17" s="9" t="s">
        <v>1983</v>
      </c>
      <c r="E17" s="9" t="s">
        <v>948</v>
      </c>
      <c r="F17" s="9" t="s">
        <v>949</v>
      </c>
      <c r="G17" s="9" t="s">
        <v>1996</v>
      </c>
      <c r="H17" s="9" t="s">
        <v>1076</v>
      </c>
      <c r="I17" s="9" t="s">
        <v>1997</v>
      </c>
      <c r="J17" s="9" t="s">
        <v>1989</v>
      </c>
      <c r="K17" s="9" t="s">
        <v>411</v>
      </c>
      <c r="L17" s="9" t="s">
        <v>391</v>
      </c>
      <c r="M17" s="9" t="s">
        <v>113</v>
      </c>
      <c r="N17" s="9" t="s">
        <v>2137</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0" width="27"/>
    <col collapsed="false" customWidth="true" hidden="false" outlineLevel="0" max="2" min="2" style="0" width="8"/>
    <col collapsed="false" customWidth="true" hidden="false" outlineLevel="0" max="3" min="3" style="0" width="10"/>
    <col collapsed="false" customWidth="true" hidden="false" outlineLevel="0" max="5" min="4" style="0" width="8"/>
    <col collapsed="false" customWidth="true" hidden="false" outlineLevel="0" max="7" min="6" style="0" width="16"/>
    <col collapsed="false" customWidth="true" hidden="false" outlineLevel="0" max="8" min="8" style="0" width="15"/>
    <col collapsed="false" customWidth="true" hidden="false" outlineLevel="0" max="9" min="9" style="0" width="18"/>
    <col collapsed="false" customWidth="true" hidden="false" outlineLevel="0" max="10" min="10" style="0" width="16"/>
    <col collapsed="false" customWidth="true" hidden="false" outlineLevel="0" max="11" min="11" style="0" width="14"/>
    <col collapsed="false" customWidth="true" hidden="false" outlineLevel="0" max="12" min="12" style="0" width="13"/>
    <col collapsed="false" customWidth="true" hidden="false" outlineLevel="0" max="13" min="13" style="0" width="16"/>
    <col collapsed="false" customWidth="true" hidden="false" outlineLevel="0" max="14" min="14" style="0" width="11"/>
    <col collapsed="false" customWidth="true" hidden="false" outlineLevel="0" max="15" min="15" style="0" width="8.63"/>
    <col collapsed="false" customWidth="true" hidden="false" outlineLevel="0" max="17" min="16" style="0" width="46"/>
    <col collapsed="false" customWidth="true" hidden="false" outlineLevel="0" max="26" min="18" style="0" width="8.63"/>
  </cols>
  <sheetData>
    <row r="1" customFormat="false" ht="15" hidden="false" customHeight="false" outlineLevel="0" collapsed="false">
      <c r="A1" s="3" t="s">
        <v>1314</v>
      </c>
      <c r="B1" s="3" t="s">
        <v>377</v>
      </c>
      <c r="C1" s="3" t="s">
        <v>381</v>
      </c>
      <c r="D1" s="3" t="s">
        <v>384</v>
      </c>
      <c r="E1" s="3" t="s">
        <v>387</v>
      </c>
      <c r="F1" s="3" t="s">
        <v>2302</v>
      </c>
      <c r="G1" s="3" t="s">
        <v>2303</v>
      </c>
      <c r="H1" s="3" t="s">
        <v>2304</v>
      </c>
      <c r="I1" s="3" t="s">
        <v>2305</v>
      </c>
      <c r="J1" s="3" t="s">
        <v>2306</v>
      </c>
      <c r="K1" s="3" t="s">
        <v>2307</v>
      </c>
      <c r="L1" s="3" t="s">
        <v>2308</v>
      </c>
      <c r="M1" s="3" t="s">
        <v>2309</v>
      </c>
      <c r="N1" s="3" t="s">
        <v>2310</v>
      </c>
      <c r="P1" s="7" t="s">
        <v>2311</v>
      </c>
      <c r="Q1" s="7" t="s">
        <v>2312</v>
      </c>
    </row>
    <row r="2" customFormat="false" ht="28.35" hidden="false" customHeight="false" outlineLevel="0" collapsed="false">
      <c r="A2" s="9" t="s">
        <v>1021</v>
      </c>
      <c r="B2" s="9" t="n">
        <f aca="false">COUNTIFS('Evidence-First Cell Queue'!$E$6:$E$461,$A2,'Evidence-First Cell Queue'!$X$6:$X$461,"A")</f>
        <v>13</v>
      </c>
      <c r="C2" s="9" t="n">
        <f aca="false">COUNTIFS('Evidence-First Cell Queue'!$E$6:$E$461,$A2,'Evidence-First Cell Queue'!$X$6:$X$461,"A-SF")</f>
        <v>1</v>
      </c>
      <c r="D2" s="9" t="n">
        <f aca="false">COUNTIFS('Evidence-First Cell Queue'!$E$6:$E$461,$A2,'Evidence-First Cell Queue'!$X$6:$X$461,"Q")</f>
        <v>4</v>
      </c>
      <c r="E2" s="9" t="n">
        <f aca="false">COUNTIFS('Evidence-First Cell Queue'!$E$6:$E$461,$A2,'Evidence-First Cell Queue'!$X$6:$X$461,"D")</f>
        <v>2</v>
      </c>
      <c r="F2" s="9" t="n">
        <f aca="false">COUNTIFS('Evidence-First Cell Queue'!$E$6:$E$461,$A2,'Evidence-First Cell Queue'!$X$6:$X$461,"VECTOR COMPLETE")</f>
        <v>1</v>
      </c>
      <c r="G2" s="9" t="n">
        <f aca="false">COUNTIFS('Evidence-First Cell Queue'!$E$6:$E$461,$A2,'Evidence-First Cell Queue'!$X$6:$X$461,"VECTOR PENDING")</f>
        <v>1</v>
      </c>
      <c r="H2" s="9" t="n">
        <f aca="false">COUNTIFS('Evidence-First Cell Queue'!$E$6:$E$461,$A2,'Evidence-First Cell Queue'!$X$6:$X$461,"PENDING REVIEW")</f>
        <v>0</v>
      </c>
      <c r="I2" s="9" t="n">
        <f aca="false">COUNTIFS('Evidence-First Cell Queue'!$E$6:$E$461,$A2,'Evidence-First Cell Queue'!$X$6:$X$461,"RECONCILIATION HOLD — SOURCE ROLE")</f>
        <v>0</v>
      </c>
      <c r="J2" s="9" t="n">
        <f aca="false">COUNTIFS('Evidence-First Cell Queue'!$E$6:$E$461,$A2,'Evidence-First Cell Queue'!$X$6:$X$461,"NOT LOCATED — CURRENT SOURCE")+COUNTIFS('Evidence-First Cell Queue'!$E$6:$E$461,$A2,'Evidence-First Cell Queue'!$X$6:$X$461,"NOT LOCATED — CURRENT STANDARD REVIEWED")+COUNTIFS('Evidence-First Cell Queue'!$E$6:$E$461,$A2,'Evidence-First Cell Queue'!$X$6:$X$461,"NOT LOCATED — NOT YET RECOVERED")+COUNTIFS('Evidence-First Cell Queue'!$E$6:$E$461,$A2,'Evidence-First Cell Queue'!$X$6:$X$461,"NOT LOCATED — NO PUBLIC EVIDENCE")</f>
        <v>34</v>
      </c>
      <c r="K2" s="9" t="n">
        <f aca="false">COUNTIFS('Evidence-First Cell Queue'!$E$6:$E$461,$A2,'Evidence-First Cell Queue'!$X$6:$X$461,"OUT OF SCOPE")</f>
        <v>1</v>
      </c>
      <c r="L2" s="9" t="n">
        <f aca="false">SUM(B2:K2)</f>
        <v>57</v>
      </c>
      <c r="M2" s="9" t="n">
        <f aca="false">COUNTIFS('Evidence-First Cell Queue'!$E$6:$E$461,$A2,'Evidence-First Cell Queue'!$Y$6:$Y$461,"&lt;&gt;EXCLUDED")</f>
        <v>20</v>
      </c>
      <c r="N2" s="9" t="str">
        <f aca="false">IF(L2=57,"MATCH","REVIEW")</f>
        <v>MATCH</v>
      </c>
      <c r="P2" s="4" t="s">
        <v>2313</v>
      </c>
      <c r="Q2" s="4" t="s">
        <v>2314</v>
      </c>
    </row>
    <row r="3" customFormat="false" ht="28.35" hidden="false" customHeight="false" outlineLevel="0" collapsed="false">
      <c r="A3" s="9" t="s">
        <v>1350</v>
      </c>
      <c r="B3" s="9" t="n">
        <f aca="false">COUNTIFS('Evidence-First Cell Queue'!$E$6:$E$461,$A3,'Evidence-First Cell Queue'!$X$6:$X$461,"A")</f>
        <v>5</v>
      </c>
      <c r="C3" s="9" t="n">
        <f aca="false">COUNTIFS('Evidence-First Cell Queue'!$E$6:$E$461,$A3,'Evidence-First Cell Queue'!$X$6:$X$461,"A-SF")</f>
        <v>0</v>
      </c>
      <c r="D3" s="9" t="n">
        <f aca="false">COUNTIFS('Evidence-First Cell Queue'!$E$6:$E$461,$A3,'Evidence-First Cell Queue'!$X$6:$X$461,"Q")</f>
        <v>5</v>
      </c>
      <c r="E3" s="9" t="n">
        <f aca="false">COUNTIFS('Evidence-First Cell Queue'!$E$6:$E$461,$A3,'Evidence-First Cell Queue'!$X$6:$X$461,"D")</f>
        <v>0</v>
      </c>
      <c r="F3" s="9" t="n">
        <f aca="false">COUNTIFS('Evidence-First Cell Queue'!$E$6:$E$461,$A3,'Evidence-First Cell Queue'!$X$6:$X$461,"VECTOR COMPLETE")</f>
        <v>0</v>
      </c>
      <c r="G3" s="9" t="n">
        <f aca="false">COUNTIFS('Evidence-First Cell Queue'!$E$6:$E$461,$A3,'Evidence-First Cell Queue'!$X$6:$X$461,"VECTOR PENDING")</f>
        <v>1</v>
      </c>
      <c r="H3" s="9" t="n">
        <f aca="false">COUNTIFS('Evidence-First Cell Queue'!$E$6:$E$461,$A3,'Evidence-First Cell Queue'!$X$6:$X$461,"PENDING REVIEW")</f>
        <v>1</v>
      </c>
      <c r="I3" s="9" t="n">
        <f aca="false">COUNTIFS('Evidence-First Cell Queue'!$E$6:$E$461,$A3,'Evidence-First Cell Queue'!$X$6:$X$461,"RECONCILIATION HOLD — SOURCE ROLE")</f>
        <v>0</v>
      </c>
      <c r="J3" s="9" t="n">
        <f aca="false">COUNTIFS('Evidence-First Cell Queue'!$E$6:$E$461,$A3,'Evidence-First Cell Queue'!$X$6:$X$461,"NOT LOCATED — CURRENT SOURCE")+COUNTIFS('Evidence-First Cell Queue'!$E$6:$E$461,$A3,'Evidence-First Cell Queue'!$X$6:$X$461,"NOT LOCATED — CURRENT STANDARD REVIEWED")+COUNTIFS('Evidence-First Cell Queue'!$E$6:$E$461,$A3,'Evidence-First Cell Queue'!$X$6:$X$461,"NOT LOCATED — NOT YET RECOVERED")+COUNTIFS('Evidence-First Cell Queue'!$E$6:$E$461,$A3,'Evidence-First Cell Queue'!$X$6:$X$461,"NOT LOCATED — NO PUBLIC EVIDENCE")</f>
        <v>44</v>
      </c>
      <c r="K3" s="9" t="n">
        <f aca="false">COUNTIFS('Evidence-First Cell Queue'!$E$6:$E$461,$A3,'Evidence-First Cell Queue'!$X$6:$X$461,"OUT OF SCOPE")</f>
        <v>1</v>
      </c>
      <c r="L3" s="9" t="n">
        <f aca="false">SUM(B3:K3)</f>
        <v>57</v>
      </c>
      <c r="M3" s="9" t="n">
        <f aca="false">COUNTIFS('Evidence-First Cell Queue'!$E$6:$E$461,$A3,'Evidence-First Cell Queue'!$Y$6:$Y$461,"&lt;&gt;EXCLUDED")</f>
        <v>10</v>
      </c>
      <c r="N3" s="9" t="str">
        <f aca="false">IF(L3=57,"MATCH","REVIEW")</f>
        <v>MATCH</v>
      </c>
      <c r="P3" s="4" t="s">
        <v>2315</v>
      </c>
      <c r="Q3" s="4" t="s">
        <v>2316</v>
      </c>
    </row>
    <row r="4" customFormat="false" ht="15" hidden="false" customHeight="false" outlineLevel="0" collapsed="false">
      <c r="A4" s="9" t="s">
        <v>1355</v>
      </c>
      <c r="B4" s="9" t="n">
        <f aca="false">COUNTIFS('Evidence-First Cell Queue'!$E$6:$E$461,$A4,'Evidence-First Cell Queue'!$X$6:$X$461,"A")</f>
        <v>9</v>
      </c>
      <c r="C4" s="9" t="n">
        <f aca="false">COUNTIFS('Evidence-First Cell Queue'!$E$6:$E$461,$A4,'Evidence-First Cell Queue'!$X$6:$X$461,"A-SF")</f>
        <v>1</v>
      </c>
      <c r="D4" s="9" t="n">
        <f aca="false">COUNTIFS('Evidence-First Cell Queue'!$E$6:$E$461,$A4,'Evidence-First Cell Queue'!$X$6:$X$461,"Q")</f>
        <v>3</v>
      </c>
      <c r="E4" s="9" t="n">
        <f aca="false">COUNTIFS('Evidence-First Cell Queue'!$E$6:$E$461,$A4,'Evidence-First Cell Queue'!$X$6:$X$461,"D")</f>
        <v>2</v>
      </c>
      <c r="F4" s="9" t="n">
        <f aca="false">COUNTIFS('Evidence-First Cell Queue'!$E$6:$E$461,$A4,'Evidence-First Cell Queue'!$X$6:$X$461,"VECTOR COMPLETE")</f>
        <v>0</v>
      </c>
      <c r="G4" s="9" t="n">
        <f aca="false">COUNTIFS('Evidence-First Cell Queue'!$E$6:$E$461,$A4,'Evidence-First Cell Queue'!$X$6:$X$461,"VECTOR PENDING")</f>
        <v>2</v>
      </c>
      <c r="H4" s="9" t="n">
        <f aca="false">COUNTIFS('Evidence-First Cell Queue'!$E$6:$E$461,$A4,'Evidence-First Cell Queue'!$X$6:$X$461,"PENDING REVIEW")</f>
        <v>0</v>
      </c>
      <c r="I4" s="9" t="n">
        <f aca="false">COUNTIFS('Evidence-First Cell Queue'!$E$6:$E$461,$A4,'Evidence-First Cell Queue'!$X$6:$X$461,"RECONCILIATION HOLD — SOURCE ROLE")</f>
        <v>0</v>
      </c>
      <c r="J4" s="9" t="n">
        <f aca="false">COUNTIFS('Evidence-First Cell Queue'!$E$6:$E$461,$A4,'Evidence-First Cell Queue'!$X$6:$X$461,"NOT LOCATED — CURRENT SOURCE")+COUNTIFS('Evidence-First Cell Queue'!$E$6:$E$461,$A4,'Evidence-First Cell Queue'!$X$6:$X$461,"NOT LOCATED — CURRENT STANDARD REVIEWED")+COUNTIFS('Evidence-First Cell Queue'!$E$6:$E$461,$A4,'Evidence-First Cell Queue'!$X$6:$X$461,"NOT LOCATED — NOT YET RECOVERED")+COUNTIFS('Evidence-First Cell Queue'!$E$6:$E$461,$A4,'Evidence-First Cell Queue'!$X$6:$X$461,"NOT LOCATED — NO PUBLIC EVIDENCE")</f>
        <v>39</v>
      </c>
      <c r="K4" s="9" t="n">
        <f aca="false">COUNTIFS('Evidence-First Cell Queue'!$E$6:$E$461,$A4,'Evidence-First Cell Queue'!$X$6:$X$461,"OUT OF SCOPE")</f>
        <v>1</v>
      </c>
      <c r="L4" s="9" t="n">
        <f aca="false">SUM(B4:K4)</f>
        <v>57</v>
      </c>
      <c r="M4" s="9" t="n">
        <f aca="false">COUNTIFS('Evidence-First Cell Queue'!$E$6:$E$461,$A4,'Evidence-First Cell Queue'!$Y$6:$Y$461,"&lt;&gt;EXCLUDED")</f>
        <v>15</v>
      </c>
      <c r="N4" s="9" t="str">
        <f aca="false">IF(L4=57,"MATCH","REVIEW")</f>
        <v>MATCH</v>
      </c>
    </row>
    <row r="5" customFormat="false" ht="15" hidden="false" customHeight="false" outlineLevel="0" collapsed="false">
      <c r="A5" s="9" t="s">
        <v>886</v>
      </c>
      <c r="B5" s="9" t="n">
        <f aca="false">COUNTIFS('Evidence-First Cell Queue'!$E$6:$E$461,$A5,'Evidence-First Cell Queue'!$X$6:$X$461,"A")</f>
        <v>28</v>
      </c>
      <c r="C5" s="9" t="n">
        <f aca="false">COUNTIFS('Evidence-First Cell Queue'!$E$6:$E$461,$A5,'Evidence-First Cell Queue'!$X$6:$X$461,"A-SF")</f>
        <v>0</v>
      </c>
      <c r="D5" s="9" t="n">
        <f aca="false">COUNTIFS('Evidence-First Cell Queue'!$E$6:$E$461,$A5,'Evidence-First Cell Queue'!$X$6:$X$461,"Q")</f>
        <v>5</v>
      </c>
      <c r="E5" s="9" t="n">
        <f aca="false">COUNTIFS('Evidence-First Cell Queue'!$E$6:$E$461,$A5,'Evidence-First Cell Queue'!$X$6:$X$461,"D")</f>
        <v>4</v>
      </c>
      <c r="F5" s="9" t="n">
        <f aca="false">COUNTIFS('Evidence-First Cell Queue'!$E$6:$E$461,$A5,'Evidence-First Cell Queue'!$X$6:$X$461,"VECTOR COMPLETE")</f>
        <v>1</v>
      </c>
      <c r="G5" s="9" t="n">
        <f aca="false">COUNTIFS('Evidence-First Cell Queue'!$E$6:$E$461,$A5,'Evidence-First Cell Queue'!$X$6:$X$461,"VECTOR PENDING")</f>
        <v>2</v>
      </c>
      <c r="H5" s="9" t="n">
        <f aca="false">COUNTIFS('Evidence-First Cell Queue'!$E$6:$E$461,$A5,'Evidence-First Cell Queue'!$X$6:$X$461,"PENDING REVIEW")</f>
        <v>0</v>
      </c>
      <c r="I5" s="9" t="n">
        <f aca="false">COUNTIFS('Evidence-First Cell Queue'!$E$6:$E$461,$A5,'Evidence-First Cell Queue'!$X$6:$X$461,"RECONCILIATION HOLD — SOURCE ROLE")</f>
        <v>0</v>
      </c>
      <c r="J5" s="9" t="n">
        <f aca="false">COUNTIFS('Evidence-First Cell Queue'!$E$6:$E$461,$A5,'Evidence-First Cell Queue'!$X$6:$X$461,"NOT LOCATED — CURRENT SOURCE")+COUNTIFS('Evidence-First Cell Queue'!$E$6:$E$461,$A5,'Evidence-First Cell Queue'!$X$6:$X$461,"NOT LOCATED — CURRENT STANDARD REVIEWED")+COUNTIFS('Evidence-First Cell Queue'!$E$6:$E$461,$A5,'Evidence-First Cell Queue'!$X$6:$X$461,"NOT LOCATED — NOT YET RECOVERED")+COUNTIFS('Evidence-First Cell Queue'!$E$6:$E$461,$A5,'Evidence-First Cell Queue'!$X$6:$X$461,"NOT LOCATED — NO PUBLIC EVIDENCE")</f>
        <v>16</v>
      </c>
      <c r="K5" s="9" t="n">
        <f aca="false">COUNTIFS('Evidence-First Cell Queue'!$E$6:$E$461,$A5,'Evidence-First Cell Queue'!$X$6:$X$461,"OUT OF SCOPE")</f>
        <v>1</v>
      </c>
      <c r="L5" s="9" t="n">
        <f aca="false">SUM(B5:K5)</f>
        <v>57</v>
      </c>
      <c r="M5" s="9" t="n">
        <f aca="false">COUNTIFS('Evidence-First Cell Queue'!$E$6:$E$461,$A5,'Evidence-First Cell Queue'!$Y$6:$Y$461,"&lt;&gt;EXCLUDED")</f>
        <v>37</v>
      </c>
      <c r="N5" s="9" t="str">
        <f aca="false">IF(L5=57,"MATCH","REVIEW")</f>
        <v>MATCH</v>
      </c>
    </row>
    <row r="6" customFormat="false" ht="15" hidden="false" customHeight="false" outlineLevel="0" collapsed="false">
      <c r="A6" s="9" t="s">
        <v>866</v>
      </c>
      <c r="B6" s="9" t="n">
        <f aca="false">COUNTIFS('Evidence-First Cell Queue'!$E$6:$E$461,$A6,'Evidence-First Cell Queue'!$X$6:$X$461,"A")</f>
        <v>6</v>
      </c>
      <c r="C6" s="9" t="n">
        <f aca="false">COUNTIFS('Evidence-First Cell Queue'!$E$6:$E$461,$A6,'Evidence-First Cell Queue'!$X$6:$X$461,"A-SF")</f>
        <v>1</v>
      </c>
      <c r="D6" s="9" t="n">
        <f aca="false">COUNTIFS('Evidence-First Cell Queue'!$E$6:$E$461,$A6,'Evidence-First Cell Queue'!$X$6:$X$461,"Q")</f>
        <v>2</v>
      </c>
      <c r="E6" s="9" t="n">
        <f aca="false">COUNTIFS('Evidence-First Cell Queue'!$E$6:$E$461,$A6,'Evidence-First Cell Queue'!$X$6:$X$461,"D")</f>
        <v>3</v>
      </c>
      <c r="F6" s="9" t="n">
        <f aca="false">COUNTIFS('Evidence-First Cell Queue'!$E$6:$E$461,$A6,'Evidence-First Cell Queue'!$X$6:$X$461,"VECTOR COMPLETE")</f>
        <v>0</v>
      </c>
      <c r="G6" s="9" t="n">
        <f aca="false">COUNTIFS('Evidence-First Cell Queue'!$E$6:$E$461,$A6,'Evidence-First Cell Queue'!$X$6:$X$461,"VECTOR PENDING")</f>
        <v>1</v>
      </c>
      <c r="H6" s="9" t="n">
        <f aca="false">COUNTIFS('Evidence-First Cell Queue'!$E$6:$E$461,$A6,'Evidence-First Cell Queue'!$X$6:$X$461,"PENDING REVIEW")</f>
        <v>0</v>
      </c>
      <c r="I6" s="9" t="n">
        <f aca="false">COUNTIFS('Evidence-First Cell Queue'!$E$6:$E$461,$A6,'Evidence-First Cell Queue'!$X$6:$X$461,"RECONCILIATION HOLD — SOURCE ROLE")</f>
        <v>0</v>
      </c>
      <c r="J6" s="9" t="n">
        <f aca="false">COUNTIFS('Evidence-First Cell Queue'!$E$6:$E$461,$A6,'Evidence-First Cell Queue'!$X$6:$X$461,"NOT LOCATED — CURRENT SOURCE")+COUNTIFS('Evidence-First Cell Queue'!$E$6:$E$461,$A6,'Evidence-First Cell Queue'!$X$6:$X$461,"NOT LOCATED — CURRENT STANDARD REVIEWED")+COUNTIFS('Evidence-First Cell Queue'!$E$6:$E$461,$A6,'Evidence-First Cell Queue'!$X$6:$X$461,"NOT LOCATED — NOT YET RECOVERED")+COUNTIFS('Evidence-First Cell Queue'!$E$6:$E$461,$A6,'Evidence-First Cell Queue'!$X$6:$X$461,"NOT LOCATED — NO PUBLIC EVIDENCE")</f>
        <v>43</v>
      </c>
      <c r="K6" s="9" t="n">
        <f aca="false">COUNTIFS('Evidence-First Cell Queue'!$E$6:$E$461,$A6,'Evidence-First Cell Queue'!$X$6:$X$461,"OUT OF SCOPE")</f>
        <v>1</v>
      </c>
      <c r="L6" s="9" t="n">
        <f aca="false">SUM(B6:K6)</f>
        <v>57</v>
      </c>
      <c r="M6" s="9" t="n">
        <f aca="false">COUNTIFS('Evidence-First Cell Queue'!$E$6:$E$461,$A6,'Evidence-First Cell Queue'!$Y$6:$Y$461,"&lt;&gt;EXCLUDED")</f>
        <v>12</v>
      </c>
      <c r="N6" s="9" t="str">
        <f aca="false">IF(L6=57,"MATCH","REVIEW")</f>
        <v>MATCH</v>
      </c>
    </row>
    <row r="7" customFormat="false" ht="15" hidden="false" customHeight="false" outlineLevel="0" collapsed="false">
      <c r="A7" s="9" t="s">
        <v>912</v>
      </c>
      <c r="B7" s="9" t="n">
        <f aca="false">COUNTIFS('Evidence-First Cell Queue'!$E$6:$E$461,$A7,'Evidence-First Cell Queue'!$X$6:$X$461,"A")</f>
        <v>14</v>
      </c>
      <c r="C7" s="9" t="n">
        <f aca="false">COUNTIFS('Evidence-First Cell Queue'!$E$6:$E$461,$A7,'Evidence-First Cell Queue'!$X$6:$X$461,"A-SF")</f>
        <v>1</v>
      </c>
      <c r="D7" s="9" t="n">
        <f aca="false">COUNTIFS('Evidence-First Cell Queue'!$E$6:$E$461,$A7,'Evidence-First Cell Queue'!$X$6:$X$461,"Q")</f>
        <v>1</v>
      </c>
      <c r="E7" s="9" t="n">
        <f aca="false">COUNTIFS('Evidence-First Cell Queue'!$E$6:$E$461,$A7,'Evidence-First Cell Queue'!$X$6:$X$461,"D")</f>
        <v>0</v>
      </c>
      <c r="F7" s="9" t="n">
        <f aca="false">COUNTIFS('Evidence-First Cell Queue'!$E$6:$E$461,$A7,'Evidence-First Cell Queue'!$X$6:$X$461,"VECTOR COMPLETE")</f>
        <v>1</v>
      </c>
      <c r="G7" s="9" t="n">
        <f aca="false">COUNTIFS('Evidence-First Cell Queue'!$E$6:$E$461,$A7,'Evidence-First Cell Queue'!$X$6:$X$461,"VECTOR PENDING")</f>
        <v>1</v>
      </c>
      <c r="H7" s="9" t="n">
        <f aca="false">COUNTIFS('Evidence-First Cell Queue'!$E$6:$E$461,$A7,'Evidence-First Cell Queue'!$X$6:$X$461,"PENDING REVIEW")</f>
        <v>0</v>
      </c>
      <c r="I7" s="9" t="n">
        <f aca="false">COUNTIFS('Evidence-First Cell Queue'!$E$6:$E$461,$A7,'Evidence-First Cell Queue'!$X$6:$X$461,"RECONCILIATION HOLD — SOURCE ROLE")</f>
        <v>0</v>
      </c>
      <c r="J7" s="9" t="n">
        <f aca="false">COUNTIFS('Evidence-First Cell Queue'!$E$6:$E$461,$A7,'Evidence-First Cell Queue'!$X$6:$X$461,"NOT LOCATED — CURRENT SOURCE")+COUNTIFS('Evidence-First Cell Queue'!$E$6:$E$461,$A7,'Evidence-First Cell Queue'!$X$6:$X$461,"NOT LOCATED — CURRENT STANDARD REVIEWED")+COUNTIFS('Evidence-First Cell Queue'!$E$6:$E$461,$A7,'Evidence-First Cell Queue'!$X$6:$X$461,"NOT LOCATED — NOT YET RECOVERED")+COUNTIFS('Evidence-First Cell Queue'!$E$6:$E$461,$A7,'Evidence-First Cell Queue'!$X$6:$X$461,"NOT LOCATED — NO PUBLIC EVIDENCE")</f>
        <v>38</v>
      </c>
      <c r="K7" s="9" t="n">
        <f aca="false">COUNTIFS('Evidence-First Cell Queue'!$E$6:$E$461,$A7,'Evidence-First Cell Queue'!$X$6:$X$461,"OUT OF SCOPE")</f>
        <v>1</v>
      </c>
      <c r="L7" s="9" t="n">
        <f aca="false">SUM(B7:K7)</f>
        <v>57</v>
      </c>
      <c r="M7" s="9" t="n">
        <f aca="false">COUNTIFS('Evidence-First Cell Queue'!$E$6:$E$461,$A7,'Evidence-First Cell Queue'!$Y$6:$Y$461,"&lt;&gt;EXCLUDED")</f>
        <v>16</v>
      </c>
      <c r="N7" s="9" t="str">
        <f aca="false">IF(L7=57,"MATCH","REVIEW")</f>
        <v>MATCH</v>
      </c>
    </row>
    <row r="8" customFormat="false" ht="15" hidden="false" customHeight="false" outlineLevel="0" collapsed="false">
      <c r="A8" s="9" t="s">
        <v>966</v>
      </c>
      <c r="B8" s="9" t="n">
        <f aca="false">COUNTIFS('Evidence-First Cell Queue'!$E$6:$E$461,$A8,'Evidence-First Cell Queue'!$X$6:$X$461,"A")</f>
        <v>14</v>
      </c>
      <c r="C8" s="9" t="n">
        <f aca="false">COUNTIFS('Evidence-First Cell Queue'!$E$6:$E$461,$A8,'Evidence-First Cell Queue'!$X$6:$X$461,"A-SF")</f>
        <v>1</v>
      </c>
      <c r="D8" s="9" t="n">
        <f aca="false">COUNTIFS('Evidence-First Cell Queue'!$E$6:$E$461,$A8,'Evidence-First Cell Queue'!$X$6:$X$461,"Q")</f>
        <v>1</v>
      </c>
      <c r="E8" s="9" t="n">
        <f aca="false">COUNTIFS('Evidence-First Cell Queue'!$E$6:$E$461,$A8,'Evidence-First Cell Queue'!$X$6:$X$461,"D")</f>
        <v>2</v>
      </c>
      <c r="F8" s="9" t="n">
        <f aca="false">COUNTIFS('Evidence-First Cell Queue'!$E$6:$E$461,$A8,'Evidence-First Cell Queue'!$X$6:$X$461,"VECTOR COMPLETE")</f>
        <v>0</v>
      </c>
      <c r="G8" s="9" t="n">
        <f aca="false">COUNTIFS('Evidence-First Cell Queue'!$E$6:$E$461,$A8,'Evidence-First Cell Queue'!$X$6:$X$461,"VECTOR PENDING")</f>
        <v>1</v>
      </c>
      <c r="H8" s="9" t="n">
        <f aca="false">COUNTIFS('Evidence-First Cell Queue'!$E$6:$E$461,$A8,'Evidence-First Cell Queue'!$X$6:$X$461,"PENDING REVIEW")</f>
        <v>0</v>
      </c>
      <c r="I8" s="9" t="n">
        <f aca="false">COUNTIFS('Evidence-First Cell Queue'!$E$6:$E$461,$A8,'Evidence-First Cell Queue'!$X$6:$X$461,"RECONCILIATION HOLD — SOURCE ROLE")</f>
        <v>0</v>
      </c>
      <c r="J8" s="9" t="n">
        <f aca="false">COUNTIFS('Evidence-First Cell Queue'!$E$6:$E$461,$A8,'Evidence-First Cell Queue'!$X$6:$X$461,"NOT LOCATED — CURRENT SOURCE")+COUNTIFS('Evidence-First Cell Queue'!$E$6:$E$461,$A8,'Evidence-First Cell Queue'!$X$6:$X$461,"NOT LOCATED — CURRENT STANDARD REVIEWED")+COUNTIFS('Evidence-First Cell Queue'!$E$6:$E$461,$A8,'Evidence-First Cell Queue'!$X$6:$X$461,"NOT LOCATED — NOT YET RECOVERED")+COUNTIFS('Evidence-First Cell Queue'!$E$6:$E$461,$A8,'Evidence-First Cell Queue'!$X$6:$X$461,"NOT LOCATED — NO PUBLIC EVIDENCE")</f>
        <v>37</v>
      </c>
      <c r="K8" s="9" t="n">
        <f aca="false">COUNTIFS('Evidence-First Cell Queue'!$E$6:$E$461,$A8,'Evidence-First Cell Queue'!$X$6:$X$461,"OUT OF SCOPE")</f>
        <v>1</v>
      </c>
      <c r="L8" s="9" t="n">
        <f aca="false">SUM(B8:K8)</f>
        <v>57</v>
      </c>
      <c r="M8" s="9" t="n">
        <f aca="false">COUNTIFS('Evidence-First Cell Queue'!$E$6:$E$461,$A8,'Evidence-First Cell Queue'!$Y$6:$Y$461,"&lt;&gt;EXCLUDED")</f>
        <v>18</v>
      </c>
      <c r="N8" s="9" t="str">
        <f aca="false">IF(L8=57,"MATCH","REVIEW")</f>
        <v>MATCH</v>
      </c>
    </row>
    <row r="9" customFormat="false" ht="15" hidden="false" customHeight="false" outlineLevel="0" collapsed="false">
      <c r="A9" s="9" t="s">
        <v>947</v>
      </c>
      <c r="B9" s="9" t="n">
        <f aca="false">COUNTIFS('Evidence-First Cell Queue'!$E$6:$E$461,$A9,'Evidence-First Cell Queue'!$X$6:$X$461,"A")</f>
        <v>11</v>
      </c>
      <c r="C9" s="9" t="n">
        <f aca="false">COUNTIFS('Evidence-First Cell Queue'!$E$6:$E$461,$A9,'Evidence-First Cell Queue'!$X$6:$X$461,"A-SF")</f>
        <v>1</v>
      </c>
      <c r="D9" s="9" t="n">
        <f aca="false">COUNTIFS('Evidence-First Cell Queue'!$E$6:$E$461,$A9,'Evidence-First Cell Queue'!$X$6:$X$461,"Q")</f>
        <v>1</v>
      </c>
      <c r="E9" s="9" t="n">
        <f aca="false">COUNTIFS('Evidence-First Cell Queue'!$E$6:$E$461,$A9,'Evidence-First Cell Queue'!$X$6:$X$461,"D")</f>
        <v>0</v>
      </c>
      <c r="F9" s="9" t="n">
        <f aca="false">COUNTIFS('Evidence-First Cell Queue'!$E$6:$E$461,$A9,'Evidence-First Cell Queue'!$X$6:$X$461,"VECTOR COMPLETE")</f>
        <v>0</v>
      </c>
      <c r="G9" s="9" t="n">
        <f aca="false">COUNTIFS('Evidence-First Cell Queue'!$E$6:$E$461,$A9,'Evidence-First Cell Queue'!$X$6:$X$461,"VECTOR PENDING")</f>
        <v>0</v>
      </c>
      <c r="H9" s="9" t="n">
        <f aca="false">COUNTIFS('Evidence-First Cell Queue'!$E$6:$E$461,$A9,'Evidence-First Cell Queue'!$X$6:$X$461,"PENDING REVIEW")</f>
        <v>0</v>
      </c>
      <c r="I9" s="9" t="n">
        <f aca="false">COUNTIFS('Evidence-First Cell Queue'!$E$6:$E$461,$A9,'Evidence-First Cell Queue'!$X$6:$X$461,"RECONCILIATION HOLD — SOURCE ROLE")</f>
        <v>0</v>
      </c>
      <c r="J9" s="9" t="n">
        <f aca="false">COUNTIFS('Evidence-First Cell Queue'!$E$6:$E$461,$A9,'Evidence-First Cell Queue'!$X$6:$X$461,"NOT LOCATED — CURRENT SOURCE")+COUNTIFS('Evidence-First Cell Queue'!$E$6:$E$461,$A9,'Evidence-First Cell Queue'!$X$6:$X$461,"NOT LOCATED — CURRENT STANDARD REVIEWED")+COUNTIFS('Evidence-First Cell Queue'!$E$6:$E$461,$A9,'Evidence-First Cell Queue'!$X$6:$X$461,"NOT LOCATED — NOT YET RECOVERED")+COUNTIFS('Evidence-First Cell Queue'!$E$6:$E$461,$A9,'Evidence-First Cell Queue'!$X$6:$X$461,"NOT LOCATED — NO PUBLIC EVIDENCE")</f>
        <v>43</v>
      </c>
      <c r="K9" s="9" t="n">
        <f aca="false">COUNTIFS('Evidence-First Cell Queue'!$E$6:$E$461,$A9,'Evidence-First Cell Queue'!$X$6:$X$461,"OUT OF SCOPE")</f>
        <v>1</v>
      </c>
      <c r="L9" s="9" t="n">
        <f aca="false">SUM(B9:K9)</f>
        <v>57</v>
      </c>
      <c r="M9" s="9" t="n">
        <f aca="false">COUNTIFS('Evidence-First Cell Queue'!$E$6:$E$461,$A9,'Evidence-First Cell Queue'!$Y$6:$Y$461,"&lt;&gt;EXCLUDED")</f>
        <v>13</v>
      </c>
      <c r="N9" s="9" t="str">
        <f aca="false">IF(L9=57,"MATCH","REVIEW")</f>
        <v>MATCH</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conditionalFormatting sqref="N2:N9">
    <cfRule type="expression" priority="2" aboveAverage="0" equalAverage="0" bottom="0" percent="0" rank="0" text="" dxfId="13">
      <formula>N2="MATCH"</formula>
    </cfRule>
    <cfRule type="expression" priority="3" aboveAverage="0" equalAverage="0" bottom="0" percent="0" rank="0" text="" dxfId="16">
      <formula>N2="REVIEW"</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12"/>
    <col collapsed="false" customWidth="true" hidden="false" outlineLevel="0" max="2" min="2" style="0" width="32"/>
    <col collapsed="false" customWidth="true" hidden="false" outlineLevel="0" max="3" min="3" style="0" width="27"/>
    <col collapsed="false" customWidth="true" hidden="false" outlineLevel="0" max="4" min="4" style="0" width="44"/>
    <col collapsed="false" customWidth="true" hidden="false" outlineLevel="0" max="5" min="5" style="0" width="12"/>
    <col collapsed="false" customWidth="true" hidden="false" outlineLevel="0" max="6" min="6" style="0" width="13"/>
    <col collapsed="false" customWidth="true" hidden="false" outlineLevel="0" max="7" min="7" style="0" width="11"/>
    <col collapsed="false" customWidth="true" hidden="false" outlineLevel="0" max="8" min="8" style="0" width="60"/>
    <col collapsed="false" customWidth="true" hidden="false" outlineLevel="0" max="9" min="9" style="0" width="64"/>
    <col collapsed="false" customWidth="true" hidden="false" outlineLevel="0" max="10" min="10" style="0" width="62"/>
    <col collapsed="false" customWidth="true" hidden="false" outlineLevel="0" max="11" min="11" style="0" width="66"/>
    <col collapsed="false" customWidth="true" hidden="false" outlineLevel="0" max="12" min="12" style="0" width="58"/>
    <col collapsed="false" customWidth="true" hidden="false" outlineLevel="0" max="13" min="13" style="0" width="48"/>
    <col collapsed="false" customWidth="true" hidden="false" outlineLevel="0" max="14" min="14" style="0" width="16"/>
    <col collapsed="false" customWidth="true" hidden="false" outlineLevel="0" max="15" min="15" style="0" width="36"/>
    <col collapsed="false" customWidth="true" hidden="false" outlineLevel="0" max="16" min="16" style="0" width="14"/>
    <col collapsed="false" customWidth="true" hidden="false" outlineLevel="0" max="17" min="17" style="0" width="62"/>
    <col collapsed="false" customWidth="true" hidden="false" outlineLevel="0" max="18" min="18" style="0" width="48"/>
    <col collapsed="false" customWidth="true" hidden="false" outlineLevel="0" max="26" min="19" style="0" width="8.63"/>
  </cols>
  <sheetData>
    <row r="1" customFormat="false" ht="198.5" hidden="false" customHeight="false" outlineLevel="0" collapsed="false">
      <c r="A1" s="11" t="s">
        <v>2317</v>
      </c>
      <c r="B1" s="11"/>
      <c r="C1" s="11"/>
      <c r="D1" s="11"/>
      <c r="E1" s="11"/>
      <c r="F1" s="11"/>
      <c r="G1" s="11"/>
      <c r="H1" s="11"/>
      <c r="I1" s="11"/>
      <c r="J1" s="11"/>
      <c r="K1" s="11"/>
      <c r="L1" s="11"/>
      <c r="M1" s="11"/>
      <c r="N1" s="11"/>
      <c r="O1" s="11"/>
      <c r="P1" s="11"/>
      <c r="Q1" s="11"/>
      <c r="R1" s="11"/>
    </row>
    <row r="2" customFormat="false" ht="404.45" hidden="false" customHeight="false" outlineLevel="0" collapsed="false">
      <c r="A2" s="4" t="s">
        <v>2318</v>
      </c>
      <c r="B2" s="4"/>
      <c r="C2" s="4"/>
      <c r="D2" s="4"/>
      <c r="E2" s="4"/>
      <c r="F2" s="4"/>
      <c r="G2" s="4"/>
      <c r="H2" s="4"/>
      <c r="I2" s="4"/>
      <c r="J2" s="4"/>
      <c r="K2" s="4"/>
      <c r="L2" s="4"/>
      <c r="M2" s="4"/>
      <c r="N2" s="4"/>
      <c r="O2" s="4"/>
      <c r="P2" s="4"/>
      <c r="Q2" s="4"/>
      <c r="R2" s="4"/>
    </row>
    <row r="3" customFormat="false" ht="15" hidden="false" customHeight="false" outlineLevel="0" collapsed="false">
      <c r="A3" s="4"/>
      <c r="B3" s="4"/>
      <c r="C3" s="4"/>
      <c r="D3" s="4"/>
      <c r="E3" s="4"/>
      <c r="F3" s="4"/>
      <c r="G3" s="4"/>
      <c r="H3" s="4"/>
      <c r="I3" s="4"/>
      <c r="J3" s="4"/>
      <c r="K3" s="4"/>
      <c r="L3" s="4"/>
      <c r="M3" s="4"/>
      <c r="N3" s="4"/>
      <c r="O3" s="4"/>
      <c r="P3" s="4"/>
      <c r="Q3" s="4"/>
      <c r="R3" s="4"/>
    </row>
    <row r="4" customFormat="false" ht="15" hidden="false" customHeight="false" outlineLevel="0" collapsed="false">
      <c r="A4" s="3" t="s">
        <v>2319</v>
      </c>
      <c r="B4" s="3" t="s">
        <v>2320</v>
      </c>
      <c r="C4" s="3" t="s">
        <v>2321</v>
      </c>
      <c r="D4" s="3" t="s">
        <v>2322</v>
      </c>
      <c r="E4" s="3" t="s">
        <v>1298</v>
      </c>
      <c r="F4" s="3" t="s">
        <v>2323</v>
      </c>
      <c r="G4" s="3" t="s">
        <v>2324</v>
      </c>
      <c r="H4" s="3" t="s">
        <v>2325</v>
      </c>
      <c r="I4" s="3" t="s">
        <v>2326</v>
      </c>
      <c r="J4" s="3" t="s">
        <v>2327</v>
      </c>
      <c r="K4" s="3" t="s">
        <v>2328</v>
      </c>
      <c r="L4" s="3" t="s">
        <v>2329</v>
      </c>
      <c r="M4" s="3" t="s">
        <v>2330</v>
      </c>
      <c r="N4" s="3" t="s">
        <v>2331</v>
      </c>
      <c r="O4" s="3" t="s">
        <v>2332</v>
      </c>
      <c r="P4" s="3" t="s">
        <v>786</v>
      </c>
      <c r="Q4" s="3" t="s">
        <v>2333</v>
      </c>
      <c r="R4" s="3" t="s">
        <v>2334</v>
      </c>
    </row>
    <row r="5" customFormat="false" ht="28.35" hidden="false" customHeight="false" outlineLevel="0" collapsed="false">
      <c r="A5" s="9" t="s">
        <v>2335</v>
      </c>
      <c r="B5" s="9" t="s">
        <v>2336</v>
      </c>
      <c r="C5" s="9" t="s">
        <v>2337</v>
      </c>
      <c r="D5" s="9" t="s">
        <v>2338</v>
      </c>
      <c r="E5" s="9" t="n">
        <f aca="false">COUNTIF('Inherited 57'!F2:F58,"A")+COUNTIF('Inherited 57'!F2:F58,"Q")</f>
        <v>52</v>
      </c>
      <c r="F5" s="9" t="n">
        <f aca="false">COUNTA('Inherited 57'!A2:A58)</f>
        <v>57</v>
      </c>
      <c r="G5" s="13" t="n">
        <f aca="false">IFERROR(E5/F5,0)</f>
        <v>0.912280701754386</v>
      </c>
      <c r="H5" s="9" t="s">
        <v>2339</v>
      </c>
      <c r="I5" s="9" t="s">
        <v>2340</v>
      </c>
      <c r="J5" s="9" t="s">
        <v>2341</v>
      </c>
      <c r="K5" s="9" t="s">
        <v>2342</v>
      </c>
      <c r="L5" s="9" t="s">
        <v>2343</v>
      </c>
      <c r="M5" s="9" t="s">
        <v>2344</v>
      </c>
      <c r="N5" s="9" t="s">
        <v>2345</v>
      </c>
      <c r="O5" s="9" t="s">
        <v>2346</v>
      </c>
      <c r="P5" s="9" t="s">
        <v>797</v>
      </c>
      <c r="Q5" s="9" t="s">
        <v>2347</v>
      </c>
      <c r="R5" s="9" t="s">
        <v>2348</v>
      </c>
    </row>
    <row r="6" customFormat="false" ht="41.75" hidden="false" customHeight="false" outlineLevel="0" collapsed="false">
      <c r="A6" s="9" t="s">
        <v>2349</v>
      </c>
      <c r="B6" s="9" t="s">
        <v>2350</v>
      </c>
      <c r="C6" s="9" t="s">
        <v>2337</v>
      </c>
      <c r="D6" s="9" t="s">
        <v>2351</v>
      </c>
      <c r="E6" s="9" t="n">
        <f aca="false">COUNTIFS('Inherited 57'!B2:B58,"Kataphatic",'Inherited 57'!F2:F58,"A")+COUNTIFS('Inherited 57'!B2:B58,"Kataphatic",'Inherited 57'!F2:F58,"Q")</f>
        <v>35</v>
      </c>
      <c r="F6" s="9" t="n">
        <f aca="false">COUNTIF('Inherited 57'!B2:B58,"Kataphatic")</f>
        <v>35</v>
      </c>
      <c r="G6" s="13" t="n">
        <f aca="false">IFERROR(E6/F6,0)</f>
        <v>1</v>
      </c>
      <c r="H6" s="9" t="s">
        <v>2352</v>
      </c>
      <c r="I6" s="9" t="s">
        <v>2353</v>
      </c>
      <c r="J6" s="9" t="s">
        <v>2354</v>
      </c>
      <c r="K6" s="9" t="s">
        <v>2355</v>
      </c>
      <c r="L6" s="9" t="s">
        <v>2356</v>
      </c>
      <c r="M6" s="9" t="s">
        <v>2344</v>
      </c>
      <c r="N6" s="9" t="s">
        <v>2345</v>
      </c>
      <c r="O6" s="9" t="s">
        <v>2357</v>
      </c>
      <c r="P6" s="9" t="s">
        <v>797</v>
      </c>
      <c r="Q6" s="9" t="s">
        <v>2358</v>
      </c>
      <c r="R6" s="9" t="s">
        <v>2348</v>
      </c>
    </row>
    <row r="7" customFormat="false" ht="41.75" hidden="false" customHeight="false" outlineLevel="0" collapsed="false">
      <c r="A7" s="9" t="s">
        <v>2359</v>
      </c>
      <c r="B7" s="9" t="s">
        <v>2360</v>
      </c>
      <c r="C7" s="9" t="s">
        <v>2337</v>
      </c>
      <c r="D7" s="9" t="s">
        <v>2361</v>
      </c>
      <c r="E7" s="9" t="n">
        <f aca="false">COUNTIFS('Inherited 57'!B2:B58,"&lt;&gt;Kataphatic",'Inherited 57'!F2:F58,"Q")+COUNTIFS('Inherited 57'!B2:B58,"&lt;&gt;Kataphatic",'Inherited 57'!F2:F58,"D")</f>
        <v>18</v>
      </c>
      <c r="F7" s="9" t="n">
        <f aca="false">COUNTIF('Inherited 57'!B2:B58,"&lt;&gt;Kataphatic")</f>
        <v>22</v>
      </c>
      <c r="G7" s="13" t="n">
        <f aca="false">IFERROR(E7/F7,0)</f>
        <v>0.818181818181818</v>
      </c>
      <c r="H7" s="9" t="s">
        <v>2362</v>
      </c>
      <c r="I7" s="9" t="s">
        <v>2363</v>
      </c>
      <c r="J7" s="9" t="s">
        <v>2364</v>
      </c>
      <c r="K7" s="9" t="s">
        <v>2365</v>
      </c>
      <c r="L7" s="9" t="s">
        <v>2366</v>
      </c>
      <c r="M7" s="9" t="s">
        <v>2344</v>
      </c>
      <c r="N7" s="9" t="s">
        <v>2345</v>
      </c>
      <c r="O7" s="9" t="s">
        <v>2367</v>
      </c>
      <c r="P7" s="9" t="s">
        <v>797</v>
      </c>
      <c r="Q7" s="9" t="s">
        <v>2368</v>
      </c>
      <c r="R7" s="9" t="s">
        <v>2348</v>
      </c>
    </row>
    <row r="8" customFormat="false" ht="28.35" hidden="false" customHeight="false" outlineLevel="0" collapsed="false">
      <c r="A8" s="9" t="s">
        <v>2369</v>
      </c>
      <c r="B8" s="9" t="s">
        <v>2370</v>
      </c>
      <c r="C8" s="9" t="s">
        <v>2337</v>
      </c>
      <c r="D8" s="9" t="s">
        <v>2371</v>
      </c>
      <c r="E8" s="9" t="n">
        <f aca="false">COUNTIF('Inherited 57'!F2:F58,"D")</f>
        <v>5</v>
      </c>
      <c r="F8" s="9" t="n">
        <f aca="false">COUNTA('Inherited 57'!A2:A58)</f>
        <v>57</v>
      </c>
      <c r="G8" s="13" t="n">
        <f aca="false">IFERROR(E8/F8,0)</f>
        <v>0.087719298245614</v>
      </c>
      <c r="H8" s="9" t="s">
        <v>2372</v>
      </c>
      <c r="I8" s="9" t="s">
        <v>2373</v>
      </c>
      <c r="J8" s="9" t="s">
        <v>2374</v>
      </c>
      <c r="K8" s="9" t="s">
        <v>2375</v>
      </c>
      <c r="L8" s="9" t="s">
        <v>2376</v>
      </c>
      <c r="M8" s="9" t="s">
        <v>2377</v>
      </c>
      <c r="N8" s="9" t="s">
        <v>2345</v>
      </c>
      <c r="O8" s="9" t="s">
        <v>2378</v>
      </c>
      <c r="P8" s="9" t="s">
        <v>797</v>
      </c>
      <c r="Q8" s="9" t="s">
        <v>2379</v>
      </c>
      <c r="R8" s="9" t="s">
        <v>2348</v>
      </c>
    </row>
    <row r="9" customFormat="false" ht="41.75" hidden="false" customHeight="false" outlineLevel="0" collapsed="false">
      <c r="A9" s="9" t="s">
        <v>2380</v>
      </c>
      <c r="B9" s="9" t="s">
        <v>2381</v>
      </c>
      <c r="C9" s="9" t="s">
        <v>2382</v>
      </c>
      <c r="D9" s="9" t="s">
        <v>2383</v>
      </c>
      <c r="E9" s="9" t="n">
        <f aca="false">COUNTIF('Evidence-First Cell Queue'!Y6:Y461,"&lt;&gt;EXCLUDED")</f>
        <v>141</v>
      </c>
      <c r="F9" s="9" t="n">
        <f aca="false">COUNTA('Evidence-First Cell Queue'!A6:A461)</f>
        <v>456</v>
      </c>
      <c r="G9" s="13" t="n">
        <f aca="false">IFERROR(E9/F9,0)</f>
        <v>0.30921052631579</v>
      </c>
      <c r="H9" s="9" t="s">
        <v>2384</v>
      </c>
      <c r="I9" s="9" t="s">
        <v>2385</v>
      </c>
      <c r="J9" s="9" t="s">
        <v>2386</v>
      </c>
      <c r="K9" s="9" t="s">
        <v>2387</v>
      </c>
      <c r="L9" s="9" t="s">
        <v>2388</v>
      </c>
      <c r="M9" s="9" t="s">
        <v>2389</v>
      </c>
      <c r="N9" s="9" t="s">
        <v>2345</v>
      </c>
      <c r="O9" s="9" t="s">
        <v>2390</v>
      </c>
      <c r="P9" s="9" t="s">
        <v>797</v>
      </c>
      <c r="Q9" s="9" t="s">
        <v>2391</v>
      </c>
      <c r="R9" s="9" t="s">
        <v>2392</v>
      </c>
    </row>
    <row r="10" customFormat="false" ht="41.75" hidden="false" customHeight="false" outlineLevel="0" collapsed="false">
      <c r="A10" s="9" t="s">
        <v>2393</v>
      </c>
      <c r="B10" s="9" t="s">
        <v>2394</v>
      </c>
      <c r="C10" s="9" t="s">
        <v>2395</v>
      </c>
      <c r="D10" s="9" t="s">
        <v>2396</v>
      </c>
      <c r="E10" s="9" t="n">
        <f aca="false">MAX('Branch State Summary'!M2:M9)-MIN('Branch State Summary'!M2:M9)</f>
        <v>27</v>
      </c>
      <c r="F10" s="9" t="n">
        <f aca="false">57</f>
        <v>57</v>
      </c>
      <c r="G10" s="13" t="n">
        <f aca="false">IFERROR(E10/F10,0)</f>
        <v>0.473684210526316</v>
      </c>
      <c r="H10" s="9" t="s">
        <v>2397</v>
      </c>
      <c r="I10" s="9" t="s">
        <v>2398</v>
      </c>
      <c r="J10" s="9" t="s">
        <v>2399</v>
      </c>
      <c r="K10" s="9" t="s">
        <v>2400</v>
      </c>
      <c r="L10" s="9" t="s">
        <v>2401</v>
      </c>
      <c r="M10" s="9" t="s">
        <v>2389</v>
      </c>
      <c r="N10" s="9" t="s">
        <v>2345</v>
      </c>
      <c r="O10" s="9" t="s">
        <v>2402</v>
      </c>
      <c r="P10" s="9" t="s">
        <v>797</v>
      </c>
      <c r="Q10" s="9" t="s">
        <v>2403</v>
      </c>
      <c r="R10" s="9" t="s">
        <v>2392</v>
      </c>
    </row>
    <row r="11" customFormat="false" ht="28.35" hidden="false" customHeight="false" outlineLevel="0" collapsed="false">
      <c r="A11" s="9" t="s">
        <v>2404</v>
      </c>
      <c r="B11" s="9" t="s">
        <v>2405</v>
      </c>
      <c r="C11" s="9" t="s">
        <v>2382</v>
      </c>
      <c r="D11" s="9" t="s">
        <v>2406</v>
      </c>
      <c r="E11" s="9" t="n">
        <f aca="false">SUM('Branch State Summary'!J2:J9)</f>
        <v>294</v>
      </c>
      <c r="F11" s="9" t="n">
        <f aca="false">COUNTA('Evidence-First Cell Queue'!A6:A461)</f>
        <v>456</v>
      </c>
      <c r="G11" s="13" t="n">
        <f aca="false">IFERROR(E11/F11,0)</f>
        <v>0.644736842105263</v>
      </c>
      <c r="H11" s="9" t="s">
        <v>2407</v>
      </c>
      <c r="I11" s="9" t="s">
        <v>2408</v>
      </c>
      <c r="J11" s="9" t="s">
        <v>2409</v>
      </c>
      <c r="K11" s="9" t="s">
        <v>2410</v>
      </c>
      <c r="L11" s="9" t="s">
        <v>2411</v>
      </c>
      <c r="M11" s="9" t="s">
        <v>2389</v>
      </c>
      <c r="N11" s="9" t="s">
        <v>2345</v>
      </c>
      <c r="O11" s="9" t="s">
        <v>2412</v>
      </c>
      <c r="P11" s="9" t="s">
        <v>797</v>
      </c>
      <c r="Q11" s="9" t="s">
        <v>2413</v>
      </c>
      <c r="R11" s="9" t="s">
        <v>2414</v>
      </c>
    </row>
    <row r="12" customFormat="false" ht="28.35" hidden="false" customHeight="false" outlineLevel="0" collapsed="false">
      <c r="A12" s="9" t="s">
        <v>2415</v>
      </c>
      <c r="B12" s="9" t="s">
        <v>2416</v>
      </c>
      <c r="C12" s="9" t="s">
        <v>2382</v>
      </c>
      <c r="D12" s="9" t="s">
        <v>2417</v>
      </c>
      <c r="E12" s="9" t="n">
        <f aca="false">COUNTIFS('Evidence-First Cell Queue'!B6:B461,"RNR-H05",'Evidence-First Cell Queue'!X6:X461,"A")</f>
        <v>8</v>
      </c>
      <c r="F12" s="9" t="n">
        <f aca="false">8</f>
        <v>8</v>
      </c>
      <c r="G12" s="13" t="n">
        <f aca="false">IFERROR(E12/F12,0)</f>
        <v>1</v>
      </c>
      <c r="H12" s="9" t="s">
        <v>2418</v>
      </c>
      <c r="I12" s="9" t="s">
        <v>2419</v>
      </c>
      <c r="J12" s="9" t="s">
        <v>2420</v>
      </c>
      <c r="K12" s="9" t="s">
        <v>2421</v>
      </c>
      <c r="L12" s="9" t="s">
        <v>2422</v>
      </c>
      <c r="M12" s="9" t="s">
        <v>2423</v>
      </c>
      <c r="N12" s="9" t="s">
        <v>2345</v>
      </c>
      <c r="O12" s="9" t="s">
        <v>2424</v>
      </c>
      <c r="P12" s="9" t="s">
        <v>797</v>
      </c>
      <c r="Q12" s="9" t="s">
        <v>2425</v>
      </c>
      <c r="R12" s="9" t="s">
        <v>2426</v>
      </c>
    </row>
    <row r="13" customFormat="false" ht="41.75" hidden="false" customHeight="false" outlineLevel="0" collapsed="false">
      <c r="A13" s="9" t="s">
        <v>2427</v>
      </c>
      <c r="B13" s="9" t="s">
        <v>2428</v>
      </c>
      <c r="C13" s="9" t="s">
        <v>2382</v>
      </c>
      <c r="D13" s="9" t="s">
        <v>2429</v>
      </c>
      <c r="E13" s="9" t="n">
        <f aca="false">COUNTIFS('Evidence-First Cell Queue'!B6:B461,"RNR-H22",'Evidence-First Cell Queue'!X6:X461,"Q")</f>
        <v>8</v>
      </c>
      <c r="F13" s="9" t="n">
        <f aca="false">8</f>
        <v>8</v>
      </c>
      <c r="G13" s="13" t="n">
        <f aca="false">IFERROR(E13/F13,0)</f>
        <v>1</v>
      </c>
      <c r="H13" s="9" t="s">
        <v>2430</v>
      </c>
      <c r="I13" s="9" t="s">
        <v>2431</v>
      </c>
      <c r="J13" s="9" t="s">
        <v>2432</v>
      </c>
      <c r="K13" s="9" t="s">
        <v>2433</v>
      </c>
      <c r="L13" s="9" t="s">
        <v>2434</v>
      </c>
      <c r="M13" s="9" t="s">
        <v>2423</v>
      </c>
      <c r="N13" s="9" t="s">
        <v>2345</v>
      </c>
      <c r="O13" s="9" t="s">
        <v>2435</v>
      </c>
      <c r="P13" s="9" t="s">
        <v>797</v>
      </c>
      <c r="Q13" s="9" t="s">
        <v>2436</v>
      </c>
      <c r="R13" s="9" t="s">
        <v>2426</v>
      </c>
    </row>
    <row r="14" customFormat="false" ht="41.75" hidden="false" customHeight="false" outlineLevel="0" collapsed="false">
      <c r="A14" s="9" t="s">
        <v>2437</v>
      </c>
      <c r="B14" s="9" t="s">
        <v>2438</v>
      </c>
      <c r="C14" s="9" t="s">
        <v>2382</v>
      </c>
      <c r="D14" s="9" t="s">
        <v>2439</v>
      </c>
      <c r="E14" s="9" t="n">
        <f aca="false">COUNTIFS('Evidence-First Cell Queue'!B6:B461,"RNR-H43",'Evidence-First Cell Queue'!X6:X461,"D")</f>
        <v>5</v>
      </c>
      <c r="F14" s="9" t="n">
        <f aca="false">8</f>
        <v>8</v>
      </c>
      <c r="G14" s="13" t="n">
        <f aca="false">IFERROR(E14/F14,0)</f>
        <v>0.625</v>
      </c>
      <c r="H14" s="9" t="s">
        <v>2440</v>
      </c>
      <c r="I14" s="9" t="s">
        <v>2441</v>
      </c>
      <c r="J14" s="9" t="s">
        <v>2442</v>
      </c>
      <c r="K14" s="9" t="s">
        <v>2443</v>
      </c>
      <c r="L14" s="9" t="s">
        <v>2444</v>
      </c>
      <c r="M14" s="9" t="s">
        <v>2445</v>
      </c>
      <c r="N14" s="9" t="s">
        <v>2345</v>
      </c>
      <c r="O14" s="9" t="s">
        <v>2446</v>
      </c>
      <c r="P14" s="9" t="s">
        <v>797</v>
      </c>
      <c r="Q14" s="9" t="s">
        <v>2447</v>
      </c>
      <c r="R14" s="9" t="s">
        <v>2448</v>
      </c>
    </row>
    <row r="15" customFormat="false" ht="41.75" hidden="false" customHeight="false" outlineLevel="0" collapsed="false">
      <c r="A15" s="9" t="s">
        <v>2449</v>
      </c>
      <c r="B15" s="9" t="s">
        <v>2450</v>
      </c>
      <c r="C15" s="9" t="s">
        <v>2451</v>
      </c>
      <c r="D15" s="9" t="s">
        <v>2452</v>
      </c>
      <c r="E15" s="9" t="n">
        <f aca="false">COUNTIF('Restoration 26'!B2:B27,"Divine-human kinship / premortality")+COUNTIF('Restoration 26'!B2:B27,"Exaltation / eternal family / progression")</f>
        <v>15</v>
      </c>
      <c r="F15" s="9" t="n">
        <f aca="false">COUNTA('Restoration 26'!A2:A27)</f>
        <v>26</v>
      </c>
      <c r="G15" s="13" t="n">
        <f aca="false">IFERROR(E15/F15,0)</f>
        <v>0.576923076923077</v>
      </c>
      <c r="H15" s="9" t="s">
        <v>2453</v>
      </c>
      <c r="I15" s="9" t="s">
        <v>2454</v>
      </c>
      <c r="J15" s="9" t="s">
        <v>2455</v>
      </c>
      <c r="K15" s="9" t="s">
        <v>2456</v>
      </c>
      <c r="L15" s="9" t="s">
        <v>2457</v>
      </c>
      <c r="M15" s="9" t="s">
        <v>2458</v>
      </c>
      <c r="N15" s="9" t="s">
        <v>2345</v>
      </c>
      <c r="O15" s="9" t="s">
        <v>2459</v>
      </c>
      <c r="P15" s="9" t="s">
        <v>797</v>
      </c>
      <c r="Q15" s="9" t="s">
        <v>2460</v>
      </c>
      <c r="R15" s="9" t="s">
        <v>2348</v>
      </c>
    </row>
    <row r="16" customFormat="false" ht="28.35" hidden="false" customHeight="false" outlineLevel="0" collapsed="false">
      <c r="A16" s="9" t="s">
        <v>2461</v>
      </c>
      <c r="B16" s="9" t="s">
        <v>2462</v>
      </c>
      <c r="C16" s="9" t="s">
        <v>2451</v>
      </c>
      <c r="D16" s="9" t="s">
        <v>2463</v>
      </c>
      <c r="E16" s="9" t="n">
        <f aca="false">COUNTIF('Restoration 26'!E2:E27,"Tier I")+COUNTIF('Restoration 26'!E2:E27,"Tier II")</f>
        <v>22</v>
      </c>
      <c r="F16" s="9" t="n">
        <f aca="false">COUNTA('Restoration 26'!A2:A27)</f>
        <v>26</v>
      </c>
      <c r="G16" s="13" t="n">
        <f aca="false">IFERROR(E16/F16,0)</f>
        <v>0.846153846153846</v>
      </c>
      <c r="H16" s="9" t="s">
        <v>2464</v>
      </c>
      <c r="I16" s="9" t="s">
        <v>2465</v>
      </c>
      <c r="J16" s="9" t="s">
        <v>2466</v>
      </c>
      <c r="K16" s="9" t="s">
        <v>2467</v>
      </c>
      <c r="L16" s="9" t="s">
        <v>2468</v>
      </c>
      <c r="M16" s="9" t="s">
        <v>2469</v>
      </c>
      <c r="N16" s="9" t="s">
        <v>2470</v>
      </c>
      <c r="O16" s="9" t="s">
        <v>2471</v>
      </c>
      <c r="P16" s="9" t="s">
        <v>797</v>
      </c>
      <c r="Q16" s="9" t="s">
        <v>2472</v>
      </c>
      <c r="R16" s="9" t="s">
        <v>2348</v>
      </c>
    </row>
    <row r="17" customFormat="false" ht="41.75" hidden="false" customHeight="false" outlineLevel="0" collapsed="false">
      <c r="A17" s="9" t="s">
        <v>2473</v>
      </c>
      <c r="B17" s="9" t="s">
        <v>2474</v>
      </c>
      <c r="C17" s="9" t="s">
        <v>2475</v>
      </c>
      <c r="D17" s="9" t="s">
        <v>2476</v>
      </c>
      <c r="E17" s="9" t="n">
        <f aca="false">COUNTIF('Inherited 57'!F2:F58,"Q")+COUNTA('Restoration 26'!A2:A27)</f>
        <v>42</v>
      </c>
      <c r="F17" s="9" t="n">
        <f aca="false">COUNTIF('Inherited 57'!F2:F58,"Q")+COUNTIF('Inherited 57'!F2:F58,"D")+COUNTA('Restoration 26'!A2:A27)</f>
        <v>47</v>
      </c>
      <c r="G17" s="13" t="n">
        <f aca="false">IFERROR(E17/F17,0)</f>
        <v>0.893617021276596</v>
      </c>
      <c r="H17" s="9" t="s">
        <v>2477</v>
      </c>
      <c r="I17" s="9" t="s">
        <v>2478</v>
      </c>
      <c r="J17" s="9" t="s">
        <v>2479</v>
      </c>
      <c r="K17" s="9" t="s">
        <v>2480</v>
      </c>
      <c r="L17" s="9" t="s">
        <v>2481</v>
      </c>
      <c r="M17" s="9" t="s">
        <v>2482</v>
      </c>
      <c r="N17" s="9" t="s">
        <v>2470</v>
      </c>
      <c r="O17" s="9" t="s">
        <v>2483</v>
      </c>
      <c r="P17" s="9" t="s">
        <v>791</v>
      </c>
      <c r="Q17" s="9" t="s">
        <v>2484</v>
      </c>
      <c r="R17" s="9" t="s">
        <v>2348</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24"/>
    <col collapsed="false" customWidth="true" hidden="false" outlineLevel="0" max="4" min="4" style="0" width="26"/>
    <col collapsed="false" customWidth="true" hidden="false" outlineLevel="0" max="5" min="5" style="0" width="50"/>
    <col collapsed="false" customWidth="true" hidden="false" outlineLevel="0" max="6" min="6" style="0" width="36"/>
    <col collapsed="false" customWidth="true" hidden="false" outlineLevel="0" max="7" min="7" style="0" width="22"/>
    <col collapsed="false" customWidth="true" hidden="false" outlineLevel="0" max="8" min="8" style="0" width="36"/>
    <col collapsed="false" customWidth="true" hidden="false" outlineLevel="0" max="9" min="9" style="0" width="60"/>
    <col collapsed="false" customWidth="true" hidden="false" outlineLevel="0" max="10" min="10" style="0" width="28"/>
    <col collapsed="false" customWidth="true" hidden="false" outlineLevel="0" max="11" min="11" style="0" width="58"/>
    <col collapsed="false" customWidth="true" hidden="false" outlineLevel="0" max="26" min="12" style="0" width="8.63"/>
  </cols>
  <sheetData>
    <row r="1" customFormat="false" ht="28.35" hidden="false" customHeight="false" outlineLevel="0" collapsed="false">
      <c r="A1" s="3" t="s">
        <v>2485</v>
      </c>
      <c r="B1" s="3" t="s">
        <v>2319</v>
      </c>
      <c r="C1" s="3" t="s">
        <v>2486</v>
      </c>
      <c r="D1" s="3" t="s">
        <v>2487</v>
      </c>
      <c r="E1" s="3" t="s">
        <v>2488</v>
      </c>
      <c r="F1" s="3" t="s">
        <v>2489</v>
      </c>
      <c r="G1" s="3" t="s">
        <v>2490</v>
      </c>
      <c r="H1" s="3" t="s">
        <v>2491</v>
      </c>
      <c r="I1" s="3" t="s">
        <v>2492</v>
      </c>
      <c r="J1" s="3" t="s">
        <v>2493</v>
      </c>
      <c r="K1" s="3" t="s">
        <v>2494</v>
      </c>
    </row>
    <row r="2" customFormat="false" ht="28.35" hidden="false" customHeight="false" outlineLevel="0" collapsed="false">
      <c r="A2" s="9" t="s">
        <v>2495</v>
      </c>
      <c r="B2" s="9" t="s">
        <v>2335</v>
      </c>
      <c r="C2" s="9" t="s">
        <v>2496</v>
      </c>
      <c r="D2" s="9" t="s">
        <v>2337</v>
      </c>
      <c r="E2" s="9" t="s">
        <v>2497</v>
      </c>
      <c r="F2" s="9" t="s">
        <v>2498</v>
      </c>
      <c r="G2" s="9" t="s">
        <v>2499</v>
      </c>
      <c r="H2" s="9" t="s">
        <v>2500</v>
      </c>
      <c r="I2" s="9" t="s">
        <v>2501</v>
      </c>
      <c r="J2" s="9" t="s">
        <v>2502</v>
      </c>
      <c r="K2" s="9" t="s">
        <v>2503</v>
      </c>
    </row>
    <row r="3" customFormat="false" ht="15" hidden="false" customHeight="false" outlineLevel="0" collapsed="false">
      <c r="A3" s="9" t="s">
        <v>2504</v>
      </c>
      <c r="B3" s="9" t="s">
        <v>2349</v>
      </c>
      <c r="C3" s="9" t="s">
        <v>2505</v>
      </c>
      <c r="D3" s="9" t="s">
        <v>2337</v>
      </c>
      <c r="E3" s="9" t="s">
        <v>2506</v>
      </c>
      <c r="F3" s="9" t="s">
        <v>2507</v>
      </c>
      <c r="G3" s="9" t="s">
        <v>2499</v>
      </c>
      <c r="H3" s="9" t="s">
        <v>2508</v>
      </c>
      <c r="I3" s="9" t="s">
        <v>2509</v>
      </c>
      <c r="J3" s="9" t="s">
        <v>2502</v>
      </c>
      <c r="K3" s="9" t="s">
        <v>2510</v>
      </c>
    </row>
    <row r="4" customFormat="false" ht="15" hidden="false" customHeight="false" outlineLevel="0" collapsed="false">
      <c r="A4" s="9" t="s">
        <v>2511</v>
      </c>
      <c r="B4" s="9" t="s">
        <v>2359</v>
      </c>
      <c r="C4" s="9" t="s">
        <v>2505</v>
      </c>
      <c r="D4" s="9" t="s">
        <v>2337</v>
      </c>
      <c r="E4" s="9" t="s">
        <v>2512</v>
      </c>
      <c r="F4" s="9" t="s">
        <v>2513</v>
      </c>
      <c r="G4" s="9" t="s">
        <v>2499</v>
      </c>
      <c r="H4" s="9" t="s">
        <v>2514</v>
      </c>
      <c r="I4" s="9" t="s">
        <v>2515</v>
      </c>
      <c r="J4" s="9" t="s">
        <v>2502</v>
      </c>
      <c r="K4" s="9" t="s">
        <v>2516</v>
      </c>
    </row>
    <row r="5" customFormat="false" ht="15" hidden="false" customHeight="false" outlineLevel="0" collapsed="false">
      <c r="A5" s="9" t="s">
        <v>2517</v>
      </c>
      <c r="B5" s="9" t="s">
        <v>2369</v>
      </c>
      <c r="C5" s="9" t="s">
        <v>2518</v>
      </c>
      <c r="D5" s="9" t="s">
        <v>2337</v>
      </c>
      <c r="E5" s="9" t="s">
        <v>2519</v>
      </c>
      <c r="F5" s="9" t="s">
        <v>2520</v>
      </c>
      <c r="G5" s="9" t="s">
        <v>2499</v>
      </c>
      <c r="H5" s="9" t="s">
        <v>2521</v>
      </c>
      <c r="I5" s="9" t="s">
        <v>2522</v>
      </c>
      <c r="J5" s="9" t="s">
        <v>2502</v>
      </c>
      <c r="K5" s="9" t="s">
        <v>2523</v>
      </c>
    </row>
    <row r="6" customFormat="false" ht="15" hidden="false" customHeight="false" outlineLevel="0" collapsed="false">
      <c r="A6" s="9" t="s">
        <v>2524</v>
      </c>
      <c r="B6" s="9" t="s">
        <v>2380</v>
      </c>
      <c r="C6" s="9" t="s">
        <v>2525</v>
      </c>
      <c r="D6" s="9" t="s">
        <v>2382</v>
      </c>
      <c r="E6" s="9" t="s">
        <v>2526</v>
      </c>
      <c r="F6" s="9" t="s">
        <v>2527</v>
      </c>
      <c r="G6" s="9" t="s">
        <v>2528</v>
      </c>
      <c r="H6" s="9" t="s">
        <v>2529</v>
      </c>
      <c r="I6" s="9" t="s">
        <v>2530</v>
      </c>
      <c r="J6" s="9" t="s">
        <v>2531</v>
      </c>
      <c r="K6" s="9" t="s">
        <v>2532</v>
      </c>
    </row>
    <row r="7" customFormat="false" ht="15" hidden="false" customHeight="false" outlineLevel="0" collapsed="false">
      <c r="A7" s="9" t="s">
        <v>2533</v>
      </c>
      <c r="B7" s="9" t="s">
        <v>2393</v>
      </c>
      <c r="C7" s="9" t="s">
        <v>2534</v>
      </c>
      <c r="D7" s="9" t="s">
        <v>2395</v>
      </c>
      <c r="E7" s="9" t="s">
        <v>2535</v>
      </c>
      <c r="F7" s="9" t="s">
        <v>2536</v>
      </c>
      <c r="G7" s="9" t="s">
        <v>2537</v>
      </c>
      <c r="H7" s="9" t="s">
        <v>2538</v>
      </c>
      <c r="I7" s="9" t="s">
        <v>2539</v>
      </c>
      <c r="J7" s="9" t="s">
        <v>2531</v>
      </c>
      <c r="K7" s="9" t="s">
        <v>2540</v>
      </c>
    </row>
    <row r="8" customFormat="false" ht="28.35" hidden="false" customHeight="false" outlineLevel="0" collapsed="false">
      <c r="A8" s="9" t="s">
        <v>2541</v>
      </c>
      <c r="B8" s="9" t="s">
        <v>2404</v>
      </c>
      <c r="C8" s="9" t="s">
        <v>2542</v>
      </c>
      <c r="D8" s="9" t="s">
        <v>2382</v>
      </c>
      <c r="E8" s="9" t="s">
        <v>2543</v>
      </c>
      <c r="F8" s="9" t="s">
        <v>2527</v>
      </c>
      <c r="G8" s="9" t="s">
        <v>2544</v>
      </c>
      <c r="H8" s="9" t="s">
        <v>2545</v>
      </c>
      <c r="I8" s="9" t="s">
        <v>2546</v>
      </c>
      <c r="J8" s="9" t="s">
        <v>2531</v>
      </c>
      <c r="K8" s="9" t="s">
        <v>2547</v>
      </c>
    </row>
    <row r="9" customFormat="false" ht="15" hidden="false" customHeight="false" outlineLevel="0" collapsed="false">
      <c r="A9" s="9" t="s">
        <v>2548</v>
      </c>
      <c r="B9" s="9" t="s">
        <v>2415</v>
      </c>
      <c r="C9" s="9" t="s">
        <v>2549</v>
      </c>
      <c r="D9" s="9" t="s">
        <v>2382</v>
      </c>
      <c r="E9" s="9" t="s">
        <v>2550</v>
      </c>
      <c r="F9" s="9" t="s">
        <v>2551</v>
      </c>
      <c r="G9" s="9" t="s">
        <v>2552</v>
      </c>
      <c r="H9" s="9" t="s">
        <v>2553</v>
      </c>
      <c r="I9" s="9" t="s">
        <v>2554</v>
      </c>
      <c r="J9" s="9" t="s">
        <v>2531</v>
      </c>
      <c r="K9" s="9" t="s">
        <v>2555</v>
      </c>
    </row>
    <row r="10" customFormat="false" ht="28.35" hidden="false" customHeight="false" outlineLevel="0" collapsed="false">
      <c r="A10" s="9" t="s">
        <v>2556</v>
      </c>
      <c r="B10" s="9" t="s">
        <v>2427</v>
      </c>
      <c r="C10" s="9" t="s">
        <v>2549</v>
      </c>
      <c r="D10" s="9" t="s">
        <v>2382</v>
      </c>
      <c r="E10" s="9" t="s">
        <v>2557</v>
      </c>
      <c r="F10" s="9" t="s">
        <v>2558</v>
      </c>
      <c r="G10" s="9" t="s">
        <v>2552</v>
      </c>
      <c r="H10" s="9" t="s">
        <v>2559</v>
      </c>
      <c r="I10" s="9" t="s">
        <v>2560</v>
      </c>
      <c r="J10" s="9" t="s">
        <v>2531</v>
      </c>
      <c r="K10" s="9" t="s">
        <v>2561</v>
      </c>
    </row>
    <row r="11" customFormat="false" ht="28.35" hidden="false" customHeight="false" outlineLevel="0" collapsed="false">
      <c r="A11" s="9" t="s">
        <v>2562</v>
      </c>
      <c r="B11" s="9" t="s">
        <v>2437</v>
      </c>
      <c r="C11" s="9" t="s">
        <v>2563</v>
      </c>
      <c r="D11" s="9" t="s">
        <v>2382</v>
      </c>
      <c r="E11" s="9" t="s">
        <v>2564</v>
      </c>
      <c r="F11" s="9" t="s">
        <v>2565</v>
      </c>
      <c r="G11" s="9" t="s">
        <v>2552</v>
      </c>
      <c r="H11" s="9" t="s">
        <v>2566</v>
      </c>
      <c r="I11" s="9" t="s">
        <v>2567</v>
      </c>
      <c r="J11" s="9" t="s">
        <v>2531</v>
      </c>
      <c r="K11" s="9" t="s">
        <v>2568</v>
      </c>
    </row>
    <row r="12" customFormat="false" ht="15" hidden="false" customHeight="false" outlineLevel="0" collapsed="false">
      <c r="A12" s="9" t="s">
        <v>2569</v>
      </c>
      <c r="B12" s="9" t="s">
        <v>2449</v>
      </c>
      <c r="C12" s="9" t="s">
        <v>2570</v>
      </c>
      <c r="D12" s="9" t="s">
        <v>2451</v>
      </c>
      <c r="E12" s="9" t="s">
        <v>2571</v>
      </c>
      <c r="F12" s="9" t="s">
        <v>2572</v>
      </c>
      <c r="G12" s="9" t="s">
        <v>2499</v>
      </c>
      <c r="H12" s="9" t="s">
        <v>2573</v>
      </c>
      <c r="I12" s="9" t="s">
        <v>2574</v>
      </c>
      <c r="J12" s="9" t="s">
        <v>2502</v>
      </c>
      <c r="K12" s="9" t="s">
        <v>2575</v>
      </c>
    </row>
    <row r="13" customFormat="false" ht="15" hidden="false" customHeight="false" outlineLevel="0" collapsed="false">
      <c r="A13" s="9" t="s">
        <v>2576</v>
      </c>
      <c r="B13" s="9" t="s">
        <v>2461</v>
      </c>
      <c r="C13" s="9" t="s">
        <v>2577</v>
      </c>
      <c r="D13" s="9" t="s">
        <v>2451</v>
      </c>
      <c r="E13" s="9" t="s">
        <v>2578</v>
      </c>
      <c r="F13" s="9" t="s">
        <v>2579</v>
      </c>
      <c r="G13" s="9" t="s">
        <v>2499</v>
      </c>
      <c r="H13" s="9" t="s">
        <v>2580</v>
      </c>
      <c r="I13" s="9" t="s">
        <v>2581</v>
      </c>
      <c r="J13" s="9" t="s">
        <v>2502</v>
      </c>
      <c r="K13" s="9" t="s">
        <v>2582</v>
      </c>
    </row>
    <row r="14" customFormat="false" ht="28.35" hidden="false" customHeight="false" outlineLevel="0" collapsed="false">
      <c r="A14" s="9" t="s">
        <v>2583</v>
      </c>
      <c r="B14" s="9" t="s">
        <v>2473</v>
      </c>
      <c r="C14" s="9" t="s">
        <v>2584</v>
      </c>
      <c r="D14" s="9" t="s">
        <v>2475</v>
      </c>
      <c r="E14" s="9" t="s">
        <v>2585</v>
      </c>
      <c r="F14" s="9" t="s">
        <v>2586</v>
      </c>
      <c r="G14" s="9" t="s">
        <v>2499</v>
      </c>
      <c r="H14" s="9" t="s">
        <v>2587</v>
      </c>
      <c r="I14" s="9" t="s">
        <v>2588</v>
      </c>
      <c r="J14" s="9" t="s">
        <v>2502</v>
      </c>
      <c r="K14" s="9" t="s">
        <v>2589</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0" width="16"/>
    <col collapsed="false" customWidth="true" hidden="false" outlineLevel="0" max="2" min="2" style="0" width="13"/>
    <col collapsed="false" customWidth="true" hidden="false" outlineLevel="0" max="3" min="3" style="0" width="34"/>
    <col collapsed="false" customWidth="true" hidden="false" outlineLevel="0" max="4" min="4" style="0" width="15"/>
    <col collapsed="false" customWidth="true" hidden="false" outlineLevel="0" max="7" min="5" style="0" width="20"/>
    <col collapsed="false" customWidth="true" hidden="false" outlineLevel="0" max="8" min="8" style="0" width="22"/>
    <col collapsed="false" customWidth="true" hidden="false" outlineLevel="0" max="11" min="9" style="0" width="20"/>
    <col collapsed="false" customWidth="true" hidden="false" outlineLevel="0" max="12" min="12" style="0" width="22"/>
    <col collapsed="false" customWidth="true" hidden="false" outlineLevel="0" max="13" min="13" style="0" width="62"/>
    <col collapsed="false" customWidth="true" hidden="false" outlineLevel="0" max="14" min="14" style="0" width="66"/>
    <col collapsed="false" customWidth="true" hidden="false" outlineLevel="0" max="26" min="15" style="0" width="8.63"/>
  </cols>
  <sheetData>
    <row r="1" customFormat="false" ht="28.35" hidden="false" customHeight="false" outlineLevel="0" collapsed="false">
      <c r="A1" s="3" t="s">
        <v>2590</v>
      </c>
      <c r="B1" s="3" t="s">
        <v>778</v>
      </c>
      <c r="C1" s="3" t="s">
        <v>1312</v>
      </c>
      <c r="D1" s="3" t="s">
        <v>1313</v>
      </c>
      <c r="E1" s="3" t="s">
        <v>1021</v>
      </c>
      <c r="F1" s="3" t="s">
        <v>1350</v>
      </c>
      <c r="G1" s="3" t="s">
        <v>1355</v>
      </c>
      <c r="H1" s="3" t="s">
        <v>886</v>
      </c>
      <c r="I1" s="3" t="s">
        <v>866</v>
      </c>
      <c r="J1" s="3" t="s">
        <v>912</v>
      </c>
      <c r="K1" s="3" t="s">
        <v>966</v>
      </c>
      <c r="L1" s="3" t="s">
        <v>947</v>
      </c>
      <c r="M1" s="3" t="s">
        <v>2591</v>
      </c>
      <c r="N1" s="3" t="s">
        <v>2592</v>
      </c>
    </row>
    <row r="2" customFormat="false" ht="28.35" hidden="false" customHeight="false" outlineLevel="0" collapsed="false">
      <c r="A2" s="9" t="s">
        <v>2593</v>
      </c>
      <c r="B2" s="9" t="s">
        <v>477</v>
      </c>
      <c r="C2" s="9" t="s">
        <v>478</v>
      </c>
      <c r="D2" s="9" t="s">
        <v>377</v>
      </c>
      <c r="E2" s="9" t="s">
        <v>377</v>
      </c>
      <c r="F2" s="9" t="s">
        <v>377</v>
      </c>
      <c r="G2" s="9" t="s">
        <v>377</v>
      </c>
      <c r="H2" s="9" t="s">
        <v>377</v>
      </c>
      <c r="I2" s="9" t="s">
        <v>377</v>
      </c>
      <c r="J2" s="9" t="s">
        <v>377</v>
      </c>
      <c r="K2" s="9" t="s">
        <v>377</v>
      </c>
      <c r="L2" s="9" t="s">
        <v>377</v>
      </c>
      <c r="M2" s="9" t="s">
        <v>2594</v>
      </c>
      <c r="N2" s="9" t="s">
        <v>2595</v>
      </c>
    </row>
    <row r="3" customFormat="false" ht="28.35" hidden="false" customHeight="false" outlineLevel="0" collapsed="false">
      <c r="A3" s="9" t="s">
        <v>2596</v>
      </c>
      <c r="B3" s="9" t="s">
        <v>546</v>
      </c>
      <c r="C3" s="9" t="s">
        <v>547</v>
      </c>
      <c r="D3" s="9" t="s">
        <v>384</v>
      </c>
      <c r="E3" s="9" t="s">
        <v>384</v>
      </c>
      <c r="F3" s="9" t="s">
        <v>384</v>
      </c>
      <c r="G3" s="9" t="s">
        <v>384</v>
      </c>
      <c r="H3" s="9" t="s">
        <v>384</v>
      </c>
      <c r="I3" s="9" t="s">
        <v>384</v>
      </c>
      <c r="J3" s="9" t="s">
        <v>384</v>
      </c>
      <c r="K3" s="9" t="s">
        <v>384</v>
      </c>
      <c r="L3" s="9" t="s">
        <v>384</v>
      </c>
      <c r="M3" s="9" t="s">
        <v>2597</v>
      </c>
      <c r="N3" s="9" t="s">
        <v>2598</v>
      </c>
    </row>
    <row r="4" customFormat="false" ht="28.35" hidden="false" customHeight="false" outlineLevel="0" collapsed="false">
      <c r="A4" s="9" t="s">
        <v>2599</v>
      </c>
      <c r="B4" s="9" t="s">
        <v>636</v>
      </c>
      <c r="C4" s="9" t="s">
        <v>637</v>
      </c>
      <c r="D4" s="9" t="s">
        <v>387</v>
      </c>
      <c r="E4" s="9" t="s">
        <v>387</v>
      </c>
      <c r="F4" s="9" t="s">
        <v>399</v>
      </c>
      <c r="G4" s="9" t="s">
        <v>387</v>
      </c>
      <c r="H4" s="9" t="s">
        <v>387</v>
      </c>
      <c r="I4" s="9" t="s">
        <v>387</v>
      </c>
      <c r="J4" s="9" t="s">
        <v>408</v>
      </c>
      <c r="K4" s="9" t="s">
        <v>387</v>
      </c>
      <c r="L4" s="9" t="s">
        <v>408</v>
      </c>
      <c r="M4" s="9" t="s">
        <v>2600</v>
      </c>
      <c r="N4" s="9" t="s">
        <v>2601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conditionalFormatting sqref="E2:E4">
    <cfRule type="expression" priority="2" aboveAverage="0" equalAverage="0" bottom="0" percent="0" rank="0" text="" dxfId="13">
      <formula>E2="A"</formula>
    </cfRule>
    <cfRule type="expression" priority="3" aboveAverage="0" equalAverage="0" bottom="0" percent="0" rank="0" text="" dxfId="15">
      <formula>E2="Q"</formula>
    </cfRule>
    <cfRule type="expression" priority="4" aboveAverage="0" equalAverage="0" bottom="0" percent="0" rank="0" text="" dxfId="16">
      <formula>E2="D"</formula>
    </cfRule>
    <cfRule type="expression" priority="5" aboveAverage="0" equalAverage="0" bottom="0" percent="0" rank="0" text="" dxfId="18">
      <formula>ISNUMBER(SEARCH("PENDING",E2))</formula>
    </cfRule>
    <cfRule type="expression" priority="6" aboveAverage="0" equalAverage="0" bottom="0" percent="0" rank="0" text="" dxfId="22">
      <formula>ISNUMBER(SEARCH("NOT LOCATED",E2))</formula>
    </cfRule>
  </conditionalFormatting>
  <conditionalFormatting sqref="F2:F4">
    <cfRule type="expression" priority="7" aboveAverage="0" equalAverage="0" bottom="0" percent="0" rank="0" text="" dxfId="13">
      <formula>F2="A"</formula>
    </cfRule>
    <cfRule type="expression" priority="8" aboveAverage="0" equalAverage="0" bottom="0" percent="0" rank="0" text="" dxfId="15">
      <formula>F2="Q"</formula>
    </cfRule>
    <cfRule type="expression" priority="9" aboveAverage="0" equalAverage="0" bottom="0" percent="0" rank="0" text="" dxfId="16">
      <formula>F2="D"</formula>
    </cfRule>
    <cfRule type="expression" priority="10" aboveAverage="0" equalAverage="0" bottom="0" percent="0" rank="0" text="" dxfId="18">
      <formula>ISNUMBER(SEARCH("PENDING",F2))</formula>
    </cfRule>
    <cfRule type="expression" priority="11" aboveAverage="0" equalAverage="0" bottom="0" percent="0" rank="0" text="" dxfId="22">
      <formula>ISNUMBER(SEARCH("NOT LOCATED",F2))</formula>
    </cfRule>
  </conditionalFormatting>
  <conditionalFormatting sqref="G2:G4">
    <cfRule type="expression" priority="12" aboveAverage="0" equalAverage="0" bottom="0" percent="0" rank="0" text="" dxfId="13">
      <formula>G2="A"</formula>
    </cfRule>
    <cfRule type="expression" priority="13" aboveAverage="0" equalAverage="0" bottom="0" percent="0" rank="0" text="" dxfId="15">
      <formula>G2="Q"</formula>
    </cfRule>
    <cfRule type="expression" priority="14" aboveAverage="0" equalAverage="0" bottom="0" percent="0" rank="0" text="" dxfId="16">
      <formula>G2="D"</formula>
    </cfRule>
    <cfRule type="expression" priority="15" aboveAverage="0" equalAverage="0" bottom="0" percent="0" rank="0" text="" dxfId="18">
      <formula>ISNUMBER(SEARCH("PENDING",G2))</formula>
    </cfRule>
    <cfRule type="expression" priority="16" aboveAverage="0" equalAverage="0" bottom="0" percent="0" rank="0" text="" dxfId="22">
      <formula>ISNUMBER(SEARCH("NOT LOCATED",G2))</formula>
    </cfRule>
  </conditionalFormatting>
  <conditionalFormatting sqref="H2:H4">
    <cfRule type="expression" priority="17" aboveAverage="0" equalAverage="0" bottom="0" percent="0" rank="0" text="" dxfId="13">
      <formula>H2="A"</formula>
    </cfRule>
    <cfRule type="expression" priority="18" aboveAverage="0" equalAverage="0" bottom="0" percent="0" rank="0" text="" dxfId="15">
      <formula>H2="Q"</formula>
    </cfRule>
    <cfRule type="expression" priority="19" aboveAverage="0" equalAverage="0" bottom="0" percent="0" rank="0" text="" dxfId="16">
      <formula>H2="D"</formula>
    </cfRule>
    <cfRule type="expression" priority="20" aboveAverage="0" equalAverage="0" bottom="0" percent="0" rank="0" text="" dxfId="18">
      <formula>ISNUMBER(SEARCH("PENDING",H2))</formula>
    </cfRule>
    <cfRule type="expression" priority="21" aboveAverage="0" equalAverage="0" bottom="0" percent="0" rank="0" text="" dxfId="22">
      <formula>ISNUMBER(SEARCH("NOT LOCATED",H2))</formula>
    </cfRule>
  </conditionalFormatting>
  <conditionalFormatting sqref="I2:I4">
    <cfRule type="expression" priority="22" aboveAverage="0" equalAverage="0" bottom="0" percent="0" rank="0" text="" dxfId="13">
      <formula>I2="A"</formula>
    </cfRule>
    <cfRule type="expression" priority="23" aboveAverage="0" equalAverage="0" bottom="0" percent="0" rank="0" text="" dxfId="15">
      <formula>I2="Q"</formula>
    </cfRule>
    <cfRule type="expression" priority="24" aboveAverage="0" equalAverage="0" bottom="0" percent="0" rank="0" text="" dxfId="16">
      <formula>I2="D"</formula>
    </cfRule>
    <cfRule type="expression" priority="25" aboveAverage="0" equalAverage="0" bottom="0" percent="0" rank="0" text="" dxfId="18">
      <formula>ISNUMBER(SEARCH("PENDING",I2))</formula>
    </cfRule>
    <cfRule type="expression" priority="26" aboveAverage="0" equalAverage="0" bottom="0" percent="0" rank="0" text="" dxfId="22">
      <formula>ISNUMBER(SEARCH("NOT LOCATED",I2))</formula>
    </cfRule>
  </conditionalFormatting>
  <conditionalFormatting sqref="J2:J4">
    <cfRule type="expression" priority="27" aboveAverage="0" equalAverage="0" bottom="0" percent="0" rank="0" text="" dxfId="13">
      <formula>J2="A"</formula>
    </cfRule>
    <cfRule type="expression" priority="28" aboveAverage="0" equalAverage="0" bottom="0" percent="0" rank="0" text="" dxfId="15">
      <formula>J2="Q"</formula>
    </cfRule>
    <cfRule type="expression" priority="29" aboveAverage="0" equalAverage="0" bottom="0" percent="0" rank="0" text="" dxfId="16">
      <formula>J2="D"</formula>
    </cfRule>
    <cfRule type="expression" priority="30" aboveAverage="0" equalAverage="0" bottom="0" percent="0" rank="0" text="" dxfId="18">
      <formula>ISNUMBER(SEARCH("PENDING",J2))</formula>
    </cfRule>
    <cfRule type="expression" priority="31" aboveAverage="0" equalAverage="0" bottom="0" percent="0" rank="0" text="" dxfId="22">
      <formula>ISNUMBER(SEARCH("NOT LOCATED",J2))</formula>
    </cfRule>
  </conditionalFormatting>
  <conditionalFormatting sqref="K2:K4">
    <cfRule type="expression" priority="32" aboveAverage="0" equalAverage="0" bottom="0" percent="0" rank="0" text="" dxfId="13">
      <formula>K2="A"</formula>
    </cfRule>
    <cfRule type="expression" priority="33" aboveAverage="0" equalAverage="0" bottom="0" percent="0" rank="0" text="" dxfId="15">
      <formula>K2="Q"</formula>
    </cfRule>
    <cfRule type="expression" priority="34" aboveAverage="0" equalAverage="0" bottom="0" percent="0" rank="0" text="" dxfId="16">
      <formula>K2="D"</formula>
    </cfRule>
    <cfRule type="expression" priority="35" aboveAverage="0" equalAverage="0" bottom="0" percent="0" rank="0" text="" dxfId="18">
      <formula>ISNUMBER(SEARCH("PENDING",K2))</formula>
    </cfRule>
    <cfRule type="expression" priority="36" aboveAverage="0" equalAverage="0" bottom="0" percent="0" rank="0" text="" dxfId="22">
      <formula>ISNUMBER(SEARCH("NOT LOCATED",K2))</formula>
    </cfRule>
  </conditionalFormatting>
  <conditionalFormatting sqref="L2:L4">
    <cfRule type="expression" priority="37" aboveAverage="0" equalAverage="0" bottom="0" percent="0" rank="0" text="" dxfId="13">
      <formula>L2="A"</formula>
    </cfRule>
    <cfRule type="expression" priority="38" aboveAverage="0" equalAverage="0" bottom="0" percent="0" rank="0" text="" dxfId="15">
      <formula>L2="Q"</formula>
    </cfRule>
    <cfRule type="expression" priority="39" aboveAverage="0" equalAverage="0" bottom="0" percent="0" rank="0" text="" dxfId="16">
      <formula>L2="D"</formula>
    </cfRule>
    <cfRule type="expression" priority="40" aboveAverage="0" equalAverage="0" bottom="0" percent="0" rank="0" text="" dxfId="18">
      <formula>ISNUMBER(SEARCH("PENDING",L2))</formula>
    </cfRule>
    <cfRule type="expression" priority="41" aboveAverage="0" equalAverage="0" bottom="0" percent="0" rank="0" text="" dxfId="22">
      <formula>ISNUMBER(SEARCH("NOT LOCATED",L2))</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13"/>
    <col collapsed="false" customWidth="true" hidden="false" outlineLevel="0" max="2" min="2" style="0" width="18"/>
    <col collapsed="false" customWidth="true" hidden="false" outlineLevel="0" max="3" min="3" style="0" width="36"/>
    <col collapsed="false" customWidth="true" hidden="false" outlineLevel="0" max="4" min="4" style="0" width="62"/>
    <col collapsed="false" customWidth="true" hidden="false" outlineLevel="0" max="5" min="5" style="0" width="17"/>
    <col collapsed="false" customWidth="true" hidden="false" outlineLevel="0" max="6" min="6" style="0" width="38"/>
    <col collapsed="false" customWidth="true" hidden="false" outlineLevel="0" max="7" min="7" style="0" width="58"/>
    <col collapsed="false" customWidth="true" hidden="false" outlineLevel="0" max="8" min="8" style="0" width="42"/>
    <col collapsed="false" customWidth="true" hidden="false" outlineLevel="0" max="9" min="9" style="0" width="60"/>
    <col collapsed="false" customWidth="true" hidden="false" outlineLevel="0" max="10" min="10" style="0" width="54"/>
    <col collapsed="false" customWidth="true" hidden="false" outlineLevel="0" max="11" min="11" style="0" width="15"/>
    <col collapsed="false" customWidth="true" hidden="false" outlineLevel="0" max="13" min="12" style="0" width="14"/>
    <col collapsed="false" customWidth="true" hidden="false" outlineLevel="0" max="14" min="14" style="0" width="52"/>
    <col collapsed="false" customWidth="true" hidden="false" outlineLevel="0" max="26" min="15" style="0" width="8.63"/>
  </cols>
  <sheetData>
    <row r="1" customFormat="false" ht="108.95" hidden="false" customHeight="false" outlineLevel="0" collapsed="false">
      <c r="A1" s="11" t="s">
        <v>2602</v>
      </c>
      <c r="B1" s="11"/>
      <c r="C1" s="11"/>
      <c r="D1" s="11"/>
      <c r="E1" s="11"/>
      <c r="F1" s="11"/>
      <c r="G1" s="11"/>
      <c r="H1" s="11"/>
      <c r="I1" s="11"/>
      <c r="J1" s="11"/>
      <c r="K1" s="11"/>
      <c r="L1" s="11"/>
      <c r="M1" s="11"/>
      <c r="N1" s="11"/>
    </row>
    <row r="2" customFormat="false" ht="310.4" hidden="false" customHeight="false" outlineLevel="0" collapsed="false">
      <c r="A2" s="4" t="s">
        <v>2603</v>
      </c>
      <c r="B2" s="4"/>
      <c r="C2" s="4"/>
      <c r="D2" s="4"/>
      <c r="E2" s="4"/>
      <c r="F2" s="4"/>
      <c r="G2" s="4"/>
      <c r="H2" s="4"/>
      <c r="I2" s="4"/>
      <c r="J2" s="4"/>
      <c r="K2" s="4"/>
      <c r="L2" s="4"/>
      <c r="M2" s="4"/>
      <c r="N2" s="4"/>
    </row>
    <row r="3" customFormat="false" ht="15" hidden="false" customHeight="false" outlineLevel="0" collapsed="false">
      <c r="A3" s="4"/>
      <c r="B3" s="4"/>
      <c r="C3" s="4"/>
      <c r="D3" s="4"/>
      <c r="E3" s="4"/>
      <c r="F3" s="4"/>
      <c r="G3" s="4"/>
      <c r="H3" s="4"/>
      <c r="I3" s="4"/>
      <c r="J3" s="4"/>
      <c r="K3" s="4"/>
      <c r="L3" s="4"/>
      <c r="M3" s="4"/>
      <c r="N3" s="4"/>
    </row>
    <row r="4" customFormat="false" ht="15" hidden="false" customHeight="false" outlineLevel="0" collapsed="false">
      <c r="A4" s="4"/>
      <c r="B4" s="4"/>
      <c r="C4" s="4"/>
      <c r="D4" s="4"/>
      <c r="E4" s="4"/>
      <c r="F4" s="4"/>
      <c r="G4" s="4"/>
      <c r="H4" s="4"/>
      <c r="I4" s="4"/>
      <c r="J4" s="4"/>
      <c r="K4" s="4"/>
      <c r="L4" s="4"/>
      <c r="M4" s="4"/>
      <c r="N4" s="4"/>
    </row>
    <row r="5" customFormat="false" ht="15" hidden="false" customHeight="false" outlineLevel="0" collapsed="false">
      <c r="A5" s="3" t="s">
        <v>447</v>
      </c>
      <c r="B5" s="3" t="s">
        <v>446</v>
      </c>
      <c r="C5" s="3" t="s">
        <v>2604</v>
      </c>
      <c r="D5" s="3" t="s">
        <v>2605</v>
      </c>
      <c r="E5" s="3" t="s">
        <v>2606</v>
      </c>
      <c r="F5" s="3" t="s">
        <v>2607</v>
      </c>
      <c r="G5" s="3" t="s">
        <v>2608</v>
      </c>
      <c r="H5" s="3" t="s">
        <v>2609</v>
      </c>
      <c r="I5" s="3" t="s">
        <v>2610</v>
      </c>
      <c r="J5" s="3" t="s">
        <v>2611</v>
      </c>
      <c r="K5" s="3" t="s">
        <v>2612</v>
      </c>
      <c r="L5" s="3" t="s">
        <v>2613</v>
      </c>
      <c r="M5" s="3" t="s">
        <v>2614</v>
      </c>
      <c r="N5" s="3" t="s">
        <v>2615</v>
      </c>
    </row>
    <row r="6" customFormat="false" ht="28.35" hidden="false" customHeight="false" outlineLevel="0" collapsed="false">
      <c r="A6" s="4" t="s">
        <v>457</v>
      </c>
      <c r="B6" s="4" t="s">
        <v>2337</v>
      </c>
      <c r="C6" s="4" t="s">
        <v>459</v>
      </c>
      <c r="D6" s="4" t="s">
        <v>460</v>
      </c>
      <c r="E6" s="4" t="s">
        <v>377</v>
      </c>
      <c r="F6" s="4" t="s">
        <v>790</v>
      </c>
      <c r="G6" s="4" t="s">
        <v>2616</v>
      </c>
      <c r="H6" s="4" t="s">
        <v>793</v>
      </c>
      <c r="I6" s="4" t="s">
        <v>463</v>
      </c>
      <c r="J6" s="4" t="s">
        <v>2617</v>
      </c>
      <c r="K6" s="4" t="str">
        <f aca="false">IF('Author Decision Queue'!$Z$20="RESOLVED",IF('Author Decision Queue'!$T$20="OPTION 1","APPROVE",IF('Author Decision Queue'!$T$20="OPTION 2","REVISE",IF('Author Decision Queue'!$T$20="CUSTOM RESPONSE","REVISE","HOLD"))),IF('Author Decision Queue'!$Z$20="HOLD","HOLD","PENDING"))</f>
        <v>REVISE</v>
      </c>
      <c r="L6" s="4" t="str">
        <f aca="false">IF(K6="PENDING","",'Author Decision Queue'!$W$20)</f>
        <v>AJP</v>
      </c>
      <c r="M6" s="14" t="n">
        <f aca="false">IF(K6="PENDING","",'Author Decision Queue'!$X$20)</f>
        <v>46274</v>
      </c>
      <c r="N6" s="4" t="str">
        <f aca="false">IF(K6="REVISE",'Author Decision Queue'!$U$20,IF(K6="HOLD",'Author Decision Queue'!$Y$20,'Author Decision Queue'!$V$20))</f>
        <v>summary → God is the living God. | caution → Shared. Both traditions affirm this of God in the same sense.</v>
      </c>
    </row>
    <row r="7" customFormat="false" ht="41.75" hidden="false" customHeight="false" outlineLevel="0" collapsed="false">
      <c r="A7" s="4" t="s">
        <v>465</v>
      </c>
      <c r="B7" s="4" t="s">
        <v>2337</v>
      </c>
      <c r="C7" s="4" t="s">
        <v>459</v>
      </c>
      <c r="D7" s="4" t="s">
        <v>466</v>
      </c>
      <c r="E7" s="4" t="s">
        <v>377</v>
      </c>
      <c r="F7" s="4" t="s">
        <v>790</v>
      </c>
      <c r="G7" s="4" t="s">
        <v>2616</v>
      </c>
      <c r="H7" s="4" t="s">
        <v>793</v>
      </c>
      <c r="I7" s="4" t="s">
        <v>463</v>
      </c>
      <c r="J7" s="4" t="s">
        <v>2617</v>
      </c>
      <c r="K7" s="4" t="str">
        <f aca="false">IF('Author Decision Queue'!$Z$21="RESOLVED",IF('Author Decision Queue'!$T$21="OPTION 1","APPROVE",IF('Author Decision Queue'!$T$21="OPTION 2","REVISE",IF('Author Decision Queue'!$T$21="CUSTOM RESPONSE","REVISE","HOLD"))),IF('Author Decision Queue'!$Z$21="HOLD","HOLD","PENDING"))</f>
        <v>REVISE</v>
      </c>
      <c r="L7" s="4" t="str">
        <f aca="false">IF(K7="PENDING","",'Author Decision Queue'!$W$21)</f>
        <v>AJP</v>
      </c>
      <c r="M7" s="14" t="n">
        <f aca="false">IF(K7="PENDING","",'Author Decision Queue'!$X$21)</f>
        <v>46274</v>
      </c>
      <c r="N7" s="4" t="str">
        <f aca="false">IF(K7="REVISE",'Author Decision Queue'!$U$21,IF(K7="HOLD",'Author Decision Queue'!$Y$21,'Author Decision Queue'!$V$21))</f>
        <v>summary → God is true — authentic, faithful, and real. | caution → Shared. Both traditions affirm this of God in the same sense.</v>
      </c>
    </row>
    <row r="8" customFormat="false" ht="28.35" hidden="false" customHeight="false" outlineLevel="0" collapsed="false">
      <c r="A8" s="4" t="s">
        <v>468</v>
      </c>
      <c r="B8" s="4" t="s">
        <v>2337</v>
      </c>
      <c r="C8" s="4" t="s">
        <v>459</v>
      </c>
      <c r="D8" s="4" t="s">
        <v>469</v>
      </c>
      <c r="E8" s="4" t="s">
        <v>384</v>
      </c>
      <c r="F8" s="4" t="s">
        <v>790</v>
      </c>
      <c r="G8" s="4" t="s">
        <v>2616</v>
      </c>
      <c r="H8" s="4" t="s">
        <v>793</v>
      </c>
      <c r="I8" s="4" t="s">
        <v>472</v>
      </c>
      <c r="J8" s="4" t="s">
        <v>2617</v>
      </c>
      <c r="K8" s="4" t="str">
        <f aca="false">IF('Author Decision Queue'!$Z$22="RESOLVED",IF('Author Decision Queue'!$T$22="OPTION 1","APPROVE",IF('Author Decision Queue'!$T$22="OPTION 2","REVISE",IF('Author Decision Queue'!$T$22="CUSTOM RESPONSE","REVISE","HOLD"))),IF('Author Decision Queue'!$Z$22="HOLD","HOLD","PENDING"))</f>
        <v>APPROVE</v>
      </c>
      <c r="L8" s="4" t="str">
        <f aca="false">IF(K8="PENDING","",'Author Decision Queue'!$W$22)</f>
        <v>AJP</v>
      </c>
      <c r="M8" s="14" t="n">
        <f aca="false">IF(K8="PENDING","",'Author Decision Queue'!$X$22)</f>
        <v>46274</v>
      </c>
      <c r="N8" s="4" t="str">
        <f aca="false">IF(K8="REVISE",'Author Decision Queue'!$U$22,IF(K8="HOLD",'Author Decision Queue'!$Y$22,'Author Decision Queue'!$V$22))</f>
        <v>Approved as written (batch sign-off 2026-09-09).</v>
      </c>
    </row>
    <row r="9" customFormat="false" ht="28.35" hidden="false" customHeight="false" outlineLevel="0" collapsed="false">
      <c r="A9" s="4" t="s">
        <v>473</v>
      </c>
      <c r="B9" s="4" t="s">
        <v>2337</v>
      </c>
      <c r="C9" s="4" t="s">
        <v>459</v>
      </c>
      <c r="D9" s="4" t="s">
        <v>474</v>
      </c>
      <c r="E9" s="4" t="s">
        <v>377</v>
      </c>
      <c r="F9" s="4" t="s">
        <v>790</v>
      </c>
      <c r="G9" s="4" t="s">
        <v>2616</v>
      </c>
      <c r="H9" s="4" t="s">
        <v>793</v>
      </c>
      <c r="I9" s="4" t="s">
        <v>476</v>
      </c>
      <c r="J9" s="4" t="s">
        <v>2617</v>
      </c>
      <c r="K9" s="4" t="str">
        <f aca="false">IF('Author Decision Queue'!$Z$23="RESOLVED",IF('Author Decision Queue'!$T$23="OPTION 1","APPROVE",IF('Author Decision Queue'!$T$23="OPTION 2","REVISE",IF('Author Decision Queue'!$T$23="CUSTOM RESPONSE","REVISE","HOLD"))),IF('Author Decision Queue'!$Z$23="HOLD","HOLD","PENDING"))</f>
        <v>REVISE</v>
      </c>
      <c r="L9" s="4" t="str">
        <f aca="false">IF(K9="PENDING","",'Author Decision Queue'!$W$23)</f>
        <v>AJP</v>
      </c>
      <c r="M9" s="14" t="n">
        <f aca="false">IF(K9="PENDING","",'Author Decision Queue'!$X$23)</f>
        <v>46274</v>
      </c>
      <c r="N9" s="4" t="str">
        <f aca="false">IF(K9="REVISE",'Author Decision Queue'!$U$23,IF(K9="HOLD",'Author Decision Queue'!$Y$23,'Author Decision Queue'!$V$23))</f>
        <v>summary → God is Father.</v>
      </c>
    </row>
    <row r="10" customFormat="false" ht="28.35" hidden="false" customHeight="false" outlineLevel="0" collapsed="false">
      <c r="A10" s="4" t="s">
        <v>477</v>
      </c>
      <c r="B10" s="4" t="s">
        <v>2337</v>
      </c>
      <c r="C10" s="4" t="s">
        <v>459</v>
      </c>
      <c r="D10" s="4" t="s">
        <v>478</v>
      </c>
      <c r="E10" s="4" t="s">
        <v>377</v>
      </c>
      <c r="F10" s="4" t="s">
        <v>790</v>
      </c>
      <c r="G10" s="4" t="s">
        <v>2616</v>
      </c>
      <c r="H10" s="4" t="s">
        <v>793</v>
      </c>
      <c r="I10" s="4" t="s">
        <v>480</v>
      </c>
      <c r="J10" s="4" t="s">
        <v>2617</v>
      </c>
      <c r="K10" s="4" t="str">
        <f aca="false">IF('Author Decision Queue'!$Z$24="RESOLVED",IF('Author Decision Queue'!$T$24="OPTION 1","APPROVE",IF('Author Decision Queue'!$T$24="OPTION 2","REVISE",IF('Author Decision Queue'!$T$24="CUSTOM RESPONSE","REVISE","HOLD"))),IF('Author Decision Queue'!$Z$24="HOLD","HOLD","PENDING"))</f>
        <v>REVISE</v>
      </c>
      <c r="L10" s="4" t="str">
        <f aca="false">IF(K10="PENDING","",'Author Decision Queue'!$W$24)</f>
        <v>AJP</v>
      </c>
      <c r="M10" s="14" t="n">
        <f aca="false">IF(K10="PENDING","",'Author Decision Queue'!$X$24)</f>
        <v>46274</v>
      </c>
      <c r="N10" s="4" t="str">
        <f aca="false">IF(K10="REVISE",'Author Decision Queue'!$U$24,IF(K10="HOLD",'Author Decision Queue'!$Y$24,'Author Decision Queue'!$V$24))</f>
        <v>summary → Names Jesus Christ as the eternal Son of God.</v>
      </c>
    </row>
    <row r="11" customFormat="false" ht="41.75" hidden="false" customHeight="false" outlineLevel="0" collapsed="false">
      <c r="A11" s="4" t="s">
        <v>481</v>
      </c>
      <c r="B11" s="4" t="s">
        <v>2337</v>
      </c>
      <c r="C11" s="4" t="s">
        <v>459</v>
      </c>
      <c r="D11" s="4" t="s">
        <v>482</v>
      </c>
      <c r="E11" s="4" t="s">
        <v>377</v>
      </c>
      <c r="F11" s="4" t="s">
        <v>790</v>
      </c>
      <c r="G11" s="4" t="s">
        <v>2616</v>
      </c>
      <c r="H11" s="4" t="s">
        <v>793</v>
      </c>
      <c r="I11" s="4" t="s">
        <v>484</v>
      </c>
      <c r="J11" s="4" t="s">
        <v>2617</v>
      </c>
      <c r="K11" s="4" t="str">
        <f aca="false">IF('Author Decision Queue'!$Z$25="RESOLVED",IF('Author Decision Queue'!$T$25="OPTION 1","APPROVE",IF('Author Decision Queue'!$T$25="OPTION 2","REVISE",IF('Author Decision Queue'!$T$25="CUSTOM RESPONSE","REVISE","HOLD"))),IF('Author Decision Queue'!$Z$25="HOLD","HOLD","PENDING"))</f>
        <v>REVISE</v>
      </c>
      <c r="L11" s="4" t="str">
        <f aca="false">IF(K11="PENDING","",'Author Decision Queue'!$W$25)</f>
        <v>AJP</v>
      </c>
      <c r="M11" s="14" t="n">
        <f aca="false">IF(K11="PENDING","",'Author Decision Queue'!$X$25)</f>
        <v>46274</v>
      </c>
      <c r="N11" s="4" t="str">
        <f aca="false">IF(K11="REVISE",'Author Decision Queue'!$U$25,IF(K11="HOLD",'Author Decision Queue'!$Y$25,'Author Decision Queue'!$V$25))</f>
        <v>summary → Jesus Christ is Lord. | Restoration comparator → D&amp;C 20:24 “to reign with almighty power according to the will of the Father”</v>
      </c>
    </row>
    <row r="12" customFormat="false" ht="28.35" hidden="false" customHeight="false" outlineLevel="0" collapsed="false">
      <c r="A12" s="4" t="s">
        <v>485</v>
      </c>
      <c r="B12" s="4" t="s">
        <v>2337</v>
      </c>
      <c r="C12" s="4" t="s">
        <v>486</v>
      </c>
      <c r="D12" s="4" t="s">
        <v>487</v>
      </c>
      <c r="E12" s="4" t="s">
        <v>377</v>
      </c>
      <c r="F12" s="4" t="s">
        <v>790</v>
      </c>
      <c r="G12" s="4" t="s">
        <v>2616</v>
      </c>
      <c r="H12" s="4" t="s">
        <v>793</v>
      </c>
      <c r="I12" s="4" t="s">
        <v>489</v>
      </c>
      <c r="J12" s="4" t="s">
        <v>2617</v>
      </c>
      <c r="K12" s="4" t="str">
        <f aca="false">IF('Author Decision Queue'!$Z$26="RESOLVED",IF('Author Decision Queue'!$T$26="OPTION 1","APPROVE",IF('Author Decision Queue'!$T$26="OPTION 2","REVISE",IF('Author Decision Queue'!$T$26="CUSTOM RESPONSE","REVISE","HOLD"))),IF('Author Decision Queue'!$Z$26="HOLD","HOLD","PENDING"))</f>
        <v>REVISE</v>
      </c>
      <c r="L12" s="4" t="str">
        <f aca="false">IF(K12="PENDING","",'Author Decision Queue'!$W$26)</f>
        <v>AJP</v>
      </c>
      <c r="M12" s="14" t="n">
        <f aca="false">IF(K12="PENDING","",'Author Decision Queue'!$X$26)</f>
        <v>46274</v>
      </c>
      <c r="N12" s="4" t="str">
        <f aca="false">IF(K12="REVISE",'Author Decision Queue'!$U$26,IF(K12="HOLD",'Author Decision Queue'!$Y$26,'Author Decision Queue'!$V$26))</f>
        <v>summary → God is almighty; all power is His.</v>
      </c>
    </row>
    <row r="13" customFormat="false" ht="28.35" hidden="false" customHeight="false" outlineLevel="0" collapsed="false">
      <c r="A13" s="4" t="s">
        <v>490</v>
      </c>
      <c r="B13" s="4" t="s">
        <v>2337</v>
      </c>
      <c r="C13" s="4" t="s">
        <v>486</v>
      </c>
      <c r="D13" s="4" t="s">
        <v>491</v>
      </c>
      <c r="E13" s="4" t="s">
        <v>377</v>
      </c>
      <c r="F13" s="4" t="s">
        <v>790</v>
      </c>
      <c r="G13" s="4" t="s">
        <v>2616</v>
      </c>
      <c r="H13" s="4" t="s">
        <v>793</v>
      </c>
      <c r="I13" s="4" t="s">
        <v>493</v>
      </c>
      <c r="J13" s="4" t="s">
        <v>2617</v>
      </c>
      <c r="K13" s="4" t="str">
        <f aca="false">IF('Author Decision Queue'!$Z$27="RESOLVED",IF('Author Decision Queue'!$T$27="OPTION 1","APPROVE",IF('Author Decision Queue'!$T$27="OPTION 2","REVISE",IF('Author Decision Queue'!$T$27="CUSTOM RESPONSE","REVISE","HOLD"))),IF('Author Decision Queue'!$Z$27="HOLD","HOLD","PENDING"))</f>
        <v>REVISE</v>
      </c>
      <c r="L13" s="4" t="str">
        <f aca="false">IF(K13="PENDING","",'Author Decision Queue'!$W$27)</f>
        <v>AJP</v>
      </c>
      <c r="M13" s="14" t="n">
        <f aca="false">IF(K13="PENDING","",'Author Decision Queue'!$X$27)</f>
        <v>46274</v>
      </c>
      <c r="N13" s="4" t="str">
        <f aca="false">IF(K13="REVISE",'Author Decision Queue'!$U$27,IF(K13="HOLD",'Author Decision Queue'!$Y$27,'Author Decision Queue'!$V$27))</f>
        <v>summary → God is all-wise.</v>
      </c>
    </row>
    <row r="14" customFormat="false" ht="28.35" hidden="false" customHeight="false" outlineLevel="0" collapsed="false">
      <c r="A14" s="4" t="s">
        <v>494</v>
      </c>
      <c r="B14" s="4" t="s">
        <v>2337</v>
      </c>
      <c r="C14" s="4" t="s">
        <v>486</v>
      </c>
      <c r="D14" s="4" t="s">
        <v>495</v>
      </c>
      <c r="E14" s="4" t="s">
        <v>377</v>
      </c>
      <c r="F14" s="4" t="s">
        <v>790</v>
      </c>
      <c r="G14" s="4" t="s">
        <v>2616</v>
      </c>
      <c r="H14" s="4" t="s">
        <v>793</v>
      </c>
      <c r="I14" s="4" t="s">
        <v>497</v>
      </c>
      <c r="J14" s="4" t="s">
        <v>2617</v>
      </c>
      <c r="K14" s="4" t="str">
        <f aca="false">IF('Author Decision Queue'!$Z$28="RESOLVED",IF('Author Decision Queue'!$T$28="OPTION 1","APPROVE",IF('Author Decision Queue'!$T$28="OPTION 2","REVISE",IF('Author Decision Queue'!$T$28="CUSTOM RESPONSE","REVISE","HOLD"))),IF('Author Decision Queue'!$Z$28="HOLD","HOLD","PENDING"))</f>
        <v>REVISE</v>
      </c>
      <c r="L14" s="4" t="str">
        <f aca="false">IF(K14="PENDING","",'Author Decision Queue'!$W$28)</f>
        <v>AJP</v>
      </c>
      <c r="M14" s="14" t="n">
        <f aca="false">IF(K14="PENDING","",'Author Decision Queue'!$X$28)</f>
        <v>46274</v>
      </c>
      <c r="N14" s="4" t="str">
        <f aca="false">IF(K14="REVISE",'Author Decision Queue'!$U$28,IF(K14="HOLD",'Author Decision Queue'!$Y$28,'Author Decision Queue'!$V$28))</f>
        <v>summary → God is good. | Restoration comparator → Moroni 7:12 “all things which are good cometh of God”</v>
      </c>
    </row>
    <row r="15" customFormat="false" ht="28.35" hidden="false" customHeight="false" outlineLevel="0" collapsed="false">
      <c r="A15" s="4" t="s">
        <v>498</v>
      </c>
      <c r="B15" s="4" t="s">
        <v>2337</v>
      </c>
      <c r="C15" s="4" t="s">
        <v>486</v>
      </c>
      <c r="D15" s="4" t="s">
        <v>499</v>
      </c>
      <c r="E15" s="4" t="s">
        <v>377</v>
      </c>
      <c r="F15" s="4" t="s">
        <v>790</v>
      </c>
      <c r="G15" s="4" t="s">
        <v>2616</v>
      </c>
      <c r="H15" s="4" t="s">
        <v>793</v>
      </c>
      <c r="I15" s="4" t="s">
        <v>463</v>
      </c>
      <c r="J15" s="4" t="s">
        <v>2617</v>
      </c>
      <c r="K15" s="4" t="str">
        <f aca="false">IF('Author Decision Queue'!$Z$29="RESOLVED",IF('Author Decision Queue'!$T$29="OPTION 1","APPROVE",IF('Author Decision Queue'!$T$29="OPTION 2","REVISE",IF('Author Decision Queue'!$T$29="CUSTOM RESPONSE","REVISE","HOLD"))),IF('Author Decision Queue'!$Z$29="HOLD","HOLD","PENDING"))</f>
        <v>REVISE</v>
      </c>
      <c r="L15" s="4" t="str">
        <f aca="false">IF(K15="PENDING","",'Author Decision Queue'!$W$29)</f>
        <v>AJP</v>
      </c>
      <c r="M15" s="14" t="n">
        <f aca="false">IF(K15="PENDING","",'Author Decision Queue'!$X$29)</f>
        <v>46274</v>
      </c>
      <c r="N15" s="4" t="str">
        <f aca="false">IF(K15="REVISE",'Author Decision Queue'!$U$29,IF(K15="HOLD",'Author Decision Queue'!$Y$29,'Author Decision Queue'!$V$29))</f>
        <v>summary → Every good thing comes from God. | caution → Shared. Both traditions affirm this of God in the same sense.</v>
      </c>
    </row>
    <row r="16" customFormat="false" ht="28.35" hidden="false" customHeight="false" outlineLevel="0" collapsed="false">
      <c r="A16" s="4" t="s">
        <v>501</v>
      </c>
      <c r="B16" s="4" t="s">
        <v>2337</v>
      </c>
      <c r="C16" s="4" t="s">
        <v>486</v>
      </c>
      <c r="D16" s="4" t="s">
        <v>502</v>
      </c>
      <c r="E16" s="4" t="s">
        <v>377</v>
      </c>
      <c r="F16" s="4" t="s">
        <v>790</v>
      </c>
      <c r="G16" s="4" t="s">
        <v>2616</v>
      </c>
      <c r="H16" s="4" t="s">
        <v>793</v>
      </c>
      <c r="I16" s="4" t="s">
        <v>504</v>
      </c>
      <c r="J16" s="4" t="s">
        <v>2617</v>
      </c>
      <c r="K16" s="4" t="str">
        <f aca="false">IF('Author Decision Queue'!$Z$30="RESOLVED",IF('Author Decision Queue'!$T$30="OPTION 1","APPROVE",IF('Author Decision Queue'!$T$30="OPTION 2","REVISE",IF('Author Decision Queue'!$T$30="CUSTOM RESPONSE","REVISE","HOLD"))),IF('Author Decision Queue'!$Z$30="HOLD","HOLD","PENDING"))</f>
        <v>REVISE</v>
      </c>
      <c r="L16" s="4" t="str">
        <f aca="false">IF(K16="PENDING","",'Author Decision Queue'!$W$30)</f>
        <v>AJP</v>
      </c>
      <c r="M16" s="14" t="n">
        <f aca="false">IF(K16="PENDING","",'Author Decision Queue'!$X$30)</f>
        <v>46274</v>
      </c>
      <c r="N16" s="4" t="str">
        <f aca="false">IF(K16="REVISE",'Author Decision Queue'!$U$30,IF(K16="HOLD",'Author Decision Queue'!$Y$30,'Author Decision Queue'!$V$30))</f>
        <v>summary → God is just and righteous.</v>
      </c>
    </row>
    <row r="17" customFormat="false" ht="28.35" hidden="false" customHeight="false" outlineLevel="0" collapsed="false">
      <c r="A17" s="4" t="s">
        <v>505</v>
      </c>
      <c r="B17" s="4" t="s">
        <v>2337</v>
      </c>
      <c r="C17" s="4" t="s">
        <v>486</v>
      </c>
      <c r="D17" s="4" t="s">
        <v>506</v>
      </c>
      <c r="E17" s="4" t="s">
        <v>377</v>
      </c>
      <c r="F17" s="4" t="s">
        <v>790</v>
      </c>
      <c r="G17" s="4" t="s">
        <v>2616</v>
      </c>
      <c r="H17" s="4" t="s">
        <v>793</v>
      </c>
      <c r="I17" s="4" t="s">
        <v>508</v>
      </c>
      <c r="J17" s="4" t="s">
        <v>2617</v>
      </c>
      <c r="K17" s="4" t="str">
        <f aca="false">IF('Author Decision Queue'!$Z$31="RESOLVED",IF('Author Decision Queue'!$T$31="OPTION 1","APPROVE",IF('Author Decision Queue'!$T$31="OPTION 2","REVISE",IF('Author Decision Queue'!$T$31="CUSTOM RESPONSE","REVISE","HOLD"))),IF('Author Decision Queue'!$Z$31="HOLD","HOLD","PENDING"))</f>
        <v>REVISE</v>
      </c>
      <c r="L17" s="4" t="str">
        <f aca="false">IF(K17="PENDING","",'Author Decision Queue'!$W$31)</f>
        <v>AJP</v>
      </c>
      <c r="M17" s="14" t="n">
        <f aca="false">IF(K17="PENDING","",'Author Decision Queue'!$X$31)</f>
        <v>46274</v>
      </c>
      <c r="N17" s="4" t="str">
        <f aca="false">IF(K17="REVISE",'Author Decision Queue'!$U$31,IF(K17="HOLD",'Author Decision Queue'!$Y$31,'Author Decision Queue'!$V$31))</f>
        <v>summary → God is holy.</v>
      </c>
    </row>
    <row r="18" customFormat="false" ht="28.35" hidden="false" customHeight="false" outlineLevel="0" collapsed="false">
      <c r="A18" s="4" t="s">
        <v>509</v>
      </c>
      <c r="B18" s="4" t="s">
        <v>2337</v>
      </c>
      <c r="C18" s="4" t="s">
        <v>486</v>
      </c>
      <c r="D18" s="4" t="s">
        <v>510</v>
      </c>
      <c r="E18" s="4" t="s">
        <v>377</v>
      </c>
      <c r="F18" s="4" t="s">
        <v>790</v>
      </c>
      <c r="G18" s="4" t="s">
        <v>2616</v>
      </c>
      <c r="H18" s="4" t="s">
        <v>793</v>
      </c>
      <c r="I18" s="4" t="s">
        <v>512</v>
      </c>
      <c r="J18" s="4" t="s">
        <v>2617</v>
      </c>
      <c r="K18" s="4" t="str">
        <f aca="false">IF('Author Decision Queue'!$Z$32="RESOLVED",IF('Author Decision Queue'!$T$32="OPTION 1","APPROVE",IF('Author Decision Queue'!$T$32="OPTION 2","REVISE",IF('Author Decision Queue'!$T$32="CUSTOM RESPONSE","REVISE","HOLD"))),IF('Author Decision Queue'!$Z$32="HOLD","HOLD","PENDING"))</f>
        <v>REVISE</v>
      </c>
      <c r="L18" s="4" t="str">
        <f aca="false">IF(K18="PENDING","",'Author Decision Queue'!$W$32)</f>
        <v>AJP</v>
      </c>
      <c r="M18" s="14" t="n">
        <f aca="false">IF(K18="PENDING","",'Author Decision Queue'!$X$32)</f>
        <v>46274</v>
      </c>
      <c r="N18" s="4" t="str">
        <f aca="false">IF(K18="REVISE",'Author Decision Queue'!$U$32,IF(K18="HOLD",'Author Decision Queue'!$Y$32,'Author Decision Queue'!$V$32))</f>
        <v>summary → God is a God of truth; He cannot lie.</v>
      </c>
    </row>
    <row r="19" customFormat="false" ht="28.35" hidden="false" customHeight="false" outlineLevel="0" collapsed="false">
      <c r="A19" s="4" t="s">
        <v>513</v>
      </c>
      <c r="B19" s="4" t="s">
        <v>2337</v>
      </c>
      <c r="C19" s="4" t="s">
        <v>514</v>
      </c>
      <c r="D19" s="4" t="s">
        <v>515</v>
      </c>
      <c r="E19" s="4" t="s">
        <v>377</v>
      </c>
      <c r="F19" s="4" t="s">
        <v>790</v>
      </c>
      <c r="G19" s="4" t="s">
        <v>2616</v>
      </c>
      <c r="H19" s="4" t="s">
        <v>793</v>
      </c>
      <c r="I19" s="4" t="s">
        <v>517</v>
      </c>
      <c r="J19" s="4" t="s">
        <v>2617</v>
      </c>
      <c r="K19" s="4" t="str">
        <f aca="false">IF('Author Decision Queue'!$Z$33="RESOLVED",IF('Author Decision Queue'!$T$33="OPTION 1","APPROVE",IF('Author Decision Queue'!$T$33="OPTION 2","REVISE",IF('Author Decision Queue'!$T$33="CUSTOM RESPONSE","REVISE","HOLD"))),IF('Author Decision Queue'!$Z$33="HOLD","HOLD","PENDING"))</f>
        <v>REVISE</v>
      </c>
      <c r="L19" s="4" t="str">
        <f aca="false">IF(K19="PENDING","",'Author Decision Queue'!$W$33)</f>
        <v>AJP</v>
      </c>
      <c r="M19" s="14" t="n">
        <f aca="false">IF(K19="PENDING","",'Author Decision Queue'!$X$33)</f>
        <v>46274</v>
      </c>
      <c r="N19" s="4" t="str">
        <f aca="false">IF(K19="REVISE",'Author Decision Queue'!$U$33,IF(K19="HOLD",'Author Decision Queue'!$Y$33,'Author Decision Queue'!$V$33))</f>
        <v>summary → God is love; He loves His children.</v>
      </c>
    </row>
    <row r="20" customFormat="false" ht="28.35" hidden="false" customHeight="false" outlineLevel="0" collapsed="false">
      <c r="A20" s="4" t="s">
        <v>518</v>
      </c>
      <c r="B20" s="4" t="s">
        <v>2337</v>
      </c>
      <c r="C20" s="4" t="s">
        <v>514</v>
      </c>
      <c r="D20" s="4" t="s">
        <v>519</v>
      </c>
      <c r="E20" s="4" t="s">
        <v>377</v>
      </c>
      <c r="F20" s="4" t="s">
        <v>790</v>
      </c>
      <c r="G20" s="4" t="s">
        <v>2616</v>
      </c>
      <c r="H20" s="4" t="s">
        <v>793</v>
      </c>
      <c r="I20" s="4" t="s">
        <v>521</v>
      </c>
      <c r="J20" s="4" t="s">
        <v>2617</v>
      </c>
      <c r="K20" s="4" t="str">
        <f aca="false">IF('Author Decision Queue'!$Z$34="RESOLVED",IF('Author Decision Queue'!$T$34="OPTION 1","APPROVE",IF('Author Decision Queue'!$T$34="OPTION 2","REVISE",IF('Author Decision Queue'!$T$34="CUSTOM RESPONSE","REVISE","HOLD"))),IF('Author Decision Queue'!$Z$34="HOLD","HOLD","PENDING"))</f>
        <v>REVISE</v>
      </c>
      <c r="L20" s="4" t="str">
        <f aca="false">IF(K20="PENDING","",'Author Decision Queue'!$W$34)</f>
        <v>AJP</v>
      </c>
      <c r="M20" s="14" t="n">
        <f aca="false">IF(K20="PENDING","",'Author Decision Queue'!$X$34)</f>
        <v>46274</v>
      </c>
      <c r="N20" s="4" t="str">
        <f aca="false">IF(K20="REVISE",'Author Decision Queue'!$U$34,IF(K20="HOLD",'Author Decision Queue'!$Y$34,'Author Decision Queue'!$V$34))</f>
        <v>summary → God is merciful.</v>
      </c>
    </row>
    <row r="21" customFormat="false" ht="15.75" hidden="false" customHeight="true" outlineLevel="0" collapsed="false">
      <c r="A21" s="4" t="s">
        <v>522</v>
      </c>
      <c r="B21" s="4" t="s">
        <v>2337</v>
      </c>
      <c r="C21" s="4" t="s">
        <v>514</v>
      </c>
      <c r="D21" s="4" t="s">
        <v>523</v>
      </c>
      <c r="E21" s="4" t="s">
        <v>377</v>
      </c>
      <c r="F21" s="4" t="s">
        <v>790</v>
      </c>
      <c r="G21" s="4" t="s">
        <v>2616</v>
      </c>
      <c r="H21" s="4" t="s">
        <v>793</v>
      </c>
      <c r="I21" s="4" t="s">
        <v>525</v>
      </c>
      <c r="J21" s="4" t="s">
        <v>2617</v>
      </c>
      <c r="K21" s="4" t="str">
        <f aca="false">IF('Author Decision Queue'!$Z$35="RESOLVED",IF('Author Decision Queue'!$T$35="OPTION 1","APPROVE",IF('Author Decision Queue'!$T$35="OPTION 2","REVISE",IF('Author Decision Queue'!$T$35="CUSTOM RESPONSE","REVISE","HOLD"))),IF('Author Decision Queue'!$Z$35="HOLD","HOLD","PENDING"))</f>
        <v>REVISE</v>
      </c>
      <c r="L21" s="4" t="str">
        <f aca="false">IF(K21="PENDING","",'Author Decision Queue'!$W$35)</f>
        <v>AJP</v>
      </c>
      <c r="M21" s="14" t="n">
        <f aca="false">IF(K21="PENDING","",'Author Decision Queue'!$X$35)</f>
        <v>46274</v>
      </c>
      <c r="N21" s="4" t="str">
        <f aca="false">IF(K21="REVISE",'Author Decision Queue'!$U$35,IF(K21="HOLD",'Author Decision Queue'!$Y$35,'Author Decision Queue'!$V$35))</f>
        <v>summary → God is gracious.</v>
      </c>
    </row>
    <row r="22" customFormat="false" ht="15.75" hidden="false" customHeight="true" outlineLevel="0" collapsed="false">
      <c r="A22" s="4" t="s">
        <v>526</v>
      </c>
      <c r="B22" s="4" t="s">
        <v>2337</v>
      </c>
      <c r="C22" s="4" t="s">
        <v>514</v>
      </c>
      <c r="D22" s="4" t="s">
        <v>527</v>
      </c>
      <c r="E22" s="4" t="s">
        <v>377</v>
      </c>
      <c r="F22" s="4" t="s">
        <v>790</v>
      </c>
      <c r="G22" s="4" t="s">
        <v>2616</v>
      </c>
      <c r="H22" s="4" t="s">
        <v>793</v>
      </c>
      <c r="I22" s="4" t="s">
        <v>529</v>
      </c>
      <c r="J22" s="4" t="s">
        <v>2617</v>
      </c>
      <c r="K22" s="4" t="str">
        <f aca="false">IF('Author Decision Queue'!$Z$36="RESOLVED",IF('Author Decision Queue'!$T$36="OPTION 1","APPROVE",IF('Author Decision Queue'!$T$36="OPTION 2","REVISE",IF('Author Decision Queue'!$T$36="CUSTOM RESPONSE","REVISE","HOLD"))),IF('Author Decision Queue'!$Z$36="HOLD","HOLD","PENDING"))</f>
        <v>REVISE</v>
      </c>
      <c r="L22" s="4" t="str">
        <f aca="false">IF(K22="PENDING","",'Author Decision Queue'!$W$36)</f>
        <v>AJP</v>
      </c>
      <c r="M22" s="14" t="n">
        <f aca="false">IF(K22="PENDING","",'Author Decision Queue'!$X$36)</f>
        <v>46274</v>
      </c>
      <c r="N22" s="4" t="str">
        <f aca="false">IF(K22="REVISE",'Author Decision Queue'!$U$36,IF(K22="HOLD",'Author Decision Queue'!$Y$36,'Author Decision Queue'!$V$36))</f>
        <v>summary → God is long-suffering and patient.</v>
      </c>
    </row>
    <row r="23" customFormat="false" ht="15.75" hidden="false" customHeight="true" outlineLevel="0" collapsed="false">
      <c r="A23" s="4" t="s">
        <v>530</v>
      </c>
      <c r="B23" s="4" t="s">
        <v>2337</v>
      </c>
      <c r="C23" s="4" t="s">
        <v>514</v>
      </c>
      <c r="D23" s="4" t="s">
        <v>531</v>
      </c>
      <c r="E23" s="4" t="s">
        <v>377</v>
      </c>
      <c r="F23" s="4" t="s">
        <v>790</v>
      </c>
      <c r="G23" s="4" t="s">
        <v>2616</v>
      </c>
      <c r="H23" s="4" t="s">
        <v>793</v>
      </c>
      <c r="I23" s="4" t="s">
        <v>533</v>
      </c>
      <c r="J23" s="4" t="s">
        <v>2617</v>
      </c>
      <c r="K23" s="4" t="str">
        <f aca="false">IF('Author Decision Queue'!$Z$37="RESOLVED",IF('Author Decision Queue'!$T$37="OPTION 1","APPROVE",IF('Author Decision Queue'!$T$37="OPTION 2","REVISE",IF('Author Decision Queue'!$T$37="CUSTOM RESPONSE","REVISE","HOLD"))),IF('Author Decision Queue'!$Z$37="HOLD","HOLD","PENDING"))</f>
        <v>REVISE</v>
      </c>
      <c r="L23" s="4" t="str">
        <f aca="false">IF(K23="PENDING","",'Author Decision Queue'!$W$37)</f>
        <v>AJP</v>
      </c>
      <c r="M23" s="14" t="n">
        <f aca="false">IF(K23="PENDING","",'Author Decision Queue'!$X$37)</f>
        <v>46274</v>
      </c>
      <c r="N23" s="4" t="str">
        <f aca="false">IF(K23="REVISE",'Author Decision Queue'!$U$37,IF(K23="HOLD",'Author Decision Queue'!$Y$37,'Author Decision Queue'!$V$37))</f>
        <v>summary → God forgives sin. | Restoration phrase → “I, the Lord, will forgive whom I will forgive”</v>
      </c>
    </row>
    <row r="24" customFormat="false" ht="15.75" hidden="false" customHeight="true" outlineLevel="0" collapsed="false">
      <c r="A24" s="4" t="s">
        <v>534</v>
      </c>
      <c r="B24" s="4" t="s">
        <v>2337</v>
      </c>
      <c r="C24" s="4" t="s">
        <v>514</v>
      </c>
      <c r="D24" s="4" t="s">
        <v>535</v>
      </c>
      <c r="E24" s="4" t="s">
        <v>377</v>
      </c>
      <c r="F24" s="4" t="s">
        <v>790</v>
      </c>
      <c r="G24" s="4" t="s">
        <v>2616</v>
      </c>
      <c r="H24" s="4" t="s">
        <v>793</v>
      </c>
      <c r="I24" s="4" t="s">
        <v>463</v>
      </c>
      <c r="J24" s="4" t="s">
        <v>2617</v>
      </c>
      <c r="K24" s="4" t="str">
        <f aca="false">IF('Author Decision Queue'!$Z$38="RESOLVED",IF('Author Decision Queue'!$T$38="OPTION 1","APPROVE",IF('Author Decision Queue'!$T$38="OPTION 2","REVISE",IF('Author Decision Queue'!$T$38="CUSTOM RESPONSE","REVISE","HOLD"))),IF('Author Decision Queue'!$Z$38="HOLD","HOLD","PENDING"))</f>
        <v>REVISE</v>
      </c>
      <c r="L24" s="4" t="str">
        <f aca="false">IF(K24="PENDING","",'Author Decision Queue'!$W$38)</f>
        <v>AJP</v>
      </c>
      <c r="M24" s="14" t="n">
        <f aca="false">IF(K24="PENDING","",'Author Decision Queue'!$X$38)</f>
        <v>46274</v>
      </c>
      <c r="N24" s="4" t="str">
        <f aca="false">IF(K24="REVISE",'Author Decision Queue'!$U$38,IF(K24="HOLD",'Author Decision Queue'!$Y$38,'Author Decision Queue'!$V$38))</f>
        <v>summary → God is blessed; all blessedness is in Him. | caution → Shared. Both traditions affirm this of God in the same sense. | Restoration comparator → Alma 26:8 “Blessed be the name of our God”</v>
      </c>
    </row>
    <row r="25" customFormat="false" ht="15.75" hidden="false" customHeight="true" outlineLevel="0" collapsed="false">
      <c r="A25" s="4" t="s">
        <v>537</v>
      </c>
      <c r="B25" s="4" t="s">
        <v>2337</v>
      </c>
      <c r="C25" s="4" t="s">
        <v>514</v>
      </c>
      <c r="D25" s="4" t="s">
        <v>538</v>
      </c>
      <c r="E25" s="4" t="s">
        <v>377</v>
      </c>
      <c r="F25" s="4" t="s">
        <v>790</v>
      </c>
      <c r="G25" s="4" t="s">
        <v>2616</v>
      </c>
      <c r="H25" s="4" t="s">
        <v>793</v>
      </c>
      <c r="I25" s="4" t="s">
        <v>540</v>
      </c>
      <c r="J25" s="4" t="s">
        <v>2617</v>
      </c>
      <c r="K25" s="4" t="str">
        <f aca="false">IF('Author Decision Queue'!$Z$39="RESOLVED",IF('Author Decision Queue'!$T$39="OPTION 1","APPROVE",IF('Author Decision Queue'!$T$39="OPTION 2","REVISE",IF('Author Decision Queue'!$T$39="CUSTOM RESPONSE","REVISE","HOLD"))),IF('Author Decision Queue'!$Z$39="HOLD","HOLD","PENDING"))</f>
        <v>REVISE</v>
      </c>
      <c r="L25" s="4" t="str">
        <f aca="false">IF(K25="PENDING","",'Author Decision Queue'!$W$39)</f>
        <v>AJP</v>
      </c>
      <c r="M25" s="14" t="n">
        <f aca="false">IF(K25="PENDING","",'Author Decision Queue'!$X$39)</f>
        <v>46274</v>
      </c>
      <c r="N25" s="4" t="str">
        <f aca="false">IF(K25="REVISE",'Author Decision Queue'!$U$39,IF(K25="HOLD",'Author Decision Queue'!$Y$39,'Author Decision Queue'!$V$39))</f>
        <v>summary → God is glorious. | Restoration comparator → D&amp;C 76:19–20 “we beheld the glory of the Son”</v>
      </c>
    </row>
    <row r="26" customFormat="false" ht="15.75" hidden="false" customHeight="true" outlineLevel="0" collapsed="false">
      <c r="A26" s="4" t="s">
        <v>541</v>
      </c>
      <c r="B26" s="4" t="s">
        <v>2337</v>
      </c>
      <c r="C26" s="4" t="s">
        <v>542</v>
      </c>
      <c r="D26" s="4" t="s">
        <v>543</v>
      </c>
      <c r="E26" s="4" t="s">
        <v>377</v>
      </c>
      <c r="F26" s="4" t="s">
        <v>790</v>
      </c>
      <c r="G26" s="4" t="s">
        <v>2616</v>
      </c>
      <c r="H26" s="4" t="s">
        <v>793</v>
      </c>
      <c r="I26" s="4" t="s">
        <v>545</v>
      </c>
      <c r="J26" s="4" t="s">
        <v>2617</v>
      </c>
      <c r="K26" s="4" t="str">
        <f aca="false">IF('Author Decision Queue'!$Z$40="RESOLVED",IF('Author Decision Queue'!$T$40="OPTION 1","APPROVE",IF('Author Decision Queue'!$T$40="OPTION 2","REVISE",IF('Author Decision Queue'!$T$40="CUSTOM RESPONSE","REVISE","HOLD"))),IF('Author Decision Queue'!$Z$40="HOLD","HOLD","PENDING"))</f>
        <v>REVISE</v>
      </c>
      <c r="L26" s="4" t="str">
        <f aca="false">IF(K26="PENDING","",'Author Decision Queue'!$W$40)</f>
        <v>AJP</v>
      </c>
      <c r="M26" s="14" t="n">
        <f aca="false">IF(K26="PENDING","",'Author Decision Queue'!$X$40)</f>
        <v>46274</v>
      </c>
      <c r="N26" s="4" t="str">
        <f aca="false">IF(K26="REVISE",'Author Decision Queue'!$U$40,IF(K26="HOLD",'Author Decision Queue'!$Y$40,'Author Decision Queue'!$V$40))</f>
        <v>summary → God gives life.</v>
      </c>
    </row>
    <row r="27" customFormat="false" ht="15.75" hidden="false" customHeight="true" outlineLevel="0" collapsed="false">
      <c r="A27" s="4" t="s">
        <v>546</v>
      </c>
      <c r="B27" s="4" t="s">
        <v>2337</v>
      </c>
      <c r="C27" s="4" t="s">
        <v>542</v>
      </c>
      <c r="D27" s="4" t="s">
        <v>547</v>
      </c>
      <c r="E27" s="4" t="s">
        <v>384</v>
      </c>
      <c r="F27" s="4" t="s">
        <v>815</v>
      </c>
      <c r="G27" s="4" t="s">
        <v>2616</v>
      </c>
      <c r="H27" s="4" t="s">
        <v>793</v>
      </c>
      <c r="I27" s="4" t="s">
        <v>549</v>
      </c>
      <c r="J27" s="4" t="s">
        <v>2618</v>
      </c>
      <c r="K27" s="4" t="str">
        <f aca="false">IF('Author Decision Queue'!$Z$41="RESOLVED",IF('Author Decision Queue'!$T$41="OPTION 1","APPROVE",IF('Author Decision Queue'!$T$41="OPTION 2","REVISE",IF('Author Decision Queue'!$T$41="CUSTOM RESPONSE","REVISE","HOLD"))),IF('Author Decision Queue'!$Z$41="HOLD","HOLD","PENDING"))</f>
        <v>APPROVE</v>
      </c>
      <c r="L27" s="4" t="str">
        <f aca="false">IF(K27="PENDING","",'Author Decision Queue'!$W$41)</f>
        <v>AJP</v>
      </c>
      <c r="M27" s="14" t="n">
        <f aca="false">IF(K27="PENDING","",'Author Decision Queue'!$X$41)</f>
        <v>46274</v>
      </c>
      <c r="N27" s="4" t="str">
        <f aca="false">IF(K27="REVISE",'Author Decision Queue'!$U$41,IF(K27="HOLD",'Author Decision Queue'!$Y$41,'Author Decision Queue'!$V$41))</f>
        <v>Approved as written (batch sign-off 2026-09-09).</v>
      </c>
    </row>
    <row r="28" customFormat="false" ht="15.75" hidden="false" customHeight="true" outlineLevel="0" collapsed="false">
      <c r="A28" s="4" t="s">
        <v>550</v>
      </c>
      <c r="B28" s="4" t="s">
        <v>2337</v>
      </c>
      <c r="C28" s="4" t="s">
        <v>542</v>
      </c>
      <c r="D28" s="4" t="s">
        <v>551</v>
      </c>
      <c r="E28" s="4" t="s">
        <v>377</v>
      </c>
      <c r="F28" s="4" t="s">
        <v>790</v>
      </c>
      <c r="G28" s="4" t="s">
        <v>2616</v>
      </c>
      <c r="H28" s="4" t="s">
        <v>793</v>
      </c>
      <c r="I28" s="4" t="s">
        <v>553</v>
      </c>
      <c r="J28" s="4" t="s">
        <v>2617</v>
      </c>
      <c r="K28" s="4" t="str">
        <f aca="false">IF('Author Decision Queue'!$Z$42="RESOLVED",IF('Author Decision Queue'!$T$42="OPTION 1","APPROVE",IF('Author Decision Queue'!$T$42="OPTION 2","REVISE",IF('Author Decision Queue'!$T$42="CUSTOM RESPONSE","REVISE","HOLD"))),IF('Author Decision Queue'!$Z$42="HOLD","HOLD","PENDING"))</f>
        <v>REVISE</v>
      </c>
      <c r="L28" s="4" t="str">
        <f aca="false">IF(K28="PENDING","",'Author Decision Queue'!$W$42)</f>
        <v>AJP</v>
      </c>
      <c r="M28" s="14" t="n">
        <f aca="false">IF(K28="PENDING","",'Author Decision Queue'!$X$42)</f>
        <v>46274</v>
      </c>
      <c r="N28" s="4" t="str">
        <f aca="false">IF(K28="REVISE",'Author Decision Queue'!$U$42,IF(K28="HOLD",'Author Decision Queue'!$Y$42,'Author Decision Queue'!$V$42))</f>
        <v>summary → God preserves and sustains all things.</v>
      </c>
    </row>
    <row r="29" customFormat="false" ht="15.75" hidden="false" customHeight="true" outlineLevel="0" collapsed="false">
      <c r="A29" s="4" t="s">
        <v>554</v>
      </c>
      <c r="B29" s="4" t="s">
        <v>2337</v>
      </c>
      <c r="C29" s="4" t="s">
        <v>542</v>
      </c>
      <c r="D29" s="4" t="s">
        <v>555</v>
      </c>
      <c r="E29" s="4" t="s">
        <v>377</v>
      </c>
      <c r="F29" s="4" t="s">
        <v>790</v>
      </c>
      <c r="G29" s="4" t="s">
        <v>2616</v>
      </c>
      <c r="H29" s="4" t="s">
        <v>793</v>
      </c>
      <c r="I29" s="4" t="s">
        <v>557</v>
      </c>
      <c r="J29" s="4" t="s">
        <v>2617</v>
      </c>
      <c r="K29" s="4" t="str">
        <f aca="false">IF('Author Decision Queue'!$Z$43="RESOLVED",IF('Author Decision Queue'!$T$43="OPTION 1","APPROVE",IF('Author Decision Queue'!$T$43="OPTION 2","REVISE",IF('Author Decision Queue'!$T$43="CUSTOM RESPONSE","REVISE","HOLD"))),IF('Author Decision Queue'!$Z$43="HOLD","HOLD","PENDING"))</f>
        <v>REVISE</v>
      </c>
      <c r="L29" s="4" t="str">
        <f aca="false">IF(K29="PENDING","",'Author Decision Queue'!$W$43)</f>
        <v>AJP</v>
      </c>
      <c r="M29" s="14" t="n">
        <f aca="false">IF(K29="PENDING","",'Author Decision Queue'!$X$43)</f>
        <v>46274</v>
      </c>
      <c r="N29" s="4" t="str">
        <f aca="false">IF(K29="REVISE",'Author Decision Queue'!$U$43,IF(K29="HOLD",'Author Decision Queue'!$Y$43,'Author Decision Queue'!$V$43))</f>
        <v>summary → God governs all things.</v>
      </c>
    </row>
    <row r="30" customFormat="false" ht="15.75" hidden="false" customHeight="true" outlineLevel="0" collapsed="false">
      <c r="A30" s="4" t="s">
        <v>558</v>
      </c>
      <c r="B30" s="4" t="s">
        <v>2337</v>
      </c>
      <c r="C30" s="4" t="s">
        <v>542</v>
      </c>
      <c r="D30" s="4" t="s">
        <v>559</v>
      </c>
      <c r="E30" s="4" t="s">
        <v>377</v>
      </c>
      <c r="F30" s="4" t="s">
        <v>790</v>
      </c>
      <c r="G30" s="4" t="s">
        <v>2616</v>
      </c>
      <c r="H30" s="4" t="s">
        <v>793</v>
      </c>
      <c r="I30" s="4" t="s">
        <v>561</v>
      </c>
      <c r="J30" s="4" t="s">
        <v>2617</v>
      </c>
      <c r="K30" s="4" t="str">
        <f aca="false">IF('Author Decision Queue'!$Z$44="RESOLVED",IF('Author Decision Queue'!$T$44="OPTION 1","APPROVE",IF('Author Decision Queue'!$T$44="OPTION 2","REVISE",IF('Author Decision Queue'!$T$44="CUSTOM RESPONSE","REVISE","HOLD"))),IF('Author Decision Queue'!$Z$44="HOLD","HOLD","PENDING"))</f>
        <v>REVISE</v>
      </c>
      <c r="L30" s="4" t="str">
        <f aca="false">IF(K30="PENDING","",'Author Decision Queue'!$W$44)</f>
        <v>AJP</v>
      </c>
      <c r="M30" s="14" t="n">
        <f aca="false">IF(K30="PENDING","",'Author Decision Queue'!$X$44)</f>
        <v>46274</v>
      </c>
      <c r="N30" s="4" t="str">
        <f aca="false">IF(K30="REVISE",'Author Decision Queue'!$U$44,IF(K30="HOLD",'Author Decision Queue'!$Y$44,'Author Decision Queue'!$V$44))</f>
        <v>summary → God is sovereign over all.</v>
      </c>
    </row>
    <row r="31" customFormat="false" ht="15.75" hidden="false" customHeight="true" outlineLevel="0" collapsed="false">
      <c r="A31" s="4" t="s">
        <v>562</v>
      </c>
      <c r="B31" s="4" t="s">
        <v>2337</v>
      </c>
      <c r="C31" s="4" t="s">
        <v>542</v>
      </c>
      <c r="D31" s="4" t="s">
        <v>563</v>
      </c>
      <c r="E31" s="4" t="s">
        <v>377</v>
      </c>
      <c r="F31" s="4" t="s">
        <v>790</v>
      </c>
      <c r="G31" s="4" t="s">
        <v>2616</v>
      </c>
      <c r="H31" s="4" t="s">
        <v>793</v>
      </c>
      <c r="I31" s="4" t="s">
        <v>565</v>
      </c>
      <c r="J31" s="4" t="s">
        <v>2617</v>
      </c>
      <c r="K31" s="4" t="str">
        <f aca="false">IF('Author Decision Queue'!$Z$45="RESOLVED",IF('Author Decision Queue'!$T$45="OPTION 1","APPROVE",IF('Author Decision Queue'!$T$45="OPTION 2","REVISE",IF('Author Decision Queue'!$T$45="CUSTOM RESPONSE","REVISE","HOLD"))),IF('Author Decision Queue'!$Z$45="HOLD","HOLD","PENDING"))</f>
        <v>REVISE</v>
      </c>
      <c r="L31" s="4" t="str">
        <f aca="false">IF(K31="PENDING","",'Author Decision Queue'!$W$45)</f>
        <v>AJP</v>
      </c>
      <c r="M31" s="14" t="n">
        <f aca="false">IF(K31="PENDING","",'Author Decision Queue'!$X$45)</f>
        <v>46274</v>
      </c>
      <c r="N31" s="4" t="str">
        <f aca="false">IF(K31="REVISE",'Author Decision Queue'!$U$45,IF(K31="HOLD",'Author Decision Queue'!$Y$45,'Author Decision Queue'!$V$45))</f>
        <v>summary → God judges all people.</v>
      </c>
    </row>
    <row r="32" customFormat="false" ht="15.75" hidden="false" customHeight="true" outlineLevel="0" collapsed="false">
      <c r="A32" s="4" t="s">
        <v>566</v>
      </c>
      <c r="B32" s="4" t="s">
        <v>2337</v>
      </c>
      <c r="C32" s="4" t="s">
        <v>542</v>
      </c>
      <c r="D32" s="4" t="s">
        <v>567</v>
      </c>
      <c r="E32" s="4" t="s">
        <v>377</v>
      </c>
      <c r="F32" s="4" t="s">
        <v>790</v>
      </c>
      <c r="G32" s="4" t="s">
        <v>2616</v>
      </c>
      <c r="H32" s="4" t="s">
        <v>793</v>
      </c>
      <c r="I32" s="4" t="s">
        <v>569</v>
      </c>
      <c r="J32" s="4" t="s">
        <v>2617</v>
      </c>
      <c r="K32" s="4" t="str">
        <f aca="false">IF('Author Decision Queue'!$Z$46="RESOLVED",IF('Author Decision Queue'!$T$46="OPTION 1","APPROVE",IF('Author Decision Queue'!$T$46="OPTION 2","REVISE",IF('Author Decision Queue'!$T$46="CUSTOM RESPONSE","REVISE","HOLD"))),IF('Author Decision Queue'!$Z$46="HOLD","HOLD","PENDING"))</f>
        <v>REVISE</v>
      </c>
      <c r="L32" s="4" t="str">
        <f aca="false">IF(K32="PENDING","",'Author Decision Queue'!$W$46)</f>
        <v>AJP</v>
      </c>
      <c r="M32" s="14" t="n">
        <f aca="false">IF(K32="PENDING","",'Author Decision Queue'!$X$46)</f>
        <v>46274</v>
      </c>
      <c r="N32" s="4" t="str">
        <f aca="false">IF(K32="REVISE",'Author Decision Queue'!$U$46,IF(K32="HOLD",'Author Decision Queue'!$Y$46,'Author Decision Queue'!$V$46))</f>
        <v>summary → God saves; Jesus Christ is the Savior.</v>
      </c>
    </row>
    <row r="33" customFormat="false" ht="15.75" hidden="false" customHeight="true" outlineLevel="0" collapsed="false">
      <c r="A33" s="4" t="s">
        <v>570</v>
      </c>
      <c r="B33" s="4" t="s">
        <v>2337</v>
      </c>
      <c r="C33" s="4" t="s">
        <v>542</v>
      </c>
      <c r="D33" s="4" t="s">
        <v>571</v>
      </c>
      <c r="E33" s="4" t="s">
        <v>377</v>
      </c>
      <c r="F33" s="4" t="s">
        <v>790</v>
      </c>
      <c r="G33" s="4" t="s">
        <v>2616</v>
      </c>
      <c r="H33" s="4" t="s">
        <v>793</v>
      </c>
      <c r="I33" s="4" t="s">
        <v>573</v>
      </c>
      <c r="J33" s="4" t="s">
        <v>2617</v>
      </c>
      <c r="K33" s="4" t="str">
        <f aca="false">IF('Author Decision Queue'!$Z$47="RESOLVED",IF('Author Decision Queue'!$T$47="OPTION 1","APPROVE",IF('Author Decision Queue'!$T$47="OPTION 2","REVISE",IF('Author Decision Queue'!$T$47="CUSTOM RESPONSE","REVISE","HOLD"))),IF('Author Decision Queue'!$Z$47="HOLD","HOLD","PENDING"))</f>
        <v>REVISE</v>
      </c>
      <c r="L33" s="4" t="str">
        <f aca="false">IF(K33="PENDING","",'Author Decision Queue'!$W$47)</f>
        <v>AJP</v>
      </c>
      <c r="M33" s="14" t="n">
        <f aca="false">IF(K33="PENDING","",'Author Decision Queue'!$X$47)</f>
        <v>46274</v>
      </c>
      <c r="N33" s="4" t="str">
        <f aca="false">IF(K33="REVISE",'Author Decision Queue'!$U$47,IF(K33="HOLD",'Author Decision Queue'!$Y$47,'Author Decision Queue'!$V$47))</f>
        <v>summary → God reveals Himself.</v>
      </c>
    </row>
    <row r="34" customFormat="false" ht="15.75" hidden="false" customHeight="true" outlineLevel="0" collapsed="false">
      <c r="A34" s="4" t="s">
        <v>574</v>
      </c>
      <c r="B34" s="4" t="s">
        <v>2337</v>
      </c>
      <c r="C34" s="4" t="s">
        <v>542</v>
      </c>
      <c r="D34" s="4" t="s">
        <v>575</v>
      </c>
      <c r="E34" s="4" t="s">
        <v>384</v>
      </c>
      <c r="F34" s="4" t="s">
        <v>790</v>
      </c>
      <c r="G34" s="4" t="s">
        <v>2616</v>
      </c>
      <c r="H34" s="4" t="s">
        <v>793</v>
      </c>
      <c r="I34" s="4" t="s">
        <v>577</v>
      </c>
      <c r="J34" s="4" t="s">
        <v>2617</v>
      </c>
      <c r="K34" s="4" t="str">
        <f aca="false">IF('Author Decision Queue'!$Z$48="RESOLVED",IF('Author Decision Queue'!$T$48="OPTION 1","APPROVE",IF('Author Decision Queue'!$T$48="OPTION 2","REVISE",IF('Author Decision Queue'!$T$48="CUSTOM RESPONSE","REVISE","HOLD"))),IF('Author Decision Queue'!$Z$48="HOLD","HOLD","PENDING"))</f>
        <v>APPROVE</v>
      </c>
      <c r="L34" s="4" t="str">
        <f aca="false">IF(K34="PENDING","",'Author Decision Queue'!$W$48)</f>
        <v>AJP</v>
      </c>
      <c r="M34" s="14" t="n">
        <f aca="false">IF(K34="PENDING","",'Author Decision Queue'!$X$48)</f>
        <v>46274</v>
      </c>
      <c r="N34" s="4" t="str">
        <f aca="false">IF(K34="REVISE",'Author Decision Queue'!$U$48,IF(K34="HOLD",'Author Decision Queue'!$Y$48,'Author Decision Queue'!$V$48))</f>
        <v>Approved as written (batch sign-off 2026-09-09).</v>
      </c>
    </row>
    <row r="35" customFormat="false" ht="15.75" hidden="false" customHeight="true" outlineLevel="0" collapsed="false">
      <c r="A35" s="4" t="s">
        <v>578</v>
      </c>
      <c r="B35" s="4" t="s">
        <v>2337</v>
      </c>
      <c r="C35" s="4" t="s">
        <v>579</v>
      </c>
      <c r="D35" s="4" t="s">
        <v>580</v>
      </c>
      <c r="E35" s="4" t="s">
        <v>377</v>
      </c>
      <c r="F35" s="4" t="s">
        <v>790</v>
      </c>
      <c r="G35" s="4" t="s">
        <v>2616</v>
      </c>
      <c r="H35" s="4" t="s">
        <v>793</v>
      </c>
      <c r="I35" s="4" t="s">
        <v>582</v>
      </c>
      <c r="J35" s="4" t="s">
        <v>2617</v>
      </c>
      <c r="K35" s="4" t="str">
        <f aca="false">IF('Author Decision Queue'!$Z$49="RESOLVED",IF('Author Decision Queue'!$T$49="OPTION 1","APPROVE",IF('Author Decision Queue'!$T$49="OPTION 2","REVISE",IF('Author Decision Queue'!$T$49="CUSTOM RESPONSE","REVISE","HOLD"))),IF('Author Decision Queue'!$Z$49="HOLD","HOLD","PENDING"))</f>
        <v>REVISE</v>
      </c>
      <c r="L35" s="4" t="str">
        <f aca="false">IF(K35="PENDING","",'Author Decision Queue'!$W$49)</f>
        <v>AJP</v>
      </c>
      <c r="M35" s="14" t="n">
        <f aca="false">IF(K35="PENDING","",'Author Decision Queue'!$X$49)</f>
        <v>46274</v>
      </c>
      <c r="N35" s="4" t="str">
        <f aca="false">IF(K35="REVISE",'Author Decision Queue'!$U$49,IF(K35="HOLD",'Author Decision Queue'!$Y$49,'Author Decision Queue'!$V$49))</f>
        <v>summary → Jesus Christ is the Word.</v>
      </c>
    </row>
    <row r="36" customFormat="false" ht="15.75" hidden="false" customHeight="true" outlineLevel="0" collapsed="false">
      <c r="A36" s="4" t="s">
        <v>583</v>
      </c>
      <c r="B36" s="4" t="s">
        <v>2337</v>
      </c>
      <c r="C36" s="4" t="s">
        <v>579</v>
      </c>
      <c r="D36" s="4" t="s">
        <v>584</v>
      </c>
      <c r="E36" s="4" t="s">
        <v>377</v>
      </c>
      <c r="F36" s="4" t="s">
        <v>790</v>
      </c>
      <c r="G36" s="4" t="s">
        <v>2616</v>
      </c>
      <c r="H36" s="4" t="s">
        <v>793</v>
      </c>
      <c r="I36" s="4" t="s">
        <v>586</v>
      </c>
      <c r="J36" s="4" t="s">
        <v>2617</v>
      </c>
      <c r="K36" s="4" t="str">
        <f aca="false">IF('Author Decision Queue'!$Z$50="RESOLVED",IF('Author Decision Queue'!$T$50="OPTION 1","APPROVE",IF('Author Decision Queue'!$T$50="OPTION 2","REVISE",IF('Author Decision Queue'!$T$50="CUSTOM RESPONSE","REVISE","HOLD"))),IF('Author Decision Queue'!$Z$50="HOLD","HOLD","PENDING"))</f>
        <v>REVISE</v>
      </c>
      <c r="L36" s="4" t="str">
        <f aca="false">IF(K36="PENDING","",'Author Decision Queue'!$W$50)</f>
        <v>AJP</v>
      </c>
      <c r="M36" s="14" t="n">
        <f aca="false">IF(K36="PENDING","",'Author Decision Queue'!$X$50)</f>
        <v>46274</v>
      </c>
      <c r="N36" s="4" t="str">
        <f aca="false">IF(K36="REVISE",'Author Decision Queue'!$U$50,IF(K36="HOLD",'Author Decision Queue'!$Y$50,'Author Decision Queue'!$V$50))</f>
        <v>summary → Jesus Christ is the Wisdom of God.</v>
      </c>
    </row>
    <row r="37" customFormat="false" ht="15.75" hidden="false" customHeight="true" outlineLevel="0" collapsed="false">
      <c r="A37" s="4" t="s">
        <v>587</v>
      </c>
      <c r="B37" s="4" t="s">
        <v>2337</v>
      </c>
      <c r="C37" s="4" t="s">
        <v>579</v>
      </c>
      <c r="D37" s="4" t="s">
        <v>588</v>
      </c>
      <c r="E37" s="4" t="s">
        <v>377</v>
      </c>
      <c r="F37" s="4" t="s">
        <v>790</v>
      </c>
      <c r="G37" s="4" t="s">
        <v>2616</v>
      </c>
      <c r="H37" s="4" t="s">
        <v>793</v>
      </c>
      <c r="I37" s="4" t="s">
        <v>590</v>
      </c>
      <c r="J37" s="4" t="s">
        <v>2617</v>
      </c>
      <c r="K37" s="4" t="str">
        <f aca="false">IF('Author Decision Queue'!$Z$51="RESOLVED",IF('Author Decision Queue'!$T$51="OPTION 1","APPROVE",IF('Author Decision Queue'!$T$51="OPTION 2","REVISE",IF('Author Decision Queue'!$T$51="CUSTOM RESPONSE","REVISE","HOLD"))),IF('Author Decision Queue'!$Z$51="HOLD","HOLD","PENDING"))</f>
        <v>REVISE</v>
      </c>
      <c r="L37" s="4" t="str">
        <f aca="false">IF(K37="PENDING","",'Author Decision Queue'!$W$51)</f>
        <v>AJP</v>
      </c>
      <c r="M37" s="14" t="n">
        <f aca="false">IF(K37="PENDING","",'Author Decision Queue'!$X$51)</f>
        <v>46274</v>
      </c>
      <c r="N37" s="4" t="str">
        <f aca="false">IF(K37="REVISE",'Author Decision Queue'!$U$51,IF(K37="HOLD",'Author Decision Queue'!$Y$51,'Author Decision Queue'!$V$51))</f>
        <v>summary → Names Christ as the Light.</v>
      </c>
    </row>
    <row r="38" customFormat="false" ht="15.75" hidden="false" customHeight="true" outlineLevel="0" collapsed="false">
      <c r="A38" s="4" t="s">
        <v>591</v>
      </c>
      <c r="B38" s="4" t="s">
        <v>2337</v>
      </c>
      <c r="C38" s="4" t="s">
        <v>579</v>
      </c>
      <c r="D38" s="4" t="s">
        <v>592</v>
      </c>
      <c r="E38" s="4" t="s">
        <v>377</v>
      </c>
      <c r="F38" s="4" t="s">
        <v>790</v>
      </c>
      <c r="G38" s="4" t="s">
        <v>2616</v>
      </c>
      <c r="H38" s="4" t="s">
        <v>793</v>
      </c>
      <c r="I38" s="4" t="s">
        <v>594</v>
      </c>
      <c r="J38" s="4" t="s">
        <v>2617</v>
      </c>
      <c r="K38" s="4" t="str">
        <f aca="false">IF('Author Decision Queue'!$Z$52="RESOLVED",IF('Author Decision Queue'!$T$52="OPTION 1","APPROVE",IF('Author Decision Queue'!$T$52="OPTION 2","REVISE",IF('Author Decision Queue'!$T$52="CUSTOM RESPONSE","REVISE","HOLD"))),IF('Author Decision Queue'!$Z$52="HOLD","HOLD","PENDING"))</f>
        <v>REVISE</v>
      </c>
      <c r="L38" s="4" t="str">
        <f aca="false">IF(K38="PENDING","",'Author Decision Queue'!$W$52)</f>
        <v>AJP</v>
      </c>
      <c r="M38" s="14" t="n">
        <f aca="false">IF(K38="PENDING","",'Author Decision Queue'!$X$52)</f>
        <v>46274</v>
      </c>
      <c r="N38" s="4" t="str">
        <f aca="false">IF(K38="REVISE",'Author Decision Queue'!$U$52,IF(K38="HOLD",'Author Decision Queue'!$Y$52,'Author Decision Queue'!$V$52))</f>
        <v>summary → Jesus Christ is the image of the Father.</v>
      </c>
    </row>
    <row r="39" customFormat="false" ht="15.75" hidden="false" customHeight="true" outlineLevel="0" collapsed="false">
      <c r="A39" s="4" t="s">
        <v>595</v>
      </c>
      <c r="B39" s="4" t="s">
        <v>2337</v>
      </c>
      <c r="C39" s="4" t="s">
        <v>579</v>
      </c>
      <c r="D39" s="4" t="s">
        <v>596</v>
      </c>
      <c r="E39" s="4" t="s">
        <v>377</v>
      </c>
      <c r="F39" s="4" t="s">
        <v>790</v>
      </c>
      <c r="G39" s="4" t="s">
        <v>2616</v>
      </c>
      <c r="H39" s="4" t="s">
        <v>793</v>
      </c>
      <c r="I39" s="4" t="s">
        <v>598</v>
      </c>
      <c r="J39" s="4" t="s">
        <v>2617</v>
      </c>
      <c r="K39" s="4" t="str">
        <f aca="false">IF('Author Decision Queue'!$Z$53="RESOLVED",IF('Author Decision Queue'!$T$53="OPTION 1","APPROVE",IF('Author Decision Queue'!$T$53="OPTION 2","REVISE",IF('Author Decision Queue'!$T$53="CUSTOM RESPONSE","REVISE","HOLD"))),IF('Author Decision Queue'!$Z$53="HOLD","HOLD","PENDING"))</f>
        <v>REVISE</v>
      </c>
      <c r="L39" s="4" t="str">
        <f aca="false">IF(K39="PENDING","",'Author Decision Queue'!$W$53)</f>
        <v>AJP</v>
      </c>
      <c r="M39" s="14" t="n">
        <f aca="false">IF(K39="PENDING","",'Author Decision Queue'!$X$53)</f>
        <v>46274</v>
      </c>
      <c r="N39" s="4" t="str">
        <f aca="false">IF(K39="REVISE",'Author Decision Queue'!$U$53,IF(K39="HOLD",'Author Decision Queue'!$Y$53,'Author Decision Queue'!$V$53))</f>
        <v>summary → The Holy Spirit gives life.</v>
      </c>
    </row>
    <row r="40" customFormat="false" ht="15.75" hidden="false" customHeight="true" outlineLevel="0" collapsed="false">
      <c r="A40" s="4" t="s">
        <v>599</v>
      </c>
      <c r="B40" s="4" t="s">
        <v>2337</v>
      </c>
      <c r="C40" s="4" t="s">
        <v>579</v>
      </c>
      <c r="D40" s="4" t="s">
        <v>600</v>
      </c>
      <c r="E40" s="4" t="s">
        <v>377</v>
      </c>
      <c r="F40" s="4" t="s">
        <v>790</v>
      </c>
      <c r="G40" s="4" t="s">
        <v>2616</v>
      </c>
      <c r="H40" s="4" t="s">
        <v>793</v>
      </c>
      <c r="I40" s="4" t="s">
        <v>602</v>
      </c>
      <c r="J40" s="4" t="s">
        <v>2617</v>
      </c>
      <c r="K40" s="4" t="str">
        <f aca="false">IF('Author Decision Queue'!$Z$54="RESOLVED",IF('Author Decision Queue'!$T$54="OPTION 1","APPROVE",IF('Author Decision Queue'!$T$54="OPTION 2","REVISE",IF('Author Decision Queue'!$T$54="CUSTOM RESPONSE","REVISE","HOLD"))),IF('Author Decision Queue'!$Z$54="HOLD","HOLD","PENDING"))</f>
        <v>REVISE</v>
      </c>
      <c r="L40" s="4" t="str">
        <f aca="false">IF(K40="PENDING","",'Author Decision Queue'!$W$54)</f>
        <v>AJP</v>
      </c>
      <c r="M40" s="14" t="n">
        <f aca="false">IF(K40="PENDING","",'Author Decision Queue'!$X$54)</f>
        <v>46274</v>
      </c>
      <c r="N40" s="4" t="str">
        <f aca="false">IF(K40="REVISE",'Author Decision Queue'!$U$54,IF(K40="HOLD",'Author Decision Queue'!$Y$54,'Author Decision Queue'!$V$54))</f>
        <v>summary → The Holy Spirit is eternal power and might.</v>
      </c>
    </row>
    <row r="41" customFormat="false" ht="15.75" hidden="false" customHeight="true" outlineLevel="0" collapsed="false">
      <c r="A41" s="4" t="s">
        <v>603</v>
      </c>
      <c r="B41" s="4" t="s">
        <v>2337</v>
      </c>
      <c r="C41" s="4" t="s">
        <v>605</v>
      </c>
      <c r="D41" s="4" t="s">
        <v>606</v>
      </c>
      <c r="E41" s="4" t="s">
        <v>384</v>
      </c>
      <c r="F41" s="4" t="s">
        <v>815</v>
      </c>
      <c r="G41" s="4" t="s">
        <v>2616</v>
      </c>
      <c r="H41" s="4" t="s">
        <v>828</v>
      </c>
      <c r="I41" s="4" t="s">
        <v>608</v>
      </c>
      <c r="J41" s="4" t="s">
        <v>2618</v>
      </c>
      <c r="K41" s="4" t="str">
        <f aca="false">IF('Author Decision Queue'!$Z$55="RESOLVED",IF('Author Decision Queue'!$T$55="OPTION 1","APPROVE",IF('Author Decision Queue'!$T$55="OPTION 2","REVISE",IF('Author Decision Queue'!$T$55="CUSTOM RESPONSE","REVISE","HOLD"))),IF('Author Decision Queue'!$Z$55="HOLD","HOLD","PENDING"))</f>
        <v>APPROVE</v>
      </c>
      <c r="L41" s="4" t="str">
        <f aca="false">IF(K41="PENDING","",'Author Decision Queue'!$W$55)</f>
        <v>AJP</v>
      </c>
      <c r="M41" s="14" t="n">
        <f aca="false">IF(K41="PENDING","",'Author Decision Queue'!$X$55)</f>
        <v>46274</v>
      </c>
      <c r="N41" s="4" t="str">
        <f aca="false">IF(K41="REVISE",'Author Decision Queue'!$U$55,IF(K41="HOLD",'Author Decision Queue'!$Y$55,'Author Decision Queue'!$V$55))</f>
        <v>Approved as written (batch sign-off 2026-09-09).</v>
      </c>
    </row>
    <row r="42" customFormat="false" ht="15.75" hidden="false" customHeight="true" outlineLevel="0" collapsed="false">
      <c r="A42" s="4" t="s">
        <v>609</v>
      </c>
      <c r="B42" s="4" t="s">
        <v>2337</v>
      </c>
      <c r="C42" s="4" t="s">
        <v>605</v>
      </c>
      <c r="D42" s="4" t="s">
        <v>610</v>
      </c>
      <c r="E42" s="4" t="s">
        <v>384</v>
      </c>
      <c r="F42" s="4" t="s">
        <v>815</v>
      </c>
      <c r="G42" s="4" t="s">
        <v>2616</v>
      </c>
      <c r="H42" s="4" t="s">
        <v>828</v>
      </c>
      <c r="I42" s="4" t="s">
        <v>612</v>
      </c>
      <c r="J42" s="4" t="s">
        <v>2618</v>
      </c>
      <c r="K42" s="4" t="str">
        <f aca="false">IF('Author Decision Queue'!$Z$56="RESOLVED",IF('Author Decision Queue'!$T$56="OPTION 1","APPROVE",IF('Author Decision Queue'!$T$56="OPTION 2","REVISE",IF('Author Decision Queue'!$T$56="CUSTOM RESPONSE","REVISE","HOLD"))),IF('Author Decision Queue'!$Z$56="HOLD","HOLD","PENDING"))</f>
        <v>APPROVE</v>
      </c>
      <c r="L42" s="4" t="str">
        <f aca="false">IF(K42="PENDING","",'Author Decision Queue'!$W$56)</f>
        <v>AJP</v>
      </c>
      <c r="M42" s="14" t="n">
        <f aca="false">IF(K42="PENDING","",'Author Decision Queue'!$X$56)</f>
        <v>46274</v>
      </c>
      <c r="N42" s="4" t="str">
        <f aca="false">IF(K42="REVISE",'Author Decision Queue'!$U$56,IF(K42="HOLD",'Author Decision Queue'!$Y$56,'Author Decision Queue'!$V$56))</f>
        <v>Approved as written (batch sign-off 2026-09-09).</v>
      </c>
    </row>
    <row r="43" customFormat="false" ht="15.75" hidden="false" customHeight="true" outlineLevel="0" collapsed="false">
      <c r="A43" s="4" t="s">
        <v>613</v>
      </c>
      <c r="B43" s="4" t="s">
        <v>2337</v>
      </c>
      <c r="C43" s="4" t="s">
        <v>605</v>
      </c>
      <c r="D43" s="4" t="s">
        <v>615</v>
      </c>
      <c r="E43" s="4" t="s">
        <v>384</v>
      </c>
      <c r="F43" s="4" t="s">
        <v>790</v>
      </c>
      <c r="G43" s="4" t="s">
        <v>2616</v>
      </c>
      <c r="H43" s="4" t="s">
        <v>828</v>
      </c>
      <c r="I43" s="4" t="s">
        <v>617</v>
      </c>
      <c r="J43" s="4" t="s">
        <v>2617</v>
      </c>
      <c r="K43" s="4" t="str">
        <f aca="false">IF('Author Decision Queue'!$Z$57="RESOLVED",IF('Author Decision Queue'!$T$57="OPTION 1","APPROVE",IF('Author Decision Queue'!$T$57="OPTION 2","REVISE",IF('Author Decision Queue'!$T$57="CUSTOM RESPONSE","REVISE","HOLD"))),IF('Author Decision Queue'!$Z$57="HOLD","HOLD","PENDING"))</f>
        <v>REVISE</v>
      </c>
      <c r="L43" s="4" t="str">
        <f aca="false">IF(K43="PENDING","",'Author Decision Queue'!$W$57)</f>
        <v>AJP</v>
      </c>
      <c r="M43" s="14" t="n">
        <f aca="false">IF(K43="PENDING","",'Author Decision Queue'!$X$57)</f>
        <v>46274</v>
      </c>
      <c r="N43" s="4" t="str">
        <f aca="false">IF(K43="REVISE",'Author Decision Queue'!$U$57,IF(K43="HOLD",'Author Decision Queue'!$Y$57,'Author Decision Queue'!$V$57))</f>
        <v>summary → Denies that the Son is a created being.</v>
      </c>
    </row>
    <row r="44" customFormat="false" ht="15.75" hidden="false" customHeight="true" outlineLevel="0" collapsed="false">
      <c r="A44" s="4" t="s">
        <v>618</v>
      </c>
      <c r="B44" s="4" t="s">
        <v>2337</v>
      </c>
      <c r="C44" s="4" t="s">
        <v>605</v>
      </c>
      <c r="D44" s="4" t="s">
        <v>619</v>
      </c>
      <c r="E44" s="4" t="s">
        <v>384</v>
      </c>
      <c r="F44" s="4" t="s">
        <v>830</v>
      </c>
      <c r="G44" s="4" t="s">
        <v>2616</v>
      </c>
      <c r="H44" s="4" t="s">
        <v>828</v>
      </c>
      <c r="I44" s="4" t="s">
        <v>621</v>
      </c>
      <c r="J44" s="4" t="s">
        <v>2618</v>
      </c>
      <c r="K44" s="4" t="str">
        <f aca="false">IF('Author Decision Queue'!$Z$58="RESOLVED",IF('Author Decision Queue'!$T$58="OPTION 1","APPROVE",IF('Author Decision Queue'!$T$58="OPTION 2","REVISE",IF('Author Decision Queue'!$T$58="CUSTOM RESPONSE","REVISE","HOLD"))),IF('Author Decision Queue'!$Z$58="HOLD","HOLD","PENDING"))</f>
        <v>APPROVE</v>
      </c>
      <c r="L44" s="4" t="str">
        <f aca="false">IF(K44="PENDING","",'Author Decision Queue'!$W$58)</f>
        <v>AJP</v>
      </c>
      <c r="M44" s="14" t="n">
        <f aca="false">IF(K44="PENDING","",'Author Decision Queue'!$X$58)</f>
        <v>46274</v>
      </c>
      <c r="N44" s="4" t="str">
        <f aca="false">IF(K44="REVISE",'Author Decision Queue'!$U$58,IF(K44="HOLD",'Author Decision Queue'!$Y$58,'Author Decision Queue'!$V$58))</f>
        <v>Approved as written (batch sign-off 2026-09-09).</v>
      </c>
    </row>
    <row r="45" customFormat="false" ht="15.75" hidden="false" customHeight="true" outlineLevel="0" collapsed="false">
      <c r="A45" s="4" t="s">
        <v>622</v>
      </c>
      <c r="B45" s="4" t="s">
        <v>2337</v>
      </c>
      <c r="C45" s="4" t="s">
        <v>605</v>
      </c>
      <c r="D45" s="4" t="s">
        <v>623</v>
      </c>
      <c r="E45" s="4" t="s">
        <v>384</v>
      </c>
      <c r="F45" s="4" t="s">
        <v>815</v>
      </c>
      <c r="G45" s="4" t="s">
        <v>2616</v>
      </c>
      <c r="H45" s="4" t="s">
        <v>828</v>
      </c>
      <c r="I45" s="4" t="s">
        <v>625</v>
      </c>
      <c r="J45" s="4" t="s">
        <v>2618</v>
      </c>
      <c r="K45" s="4" t="str">
        <f aca="false">IF('Author Decision Queue'!$Z$59="RESOLVED",IF('Author Decision Queue'!$T$59="OPTION 1","APPROVE",IF('Author Decision Queue'!$T$59="OPTION 2","REVISE",IF('Author Decision Queue'!$T$59="CUSTOM RESPONSE","REVISE","HOLD"))),IF('Author Decision Queue'!$Z$59="HOLD","HOLD","PENDING"))</f>
        <v>APPROVE</v>
      </c>
      <c r="L45" s="4" t="str">
        <f aca="false">IF(K45="PENDING","",'Author Decision Queue'!$W$59)</f>
        <v>AJP</v>
      </c>
      <c r="M45" s="14" t="n">
        <f aca="false">IF(K45="PENDING","",'Author Decision Queue'!$X$59)</f>
        <v>46274</v>
      </c>
      <c r="N45" s="4" t="str">
        <f aca="false">IF(K45="REVISE",'Author Decision Queue'!$U$59,IF(K45="HOLD",'Author Decision Queue'!$Y$59,'Author Decision Queue'!$V$59))</f>
        <v>Approved as written (batch sign-off 2026-09-09).</v>
      </c>
    </row>
    <row r="46" customFormat="false" ht="15.75" hidden="false" customHeight="true" outlineLevel="0" collapsed="false">
      <c r="A46" s="4" t="s">
        <v>626</v>
      </c>
      <c r="B46" s="4" t="s">
        <v>2337</v>
      </c>
      <c r="C46" s="4" t="s">
        <v>627</v>
      </c>
      <c r="D46" s="4" t="s">
        <v>628</v>
      </c>
      <c r="E46" s="4" t="s">
        <v>387</v>
      </c>
      <c r="F46" s="4" t="s">
        <v>815</v>
      </c>
      <c r="G46" s="4" t="s">
        <v>2616</v>
      </c>
      <c r="H46" s="4" t="s">
        <v>828</v>
      </c>
      <c r="I46" s="4" t="s">
        <v>631</v>
      </c>
      <c r="J46" s="4" t="s">
        <v>2618</v>
      </c>
      <c r="K46" s="4" t="str">
        <f aca="false">IF('Author Decision Queue'!$Z$60="RESOLVED",IF('Author Decision Queue'!$T$60="OPTION 1","APPROVE",IF('Author Decision Queue'!$T$60="OPTION 2","REVISE",IF('Author Decision Queue'!$T$60="CUSTOM RESPONSE","REVISE","HOLD"))),IF('Author Decision Queue'!$Z$60="HOLD","HOLD","PENDING"))</f>
        <v>APPROVE</v>
      </c>
      <c r="L46" s="4" t="str">
        <f aca="false">IF(K46="PENDING","",'Author Decision Queue'!$W$60)</f>
        <v>AJP</v>
      </c>
      <c r="M46" s="14" t="n">
        <f aca="false">IF(K46="PENDING","",'Author Decision Queue'!$X$60)</f>
        <v>46274</v>
      </c>
      <c r="N46" s="4" t="str">
        <f aca="false">IF(K46="REVISE",'Author Decision Queue'!$U$60,IF(K46="HOLD",'Author Decision Queue'!$Y$60,'Author Decision Queue'!$V$60))</f>
        <v>Approved as written (batch sign-off 2026-09-09).</v>
      </c>
    </row>
    <row r="47" customFormat="false" ht="15.75" hidden="false" customHeight="true" outlineLevel="0" collapsed="false">
      <c r="A47" s="4" t="s">
        <v>632</v>
      </c>
      <c r="B47" s="4" t="s">
        <v>2337</v>
      </c>
      <c r="C47" s="4" t="s">
        <v>627</v>
      </c>
      <c r="D47" s="4" t="s">
        <v>633</v>
      </c>
      <c r="E47" s="4" t="s">
        <v>387</v>
      </c>
      <c r="F47" s="4" t="s">
        <v>815</v>
      </c>
      <c r="G47" s="4" t="s">
        <v>2616</v>
      </c>
      <c r="H47" s="4" t="s">
        <v>828</v>
      </c>
      <c r="I47" s="4" t="s">
        <v>635</v>
      </c>
      <c r="J47" s="4" t="s">
        <v>2618</v>
      </c>
      <c r="K47" s="4" t="str">
        <f aca="false">IF('Author Decision Queue'!$Z$61="RESOLVED",IF('Author Decision Queue'!$T$61="OPTION 1","APPROVE",IF('Author Decision Queue'!$T$61="OPTION 2","REVISE",IF('Author Decision Queue'!$T$61="CUSTOM RESPONSE","REVISE","HOLD"))),IF('Author Decision Queue'!$Z$61="HOLD","HOLD","PENDING"))</f>
        <v>APPROVE</v>
      </c>
      <c r="L47" s="4" t="str">
        <f aca="false">IF(K47="PENDING","",'Author Decision Queue'!$W$61)</f>
        <v>AJP</v>
      </c>
      <c r="M47" s="14" t="n">
        <f aca="false">IF(K47="PENDING","",'Author Decision Queue'!$X$61)</f>
        <v>46274</v>
      </c>
      <c r="N47" s="4" t="str">
        <f aca="false">IF(K47="REVISE",'Author Decision Queue'!$U$61,IF(K47="HOLD",'Author Decision Queue'!$Y$61,'Author Decision Queue'!$V$61))</f>
        <v>Approved as written (batch sign-off 2026-09-09).</v>
      </c>
    </row>
    <row r="48" customFormat="false" ht="15.75" hidden="false" customHeight="true" outlineLevel="0" collapsed="false">
      <c r="A48" s="4" t="s">
        <v>636</v>
      </c>
      <c r="B48" s="4" t="s">
        <v>2337</v>
      </c>
      <c r="C48" s="4" t="s">
        <v>627</v>
      </c>
      <c r="D48" s="4" t="s">
        <v>637</v>
      </c>
      <c r="E48" s="4" t="s">
        <v>387</v>
      </c>
      <c r="F48" s="4" t="s">
        <v>815</v>
      </c>
      <c r="G48" s="4" t="s">
        <v>2616</v>
      </c>
      <c r="H48" s="4" t="s">
        <v>828</v>
      </c>
      <c r="I48" s="4" t="s">
        <v>639</v>
      </c>
      <c r="J48" s="4" t="s">
        <v>2618</v>
      </c>
      <c r="K48" s="4" t="str">
        <f aca="false">IF('Author Decision Queue'!$Z$62="RESOLVED",IF('Author Decision Queue'!$T$62="OPTION 1","APPROVE",IF('Author Decision Queue'!$T$62="OPTION 2","REVISE",IF('Author Decision Queue'!$T$62="CUSTOM RESPONSE","REVISE","HOLD"))),IF('Author Decision Queue'!$Z$62="HOLD","HOLD","PENDING"))</f>
        <v>APPROVE</v>
      </c>
      <c r="L48" s="4" t="str">
        <f aca="false">IF(K48="PENDING","",'Author Decision Queue'!$W$62)</f>
        <v>AJP</v>
      </c>
      <c r="M48" s="14" t="n">
        <f aca="false">IF(K48="PENDING","",'Author Decision Queue'!$X$62)</f>
        <v>46274</v>
      </c>
      <c r="N48" s="4" t="str">
        <f aca="false">IF(K48="REVISE",'Author Decision Queue'!$U$62,IF(K48="HOLD",'Author Decision Queue'!$Y$62,'Author Decision Queue'!$V$62))</f>
        <v>Approved as written (batch sign-off 2026-09-09).</v>
      </c>
    </row>
    <row r="49" customFormat="false" ht="15.75" hidden="false" customHeight="true" outlineLevel="0" collapsed="false">
      <c r="A49" s="4" t="s">
        <v>640</v>
      </c>
      <c r="B49" s="4" t="s">
        <v>2337</v>
      </c>
      <c r="C49" s="4" t="s">
        <v>627</v>
      </c>
      <c r="D49" s="4" t="s">
        <v>641</v>
      </c>
      <c r="E49" s="4" t="s">
        <v>387</v>
      </c>
      <c r="F49" s="4" t="s">
        <v>815</v>
      </c>
      <c r="G49" s="4" t="s">
        <v>2616</v>
      </c>
      <c r="H49" s="4" t="s">
        <v>828</v>
      </c>
      <c r="I49" s="4" t="s">
        <v>643</v>
      </c>
      <c r="J49" s="4" t="s">
        <v>2618</v>
      </c>
      <c r="K49" s="4" t="str">
        <f aca="false">IF('Author Decision Queue'!$Z$63="RESOLVED",IF('Author Decision Queue'!$T$63="OPTION 1","APPROVE",IF('Author Decision Queue'!$T$63="OPTION 2","REVISE",IF('Author Decision Queue'!$T$63="CUSTOM RESPONSE","REVISE","HOLD"))),IF('Author Decision Queue'!$Z$63="HOLD","HOLD","PENDING"))</f>
        <v>REVISE</v>
      </c>
      <c r="L49" s="4" t="str">
        <f aca="false">IF(K49="PENDING","",'Author Decision Queue'!$W$63)</f>
        <v>AJP</v>
      </c>
      <c r="M49" s="14" t="n">
        <f aca="false">IF(K49="PENDING","",'Author Decision Queue'!$X$63)</f>
        <v>46274</v>
      </c>
      <c r="N49" s="4" t="str">
        <f aca="false">IF(K49="REVISE",'Author Decision Queue'!$U$63,IF(K49="HOLD",'Author Decision Queue'!$Y$63,'Author Decision Queue'!$V$63))</f>
        <v>summary → Denies that God can be moved or affected by His creatures (classical impassibility).</v>
      </c>
    </row>
    <row r="50" customFormat="false" ht="15.75" hidden="false" customHeight="true" outlineLevel="0" collapsed="false">
      <c r="A50" s="4" t="s">
        <v>644</v>
      </c>
      <c r="B50" s="4" t="s">
        <v>2337</v>
      </c>
      <c r="C50" s="4" t="s">
        <v>627</v>
      </c>
      <c r="D50" s="4" t="s">
        <v>645</v>
      </c>
      <c r="E50" s="4" t="s">
        <v>384</v>
      </c>
      <c r="F50" s="4" t="s">
        <v>830</v>
      </c>
      <c r="G50" s="4" t="s">
        <v>2616</v>
      </c>
      <c r="H50" s="4" t="s">
        <v>828</v>
      </c>
      <c r="I50" s="4" t="s">
        <v>647</v>
      </c>
      <c r="J50" s="4" t="s">
        <v>2618</v>
      </c>
      <c r="K50" s="4" t="str">
        <f aca="false">IF('Author Decision Queue'!$Z$64="RESOLVED",IF('Author Decision Queue'!$T$64="OPTION 1","APPROVE",IF('Author Decision Queue'!$T$64="OPTION 2","REVISE",IF('Author Decision Queue'!$T$64="CUSTOM RESPONSE","REVISE","HOLD"))),IF('Author Decision Queue'!$Z$64="HOLD","HOLD","PENDING"))</f>
        <v>APPROVE</v>
      </c>
      <c r="L50" s="4" t="str">
        <f aca="false">IF(K50="PENDING","",'Author Decision Queue'!$W$64)</f>
        <v>AJP</v>
      </c>
      <c r="M50" s="14" t="n">
        <f aca="false">IF(K50="PENDING","",'Author Decision Queue'!$X$64)</f>
        <v>46274</v>
      </c>
      <c r="N50" s="4" t="str">
        <f aca="false">IF(K50="REVISE",'Author Decision Queue'!$U$64,IF(K50="HOLD",'Author Decision Queue'!$Y$64,'Author Decision Queue'!$V$64))</f>
        <v>Approved as written (batch sign-off 2026-09-09).</v>
      </c>
    </row>
    <row r="51" customFormat="false" ht="15.75" hidden="false" customHeight="true" outlineLevel="0" collapsed="false">
      <c r="A51" s="4" t="s">
        <v>648</v>
      </c>
      <c r="B51" s="4" t="s">
        <v>2337</v>
      </c>
      <c r="C51" s="4" t="s">
        <v>649</v>
      </c>
      <c r="D51" s="4" t="s">
        <v>650</v>
      </c>
      <c r="E51" s="4" t="s">
        <v>377</v>
      </c>
      <c r="F51" s="4" t="s">
        <v>833</v>
      </c>
      <c r="G51" s="4" t="s">
        <v>2616</v>
      </c>
      <c r="H51" s="4" t="s">
        <v>828</v>
      </c>
      <c r="I51" s="4" t="s">
        <v>652</v>
      </c>
      <c r="J51" s="4" t="s">
        <v>2618</v>
      </c>
      <c r="K51" s="4" t="str">
        <f aca="false">IF('Author Decision Queue'!$Z$65="RESOLVED",IF('Author Decision Queue'!$T$65="OPTION 1","APPROVE",IF('Author Decision Queue'!$T$65="OPTION 2","REVISE",IF('Author Decision Queue'!$T$65="CUSTOM RESPONSE","REVISE","HOLD"))),IF('Author Decision Queue'!$Z$65="HOLD","HOLD","PENDING"))</f>
        <v>REVISE</v>
      </c>
      <c r="L51" s="4" t="str">
        <f aca="false">IF(K51="PENDING","",'Author Decision Queue'!$W$65)</f>
        <v>AJP</v>
      </c>
      <c r="M51" s="14" t="n">
        <f aca="false">IF(K51="PENDING","",'Author Decision Queue'!$X$65)</f>
        <v>46274</v>
      </c>
      <c r="N51" s="4" t="str">
        <f aca="false">IF(K51="REVISE",'Author Decision Queue'!$U$65,IF(K51="HOLD",'Author Decision Queue'!$Y$65,'Author Decision Queue'!$V$65))</f>
        <v>summary → God is eternal — without beginning or end.</v>
      </c>
    </row>
    <row r="52" customFormat="false" ht="15.75" hidden="false" customHeight="true" outlineLevel="0" collapsed="false">
      <c r="A52" s="4" t="s">
        <v>653</v>
      </c>
      <c r="B52" s="4" t="s">
        <v>2337</v>
      </c>
      <c r="C52" s="4" t="s">
        <v>649</v>
      </c>
      <c r="D52" s="4" t="s">
        <v>655</v>
      </c>
      <c r="E52" s="4" t="s">
        <v>377</v>
      </c>
      <c r="F52" s="4" t="s">
        <v>790</v>
      </c>
      <c r="G52" s="4" t="s">
        <v>2616</v>
      </c>
      <c r="H52" s="4" t="s">
        <v>828</v>
      </c>
      <c r="I52" s="4" t="s">
        <v>657</v>
      </c>
      <c r="J52" s="4" t="s">
        <v>2617</v>
      </c>
      <c r="K52" s="4" t="str">
        <f aca="false">IF('Author Decision Queue'!$Z$66="RESOLVED",IF('Author Decision Queue'!$T$66="OPTION 1","APPROVE",IF('Author Decision Queue'!$T$66="OPTION 2","REVISE",IF('Author Decision Queue'!$T$66="CUSTOM RESPONSE","REVISE","HOLD"))),IF('Author Decision Queue'!$Z$66="HOLD","HOLD","PENDING"))</f>
        <v>REVISE</v>
      </c>
      <c r="L52" s="4" t="str">
        <f aca="false">IF(K52="PENDING","",'Author Decision Queue'!$W$66)</f>
        <v>AJP</v>
      </c>
      <c r="M52" s="14" t="n">
        <f aca="false">IF(K52="PENDING","",'Author Decision Queue'!$X$66)</f>
        <v>46274</v>
      </c>
      <c r="N52" s="4" t="str">
        <f aca="false">IF(K52="REVISE",'Author Decision Queue'!$U$66,IF(K52="HOLD",'Author Decision Queue'!$Y$66,'Author Decision Queue'!$V$66))</f>
        <v>summary → God cannot be fully comprehended.</v>
      </c>
    </row>
    <row r="53" customFormat="false" ht="15.75" hidden="false" customHeight="true" outlineLevel="0" collapsed="false">
      <c r="A53" s="4" t="s">
        <v>658</v>
      </c>
      <c r="B53" s="4" t="s">
        <v>2337</v>
      </c>
      <c r="C53" s="4" t="s">
        <v>649</v>
      </c>
      <c r="D53" s="4" t="s">
        <v>659</v>
      </c>
      <c r="E53" s="4" t="s">
        <v>377</v>
      </c>
      <c r="F53" s="4" t="s">
        <v>790</v>
      </c>
      <c r="G53" s="4" t="s">
        <v>2616</v>
      </c>
      <c r="H53" s="4" t="s">
        <v>828</v>
      </c>
      <c r="I53" s="4" t="s">
        <v>657</v>
      </c>
      <c r="J53" s="4" t="s">
        <v>2617</v>
      </c>
      <c r="K53" s="4" t="str">
        <f aca="false">IF('Author Decision Queue'!$Z$67="RESOLVED",IF('Author Decision Queue'!$T$67="OPTION 1","APPROVE",IF('Author Decision Queue'!$T$67="OPTION 2","REVISE",IF('Author Decision Queue'!$T$67="CUSTOM RESPONSE","REVISE","HOLD"))),IF('Author Decision Queue'!$Z$67="HOLD","HOLD","PENDING"))</f>
        <v>REVISE</v>
      </c>
      <c r="L53" s="4" t="str">
        <f aca="false">IF(K53="PENDING","",'Author Decision Queue'!$W$67)</f>
        <v>AJP</v>
      </c>
      <c r="M53" s="14" t="n">
        <f aca="false">IF(K53="PENDING","",'Author Decision Queue'!$X$67)</f>
        <v>46274</v>
      </c>
      <c r="N53" s="4" t="str">
        <f aca="false">IF(K53="REVISE",'Author Decision Queue'!$U$67,IF(K53="HOLD",'Author Decision Queue'!$Y$67,'Author Decision Queue'!$V$67))</f>
        <v>summary → God cannot be fully put into words.</v>
      </c>
    </row>
    <row r="54" customFormat="false" ht="15.75" hidden="false" customHeight="true" outlineLevel="0" collapsed="false">
      <c r="A54" s="4" t="s">
        <v>661</v>
      </c>
      <c r="B54" s="4" t="s">
        <v>2337</v>
      </c>
      <c r="C54" s="4" t="s">
        <v>649</v>
      </c>
      <c r="D54" s="4" t="s">
        <v>662</v>
      </c>
      <c r="E54" s="4" t="s">
        <v>377</v>
      </c>
      <c r="F54" s="4" t="s">
        <v>790</v>
      </c>
      <c r="G54" s="4" t="s">
        <v>2616</v>
      </c>
      <c r="H54" s="4" t="s">
        <v>828</v>
      </c>
      <c r="I54" s="4" t="s">
        <v>657</v>
      </c>
      <c r="J54" s="4" t="s">
        <v>2617</v>
      </c>
      <c r="K54" s="4" t="str">
        <f aca="false">IF('Author Decision Queue'!$Z$68="RESOLVED",IF('Author Decision Queue'!$T$68="OPTION 1","APPROVE",IF('Author Decision Queue'!$T$68="OPTION 2","REVISE",IF('Author Decision Queue'!$T$68="CUSTOM RESPONSE","REVISE","HOLD"))),IF('Author Decision Queue'!$Z$68="HOLD","HOLD","PENDING"))</f>
        <v>REVISE</v>
      </c>
      <c r="L54" s="4" t="str">
        <f aca="false">IF(K54="PENDING","",'Author Decision Queue'!$W$68)</f>
        <v>AJP</v>
      </c>
      <c r="M54" s="14" t="n">
        <f aca="false">IF(K54="PENDING","",'Author Decision Queue'!$X$68)</f>
        <v>46274</v>
      </c>
      <c r="N54" s="4" t="str">
        <f aca="false">IF(K54="REVISE",'Author Decision Queue'!$U$68,IF(K54="HOLD",'Author Decision Queue'!$Y$68,'Author Decision Queue'!$V$68))</f>
        <v>summary → God's counsels cannot be fully searched out.</v>
      </c>
    </row>
    <row r="55" customFormat="false" ht="15.75" hidden="false" customHeight="true" outlineLevel="0" collapsed="false">
      <c r="A55" s="4" t="s">
        <v>664</v>
      </c>
      <c r="B55" s="4" t="s">
        <v>2337</v>
      </c>
      <c r="C55" s="4" t="s">
        <v>649</v>
      </c>
      <c r="D55" s="4" t="s">
        <v>665</v>
      </c>
      <c r="E55" s="4" t="s">
        <v>384</v>
      </c>
      <c r="F55" s="4" t="s">
        <v>815</v>
      </c>
      <c r="G55" s="4" t="s">
        <v>2616</v>
      </c>
      <c r="H55" s="4" t="s">
        <v>828</v>
      </c>
      <c r="I55" s="4" t="s">
        <v>667</v>
      </c>
      <c r="J55" s="4" t="s">
        <v>2618</v>
      </c>
      <c r="K55" s="4" t="str">
        <f aca="false">IF('Author Decision Queue'!$Z$69="RESOLVED",IF('Author Decision Queue'!$T$69="OPTION 1","APPROVE",IF('Author Decision Queue'!$T$69="OPTION 2","REVISE",IF('Author Decision Queue'!$T$69="CUSTOM RESPONSE","REVISE","HOLD"))),IF('Author Decision Queue'!$Z$69="HOLD","HOLD","PENDING"))</f>
        <v>APPROVE</v>
      </c>
      <c r="L55" s="4" t="str">
        <f aca="false">IF(K55="PENDING","",'Author Decision Queue'!$W$69)</f>
        <v>AJP</v>
      </c>
      <c r="M55" s="14" t="n">
        <f aca="false">IF(K55="PENDING","",'Author Decision Queue'!$X$69)</f>
        <v>46274</v>
      </c>
      <c r="N55" s="4" t="str">
        <f aca="false">IF(K55="REVISE",'Author Decision Queue'!$U$69,IF(K55="HOLD",'Author Decision Queue'!$Y$69,'Author Decision Queue'!$V$69))</f>
        <v>Approved as written (batch sign-off 2026-09-09).</v>
      </c>
    </row>
    <row r="56" customFormat="false" ht="15.75" hidden="false" customHeight="true" outlineLevel="0" collapsed="false">
      <c r="A56" s="4" t="s">
        <v>668</v>
      </c>
      <c r="B56" s="4" t="s">
        <v>2337</v>
      </c>
      <c r="C56" s="4" t="s">
        <v>649</v>
      </c>
      <c r="D56" s="4" t="s">
        <v>670</v>
      </c>
      <c r="E56" s="4" t="s">
        <v>384</v>
      </c>
      <c r="F56" s="4" t="s">
        <v>790</v>
      </c>
      <c r="G56" s="4" t="s">
        <v>2616</v>
      </c>
      <c r="H56" s="4" t="s">
        <v>828</v>
      </c>
      <c r="I56" s="4" t="s">
        <v>672</v>
      </c>
      <c r="J56" s="4" t="s">
        <v>2617</v>
      </c>
      <c r="K56" s="4" t="str">
        <f aca="false">IF('Author Decision Queue'!$Z$70="RESOLVED",IF('Author Decision Queue'!$T$70="OPTION 1","APPROVE",IF('Author Decision Queue'!$T$70="OPTION 2","REVISE",IF('Author Decision Queue'!$T$70="CUSTOM RESPONSE","REVISE","HOLD"))),IF('Author Decision Queue'!$Z$70="HOLD","HOLD","PENDING"))</f>
        <v>APPROVE</v>
      </c>
      <c r="L56" s="4" t="str">
        <f aca="false">IF(K56="PENDING","",'Author Decision Queue'!$W$70)</f>
        <v>AJP</v>
      </c>
      <c r="M56" s="14" t="n">
        <f aca="false">IF(K56="PENDING","",'Author Decision Queue'!$X$70)</f>
        <v>46274</v>
      </c>
      <c r="N56" s="4" t="str">
        <f aca="false">IF(K56="REVISE",'Author Decision Queue'!$U$70,IF(K56="HOLD",'Author Decision Queue'!$Y$70,'Author Decision Queue'!$V$70))</f>
        <v>Approved as written (batch sign-off 2026-09-09).</v>
      </c>
    </row>
    <row r="57" customFormat="false" ht="15.75" hidden="false" customHeight="true" outlineLevel="0" collapsed="false">
      <c r="A57" s="4" t="s">
        <v>673</v>
      </c>
      <c r="B57" s="4" t="s">
        <v>2337</v>
      </c>
      <c r="C57" s="4" t="s">
        <v>675</v>
      </c>
      <c r="D57" s="4" t="s">
        <v>676</v>
      </c>
      <c r="E57" s="4" t="s">
        <v>384</v>
      </c>
      <c r="F57" s="4" t="s">
        <v>815</v>
      </c>
      <c r="G57" s="4" t="s">
        <v>2616</v>
      </c>
      <c r="H57" s="4" t="s">
        <v>828</v>
      </c>
      <c r="I57" s="4" t="s">
        <v>678</v>
      </c>
      <c r="J57" s="4" t="s">
        <v>2618</v>
      </c>
      <c r="K57" s="4" t="str">
        <f aca="false">IF('Author Decision Queue'!$Z$71="RESOLVED",IF('Author Decision Queue'!$T$71="OPTION 1","APPROVE",IF('Author Decision Queue'!$T$71="OPTION 2","REVISE",IF('Author Decision Queue'!$T$71="CUSTOM RESPONSE","REVISE","HOLD"))),IF('Author Decision Queue'!$Z$71="HOLD","HOLD","PENDING"))</f>
        <v>REVISE</v>
      </c>
      <c r="L57" s="4" t="str">
        <f aca="false">IF(K57="PENDING","",'Author Decision Queue'!$W$71)</f>
        <v>AJP</v>
      </c>
      <c r="M57" s="14" t="n">
        <f aca="false">IF(K57="PENDING","",'Author Decision Queue'!$X$71)</f>
        <v>46274</v>
      </c>
      <c r="N57" s="4" t="str">
        <f aca="false">IF(K57="REVISE",'Author Decision Queue'!$U$71,IF(K57="HOLD",'Author Decision Queue'!$Y$71,'Author Decision Queue'!$V$71))</f>
        <v>Restoration phrase → “the Only Begotten Son in the flesh”</v>
      </c>
    </row>
    <row r="58" customFormat="false" ht="15.75" hidden="false" customHeight="true" outlineLevel="0" collapsed="false">
      <c r="A58" s="4" t="s">
        <v>679</v>
      </c>
      <c r="B58" s="4" t="s">
        <v>2337</v>
      </c>
      <c r="C58" s="4" t="s">
        <v>675</v>
      </c>
      <c r="D58" s="4" t="s">
        <v>680</v>
      </c>
      <c r="E58" s="4" t="s">
        <v>384</v>
      </c>
      <c r="F58" s="4" t="s">
        <v>815</v>
      </c>
      <c r="G58" s="4" t="s">
        <v>2616</v>
      </c>
      <c r="H58" s="4" t="s">
        <v>828</v>
      </c>
      <c r="I58" s="4" t="s">
        <v>678</v>
      </c>
      <c r="J58" s="4" t="s">
        <v>2618</v>
      </c>
      <c r="K58" s="4" t="str">
        <f aca="false">IF('Author Decision Queue'!$Z$72="RESOLVED",IF('Author Decision Queue'!$T$72="OPTION 1","APPROVE",IF('Author Decision Queue'!$T$72="OPTION 2","REVISE",IF('Author Decision Queue'!$T$72="CUSTOM RESPONSE","REVISE","HOLD"))),IF('Author Decision Queue'!$Z$72="HOLD","HOLD","PENDING"))</f>
        <v>REVISE</v>
      </c>
      <c r="L58" s="4" t="str">
        <f aca="false">IF(K58="PENDING","",'Author Decision Queue'!$W$72)</f>
        <v>AJP</v>
      </c>
      <c r="M58" s="14" t="n">
        <f aca="false">IF(K58="PENDING","",'Author Decision Queue'!$X$72)</f>
        <v>46274</v>
      </c>
      <c r="N58" s="4" t="str">
        <f aca="false">IF(K58="REVISE",'Author Decision Queue'!$U$72,IF(K58="HOLD",'Author Decision Queue'!$Y$72,'Author Decision Queue'!$V$72))</f>
        <v>Restoration phrase → “the Only Begotten Son in the flesh”</v>
      </c>
    </row>
    <row r="59" customFormat="false" ht="15.75" hidden="false" customHeight="true" outlineLevel="0" collapsed="false">
      <c r="A59" s="4" t="s">
        <v>682</v>
      </c>
      <c r="B59" s="4" t="s">
        <v>2337</v>
      </c>
      <c r="C59" s="4" t="s">
        <v>675</v>
      </c>
      <c r="D59" s="4" t="s">
        <v>683</v>
      </c>
      <c r="E59" s="4" t="s">
        <v>384</v>
      </c>
      <c r="F59" s="4" t="s">
        <v>815</v>
      </c>
      <c r="G59" s="4" t="s">
        <v>2616</v>
      </c>
      <c r="H59" s="4" t="s">
        <v>828</v>
      </c>
      <c r="I59" s="4" t="s">
        <v>678</v>
      </c>
      <c r="J59" s="4" t="s">
        <v>2618</v>
      </c>
      <c r="K59" s="4" t="str">
        <f aca="false">IF('Author Decision Queue'!$Z$73="RESOLVED",IF('Author Decision Queue'!$T$73="OPTION 1","APPROVE",IF('Author Decision Queue'!$T$73="OPTION 2","REVISE",IF('Author Decision Queue'!$T$73="CUSTOM RESPONSE","REVISE","HOLD"))),IF('Author Decision Queue'!$Z$73="HOLD","HOLD","PENDING"))</f>
        <v>REVISE</v>
      </c>
      <c r="L59" s="4" t="str">
        <f aca="false">IF(K59="PENDING","",'Author Decision Queue'!$W$73)</f>
        <v>AJP</v>
      </c>
      <c r="M59" s="14" t="n">
        <f aca="false">IF(K59="PENDING","",'Author Decision Queue'!$X$73)</f>
        <v>46274</v>
      </c>
      <c r="N59" s="4" t="str">
        <f aca="false">IF(K59="REVISE",'Author Decision Queue'!$U$73,IF(K59="HOLD",'Author Decision Queue'!$Y$73,'Author Decision Queue'!$V$73))</f>
        <v>Restoration phrase → “the Only Begotten Son in the flesh”</v>
      </c>
    </row>
    <row r="60" customFormat="false" ht="15.75" hidden="false" customHeight="true" outlineLevel="0" collapsed="false">
      <c r="A60" s="4" t="s">
        <v>685</v>
      </c>
      <c r="B60" s="4" t="s">
        <v>2337</v>
      </c>
      <c r="C60" s="4" t="s">
        <v>675</v>
      </c>
      <c r="D60" s="4" t="s">
        <v>686</v>
      </c>
      <c r="E60" s="4" t="s">
        <v>384</v>
      </c>
      <c r="F60" s="4" t="s">
        <v>815</v>
      </c>
      <c r="G60" s="4" t="s">
        <v>2616</v>
      </c>
      <c r="H60" s="4" t="s">
        <v>828</v>
      </c>
      <c r="I60" s="4" t="s">
        <v>678</v>
      </c>
      <c r="J60" s="4" t="s">
        <v>2618</v>
      </c>
      <c r="K60" s="4" t="str">
        <f aca="false">IF('Author Decision Queue'!$Z$74="RESOLVED",IF('Author Decision Queue'!$T$74="OPTION 1","APPROVE",IF('Author Decision Queue'!$T$74="OPTION 2","REVISE",IF('Author Decision Queue'!$T$74="CUSTOM RESPONSE","REVISE","HOLD"))),IF('Author Decision Queue'!$Z$74="HOLD","HOLD","PENDING"))</f>
        <v>REVISE</v>
      </c>
      <c r="L60" s="4" t="str">
        <f aca="false">IF(K60="PENDING","",'Author Decision Queue'!$W$74)</f>
        <v>AJP</v>
      </c>
      <c r="M60" s="14" t="n">
        <f aca="false">IF(K60="PENDING","",'Author Decision Queue'!$X$74)</f>
        <v>46274</v>
      </c>
      <c r="N60" s="4" t="str">
        <f aca="false">IF(K60="REVISE",'Author Decision Queue'!$U$74,IF(K60="HOLD",'Author Decision Queue'!$Y$74,'Author Decision Queue'!$V$74))</f>
        <v>Restoration phrase → “the Only Begotten Son in the flesh”</v>
      </c>
    </row>
    <row r="61" customFormat="false" ht="15.75" hidden="false" customHeight="true" outlineLevel="0" collapsed="false">
      <c r="A61" s="4" t="s">
        <v>688</v>
      </c>
      <c r="B61" s="4" t="s">
        <v>2337</v>
      </c>
      <c r="C61" s="4" t="s">
        <v>690</v>
      </c>
      <c r="D61" s="4" t="s">
        <v>691</v>
      </c>
      <c r="E61" s="4" t="s">
        <v>384</v>
      </c>
      <c r="F61" s="4" t="s">
        <v>790</v>
      </c>
      <c r="G61" s="4" t="s">
        <v>2616</v>
      </c>
      <c r="H61" s="4" t="s">
        <v>828</v>
      </c>
      <c r="I61" s="4" t="s">
        <v>693</v>
      </c>
      <c r="J61" s="4" t="s">
        <v>2617</v>
      </c>
      <c r="K61" s="4" t="str">
        <f aca="false">IF('Author Decision Queue'!$Z$75="RESOLVED",IF('Author Decision Queue'!$T$75="OPTION 1","APPROVE",IF('Author Decision Queue'!$T$75="OPTION 2","REVISE",IF('Author Decision Queue'!$T$75="CUSTOM RESPONSE","REVISE","HOLD"))),IF('Author Decision Queue'!$Z$75="HOLD","HOLD","PENDING"))</f>
        <v>APPROVE</v>
      </c>
      <c r="L61" s="4" t="str">
        <f aca="false">IF(K61="PENDING","",'Author Decision Queue'!$W$75)</f>
        <v>AJP</v>
      </c>
      <c r="M61" s="14" t="n">
        <f aca="false">IF(K61="PENDING","",'Author Decision Queue'!$X$75)</f>
        <v>46274</v>
      </c>
      <c r="N61" s="4" t="str">
        <f aca="false">IF(K61="REVISE",'Author Decision Queue'!$U$75,IF(K61="HOLD",'Author Decision Queue'!$Y$75,'Author Decision Queue'!$V$75))</f>
        <v>Approved as written (batch sign-off 2026-09-09).</v>
      </c>
    </row>
    <row r="62" customFormat="false" ht="15.75" hidden="false" customHeight="true" outlineLevel="0" collapsed="false">
      <c r="A62" s="4" t="s">
        <v>694</v>
      </c>
      <c r="B62" s="4" t="s">
        <v>2337</v>
      </c>
      <c r="C62" s="4" t="s">
        <v>695</v>
      </c>
      <c r="D62" s="4" t="s">
        <v>696</v>
      </c>
      <c r="E62" s="4" t="s">
        <v>387</v>
      </c>
      <c r="F62" s="4" t="s">
        <v>815</v>
      </c>
      <c r="G62" s="4" t="s">
        <v>2616</v>
      </c>
      <c r="H62" s="4" t="s">
        <v>828</v>
      </c>
      <c r="I62" s="4" t="s">
        <v>698</v>
      </c>
      <c r="J62" s="4" t="s">
        <v>2618</v>
      </c>
      <c r="K62" s="4" t="str">
        <f aca="false">IF('Author Decision Queue'!$Z$76="RESOLVED",IF('Author Decision Queue'!$T$76="OPTION 1","APPROVE",IF('Author Decision Queue'!$T$76="OPTION 2","REVISE",IF('Author Decision Queue'!$T$76="CUSTOM RESPONSE","REVISE","HOLD"))),IF('Author Decision Queue'!$Z$76="HOLD","HOLD","PENDING"))</f>
        <v>REVISE</v>
      </c>
      <c r="L62" s="4" t="str">
        <f aca="false">IF(K62="PENDING","",'Author Decision Queue'!$W$76)</f>
        <v>AJP</v>
      </c>
      <c r="M62" s="14" t="n">
        <f aca="false">IF(K62="PENDING","",'Author Decision Queue'!$X$76)</f>
        <v>46274</v>
      </c>
      <c r="N62" s="4" t="str">
        <f aca="false">IF(K62="REVISE",'Author Decision Queue'!$U$76,IF(K62="HOLD",'Author Decision Queue'!$Y$76,'Author Decision Queue'!$V$76))</f>
        <v>Restoration phrase → “a beloved spirit son or daughter of heavenly parents”</v>
      </c>
    </row>
    <row r="63" customFormat="false" ht="15.75" hidden="false" customHeight="true" outlineLevel="0" collapsed="false">
      <c r="A63" s="4" t="s">
        <v>700</v>
      </c>
      <c r="B63" s="4" t="s">
        <v>2451</v>
      </c>
      <c r="C63" s="4" t="s">
        <v>701</v>
      </c>
      <c r="D63" s="4" t="s">
        <v>702</v>
      </c>
      <c r="E63" s="4" t="s">
        <v>703</v>
      </c>
      <c r="F63" s="4" t="s">
        <v>1237</v>
      </c>
      <c r="G63" s="4" t="s">
        <v>706</v>
      </c>
      <c r="H63" s="4" t="s">
        <v>1150</v>
      </c>
      <c r="I63" s="4" t="s">
        <v>1239</v>
      </c>
      <c r="J63" s="4" t="s">
        <v>2619</v>
      </c>
      <c r="K63" s="4" t="str">
        <f aca="false">IF('Author Decision Queue'!$Z$77="RESOLVED",IF('Author Decision Queue'!$T$77="OPTION 1","APPROVE",IF('Author Decision Queue'!$T$77="OPTION 2","REVISE",IF('Author Decision Queue'!$T$77="CUSTOM RESPONSE","REVISE","HOLD"))),IF('Author Decision Queue'!$Z$77="HOLD","HOLD","PENDING"))</f>
        <v>REVISE</v>
      </c>
      <c r="L63" s="4" t="str">
        <f aca="false">IF(K63="PENDING","",'Author Decision Queue'!$W$77)</f>
        <v>AJP</v>
      </c>
      <c r="M63" s="14" t="n">
        <f aca="false">IF(K63="PENDING","",'Author Decision Queue'!$X$77)</f>
        <v>46274</v>
      </c>
      <c r="N63" s="4" t="str">
        <f aca="false">IF(K63="REVISE",'Author Decision Queue'!$U$77,IF(K63="HOLD",'Author Decision Queue'!$Y$77,'Author Decision Queue'!$V$77))</f>
        <v>summary → The Father is an embodied, tangible, glorified person; humanity is made in His image. | caution → Counted as an addition because it does not appear as a positive doctrine in the creeds and confessions studied — not because no Christian ever taught something like it.</v>
      </c>
    </row>
    <row r="64" customFormat="false" ht="15.75" hidden="false" customHeight="true" outlineLevel="0" collapsed="false">
      <c r="A64" s="4" t="s">
        <v>707</v>
      </c>
      <c r="B64" s="4" t="s">
        <v>2451</v>
      </c>
      <c r="C64" s="4" t="s">
        <v>701</v>
      </c>
      <c r="D64" s="4" t="s">
        <v>708</v>
      </c>
      <c r="E64" s="4" t="s">
        <v>709</v>
      </c>
      <c r="F64" s="4" t="s">
        <v>1240</v>
      </c>
      <c r="G64" s="4" t="s">
        <v>710</v>
      </c>
      <c r="H64" s="4" t="s">
        <v>1215</v>
      </c>
      <c r="I64" s="4" t="s">
        <v>1239</v>
      </c>
      <c r="J64" s="4" t="s">
        <v>2619</v>
      </c>
      <c r="K64" s="4" t="str">
        <f aca="false">IF('Author Decision Queue'!$Z$78="RESOLVED",IF('Author Decision Queue'!$T$78="OPTION 1","APPROVE",IF('Author Decision Queue'!$T$78="OPTION 2","REVISE",IF('Author Decision Queue'!$T$78="CUSTOM RESPONSE","REVISE","HOLD"))),IF('Author Decision Queue'!$Z$78="HOLD","HOLD","PENDING"))</f>
        <v>REVISE</v>
      </c>
      <c r="L64" s="4" t="str">
        <f aca="false">IF(K64="PENDING","",'Author Decision Queue'!$W$78)</f>
        <v>AJP</v>
      </c>
      <c r="M64" s="14" t="n">
        <f aca="false">IF(K64="PENDING","",'Author Decision Queue'!$X$78)</f>
        <v>46274</v>
      </c>
      <c r="N64" s="4" t="str">
        <f aca="false">IF(K64="REVISE",'Author Decision Queue'!$U$78,IF(K64="HOLD",'Author Decision Queue'!$Y$78,'Author Decision Queue'!$V$78))</f>
        <v>caution → Counted as an addition because it does not appear as a positive doctrine in the creeds and confessions studied — not because no Christian ever taught something like it.</v>
      </c>
    </row>
    <row r="65" customFormat="false" ht="15.75" hidden="false" customHeight="true" outlineLevel="0" collapsed="false">
      <c r="A65" s="4" t="s">
        <v>711</v>
      </c>
      <c r="B65" s="4" t="s">
        <v>2451</v>
      </c>
      <c r="C65" s="4" t="s">
        <v>701</v>
      </c>
      <c r="D65" s="4" t="s">
        <v>712</v>
      </c>
      <c r="E65" s="4" t="s">
        <v>703</v>
      </c>
      <c r="F65" s="4" t="s">
        <v>1237</v>
      </c>
      <c r="G65" s="4" t="s">
        <v>713</v>
      </c>
      <c r="H65" s="4" t="s">
        <v>1145</v>
      </c>
      <c r="I65" s="4" t="s">
        <v>1239</v>
      </c>
      <c r="J65" s="4" t="s">
        <v>2619</v>
      </c>
      <c r="K65" s="4" t="str">
        <f aca="false">IF('Author Decision Queue'!$Z$79="RESOLVED",IF('Author Decision Queue'!$T$79="OPTION 1","APPROVE",IF('Author Decision Queue'!$T$79="OPTION 2","REVISE",IF('Author Decision Queue'!$T$79="CUSTOM RESPONSE","REVISE","HOLD"))),IF('Author Decision Queue'!$Z$79="HOLD","HOLD","PENDING"))</f>
        <v>REVISE</v>
      </c>
      <c r="L65" s="4" t="str">
        <f aca="false">IF(K65="PENDING","",'Author Decision Queue'!$W$79)</f>
        <v>AJP</v>
      </c>
      <c r="M65" s="14" t="n">
        <f aca="false">IF(K65="PENDING","",'Author Decision Queue'!$X$79)</f>
        <v>46274</v>
      </c>
      <c r="N65" s="4" t="str">
        <f aca="false">IF(K65="REVISE",'Author Decision Queue'!$U$79,IF(K65="HOLD",'Author Decision Queue'!$Y$79,'Author Decision Queue'!$V$79))</f>
        <v>summary → God is personally present in one place at a time, while His light, knowledge, power, and governance fill all creation. | caution → Counted as an addition because it does not appear as a positive doctrine in the creeds and confessions studied — not because no Christian ever taught something like it.</v>
      </c>
    </row>
    <row r="66" customFormat="false" ht="15.75" hidden="false" customHeight="true" outlineLevel="0" collapsed="false">
      <c r="A66" s="4" t="s">
        <v>714</v>
      </c>
      <c r="B66" s="4" t="s">
        <v>2451</v>
      </c>
      <c r="C66" s="4" t="s">
        <v>701</v>
      </c>
      <c r="D66" s="4" t="s">
        <v>715</v>
      </c>
      <c r="E66" s="4" t="s">
        <v>716</v>
      </c>
      <c r="F66" s="4" t="s">
        <v>1243</v>
      </c>
      <c r="G66" s="4" t="s">
        <v>718</v>
      </c>
      <c r="H66" s="4" t="s">
        <v>1244</v>
      </c>
      <c r="I66" s="4" t="s">
        <v>1246</v>
      </c>
      <c r="J66" s="4" t="s">
        <v>2619</v>
      </c>
      <c r="K66" s="4" t="str">
        <f aca="false">IF('Author Decision Queue'!$Z$80="RESOLVED",IF('Author Decision Queue'!$T$80="OPTION 1","APPROVE",IF('Author Decision Queue'!$T$80="OPTION 2","REVISE",IF('Author Decision Queue'!$T$80="CUSTOM RESPONSE","REVISE","HOLD"))),IF('Author Decision Queue'!$Z$80="HOLD","HOLD","PENDING"))</f>
        <v>REVISE</v>
      </c>
      <c r="L66" s="4" t="str">
        <f aca="false">IF(K66="PENDING","",'Author Decision Queue'!$W$80)</f>
        <v>AJP</v>
      </c>
      <c r="M66" s="14" t="n">
        <f aca="false">IF(K66="PENDING","",'Author Decision Queue'!$X$80)</f>
        <v>46274</v>
      </c>
      <c r="N66" s="4" t="str">
        <f aca="false">IF(K66="REVISE",'Author Decision Queue'!$U$80,IF(K66="HOLD",'Author Decision Queue'!$Y$80,'Author Decision Queue'!$V$80))</f>
        <v>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v>
      </c>
    </row>
    <row r="67" customFormat="false" ht="15.75" hidden="false" customHeight="true" outlineLevel="0" collapsed="false">
      <c r="A67" s="4" t="s">
        <v>719</v>
      </c>
      <c r="B67" s="4" t="s">
        <v>2451</v>
      </c>
      <c r="C67" s="4" t="s">
        <v>701</v>
      </c>
      <c r="D67" s="4" t="s">
        <v>720</v>
      </c>
      <c r="E67" s="4" t="s">
        <v>716</v>
      </c>
      <c r="F67" s="4" t="s">
        <v>1243</v>
      </c>
      <c r="G67" s="4" t="s">
        <v>721</v>
      </c>
      <c r="H67" s="4" t="s">
        <v>1247</v>
      </c>
      <c r="I67" s="4" t="s">
        <v>1246</v>
      </c>
      <c r="J67" s="4" t="s">
        <v>2619</v>
      </c>
      <c r="K67" s="4" t="str">
        <f aca="false">IF('Author Decision Queue'!$Z$81="RESOLVED",IF('Author Decision Queue'!$T$81="OPTION 1","APPROVE",IF('Author Decision Queue'!$T$81="OPTION 2","REVISE",IF('Author Decision Queue'!$T$81="CUSTOM RESPONSE","REVISE","HOLD"))),IF('Author Decision Queue'!$Z$81="HOLD","HOLD","PENDING"))</f>
        <v>REVISE</v>
      </c>
      <c r="L67" s="4" t="str">
        <f aca="false">IF(K67="PENDING","",'Author Decision Queue'!$W$81)</f>
        <v>AJP</v>
      </c>
      <c r="M67" s="14" t="n">
        <f aca="false">IF(K67="PENDING","",'Author Decision Queue'!$X$81)</f>
        <v>46274</v>
      </c>
      <c r="N67" s="4" t="str">
        <f aca="false">IF(K67="REVISE",'Author Decision Queue'!$U$81,IF(K67="HOLD",'Author Decision Queue'!$Y$81,'Author Decision Queue'!$V$81))</f>
        <v>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v>
      </c>
    </row>
    <row r="68" customFormat="false" ht="15.75" hidden="false" customHeight="true" outlineLevel="0" collapsed="false">
      <c r="A68" s="4" t="s">
        <v>722</v>
      </c>
      <c r="B68" s="4" t="s">
        <v>2451</v>
      </c>
      <c r="C68" s="4" t="s">
        <v>723</v>
      </c>
      <c r="D68" s="4" t="s">
        <v>724</v>
      </c>
      <c r="E68" s="4" t="s">
        <v>709</v>
      </c>
      <c r="F68" s="4" t="s">
        <v>1240</v>
      </c>
      <c r="G68" s="4" t="s">
        <v>725</v>
      </c>
      <c r="H68" s="4" t="s">
        <v>1249</v>
      </c>
      <c r="I68" s="4" t="s">
        <v>1239</v>
      </c>
      <c r="J68" s="4" t="s">
        <v>2619</v>
      </c>
      <c r="K68" s="4" t="str">
        <f aca="false">IF('Author Decision Queue'!$Z$82="RESOLVED",IF('Author Decision Queue'!$T$82="OPTION 1","APPROVE",IF('Author Decision Queue'!$T$82="OPTION 2","REVISE",IF('Author Decision Queue'!$T$82="CUSTOM RESPONSE","REVISE","HOLD"))),IF('Author Decision Queue'!$Z$82="HOLD","HOLD","PENDING"))</f>
        <v>REVISE</v>
      </c>
      <c r="L68" s="4" t="str">
        <f aca="false">IF(K68="PENDING","",'Author Decision Queue'!$W$82)</f>
        <v>AJP</v>
      </c>
      <c r="M68" s="14" t="n">
        <f aca="false">IF(K68="PENDING","",'Author Decision Queue'!$X$82)</f>
        <v>46274</v>
      </c>
      <c r="N68" s="4" t="str">
        <f aca="false">IF(K68="REVISE",'Author Decision Queue'!$U$82,IF(K68="HOLD",'Author Decision Queue'!$Y$82,'Author Decision Queue'!$V$82))</f>
        <v>caution → Counted as an addition because it does not appear as a positive doctrine in the creeds and confessions studied — not because no Christian ever taught something like it.</v>
      </c>
    </row>
    <row r="69" customFormat="false" ht="15.75" hidden="false" customHeight="true" outlineLevel="0" collapsed="false">
      <c r="A69" s="4" t="s">
        <v>726</v>
      </c>
      <c r="B69" s="4" t="s">
        <v>2451</v>
      </c>
      <c r="C69" s="4" t="s">
        <v>723</v>
      </c>
      <c r="D69" s="4" t="s">
        <v>727</v>
      </c>
      <c r="E69" s="4" t="s">
        <v>709</v>
      </c>
      <c r="F69" s="4" t="s">
        <v>1240</v>
      </c>
      <c r="G69" s="4" t="s">
        <v>729</v>
      </c>
      <c r="H69" s="4" t="s">
        <v>1251</v>
      </c>
      <c r="I69" s="4" t="s">
        <v>1253</v>
      </c>
      <c r="J69" s="4" t="s">
        <v>2619</v>
      </c>
      <c r="K69" s="4" t="str">
        <f aca="false">IF('Author Decision Queue'!$Z$83="RESOLVED",IF('Author Decision Queue'!$T$83="OPTION 1","APPROVE",IF('Author Decision Queue'!$T$83="OPTION 2","REVISE",IF('Author Decision Queue'!$T$83="CUSTOM RESPONSE","REVISE","HOLD"))),IF('Author Decision Queue'!$Z$83="HOLD","HOLD","PENDING"))</f>
        <v>APPROVE</v>
      </c>
      <c r="L69" s="4" t="str">
        <f aca="false">IF(K69="PENDING","",'Author Decision Queue'!$W$83)</f>
        <v>AJP</v>
      </c>
      <c r="M69" s="14" t="n">
        <f aca="false">IF(K69="PENDING","",'Author Decision Queue'!$X$83)</f>
        <v>46274</v>
      </c>
      <c r="N69" s="4" t="str">
        <f aca="false">IF(K69="REVISE",'Author Decision Queue'!$U$83,IF(K69="HOLD",'Author Decision Queue'!$Y$83,'Author Decision Queue'!$V$83))</f>
        <v>Approved as written (batch sign-off 2026-09-09).</v>
      </c>
    </row>
    <row r="70" customFormat="false" ht="15.75" hidden="false" customHeight="true" outlineLevel="0" collapsed="false">
      <c r="A70" s="4" t="s">
        <v>730</v>
      </c>
      <c r="B70" s="4" t="s">
        <v>2451</v>
      </c>
      <c r="C70" s="4" t="s">
        <v>723</v>
      </c>
      <c r="D70" s="4" t="s">
        <v>731</v>
      </c>
      <c r="E70" s="4" t="s">
        <v>703</v>
      </c>
      <c r="F70" s="4" t="s">
        <v>1237</v>
      </c>
      <c r="G70" s="4" t="s">
        <v>732</v>
      </c>
      <c r="H70" s="4" t="s">
        <v>1254</v>
      </c>
      <c r="I70" s="4" t="s">
        <v>1239</v>
      </c>
      <c r="J70" s="4" t="s">
        <v>2619</v>
      </c>
      <c r="K70" s="4" t="str">
        <f aca="false">IF('Author Decision Queue'!$Z$84="RESOLVED",IF('Author Decision Queue'!$T$84="OPTION 1","APPROVE",IF('Author Decision Queue'!$T$84="OPTION 2","REVISE",IF('Author Decision Queue'!$T$84="CUSTOM RESPONSE","REVISE","HOLD"))),IF('Author Decision Queue'!$Z$84="HOLD","HOLD","PENDING"))</f>
        <v>REVISE</v>
      </c>
      <c r="L70" s="4" t="str">
        <f aca="false">IF(K70="PENDING","",'Author Decision Queue'!$W$84)</f>
        <v>AJP</v>
      </c>
      <c r="M70" s="14" t="n">
        <f aca="false">IF(K70="PENDING","",'Author Decision Queue'!$X$84)</f>
        <v>46274</v>
      </c>
      <c r="N70" s="4" t="str">
        <f aca="false">IF(K70="REVISE",'Author Decision Queue'!$U$84,IF(K70="HOLD",'Author Decision Queue'!$Y$84,'Author Decision Queue'!$V$84))</f>
        <v>caution → Counted as an addition because it does not appear as a positive doctrine in the creeds and confessions studied — not because no Christian ever taught something like it.</v>
      </c>
    </row>
    <row r="71" customFormat="false" ht="15.75" hidden="false" customHeight="true" outlineLevel="0" collapsed="false">
      <c r="A71" s="4" t="s">
        <v>733</v>
      </c>
      <c r="B71" s="4" t="s">
        <v>2451</v>
      </c>
      <c r="C71" s="4" t="s">
        <v>723</v>
      </c>
      <c r="D71" s="4" t="s">
        <v>734</v>
      </c>
      <c r="E71" s="4" t="s">
        <v>709</v>
      </c>
      <c r="F71" s="4" t="s">
        <v>1240</v>
      </c>
      <c r="G71" s="4" t="s">
        <v>725</v>
      </c>
      <c r="H71" s="4" t="s">
        <v>1249</v>
      </c>
      <c r="I71" s="4" t="s">
        <v>1239</v>
      </c>
      <c r="J71" s="4" t="s">
        <v>2619</v>
      </c>
      <c r="K71" s="4" t="str">
        <f aca="false">IF('Author Decision Queue'!$Z$85="RESOLVED",IF('Author Decision Queue'!$T$85="OPTION 1","APPROVE",IF('Author Decision Queue'!$T$85="OPTION 2","REVISE",IF('Author Decision Queue'!$T$85="CUSTOM RESPONSE","REVISE","HOLD"))),IF('Author Decision Queue'!$Z$85="HOLD","HOLD","PENDING"))</f>
        <v>REVISE</v>
      </c>
      <c r="L71" s="4" t="str">
        <f aca="false">IF(K71="PENDING","",'Author Decision Queue'!$W$85)</f>
        <v>AJP</v>
      </c>
      <c r="M71" s="14" t="n">
        <f aca="false">IF(K71="PENDING","",'Author Decision Queue'!$X$85)</f>
        <v>46274</v>
      </c>
      <c r="N71" s="4" t="str">
        <f aca="false">IF(K71="REVISE",'Author Decision Queue'!$U$85,IF(K71="HOLD",'Author Decision Queue'!$Y$85,'Author Decision Queue'!$V$85))</f>
        <v>caution → Counted as an addition because it does not appear as a positive doctrine in the creeds and confessions studied — not because no Christian ever taught something like it.</v>
      </c>
    </row>
    <row r="72" customFormat="false" ht="15.75" hidden="false" customHeight="true" outlineLevel="0" collapsed="false">
      <c r="A72" s="4" t="s">
        <v>735</v>
      </c>
      <c r="B72" s="4" t="s">
        <v>2451</v>
      </c>
      <c r="C72" s="4" t="s">
        <v>723</v>
      </c>
      <c r="D72" s="4" t="s">
        <v>736</v>
      </c>
      <c r="E72" s="4" t="s">
        <v>703</v>
      </c>
      <c r="F72" s="4" t="s">
        <v>1237</v>
      </c>
      <c r="G72" s="4" t="s">
        <v>737</v>
      </c>
      <c r="H72" s="4" t="s">
        <v>1256</v>
      </c>
      <c r="I72" s="4" t="s">
        <v>1239</v>
      </c>
      <c r="J72" s="4" t="s">
        <v>2619</v>
      </c>
      <c r="K72" s="4" t="str">
        <f aca="false">IF('Author Decision Queue'!$Z$86="RESOLVED",IF('Author Decision Queue'!$T$86="OPTION 1","APPROVE",IF('Author Decision Queue'!$T$86="OPTION 2","REVISE",IF('Author Decision Queue'!$T$86="CUSTOM RESPONSE","REVISE","HOLD"))),IF('Author Decision Queue'!$Z$86="HOLD","HOLD","PENDING"))</f>
        <v>REVISE</v>
      </c>
      <c r="L72" s="4" t="str">
        <f aca="false">IF(K72="PENDING","",'Author Decision Queue'!$W$86)</f>
        <v>AJP</v>
      </c>
      <c r="M72" s="14" t="n">
        <f aca="false">IF(K72="PENDING","",'Author Decision Queue'!$X$86)</f>
        <v>46274</v>
      </c>
      <c r="N72" s="4" t="str">
        <f aca="false">IF(K72="REVISE",'Author Decision Queue'!$U$86,IF(K72="HOLD",'Author Decision Queue'!$Y$86,'Author Decision Queue'!$V$86))</f>
        <v>caution → Counted as an addition because it does not appear as a positive doctrine in the creeds and confessions studied — not because no Christian ever taught something like it.</v>
      </c>
    </row>
    <row r="73" customFormat="false" ht="15.75" hidden="false" customHeight="true" outlineLevel="0" collapsed="false">
      <c r="A73" s="4" t="s">
        <v>738</v>
      </c>
      <c r="B73" s="4" t="s">
        <v>2451</v>
      </c>
      <c r="C73" s="4" t="s">
        <v>723</v>
      </c>
      <c r="D73" s="4" t="s">
        <v>739</v>
      </c>
      <c r="E73" s="4" t="s">
        <v>709</v>
      </c>
      <c r="F73" s="4" t="s">
        <v>1240</v>
      </c>
      <c r="G73" s="4" t="s">
        <v>725</v>
      </c>
      <c r="H73" s="4" t="s">
        <v>1249</v>
      </c>
      <c r="I73" s="4" t="s">
        <v>1239</v>
      </c>
      <c r="J73" s="4" t="s">
        <v>2619</v>
      </c>
      <c r="K73" s="4" t="str">
        <f aca="false">IF('Author Decision Queue'!$Z$87="RESOLVED",IF('Author Decision Queue'!$T$87="OPTION 1","APPROVE",IF('Author Decision Queue'!$T$87="OPTION 2","REVISE",IF('Author Decision Queue'!$T$87="CUSTOM RESPONSE","REVISE","HOLD"))),IF('Author Decision Queue'!$Z$87="HOLD","HOLD","PENDING"))</f>
        <v>REVISE</v>
      </c>
      <c r="L73" s="4" t="str">
        <f aca="false">IF(K73="PENDING","",'Author Decision Queue'!$W$87)</f>
        <v>AJP</v>
      </c>
      <c r="M73" s="14" t="n">
        <f aca="false">IF(K73="PENDING","",'Author Decision Queue'!$X$87)</f>
        <v>46274</v>
      </c>
      <c r="N73" s="4" t="str">
        <f aca="false">IF(K73="REVISE",'Author Decision Queue'!$U$87,IF(K73="HOLD",'Author Decision Queue'!$Y$87,'Author Decision Queue'!$V$87))</f>
        <v>caution → Counted as an addition because it does not appear as a positive doctrine in the creeds and confessions studied — not because no Christian ever taught something like it.</v>
      </c>
    </row>
    <row r="74" customFormat="false" ht="15.75" hidden="false" customHeight="true" outlineLevel="0" collapsed="false">
      <c r="A74" s="4" t="s">
        <v>740</v>
      </c>
      <c r="B74" s="4" t="s">
        <v>2451</v>
      </c>
      <c r="C74" s="4" t="s">
        <v>723</v>
      </c>
      <c r="D74" s="4" t="s">
        <v>741</v>
      </c>
      <c r="E74" s="4" t="s">
        <v>709</v>
      </c>
      <c r="F74" s="4" t="s">
        <v>1240</v>
      </c>
      <c r="G74" s="4" t="s">
        <v>742</v>
      </c>
      <c r="H74" s="4" t="s">
        <v>1258</v>
      </c>
      <c r="I74" s="4" t="s">
        <v>1239</v>
      </c>
      <c r="J74" s="4" t="s">
        <v>2619</v>
      </c>
      <c r="K74" s="4" t="str">
        <f aca="false">IF('Author Decision Queue'!$Z$88="RESOLVED",IF('Author Decision Queue'!$T$88="OPTION 1","APPROVE",IF('Author Decision Queue'!$T$88="OPTION 2","REVISE",IF('Author Decision Queue'!$T$88="CUSTOM RESPONSE","REVISE","HOLD"))),IF('Author Decision Queue'!$Z$88="HOLD","HOLD","PENDING"))</f>
        <v>REVISE</v>
      </c>
      <c r="L74" s="4" t="str">
        <f aca="false">IF(K74="PENDING","",'Author Decision Queue'!$W$88)</f>
        <v>AJP</v>
      </c>
      <c r="M74" s="14" t="n">
        <f aca="false">IF(K74="PENDING","",'Author Decision Queue'!$X$88)</f>
        <v>46274</v>
      </c>
      <c r="N74" s="4" t="str">
        <f aca="false">IF(K74="REVISE",'Author Decision Queue'!$U$88,IF(K74="HOLD",'Author Decision Queue'!$Y$88,'Author Decision Queue'!$V$88))</f>
        <v>caution → Counted as an addition because it does not appear as a positive doctrine in the creeds and confessions studied — not because no Christian ever taught something like it.</v>
      </c>
    </row>
    <row r="75" customFormat="false" ht="15.75" hidden="false" customHeight="true" outlineLevel="0" collapsed="false">
      <c r="A75" s="4" t="s">
        <v>743</v>
      </c>
      <c r="B75" s="4" t="s">
        <v>2451</v>
      </c>
      <c r="C75" s="4" t="s">
        <v>744</v>
      </c>
      <c r="D75" s="4" t="s">
        <v>745</v>
      </c>
      <c r="E75" s="4" t="s">
        <v>703</v>
      </c>
      <c r="F75" s="4" t="s">
        <v>1237</v>
      </c>
      <c r="G75" s="4" t="s">
        <v>737</v>
      </c>
      <c r="H75" s="4" t="s">
        <v>1260</v>
      </c>
      <c r="I75" s="4" t="s">
        <v>1239</v>
      </c>
      <c r="J75" s="4" t="s">
        <v>2619</v>
      </c>
      <c r="K75" s="4" t="str">
        <f aca="false">IF('Author Decision Queue'!$Z$89="RESOLVED",IF('Author Decision Queue'!$T$89="OPTION 1","APPROVE",IF('Author Decision Queue'!$T$89="OPTION 2","REVISE",IF('Author Decision Queue'!$T$89="CUSTOM RESPONSE","REVISE","HOLD"))),IF('Author Decision Queue'!$Z$89="HOLD","HOLD","PENDING"))</f>
        <v>REVISE</v>
      </c>
      <c r="L75" s="4" t="str">
        <f aca="false">IF(K75="PENDING","",'Author Decision Queue'!$W$89)</f>
        <v>AJP</v>
      </c>
      <c r="M75" s="14" t="n">
        <f aca="false">IF(K75="PENDING","",'Author Decision Queue'!$X$89)</f>
        <v>46274</v>
      </c>
      <c r="N75" s="4" t="str">
        <f aca="false">IF(K75="REVISE",'Author Decision Queue'!$U$89,IF(K75="HOLD",'Author Decision Queue'!$Y$89,'Author Decision Queue'!$V$89))</f>
        <v>caution → Counted as an addition because it does not appear as a positive doctrine in the creeds and confessions studied — not because no Christian ever taught something like it.</v>
      </c>
    </row>
    <row r="76" customFormat="false" ht="15.75" hidden="false" customHeight="true" outlineLevel="0" collapsed="false">
      <c r="A76" s="4" t="s">
        <v>746</v>
      </c>
      <c r="B76" s="4" t="s">
        <v>2451</v>
      </c>
      <c r="C76" s="4" t="s">
        <v>744</v>
      </c>
      <c r="D76" s="4" t="s">
        <v>747</v>
      </c>
      <c r="E76" s="4" t="s">
        <v>703</v>
      </c>
      <c r="F76" s="4" t="s">
        <v>1237</v>
      </c>
      <c r="G76" s="4" t="s">
        <v>748</v>
      </c>
      <c r="H76" s="4" t="s">
        <v>1261</v>
      </c>
      <c r="I76" s="4" t="s">
        <v>1239</v>
      </c>
      <c r="J76" s="4" t="s">
        <v>2619</v>
      </c>
      <c r="K76" s="4" t="str">
        <f aca="false">IF('Author Decision Queue'!$Z$90="RESOLVED",IF('Author Decision Queue'!$T$90="OPTION 1","APPROVE",IF('Author Decision Queue'!$T$90="OPTION 2","REVISE",IF('Author Decision Queue'!$T$90="CUSTOM RESPONSE","REVISE","HOLD"))),IF('Author Decision Queue'!$Z$90="HOLD","HOLD","PENDING"))</f>
        <v>REVISE</v>
      </c>
      <c r="L76" s="4" t="str">
        <f aca="false">IF(K76="PENDING","",'Author Decision Queue'!$W$90)</f>
        <v>AJP</v>
      </c>
      <c r="M76" s="14" t="n">
        <f aca="false">IF(K76="PENDING","",'Author Decision Queue'!$X$90)</f>
        <v>46274</v>
      </c>
      <c r="N76" s="4" t="str">
        <f aca="false">IF(K76="REVISE",'Author Decision Queue'!$U$90,IF(K76="HOLD",'Author Decision Queue'!$Y$90,'Author Decision Queue'!$V$90))</f>
        <v>caution → Counted as an addition because it does not appear as a positive doctrine in the creeds and confessions studied — not because no Christian ever taught something like it.</v>
      </c>
    </row>
    <row r="77" customFormat="false" ht="15.75" hidden="false" customHeight="true" outlineLevel="0" collapsed="false">
      <c r="A77" s="4" t="s">
        <v>749</v>
      </c>
      <c r="B77" s="4" t="s">
        <v>2451</v>
      </c>
      <c r="C77" s="4" t="s">
        <v>744</v>
      </c>
      <c r="D77" s="4" t="s">
        <v>750</v>
      </c>
      <c r="E77" s="4" t="s">
        <v>703</v>
      </c>
      <c r="F77" s="4" t="s">
        <v>1237</v>
      </c>
      <c r="G77" s="4" t="s">
        <v>732</v>
      </c>
      <c r="H77" s="4" t="s">
        <v>1262</v>
      </c>
      <c r="I77" s="4" t="s">
        <v>1239</v>
      </c>
      <c r="J77" s="4" t="s">
        <v>2619</v>
      </c>
      <c r="K77" s="4" t="str">
        <f aca="false">IF('Author Decision Queue'!$Z$91="RESOLVED",IF('Author Decision Queue'!$T$91="OPTION 1","APPROVE",IF('Author Decision Queue'!$T$91="OPTION 2","REVISE",IF('Author Decision Queue'!$T$91="CUSTOM RESPONSE","REVISE","HOLD"))),IF('Author Decision Queue'!$Z$91="HOLD","HOLD","PENDING"))</f>
        <v>REVISE</v>
      </c>
      <c r="L77" s="4" t="str">
        <f aca="false">IF(K77="PENDING","",'Author Decision Queue'!$W$91)</f>
        <v>AJP</v>
      </c>
      <c r="M77" s="14" t="n">
        <f aca="false">IF(K77="PENDING","",'Author Decision Queue'!$X$91)</f>
        <v>46274</v>
      </c>
      <c r="N77" s="4" t="str">
        <f aca="false">IF(K77="REVISE",'Author Decision Queue'!$U$91,IF(K77="HOLD",'Author Decision Queue'!$Y$91,'Author Decision Queue'!$V$91))</f>
        <v>caution → Counted as an addition because it does not appear as a positive doctrine in the creeds and confessions studied — not because no Christian ever taught something like it.</v>
      </c>
    </row>
    <row r="78" customFormat="false" ht="15.75" hidden="false" customHeight="true" outlineLevel="0" collapsed="false">
      <c r="A78" s="4" t="s">
        <v>751</v>
      </c>
      <c r="B78" s="4" t="s">
        <v>2451</v>
      </c>
      <c r="C78" s="4" t="s">
        <v>744</v>
      </c>
      <c r="D78" s="4" t="s">
        <v>752</v>
      </c>
      <c r="E78" s="4" t="s">
        <v>703</v>
      </c>
      <c r="F78" s="4" t="s">
        <v>1237</v>
      </c>
      <c r="G78" s="4" t="s">
        <v>713</v>
      </c>
      <c r="H78" s="4" t="s">
        <v>1263</v>
      </c>
      <c r="I78" s="4" t="s">
        <v>1239</v>
      </c>
      <c r="J78" s="4" t="s">
        <v>2619</v>
      </c>
      <c r="K78" s="4" t="str">
        <f aca="false">IF('Author Decision Queue'!$Z$92="RESOLVED",IF('Author Decision Queue'!$T$92="OPTION 1","APPROVE",IF('Author Decision Queue'!$T$92="OPTION 2","REVISE",IF('Author Decision Queue'!$T$92="CUSTOM RESPONSE","REVISE","HOLD"))),IF('Author Decision Queue'!$Z$92="HOLD","HOLD","PENDING"))</f>
        <v>REVISE</v>
      </c>
      <c r="L78" s="4" t="str">
        <f aca="false">IF(K78="PENDING","",'Author Decision Queue'!$W$92)</f>
        <v>AJP</v>
      </c>
      <c r="M78" s="14" t="n">
        <f aca="false">IF(K78="PENDING","",'Author Decision Queue'!$X$92)</f>
        <v>46274</v>
      </c>
      <c r="N78" s="4" t="str">
        <f aca="false">IF(K78="REVISE",'Author Decision Queue'!$U$92,IF(K78="HOLD",'Author Decision Queue'!$Y$92,'Author Decision Queue'!$V$92))</f>
        <v>caution → Counted as an addition because it does not appear as a positive doctrine in the creeds and confessions studied — not because no Christian ever taught something like it.</v>
      </c>
    </row>
    <row r="79" customFormat="false" ht="15.75" hidden="false" customHeight="true" outlineLevel="0" collapsed="false">
      <c r="A79" s="4" t="s">
        <v>753</v>
      </c>
      <c r="B79" s="4" t="s">
        <v>2451</v>
      </c>
      <c r="C79" s="4" t="s">
        <v>744</v>
      </c>
      <c r="D79" s="4" t="s">
        <v>754</v>
      </c>
      <c r="E79" s="4" t="s">
        <v>703</v>
      </c>
      <c r="F79" s="4" t="s">
        <v>1237</v>
      </c>
      <c r="G79" s="4" t="s">
        <v>737</v>
      </c>
      <c r="H79" s="4" t="s">
        <v>1265</v>
      </c>
      <c r="I79" s="4" t="s">
        <v>1239</v>
      </c>
      <c r="J79" s="4" t="s">
        <v>2619</v>
      </c>
      <c r="K79" s="4" t="str">
        <f aca="false">IF('Author Decision Queue'!$Z$93="RESOLVED",IF('Author Decision Queue'!$T$93="OPTION 1","APPROVE",IF('Author Decision Queue'!$T$93="OPTION 2","REVISE",IF('Author Decision Queue'!$T$93="CUSTOM RESPONSE","REVISE","HOLD"))),IF('Author Decision Queue'!$Z$93="HOLD","HOLD","PENDING"))</f>
        <v>REVISE</v>
      </c>
      <c r="L79" s="4" t="str">
        <f aca="false">IF(K79="PENDING","",'Author Decision Queue'!$W$93)</f>
        <v>AJP</v>
      </c>
      <c r="M79" s="14" t="n">
        <f aca="false">IF(K79="PENDING","",'Author Decision Queue'!$X$93)</f>
        <v>46274</v>
      </c>
      <c r="N79" s="4" t="str">
        <f aca="false">IF(K79="REVISE",'Author Decision Queue'!$U$93,IF(K79="HOLD",'Author Decision Queue'!$Y$93,'Author Decision Queue'!$V$93))</f>
        <v>caution → Counted as an addition because it does not appear as a positive doctrine in the creeds and confessions studied — not because no Christian ever taught something like it.</v>
      </c>
    </row>
    <row r="80" customFormat="false" ht="15.75" hidden="false" customHeight="true" outlineLevel="0" collapsed="false">
      <c r="A80" s="4" t="s">
        <v>755</v>
      </c>
      <c r="B80" s="4" t="s">
        <v>2451</v>
      </c>
      <c r="C80" s="4" t="s">
        <v>744</v>
      </c>
      <c r="D80" s="4" t="s">
        <v>756</v>
      </c>
      <c r="E80" s="4" t="s">
        <v>703</v>
      </c>
      <c r="F80" s="4" t="s">
        <v>1237</v>
      </c>
      <c r="G80" s="4" t="s">
        <v>706</v>
      </c>
      <c r="H80" s="4" t="s">
        <v>1266</v>
      </c>
      <c r="I80" s="4" t="s">
        <v>1239</v>
      </c>
      <c r="J80" s="4" t="s">
        <v>2619</v>
      </c>
      <c r="K80" s="4" t="str">
        <f aca="false">IF('Author Decision Queue'!$Z$94="RESOLVED",IF('Author Decision Queue'!$T$94="OPTION 1","APPROVE",IF('Author Decision Queue'!$T$94="OPTION 2","REVISE",IF('Author Decision Queue'!$T$94="CUSTOM RESPONSE","REVISE","HOLD"))),IF('Author Decision Queue'!$Z$94="HOLD","HOLD","PENDING"))</f>
        <v>REVISE</v>
      </c>
      <c r="L80" s="4" t="str">
        <f aca="false">IF(K80="PENDING","",'Author Decision Queue'!$W$94)</f>
        <v>AJP</v>
      </c>
      <c r="M80" s="14" t="n">
        <f aca="false">IF(K80="PENDING","",'Author Decision Queue'!$X$94)</f>
        <v>46274</v>
      </c>
      <c r="N80" s="4" t="str">
        <f aca="false">IF(K80="REVISE",'Author Decision Queue'!$U$94,IF(K80="HOLD",'Author Decision Queue'!$Y$94,'Author Decision Queue'!$V$94))</f>
        <v>caution → Counted as an addition because it does not appear as a positive doctrine in the creeds and confessions studied — not because no Christian ever taught something like it.</v>
      </c>
    </row>
    <row r="81" customFormat="false" ht="15.75" hidden="false" customHeight="true" outlineLevel="0" collapsed="false">
      <c r="A81" s="4" t="s">
        <v>757</v>
      </c>
      <c r="B81" s="4" t="s">
        <v>2451</v>
      </c>
      <c r="C81" s="4" t="s">
        <v>758</v>
      </c>
      <c r="D81" s="4" t="s">
        <v>759</v>
      </c>
      <c r="E81" s="4" t="s">
        <v>703</v>
      </c>
      <c r="F81" s="4" t="s">
        <v>1237</v>
      </c>
      <c r="G81" s="4" t="s">
        <v>760</v>
      </c>
      <c r="H81" s="4" t="s">
        <v>1268</v>
      </c>
      <c r="I81" s="4" t="s">
        <v>1239</v>
      </c>
      <c r="J81" s="4" t="s">
        <v>2619</v>
      </c>
      <c r="K81" s="4" t="str">
        <f aca="false">IF('Author Decision Queue'!$Z$95="RESOLVED",IF('Author Decision Queue'!$T$95="OPTION 1","APPROVE",IF('Author Decision Queue'!$T$95="OPTION 2","REVISE",IF('Author Decision Queue'!$T$95="CUSTOM RESPONSE","REVISE","HOLD"))),IF('Author Decision Queue'!$Z$95="HOLD","HOLD","PENDING"))</f>
        <v>REVISE</v>
      </c>
      <c r="L81" s="4" t="str">
        <f aca="false">IF(K81="PENDING","",'Author Decision Queue'!$W$95)</f>
        <v>AJP</v>
      </c>
      <c r="M81" s="14" t="n">
        <f aca="false">IF(K81="PENDING","",'Author Decision Queue'!$X$95)</f>
        <v>46274</v>
      </c>
      <c r="N81" s="4" t="str">
        <f aca="false">IF(K81="REVISE",'Author Decision Queue'!$U$95,IF(K81="HOLD",'Author Decision Queue'!$Y$95,'Author Decision Queue'!$V$95))</f>
        <v>caution → Counted as an addition because it does not appear as a positive doctrine in the creeds and confessions studied — not because no Christian ever taught something like it.</v>
      </c>
    </row>
    <row r="82" customFormat="false" ht="15.75" hidden="false" customHeight="true" outlineLevel="0" collapsed="false">
      <c r="A82" s="4" t="s">
        <v>761</v>
      </c>
      <c r="B82" s="4" t="s">
        <v>2451</v>
      </c>
      <c r="C82" s="4" t="s">
        <v>758</v>
      </c>
      <c r="D82" s="4" t="s">
        <v>762</v>
      </c>
      <c r="E82" s="4" t="s">
        <v>703</v>
      </c>
      <c r="F82" s="4" t="s">
        <v>1237</v>
      </c>
      <c r="G82" s="4" t="s">
        <v>760</v>
      </c>
      <c r="H82" s="4" t="s">
        <v>1270</v>
      </c>
      <c r="I82" s="4" t="s">
        <v>1239</v>
      </c>
      <c r="J82" s="4" t="s">
        <v>2619</v>
      </c>
      <c r="K82" s="4" t="str">
        <f aca="false">IF('Author Decision Queue'!$Z$96="RESOLVED",IF('Author Decision Queue'!$T$96="OPTION 1","APPROVE",IF('Author Decision Queue'!$T$96="OPTION 2","REVISE",IF('Author Decision Queue'!$T$96="CUSTOM RESPONSE","REVISE","HOLD"))),IF('Author Decision Queue'!$Z$96="HOLD","HOLD","PENDING"))</f>
        <v>REVISE</v>
      </c>
      <c r="L82" s="4" t="str">
        <f aca="false">IF(K82="PENDING","",'Author Decision Queue'!$W$96)</f>
        <v>AJP</v>
      </c>
      <c r="M82" s="14" t="n">
        <f aca="false">IF(K82="PENDING","",'Author Decision Queue'!$X$96)</f>
        <v>46274</v>
      </c>
      <c r="N82" s="4" t="str">
        <f aca="false">IF(K82="REVISE",'Author Decision Queue'!$U$96,IF(K82="HOLD",'Author Decision Queue'!$Y$96,'Author Decision Queue'!$V$96))</f>
        <v>caution → Counted as an addition because it does not appear as a positive doctrine in the creeds and confessions studied — not because no Christian ever taught something like it.</v>
      </c>
    </row>
    <row r="83" customFormat="false" ht="15.75" hidden="false" customHeight="true" outlineLevel="0" collapsed="false">
      <c r="A83" s="4" t="s">
        <v>763</v>
      </c>
      <c r="B83" s="4" t="s">
        <v>2451</v>
      </c>
      <c r="C83" s="4" t="s">
        <v>758</v>
      </c>
      <c r="D83" s="4" t="s">
        <v>764</v>
      </c>
      <c r="E83" s="4" t="s">
        <v>703</v>
      </c>
      <c r="F83" s="4" t="s">
        <v>1237</v>
      </c>
      <c r="G83" s="4" t="s">
        <v>748</v>
      </c>
      <c r="H83" s="4" t="s">
        <v>1271</v>
      </c>
      <c r="I83" s="4" t="s">
        <v>1239</v>
      </c>
      <c r="J83" s="4" t="s">
        <v>2619</v>
      </c>
      <c r="K83" s="4" t="str">
        <f aca="false">IF('Author Decision Queue'!$Z$97="RESOLVED",IF('Author Decision Queue'!$T$97="OPTION 1","APPROVE",IF('Author Decision Queue'!$T$97="OPTION 2","REVISE",IF('Author Decision Queue'!$T$97="CUSTOM RESPONSE","REVISE","HOLD"))),IF('Author Decision Queue'!$Z$97="HOLD","HOLD","PENDING"))</f>
        <v>REVISE</v>
      </c>
      <c r="L83" s="4" t="str">
        <f aca="false">IF(K83="PENDING","",'Author Decision Queue'!$W$97)</f>
        <v>AJP</v>
      </c>
      <c r="M83" s="14" t="n">
        <f aca="false">IF(K83="PENDING","",'Author Decision Queue'!$X$97)</f>
        <v>46274</v>
      </c>
      <c r="N83" s="4" t="str">
        <f aca="false">IF(K83="REVISE",'Author Decision Queue'!$U$97,IF(K83="HOLD",'Author Decision Queue'!$Y$97,'Author Decision Queue'!$V$97))</f>
        <v>caution → Counted as an addition because it does not appear as a positive doctrine in the creeds and confessions studied — not because no Christian ever taught something like it.</v>
      </c>
    </row>
    <row r="84" customFormat="false" ht="15.75" hidden="false" customHeight="true" outlineLevel="0" collapsed="false">
      <c r="A84" s="4" t="s">
        <v>765</v>
      </c>
      <c r="B84" s="4" t="s">
        <v>2451</v>
      </c>
      <c r="C84" s="4" t="s">
        <v>758</v>
      </c>
      <c r="D84" s="4" t="s">
        <v>766</v>
      </c>
      <c r="E84" s="4" t="s">
        <v>703</v>
      </c>
      <c r="F84" s="4" t="s">
        <v>1237</v>
      </c>
      <c r="G84" s="4" t="s">
        <v>760</v>
      </c>
      <c r="H84" s="4" t="s">
        <v>1272</v>
      </c>
      <c r="I84" s="4" t="s">
        <v>1239</v>
      </c>
      <c r="J84" s="4" t="s">
        <v>2619</v>
      </c>
      <c r="K84" s="4" t="str">
        <f aca="false">IF('Author Decision Queue'!$Z$98="RESOLVED",IF('Author Decision Queue'!$T$98="OPTION 1","APPROVE",IF('Author Decision Queue'!$T$98="OPTION 2","REVISE",IF('Author Decision Queue'!$T$98="CUSTOM RESPONSE","REVISE","HOLD"))),IF('Author Decision Queue'!$Z$98="HOLD","HOLD","PENDING"))</f>
        <v>REVISE</v>
      </c>
      <c r="L84" s="4" t="str">
        <f aca="false">IF(K84="PENDING","",'Author Decision Queue'!$W$98)</f>
        <v>AJP</v>
      </c>
      <c r="M84" s="14" t="n">
        <f aca="false">IF(K84="PENDING","",'Author Decision Queue'!$X$98)</f>
        <v>46274</v>
      </c>
      <c r="N84" s="4" t="str">
        <f aca="false">IF(K84="REVISE",'Author Decision Queue'!$U$98,IF(K84="HOLD",'Author Decision Queue'!$Y$98,'Author Decision Queue'!$V$98))</f>
        <v>caution → Counted as an addition because it does not appear as a positive doctrine in the creeds and confessions studied — not because no Christian ever taught something like it.</v>
      </c>
    </row>
    <row r="85" customFormat="false" ht="15.75" hidden="false" customHeight="true" outlineLevel="0" collapsed="false">
      <c r="A85" s="4" t="s">
        <v>767</v>
      </c>
      <c r="B85" s="4" t="s">
        <v>2451</v>
      </c>
      <c r="C85" s="4" t="s">
        <v>758</v>
      </c>
      <c r="D85" s="4" t="s">
        <v>768</v>
      </c>
      <c r="E85" s="4" t="s">
        <v>703</v>
      </c>
      <c r="F85" s="4" t="s">
        <v>1237</v>
      </c>
      <c r="G85" s="4" t="s">
        <v>760</v>
      </c>
      <c r="H85" s="4" t="s">
        <v>1273</v>
      </c>
      <c r="I85" s="4" t="s">
        <v>1239</v>
      </c>
      <c r="J85" s="4" t="s">
        <v>2619</v>
      </c>
      <c r="K85" s="4" t="str">
        <f aca="false">IF('Author Decision Queue'!$Z$99="RESOLVED",IF('Author Decision Queue'!$T$99="OPTION 1","APPROVE",IF('Author Decision Queue'!$T$99="OPTION 2","REVISE",IF('Author Decision Queue'!$T$99="CUSTOM RESPONSE","REVISE","HOLD"))),IF('Author Decision Queue'!$Z$99="HOLD","HOLD","PENDING"))</f>
        <v>REVISE</v>
      </c>
      <c r="L85" s="4" t="str">
        <f aca="false">IF(K85="PENDING","",'Author Decision Queue'!$W$99)</f>
        <v>AJP</v>
      </c>
      <c r="M85" s="14" t="n">
        <f aca="false">IF(K85="PENDING","",'Author Decision Queue'!$X$99)</f>
        <v>46274</v>
      </c>
      <c r="N85" s="4" t="str">
        <f aca="false">IF(K85="REVISE",'Author Decision Queue'!$U$99,IF(K85="HOLD",'Author Decision Queue'!$Y$99,'Author Decision Queue'!$V$99))</f>
        <v>caution → Counted as an addition because it does not appear as a positive doctrine in the creeds and confessions studied — not because no Christian ever taught something like it.</v>
      </c>
    </row>
    <row r="86" customFormat="false" ht="15.75" hidden="false" customHeight="true" outlineLevel="0" collapsed="false">
      <c r="A86" s="4" t="s">
        <v>769</v>
      </c>
      <c r="B86" s="4" t="s">
        <v>2451</v>
      </c>
      <c r="C86" s="4" t="s">
        <v>758</v>
      </c>
      <c r="D86" s="4" t="s">
        <v>770</v>
      </c>
      <c r="E86" s="4" t="s">
        <v>709</v>
      </c>
      <c r="F86" s="4" t="s">
        <v>1240</v>
      </c>
      <c r="G86" s="4" t="s">
        <v>771</v>
      </c>
      <c r="H86" s="4" t="s">
        <v>1275</v>
      </c>
      <c r="I86" s="4" t="s">
        <v>1277</v>
      </c>
      <c r="J86" s="4" t="s">
        <v>2619</v>
      </c>
      <c r="K86" s="4" t="str">
        <f aca="false">IF('Author Decision Queue'!$Z$100="RESOLVED",IF('Author Decision Queue'!$T$100="OPTION 1","APPROVE",IF('Author Decision Queue'!$T$100="OPTION 2","REVISE",IF('Author Decision Queue'!$T$100="CUSTOM RESPONSE","REVISE","HOLD"))),IF('Author Decision Queue'!$Z$100="HOLD","HOLD","PENDING"))</f>
        <v>REVISE</v>
      </c>
      <c r="L86" s="4" t="str">
        <f aca="false">IF(K86="PENDING","",'Author Decision Queue'!$W$100)</f>
        <v>AJP</v>
      </c>
      <c r="M86" s="14" t="n">
        <f aca="false">IF(K86="PENDING","",'Author Decision Queue'!$X$100)</f>
        <v>46274</v>
      </c>
      <c r="N86" s="4" t="str">
        <f aca="false">IF(K86="REVISE",'Author Decision Queue'!$U$100,IF(K86="HOLD",'Author Decision Queue'!$Y$100,'Author Decision Queue'!$V$100))</f>
        <v>caution → Counted as an addition because it does not appear as a positive doctrine in the creeds and confessions studied — not because no Christian ever taught something like it.</v>
      </c>
    </row>
    <row r="87" customFormat="false" ht="15.75" hidden="false" customHeight="true" outlineLevel="0" collapsed="false">
      <c r="A87" s="4" t="s">
        <v>772</v>
      </c>
      <c r="B87" s="4" t="s">
        <v>2451</v>
      </c>
      <c r="C87" s="4" t="s">
        <v>758</v>
      </c>
      <c r="D87" s="4" t="s">
        <v>773</v>
      </c>
      <c r="E87" s="4" t="s">
        <v>716</v>
      </c>
      <c r="F87" s="4" t="s">
        <v>1243</v>
      </c>
      <c r="G87" s="4" t="s">
        <v>775</v>
      </c>
      <c r="H87" s="4" t="s">
        <v>1278</v>
      </c>
      <c r="I87" s="4" t="s">
        <v>1280</v>
      </c>
      <c r="J87" s="4" t="s">
        <v>2619</v>
      </c>
      <c r="K87" s="4" t="str">
        <f aca="false">IF('Author Decision Queue'!$Z$101="RESOLVED",IF('Author Decision Queue'!$T$101="OPTION 1","APPROVE",IF('Author Decision Queue'!$T$101="OPTION 2","REVISE",IF('Author Decision Queue'!$T$101="CUSTOM RESPONSE","REVISE","HOLD"))),IF('Author Decision Queue'!$Z$101="HOLD","HOLD","PENDING"))</f>
        <v>REVISE</v>
      </c>
      <c r="L87" s="4" t="str">
        <f aca="false">IF(K87="PENDING","",'Author Decision Queue'!$W$101)</f>
        <v>AJP</v>
      </c>
      <c r="M87" s="14" t="n">
        <f aca="false">IF(K87="PENDING","",'Author Decision Queue'!$X$101)</f>
        <v>46274</v>
      </c>
      <c r="N87" s="4" t="str">
        <f aca="false">IF(K87="REVISE",'Author Decision Queue'!$U$101,IF(K87="HOLD",'Author Decision Queue'!$Y$101,'Author Decision Queue'!$V$101))</f>
        <v>caution → Detailed mechanics are not revealed; use source-role and evidence caution. Attributed to a prophet's teaching rather than canonized scripture; the details are not revealed, and Latter-day Saints hold them with reverence and restraint.</v>
      </c>
    </row>
    <row r="88" customFormat="false" ht="15.75" hidden="false" customHeight="true" outlineLevel="0" collapsed="false">
      <c r="A88" s="4" t="s">
        <v>776</v>
      </c>
      <c r="B88" s="4" t="s">
        <v>2451</v>
      </c>
      <c r="C88" s="4" t="s">
        <v>758</v>
      </c>
      <c r="D88" s="4" t="s">
        <v>777</v>
      </c>
      <c r="E88" s="4" t="s">
        <v>716</v>
      </c>
      <c r="F88" s="4" t="s">
        <v>1243</v>
      </c>
      <c r="G88" s="4" t="s">
        <v>775</v>
      </c>
      <c r="H88" s="4" t="s">
        <v>1281</v>
      </c>
      <c r="I88" s="4" t="s">
        <v>1246</v>
      </c>
      <c r="J88" s="4" t="s">
        <v>2619</v>
      </c>
      <c r="K88" s="4" t="str">
        <f aca="false">IF('Author Decision Queue'!$Z$102="RESOLVED",IF('Author Decision Queue'!$T$102="OPTION 1","APPROVE",IF('Author Decision Queue'!$T$102="OPTION 2","REVISE",IF('Author Decision Queue'!$T$102="CUSTOM RESPONSE","REVISE","HOLD"))),IF('Author Decision Queue'!$Z$102="HOLD","HOLD","PENDING"))</f>
        <v>REVISE</v>
      </c>
      <c r="L88" s="4" t="str">
        <f aca="false">IF(K88="PENDING","",'Author Decision Queue'!$W$102)</f>
        <v>AJP</v>
      </c>
      <c r="M88" s="14" t="n">
        <f aca="false">IF(K88="PENDING","",'Author Decision Queue'!$X$102)</f>
        <v>46274</v>
      </c>
      <c r="N88" s="4" t="str">
        <f aca="false">IF(K88="REVISE",'Author Decision Queue'!$U$102,IF(K88="HOLD",'Author Decision Queue'!$Y$102,'Author Decision Queue'!$V$102))</f>
        <v>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v>
      </c>
    </row>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12"/>
    <col collapsed="false" customWidth="true" hidden="false" outlineLevel="0" max="2" min="2" style="0" width="58"/>
    <col collapsed="false" customWidth="true" hidden="false" outlineLevel="0" max="3" min="3" style="0" width="54"/>
    <col collapsed="false" customWidth="true" hidden="false" outlineLevel="0" max="4" min="4" style="0" width="58"/>
    <col collapsed="false" customWidth="true" hidden="false" outlineLevel="0" max="5" min="5" style="0" width="42"/>
    <col collapsed="false" customWidth="true" hidden="false" outlineLevel="0" max="6" min="6" style="0" width="58"/>
    <col collapsed="false" customWidth="true" hidden="false" outlineLevel="0" max="7" min="7" style="0" width="48"/>
    <col collapsed="false" customWidth="true" hidden="false" outlineLevel="0" max="8" min="8" style="0" width="18"/>
    <col collapsed="false" customWidth="true" hidden="false" outlineLevel="0" max="9" min="9" style="0" width="54"/>
    <col collapsed="false" customWidth="true" hidden="false" outlineLevel="0" max="10" min="10" style="0" width="60"/>
    <col collapsed="false" customWidth="true" hidden="false" outlineLevel="0" max="11" min="11" style="0" width="18"/>
    <col collapsed="false" customWidth="true" hidden="false" outlineLevel="0" max="13" min="12" style="0" width="16"/>
    <col collapsed="false" customWidth="true" hidden="false" outlineLevel="0" max="14" min="14" style="0" width="66"/>
    <col collapsed="false" customWidth="true" hidden="false" outlineLevel="0" max="26" min="15" style="0" width="8.63"/>
  </cols>
  <sheetData>
    <row r="1" customFormat="false" ht="198.5" hidden="false" customHeight="false" outlineLevel="0" collapsed="false">
      <c r="A1" s="11" t="s">
        <v>2620</v>
      </c>
      <c r="B1" s="11"/>
      <c r="C1" s="11"/>
      <c r="D1" s="11"/>
      <c r="E1" s="11"/>
      <c r="F1" s="11"/>
      <c r="G1" s="11"/>
      <c r="H1" s="11"/>
      <c r="I1" s="11"/>
      <c r="J1" s="11"/>
    </row>
    <row r="2" customFormat="false" ht="323.85" hidden="false" customHeight="false" outlineLevel="0" collapsed="false">
      <c r="A2" s="4" t="s">
        <v>2621</v>
      </c>
      <c r="B2" s="4"/>
      <c r="C2" s="4"/>
      <c r="D2" s="4"/>
      <c r="E2" s="4"/>
      <c r="F2" s="4"/>
      <c r="G2" s="4"/>
      <c r="H2" s="4"/>
      <c r="I2" s="4"/>
      <c r="J2" s="4"/>
    </row>
    <row r="3" customFormat="false" ht="15" hidden="false" customHeight="false" outlineLevel="0" collapsed="false">
      <c r="A3" s="4"/>
      <c r="B3" s="4"/>
      <c r="C3" s="4"/>
      <c r="D3" s="4"/>
      <c r="E3" s="4"/>
      <c r="F3" s="4"/>
      <c r="G3" s="4"/>
      <c r="H3" s="4"/>
      <c r="I3" s="4"/>
      <c r="J3" s="4"/>
    </row>
    <row r="4" customFormat="false" ht="15" hidden="false" customHeight="false" outlineLevel="0" collapsed="false">
      <c r="A4" s="4"/>
      <c r="B4" s="4"/>
      <c r="C4" s="4"/>
      <c r="D4" s="4"/>
      <c r="E4" s="4"/>
      <c r="F4" s="4"/>
      <c r="G4" s="4"/>
      <c r="H4" s="4"/>
      <c r="I4" s="4"/>
      <c r="J4" s="4"/>
    </row>
    <row r="5" customFormat="false" ht="15" hidden="false" customHeight="false" outlineLevel="0" collapsed="false">
      <c r="A5" s="3" t="s">
        <v>2622</v>
      </c>
      <c r="B5" s="3" t="s">
        <v>2623</v>
      </c>
      <c r="C5" s="3" t="s">
        <v>2624</v>
      </c>
      <c r="D5" s="3" t="s">
        <v>2625</v>
      </c>
      <c r="E5" s="3" t="s">
        <v>2626</v>
      </c>
      <c r="F5" s="3" t="s">
        <v>2627</v>
      </c>
      <c r="G5" s="3" t="s">
        <v>2628</v>
      </c>
      <c r="H5" s="3" t="s">
        <v>2629</v>
      </c>
      <c r="I5" s="3" t="s">
        <v>2591</v>
      </c>
      <c r="J5" s="3" t="s">
        <v>2630</v>
      </c>
      <c r="K5" s="3" t="s">
        <v>2612</v>
      </c>
      <c r="L5" s="3" t="s">
        <v>2613</v>
      </c>
      <c r="M5" s="3" t="s">
        <v>2614</v>
      </c>
      <c r="N5" s="3" t="s">
        <v>2631</v>
      </c>
    </row>
    <row r="6" customFormat="false" ht="55.2" hidden="false" customHeight="false" outlineLevel="0" collapsed="false">
      <c r="A6" s="4" t="s">
        <v>2632</v>
      </c>
      <c r="B6" s="4" t="s">
        <v>2633</v>
      </c>
      <c r="C6" s="4" t="s">
        <v>2634</v>
      </c>
      <c r="D6" s="4" t="s">
        <v>1025</v>
      </c>
      <c r="E6" s="4" t="s">
        <v>905</v>
      </c>
      <c r="F6" s="4" t="s">
        <v>908</v>
      </c>
      <c r="G6" s="4" t="s">
        <v>2635</v>
      </c>
      <c r="H6" s="4" t="s">
        <v>2636</v>
      </c>
      <c r="I6" s="4" t="s">
        <v>2637</v>
      </c>
      <c r="J6" s="4" t="s">
        <v>2638</v>
      </c>
      <c r="K6" s="8" t="str">
        <f aca="false">IF('Author Decision Queue'!$Z$16="RESOLVED",IF('Author Decision Queue'!$T$16="OPTION 1","APPROVE","REVISE"),IF('Author Decision Queue'!$Z$16="HOLD","HOLD","PENDING"))</f>
        <v>APPROVE</v>
      </c>
      <c r="L6" s="8" t="str">
        <f aca="false">IF(K6="PENDING","",'Author Decision Queue'!$W$16)</f>
        <v>AJP</v>
      </c>
      <c r="M6" s="15" t="n">
        <f aca="false">IF(K6="PENDING","",'Author Decision Queue'!$X$16)</f>
        <v>46274</v>
      </c>
      <c r="N6" s="8" t="n">
        <f aca="false">IF(K6="REVISE",'Author Decision Queue'!$U$16,'Author Decision Queue'!$V$16)</f>
        <v>0</v>
      </c>
    </row>
    <row r="7" customFormat="false" ht="55.2" hidden="false" customHeight="false" outlineLevel="0" collapsed="false">
      <c r="A7" s="4" t="s">
        <v>2639</v>
      </c>
      <c r="B7" s="4" t="s">
        <v>2640</v>
      </c>
      <c r="C7" s="4" t="s">
        <v>2641</v>
      </c>
      <c r="D7" s="4" t="s">
        <v>1510</v>
      </c>
      <c r="E7" s="4" t="s">
        <v>1215</v>
      </c>
      <c r="F7" s="4" t="s">
        <v>710</v>
      </c>
      <c r="G7" s="4" t="s">
        <v>2642</v>
      </c>
      <c r="H7" s="4" t="s">
        <v>2636</v>
      </c>
      <c r="I7" s="4" t="s">
        <v>2643</v>
      </c>
      <c r="J7" s="4" t="s">
        <v>2644</v>
      </c>
      <c r="K7" s="8" t="str">
        <f aca="false">IF('Author Decision Queue'!$Z$17="RESOLVED",IF('Author Decision Queue'!$T$17="OPTION 1","APPROVE","REVISE"),IF('Author Decision Queue'!$Z$17="HOLD","HOLD","PENDING"))</f>
        <v>APPROVE</v>
      </c>
      <c r="L7" s="8" t="str">
        <f aca="false">IF(K7="PENDING","",'Author Decision Queue'!$W$17)</f>
        <v>AJP</v>
      </c>
      <c r="M7" s="15" t="n">
        <f aca="false">IF(K7="PENDING","",'Author Decision Queue'!$X$17)</f>
        <v>46274</v>
      </c>
      <c r="N7" s="8" t="n">
        <f aca="false">IF(K7="REVISE",'Author Decision Queue'!$U$17,'Author Decision Queue'!$V$17)</f>
        <v>0</v>
      </c>
    </row>
    <row r="8" customFormat="false" ht="55.2" hidden="false" customHeight="false" outlineLevel="0" collapsed="false">
      <c r="A8" s="4" t="s">
        <v>2645</v>
      </c>
      <c r="B8" s="4" t="s">
        <v>2646</v>
      </c>
      <c r="C8" s="4" t="s">
        <v>2647</v>
      </c>
      <c r="D8" s="4"/>
      <c r="E8" s="4" t="s">
        <v>2648</v>
      </c>
      <c r="F8" s="4" t="s">
        <v>1137</v>
      </c>
      <c r="G8" s="4" t="s">
        <v>2649</v>
      </c>
      <c r="H8" s="4" t="s">
        <v>2636</v>
      </c>
      <c r="I8" s="4" t="s">
        <v>2650</v>
      </c>
      <c r="J8" s="4" t="s">
        <v>2651</v>
      </c>
      <c r="K8" s="8" t="str">
        <f aca="false">IF('Author Decision Queue'!$Z$18="RESOLVED",IF('Author Decision Queue'!$T$18="OPTION 1","APPROVE","REVISE"),IF('Author Decision Queue'!$Z$18="HOLD","HOLD","PENDING"))</f>
        <v>APPROVE</v>
      </c>
      <c r="L8" s="8" t="str">
        <f aca="false">IF(K8="PENDING","",'Author Decision Queue'!$W$18)</f>
        <v>AJP</v>
      </c>
      <c r="M8" s="15" t="n">
        <f aca="false">IF(K8="PENDING","",'Author Decision Queue'!$X$18)</f>
        <v>46274</v>
      </c>
      <c r="N8" s="8" t="n">
        <f aca="false">IF(K8="REVISE",'Author Decision Queue'!$U$18,'Author Decision Queue'!$V$18)</f>
        <v>0</v>
      </c>
    </row>
    <row r="9" customFormat="false" ht="41.75" hidden="false" customHeight="false" outlineLevel="0" collapsed="false">
      <c r="A9" s="4" t="s">
        <v>2652</v>
      </c>
      <c r="B9" s="4" t="s">
        <v>2653</v>
      </c>
      <c r="C9" s="4" t="s">
        <v>2654</v>
      </c>
      <c r="D9" s="4" t="s">
        <v>2120</v>
      </c>
      <c r="E9" s="4" t="s">
        <v>1215</v>
      </c>
      <c r="F9" s="4" t="s">
        <v>710</v>
      </c>
      <c r="G9" s="4" t="s">
        <v>2655</v>
      </c>
      <c r="H9" s="4" t="s">
        <v>2636</v>
      </c>
      <c r="I9" s="4" t="s">
        <v>2656</v>
      </c>
      <c r="J9" s="4" t="s">
        <v>2657</v>
      </c>
      <c r="K9" s="8" t="str">
        <f aca="false">IF('Author Decision Queue'!$Z$19="RESOLVED",IF('Author Decision Queue'!$T$19="OPTION 1","APPROVE","REVISE"),IF('Author Decision Queue'!$Z$19="HOLD","HOLD","PENDING"))</f>
        <v>APPROVE</v>
      </c>
      <c r="L9" s="8" t="str">
        <f aca="false">IF(K9="PENDING","",'Author Decision Queue'!$W$19)</f>
        <v>AJP</v>
      </c>
      <c r="M9" s="15" t="n">
        <f aca="false">IF(K9="PENDING","",'Author Decision Queue'!$X$19)</f>
        <v>46274</v>
      </c>
      <c r="N9" s="8" t="n">
        <f aca="false">IF(K9="REVISE",'Author Decision Queue'!$U$19,'Author Decision Queue'!$V$19)</f>
        <v>0</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60"/>
    <col collapsed="false" customWidth="true" hidden="false" outlineLevel="0" max="4" min="4" style="0" width="10"/>
    <col collapsed="false" customWidth="true" hidden="false" outlineLevel="0" max="5" min="5" style="0" width="54"/>
    <col collapsed="false" customWidth="true" hidden="false" outlineLevel="0" max="6" min="6" style="0" width="64"/>
    <col collapsed="false" customWidth="true" hidden="false" outlineLevel="0" max="7" min="7" style="0" width="52"/>
    <col collapsed="false" customWidth="true" hidden="false" outlineLevel="0" max="8" min="8" style="0" width="58"/>
    <col collapsed="false" customWidth="true" hidden="false" outlineLevel="0" max="9" min="9" style="0" width="62"/>
    <col collapsed="false" customWidth="true" hidden="false" outlineLevel="0" max="10" min="10" style="0" width="18"/>
    <col collapsed="false" customWidth="true" hidden="false" outlineLevel="0" max="11" min="11" style="0" width="56"/>
    <col collapsed="false" customWidth="true" hidden="false" outlineLevel="0" max="26" min="12" style="0" width="8.63"/>
  </cols>
  <sheetData>
    <row r="1" customFormat="false" ht="91" hidden="false" customHeight="false" outlineLevel="0" collapsed="false">
      <c r="A1" s="11" t="s">
        <v>2658</v>
      </c>
      <c r="B1" s="11"/>
      <c r="C1" s="11"/>
      <c r="D1" s="11"/>
      <c r="E1" s="11"/>
      <c r="F1" s="11"/>
      <c r="G1" s="11"/>
      <c r="H1" s="11"/>
      <c r="I1" s="11"/>
      <c r="J1" s="11"/>
      <c r="K1" s="11"/>
    </row>
    <row r="2" customFormat="false" ht="270.1" hidden="false" customHeight="false" outlineLevel="0" collapsed="false">
      <c r="A2" s="4" t="s">
        <v>2659</v>
      </c>
      <c r="B2" s="4"/>
      <c r="C2" s="4"/>
      <c r="D2" s="4"/>
      <c r="E2" s="4"/>
      <c r="F2" s="4"/>
      <c r="G2" s="4"/>
      <c r="H2" s="4"/>
      <c r="I2" s="4"/>
      <c r="J2" s="4"/>
      <c r="K2" s="4"/>
    </row>
    <row r="3" customFormat="false" ht="15" hidden="false" customHeight="false" outlineLevel="0" collapsed="false">
      <c r="A3" s="4"/>
      <c r="B3" s="4"/>
      <c r="C3" s="4"/>
      <c r="D3" s="4"/>
      <c r="E3" s="4"/>
      <c r="F3" s="4"/>
      <c r="G3" s="4"/>
      <c r="H3" s="4"/>
      <c r="I3" s="4"/>
      <c r="J3" s="4"/>
      <c r="K3" s="4"/>
    </row>
    <row r="4" customFormat="false" ht="15" hidden="false" customHeight="false" outlineLevel="0" collapsed="false">
      <c r="A4" s="4"/>
      <c r="B4" s="4"/>
      <c r="C4" s="4"/>
      <c r="D4" s="4"/>
      <c r="E4" s="4"/>
      <c r="F4" s="4"/>
      <c r="G4" s="4"/>
      <c r="H4" s="4"/>
      <c r="I4" s="4"/>
      <c r="J4" s="4"/>
      <c r="K4" s="4"/>
    </row>
    <row r="5" customFormat="false" ht="28.35" hidden="false" customHeight="false" outlineLevel="0" collapsed="false">
      <c r="A5" s="3" t="s">
        <v>2660</v>
      </c>
      <c r="B5" s="3" t="s">
        <v>2661</v>
      </c>
      <c r="C5" s="3" t="s">
        <v>2662</v>
      </c>
      <c r="D5" s="3" t="s">
        <v>2663</v>
      </c>
      <c r="E5" s="3" t="s">
        <v>2664</v>
      </c>
      <c r="F5" s="3" t="s">
        <v>2665</v>
      </c>
      <c r="G5" s="3" t="s">
        <v>2666</v>
      </c>
      <c r="H5" s="3" t="s">
        <v>2667</v>
      </c>
      <c r="I5" s="3" t="s">
        <v>2668</v>
      </c>
      <c r="J5" s="3" t="s">
        <v>2669</v>
      </c>
      <c r="K5" s="3" t="s">
        <v>268</v>
      </c>
    </row>
    <row r="6" customFormat="false" ht="28.35" hidden="false" customHeight="false" outlineLevel="0" collapsed="false">
      <c r="A6" s="4" t="s">
        <v>912</v>
      </c>
      <c r="B6" s="4" t="s">
        <v>913</v>
      </c>
      <c r="C6" s="4" t="s">
        <v>914</v>
      </c>
      <c r="D6" s="4" t="s">
        <v>2670</v>
      </c>
      <c r="E6" s="4" t="s">
        <v>2671</v>
      </c>
      <c r="F6" s="4" t="s">
        <v>916</v>
      </c>
      <c r="G6" s="4" t="s">
        <v>2672</v>
      </c>
      <c r="H6" s="4" t="s">
        <v>2673</v>
      </c>
      <c r="I6" s="4" t="s">
        <v>2674</v>
      </c>
      <c r="J6" s="4" t="s">
        <v>2675</v>
      </c>
      <c r="K6" s="4" t="s">
        <v>2676</v>
      </c>
    </row>
    <row r="7" customFormat="false" ht="55.2" hidden="false" customHeight="false" outlineLevel="0" collapsed="false">
      <c r="A7" s="4" t="s">
        <v>947</v>
      </c>
      <c r="B7" s="4" t="s">
        <v>948</v>
      </c>
      <c r="C7" s="4" t="s">
        <v>2677</v>
      </c>
      <c r="D7" s="4" t="s">
        <v>2670</v>
      </c>
      <c r="E7" s="4" t="s">
        <v>2678</v>
      </c>
      <c r="F7" s="4" t="s">
        <v>2679</v>
      </c>
      <c r="G7" s="4" t="s">
        <v>2680</v>
      </c>
      <c r="H7" s="4" t="s">
        <v>2681</v>
      </c>
      <c r="I7" s="4" t="s">
        <v>2682</v>
      </c>
      <c r="J7" s="4" t="s">
        <v>2675</v>
      </c>
      <c r="K7" s="4" t="s">
        <v>2683</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24"/>
    <col collapsed="false" customWidth="true" hidden="false" outlineLevel="0" max="2" min="2" style="0" width="35"/>
    <col collapsed="false" customWidth="true" hidden="false" outlineLevel="0" max="3" min="3" style="0" width="60"/>
    <col collapsed="false" customWidth="true" hidden="false" outlineLevel="0" max="4" min="4" style="0" width="40"/>
    <col collapsed="false" customWidth="true" hidden="false" outlineLevel="0" max="5" min="5" style="0" width="58"/>
    <col collapsed="false" customWidth="true" hidden="false" outlineLevel="0" max="6" min="6" style="0" width="64"/>
    <col collapsed="false" customWidth="true" hidden="false" outlineLevel="0" max="7" min="7" style="0" width="12"/>
    <col collapsed="false" customWidth="true" hidden="false" outlineLevel="0" max="26" min="8" style="0" width="8.63"/>
  </cols>
  <sheetData>
    <row r="1" customFormat="false" ht="28.35" hidden="false" customHeight="false" outlineLevel="0" collapsed="false">
      <c r="A1" s="3" t="s">
        <v>2684</v>
      </c>
      <c r="B1" s="3" t="s">
        <v>2685</v>
      </c>
      <c r="C1" s="3" t="s">
        <v>2686</v>
      </c>
      <c r="D1" s="3" t="s">
        <v>2687</v>
      </c>
      <c r="E1" s="3" t="s">
        <v>2688</v>
      </c>
      <c r="F1" s="3" t="s">
        <v>2689</v>
      </c>
      <c r="G1" s="3" t="s">
        <v>2690</v>
      </c>
    </row>
    <row r="2" customFormat="false" ht="28.35" hidden="false" customHeight="false" outlineLevel="0" collapsed="false">
      <c r="A2" s="4" t="s">
        <v>1021</v>
      </c>
      <c r="B2" s="4" t="s">
        <v>1022</v>
      </c>
      <c r="C2" s="4" t="s">
        <v>2691</v>
      </c>
      <c r="D2" s="4" t="s">
        <v>2692</v>
      </c>
      <c r="E2" s="4" t="s">
        <v>2693</v>
      </c>
      <c r="F2" s="4" t="s">
        <v>2694</v>
      </c>
      <c r="G2" s="4" t="s">
        <v>2695</v>
      </c>
    </row>
    <row r="3" customFormat="false" ht="28.35" hidden="false" customHeight="false" outlineLevel="0" collapsed="false">
      <c r="A3" s="4" t="s">
        <v>1350</v>
      </c>
      <c r="B3" s="4" t="s">
        <v>2696</v>
      </c>
      <c r="C3" s="4" t="s">
        <v>2697</v>
      </c>
      <c r="D3" s="4" t="s">
        <v>2698</v>
      </c>
      <c r="E3" s="4" t="s">
        <v>2699</v>
      </c>
      <c r="F3" s="4" t="s">
        <v>2700</v>
      </c>
      <c r="G3" s="4" t="s">
        <v>2695</v>
      </c>
    </row>
    <row r="4" customFormat="false" ht="28.35" hidden="false" customHeight="false" outlineLevel="0" collapsed="false">
      <c r="A4" s="4" t="s">
        <v>1355</v>
      </c>
      <c r="B4" s="4" t="s">
        <v>2701</v>
      </c>
      <c r="C4" s="4" t="s">
        <v>2702</v>
      </c>
      <c r="D4" s="4" t="s">
        <v>2703</v>
      </c>
      <c r="E4" s="4" t="s">
        <v>2704</v>
      </c>
      <c r="F4" s="4" t="s">
        <v>2705</v>
      </c>
      <c r="G4" s="4" t="s">
        <v>2695</v>
      </c>
    </row>
    <row r="5" customFormat="false" ht="28.35" hidden="false" customHeight="false" outlineLevel="0" collapsed="false">
      <c r="A5" s="4" t="s">
        <v>886</v>
      </c>
      <c r="B5" s="4" t="s">
        <v>2706</v>
      </c>
      <c r="C5" s="4" t="s">
        <v>2707</v>
      </c>
      <c r="D5" s="4" t="s">
        <v>2708</v>
      </c>
      <c r="E5" s="4" t="s">
        <v>2709</v>
      </c>
      <c r="F5" s="4" t="s">
        <v>2710</v>
      </c>
      <c r="G5" s="4" t="s">
        <v>2695</v>
      </c>
    </row>
    <row r="6" customFormat="false" ht="28.35" hidden="false" customHeight="false" outlineLevel="0" collapsed="false">
      <c r="A6" s="4" t="s">
        <v>866</v>
      </c>
      <c r="B6" s="4" t="s">
        <v>867</v>
      </c>
      <c r="C6" s="4" t="s">
        <v>2711</v>
      </c>
      <c r="D6" s="4" t="s">
        <v>2712</v>
      </c>
      <c r="E6" s="4" t="s">
        <v>2713</v>
      </c>
      <c r="F6" s="4" t="s">
        <v>2714</v>
      </c>
      <c r="G6" s="4" t="s">
        <v>2695</v>
      </c>
    </row>
    <row r="7" customFormat="false" ht="28.35" hidden="false" customHeight="false" outlineLevel="0" collapsed="false">
      <c r="A7" s="4" t="s">
        <v>912</v>
      </c>
      <c r="B7" s="4" t="s">
        <v>2087</v>
      </c>
      <c r="C7" s="4" t="s">
        <v>2715</v>
      </c>
      <c r="D7" s="4" t="s">
        <v>2716</v>
      </c>
      <c r="E7" s="4" t="s">
        <v>2717</v>
      </c>
      <c r="F7" s="4" t="s">
        <v>2718</v>
      </c>
      <c r="G7" s="4" t="s">
        <v>2695</v>
      </c>
    </row>
    <row r="8" customFormat="false" ht="28.35" hidden="false" customHeight="false" outlineLevel="0" collapsed="false">
      <c r="A8" s="4" t="s">
        <v>966</v>
      </c>
      <c r="B8" s="4" t="s">
        <v>967</v>
      </c>
      <c r="C8" s="4" t="s">
        <v>2719</v>
      </c>
      <c r="D8" s="4" t="s">
        <v>2720</v>
      </c>
      <c r="E8" s="4" t="s">
        <v>2721</v>
      </c>
      <c r="F8" s="4" t="s">
        <v>2722</v>
      </c>
      <c r="G8" s="4" t="s">
        <v>2695</v>
      </c>
    </row>
    <row r="9" customFormat="false" ht="28.35" hidden="false" customHeight="false" outlineLevel="0" collapsed="false">
      <c r="A9" s="4" t="s">
        <v>947</v>
      </c>
      <c r="B9" s="4" t="s">
        <v>2723</v>
      </c>
      <c r="C9" s="4" t="s">
        <v>2724</v>
      </c>
      <c r="D9" s="4" t="s">
        <v>2725</v>
      </c>
      <c r="E9" s="4" t="s">
        <v>2726</v>
      </c>
      <c r="F9" s="4" t="s">
        <v>2727</v>
      </c>
      <c r="G9" s="4" t="s">
        <v>2695</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34"/>
    <col collapsed="false" customWidth="true" hidden="false" outlineLevel="0" max="2" min="2" style="0" width="92"/>
    <col collapsed="false" customWidth="true" hidden="false" outlineLevel="0" max="26" min="3" style="0" width="8.63"/>
  </cols>
  <sheetData>
    <row r="1" customFormat="false" ht="15" hidden="false" customHeight="false" outlineLevel="0" collapsed="false">
      <c r="A1" s="3" t="s">
        <v>2728</v>
      </c>
      <c r="B1" s="3" t="s">
        <v>2729</v>
      </c>
    </row>
    <row r="2" customFormat="false" ht="28.35" hidden="false" customHeight="false" outlineLevel="0" collapsed="false">
      <c r="A2" s="4" t="s">
        <v>450</v>
      </c>
      <c r="B2" s="4" t="s">
        <v>2730</v>
      </c>
    </row>
    <row r="3" customFormat="false" ht="15" hidden="false" customHeight="false" outlineLevel="0" collapsed="false">
      <c r="A3" s="4" t="s">
        <v>2731</v>
      </c>
      <c r="B3" s="4" t="s">
        <v>2732</v>
      </c>
    </row>
    <row r="4" customFormat="false" ht="15" hidden="false" customHeight="false" outlineLevel="0" collapsed="false">
      <c r="A4" s="4" t="s">
        <v>604</v>
      </c>
      <c r="B4" s="4" t="s">
        <v>2733</v>
      </c>
    </row>
    <row r="5" customFormat="false" ht="15" hidden="false" customHeight="false" outlineLevel="0" collapsed="false">
      <c r="A5" s="4" t="s">
        <v>2734</v>
      </c>
      <c r="B5" s="4" t="s">
        <v>2735</v>
      </c>
    </row>
    <row r="6" customFormat="false" ht="28.35" hidden="false" customHeight="false" outlineLevel="0" collapsed="false">
      <c r="A6" s="4" t="s">
        <v>2736</v>
      </c>
      <c r="B6" s="4" t="s">
        <v>2737</v>
      </c>
    </row>
    <row r="7" customFormat="false" ht="15" hidden="false" customHeight="false" outlineLevel="0" collapsed="false">
      <c r="A7" s="4" t="s">
        <v>2738</v>
      </c>
      <c r="B7" s="4" t="s">
        <v>2739</v>
      </c>
    </row>
    <row r="8" customFormat="false" ht="15" hidden="false" customHeight="false" outlineLevel="0" collapsed="false">
      <c r="A8" s="4" t="s">
        <v>2740</v>
      </c>
      <c r="B8" s="4" t="s">
        <v>2741</v>
      </c>
    </row>
    <row r="9" customFormat="false" ht="15" hidden="false" customHeight="false" outlineLevel="0" collapsed="false">
      <c r="A9" s="4" t="s">
        <v>461</v>
      </c>
      <c r="B9" s="4" t="s">
        <v>2742</v>
      </c>
    </row>
    <row r="10" customFormat="false" ht="15" hidden="false" customHeight="false" outlineLevel="0" collapsed="false">
      <c r="A10" s="4" t="s">
        <v>470</v>
      </c>
      <c r="B10" s="4" t="s">
        <v>2743</v>
      </c>
    </row>
    <row r="11" customFormat="false" ht="15" hidden="false" customHeight="false" outlineLevel="0" collapsed="false">
      <c r="A11" s="4" t="s">
        <v>629</v>
      </c>
      <c r="B11" s="4" t="s">
        <v>2744</v>
      </c>
    </row>
    <row r="12" customFormat="false" ht="28.35" hidden="false" customHeight="false" outlineLevel="0" collapsed="false">
      <c r="A12" s="4" t="s">
        <v>704</v>
      </c>
      <c r="B12" s="4" t="s">
        <v>2745</v>
      </c>
    </row>
    <row r="13" customFormat="false" ht="28.35" hidden="false" customHeight="false" outlineLevel="0" collapsed="false">
      <c r="A13" s="4" t="s">
        <v>2746</v>
      </c>
      <c r="B13" s="4" t="s">
        <v>2747</v>
      </c>
    </row>
    <row r="14" customFormat="false" ht="15" hidden="false" customHeight="false" outlineLevel="0" collapsed="false">
      <c r="A14" s="4" t="s">
        <v>2748</v>
      </c>
      <c r="B14" s="4" t="s">
        <v>2749</v>
      </c>
    </row>
    <row r="15" customFormat="false" ht="15" hidden="false" customHeight="false" outlineLevel="0" collapsed="false">
      <c r="A15" s="4" t="s">
        <v>2750</v>
      </c>
      <c r="B15" s="4" t="s">
        <v>2751</v>
      </c>
    </row>
    <row r="16" customFormat="false" ht="15" hidden="false" customHeight="false" outlineLevel="0" collapsed="false">
      <c r="A16" s="4" t="s">
        <v>2752</v>
      </c>
      <c r="B16" s="4" t="s">
        <v>2753</v>
      </c>
    </row>
    <row r="17" customFormat="false" ht="28.35" hidden="false" customHeight="false" outlineLevel="0" collapsed="false">
      <c r="A17" s="4" t="s">
        <v>2754</v>
      </c>
      <c r="B17" s="4" t="s">
        <v>2755</v>
      </c>
    </row>
    <row r="18" customFormat="false" ht="28.35" hidden="false" customHeight="false" outlineLevel="0" collapsed="false">
      <c r="A18" s="4" t="s">
        <v>2756</v>
      </c>
      <c r="B18" s="4" t="s">
        <v>2757</v>
      </c>
    </row>
    <row r="19" customFormat="false" ht="28.35" hidden="false" customHeight="false" outlineLevel="0" collapsed="false">
      <c r="A19" s="4" t="s">
        <v>2758</v>
      </c>
      <c r="B19" s="4" t="s">
        <v>2759</v>
      </c>
    </row>
    <row r="20" customFormat="false" ht="28.35" hidden="false" customHeight="false" outlineLevel="0" collapsed="false">
      <c r="A20" s="4" t="s">
        <v>2760</v>
      </c>
      <c r="B20" s="4" t="s">
        <v>2761</v>
      </c>
    </row>
    <row r="21" customFormat="false" ht="15.75" hidden="false" customHeight="true" outlineLevel="0" collapsed="false">
      <c r="A21" s="4"/>
      <c r="B21" s="4"/>
    </row>
    <row r="22" customFormat="false" ht="15.75" hidden="false" customHeight="true" outlineLevel="0" collapsed="false">
      <c r="A22" s="4" t="s">
        <v>2762</v>
      </c>
      <c r="B22" s="4" t="s">
        <v>2763</v>
      </c>
    </row>
    <row r="23" customFormat="false" ht="15.75" hidden="false" customHeight="true" outlineLevel="0" collapsed="false">
      <c r="A23" s="4" t="s">
        <v>2764</v>
      </c>
      <c r="B23" s="4" t="s">
        <v>2765</v>
      </c>
    </row>
    <row r="24" customFormat="false" ht="15.75" hidden="false" customHeight="true" outlineLevel="0" collapsed="false">
      <c r="A24" s="4" t="s">
        <v>2766</v>
      </c>
      <c r="B24" s="4" t="s">
        <v>2767</v>
      </c>
    </row>
    <row r="25" customFormat="false" ht="15.75" hidden="false" customHeight="true" outlineLevel="0" collapsed="false">
      <c r="A25" s="4" t="s">
        <v>2695</v>
      </c>
      <c r="B25" s="4" t="s">
        <v>2768</v>
      </c>
    </row>
    <row r="26" customFormat="false" ht="15.75" hidden="false" customHeight="true" outlineLevel="0" collapsed="false">
      <c r="A26" s="4" t="s">
        <v>2769</v>
      </c>
      <c r="B26" s="4" t="s">
        <v>2770</v>
      </c>
    </row>
    <row r="27" customFormat="false" ht="15.75" hidden="false" customHeight="true" outlineLevel="0" collapsed="false">
      <c r="A27" s="4" t="s">
        <v>2771</v>
      </c>
      <c r="B27" s="4" t="s">
        <v>2772</v>
      </c>
    </row>
    <row r="28" customFormat="false" ht="15.75" hidden="false" customHeight="true" outlineLevel="0" collapsed="false">
      <c r="A28" s="4"/>
      <c r="B28" s="4"/>
    </row>
    <row r="29" customFormat="false" ht="15.75" hidden="false" customHeight="true" outlineLevel="0" collapsed="false">
      <c r="A29" s="4" t="s">
        <v>2325</v>
      </c>
      <c r="B29" s="4" t="s">
        <v>2773</v>
      </c>
    </row>
    <row r="30" customFormat="false" ht="15.75" hidden="false" customHeight="true" outlineLevel="0" collapsed="false">
      <c r="A30" s="4" t="s">
        <v>2326</v>
      </c>
      <c r="B30" s="4" t="s">
        <v>2774</v>
      </c>
    </row>
    <row r="31" customFormat="false" ht="15.75" hidden="false" customHeight="true" outlineLevel="0" collapsed="false">
      <c r="A31" s="4" t="s">
        <v>2775</v>
      </c>
      <c r="B31" s="4" t="s">
        <v>2776</v>
      </c>
    </row>
    <row r="32" customFormat="false" ht="15.75" hidden="false" customHeight="true" outlineLevel="0" collapsed="false">
      <c r="A32" s="4" t="s">
        <v>2777</v>
      </c>
      <c r="B32" s="4" t="s">
        <v>2778</v>
      </c>
    </row>
    <row r="33" customFormat="false" ht="15.75" hidden="false" customHeight="true" outlineLevel="0" collapsed="false">
      <c r="A33" s="4" t="s">
        <v>2779</v>
      </c>
      <c r="B33" s="4" t="s">
        <v>2780</v>
      </c>
    </row>
    <row r="34" customFormat="false" ht="15.75" hidden="false" customHeight="true" outlineLevel="0" collapsed="false">
      <c r="A34" s="6" t="s">
        <v>2781</v>
      </c>
      <c r="B34" s="6" t="s">
        <v>2080</v>
      </c>
    </row>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18"/>
    <col collapsed="false" customWidth="true" hidden="false" outlineLevel="0" max="2" min="2" style="0" width="36"/>
    <col collapsed="false" customWidth="true" hidden="false" outlineLevel="0" max="3" min="3" style="0" width="56"/>
    <col collapsed="false" customWidth="true" hidden="false" outlineLevel="0" max="5" min="4" style="0" width="62"/>
    <col collapsed="false" customWidth="true" hidden="false" outlineLevel="0" max="26" min="6" style="0" width="8.63"/>
  </cols>
  <sheetData>
    <row r="1" customFormat="false" ht="15" hidden="false" customHeight="false" outlineLevel="0" collapsed="false">
      <c r="A1" s="3" t="s">
        <v>2782</v>
      </c>
      <c r="B1" s="3" t="s">
        <v>2783</v>
      </c>
      <c r="C1" s="3" t="s">
        <v>2784</v>
      </c>
      <c r="D1" s="3" t="s">
        <v>2785</v>
      </c>
      <c r="E1" s="3" t="s">
        <v>2786</v>
      </c>
    </row>
    <row r="2" customFormat="false" ht="28.35" hidden="false" customHeight="false" outlineLevel="0" collapsed="false">
      <c r="A2" s="4" t="s">
        <v>757</v>
      </c>
      <c r="B2" s="4" t="s">
        <v>2787</v>
      </c>
      <c r="C2" s="4" t="s">
        <v>2788</v>
      </c>
      <c r="D2" s="4" t="s">
        <v>2789</v>
      </c>
      <c r="E2" s="4" t="s">
        <v>2790</v>
      </c>
    </row>
    <row r="3" customFormat="false" ht="28.35" hidden="false" customHeight="false" outlineLevel="0" collapsed="false">
      <c r="A3" s="4" t="s">
        <v>730</v>
      </c>
      <c r="B3" s="4" t="s">
        <v>2791</v>
      </c>
      <c r="C3" s="4" t="s">
        <v>2792</v>
      </c>
      <c r="D3" s="4" t="s">
        <v>2793</v>
      </c>
      <c r="E3" s="4" t="s">
        <v>2794</v>
      </c>
    </row>
    <row r="4" customFormat="false" ht="28.35" hidden="false" customHeight="false" outlineLevel="0" collapsed="false">
      <c r="A4" s="4" t="s">
        <v>2795</v>
      </c>
      <c r="B4" s="4" t="s">
        <v>2796</v>
      </c>
      <c r="C4" s="4" t="s">
        <v>2797</v>
      </c>
      <c r="D4" s="4" t="s">
        <v>2798</v>
      </c>
      <c r="E4" s="4" t="s">
        <v>2799</v>
      </c>
    </row>
    <row r="5" customFormat="false" ht="28.35" hidden="false" customHeight="false" outlineLevel="0" collapsed="false">
      <c r="A5" s="4" t="s">
        <v>2800</v>
      </c>
      <c r="B5" s="4" t="s">
        <v>2801</v>
      </c>
      <c r="C5" s="4" t="s">
        <v>2802</v>
      </c>
      <c r="D5" s="4" t="s">
        <v>2803</v>
      </c>
      <c r="E5" s="4" t="s">
        <v>2804</v>
      </c>
    </row>
    <row r="6" customFormat="false" ht="28.35" hidden="false" customHeight="false" outlineLevel="0" collapsed="false">
      <c r="A6" s="4" t="s">
        <v>707</v>
      </c>
      <c r="B6" s="4" t="s">
        <v>2805</v>
      </c>
      <c r="C6" s="4" t="s">
        <v>2806</v>
      </c>
      <c r="D6" s="4" t="s">
        <v>2807</v>
      </c>
      <c r="E6" s="4" t="s">
        <v>2808</v>
      </c>
    </row>
    <row r="7" customFormat="false" ht="28.35" hidden="false" customHeight="false" outlineLevel="0" collapsed="false">
      <c r="A7" s="4" t="s">
        <v>726</v>
      </c>
      <c r="B7" s="4" t="s">
        <v>2809</v>
      </c>
      <c r="C7" s="4" t="s">
        <v>2810</v>
      </c>
      <c r="D7" s="4" t="s">
        <v>2811</v>
      </c>
      <c r="E7" s="4" t="s">
        <v>2812</v>
      </c>
    </row>
    <row r="8" customFormat="false" ht="41.75" hidden="false" customHeight="false" outlineLevel="0" collapsed="false">
      <c r="A8" s="4" t="s">
        <v>776</v>
      </c>
      <c r="B8" s="4" t="s">
        <v>2813</v>
      </c>
      <c r="C8" s="4" t="s">
        <v>2814</v>
      </c>
      <c r="D8" s="4" t="s">
        <v>2815</v>
      </c>
      <c r="E8" s="4" t="s">
        <v>2816</v>
      </c>
    </row>
    <row r="9" customFormat="false" ht="28.35" hidden="false" customHeight="false" outlineLevel="0" collapsed="false">
      <c r="A9" s="4" t="s">
        <v>2817</v>
      </c>
      <c r="B9" s="4" t="s">
        <v>2818</v>
      </c>
      <c r="C9" s="4" t="s">
        <v>2819</v>
      </c>
      <c r="D9" s="4" t="s">
        <v>2820</v>
      </c>
      <c r="E9" s="4" t="s">
        <v>2821</v>
      </c>
    </row>
    <row r="10" customFormat="false" ht="15" hidden="false" customHeight="false" outlineLevel="0" collapsed="false">
      <c r="A10" s="4"/>
      <c r="B10" s="4"/>
      <c r="C10" s="4"/>
      <c r="D10" s="4"/>
      <c r="E10" s="4"/>
    </row>
    <row r="11" customFormat="false" ht="95.5" hidden="false" customHeight="false" outlineLevel="0" collapsed="false">
      <c r="A11" s="4" t="s">
        <v>2822</v>
      </c>
      <c r="B11" s="4"/>
      <c r="C11" s="4"/>
      <c r="D11" s="4"/>
      <c r="E11" s="4"/>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3" min="3" style="0" width="20"/>
    <col collapsed="false" customWidth="true" hidden="false" outlineLevel="0" max="5" min="4" style="0" width="62"/>
    <col collapsed="false" customWidth="true" hidden="false" outlineLevel="0" max="26" min="6" style="0" width="8.63"/>
  </cols>
  <sheetData>
    <row r="1" customFormat="false" ht="15" hidden="false" customHeight="false" outlineLevel="0" collapsed="false">
      <c r="A1" s="3" t="s">
        <v>2823</v>
      </c>
      <c r="B1" s="3" t="s">
        <v>2824</v>
      </c>
      <c r="C1" s="3" t="s">
        <v>2825</v>
      </c>
      <c r="D1" s="3" t="s">
        <v>2826</v>
      </c>
      <c r="E1" s="3" t="s">
        <v>2827</v>
      </c>
    </row>
    <row r="2" customFormat="false" ht="15" hidden="false" customHeight="false" outlineLevel="0" collapsed="false">
      <c r="A2" s="4" t="s">
        <v>2828</v>
      </c>
      <c r="B2" s="4" t="s">
        <v>2829</v>
      </c>
      <c r="C2" s="4" t="s">
        <v>2830</v>
      </c>
      <c r="D2" s="4" t="s">
        <v>2831</v>
      </c>
      <c r="E2" s="4" t="s">
        <v>2832</v>
      </c>
    </row>
    <row r="3" customFormat="false" ht="28.35" hidden="false" customHeight="false" outlineLevel="0" collapsed="false">
      <c r="A3" s="4" t="s">
        <v>2833</v>
      </c>
      <c r="B3" s="4" t="s">
        <v>2834</v>
      </c>
      <c r="C3" s="4" t="s">
        <v>2830</v>
      </c>
      <c r="D3" s="4" t="s">
        <v>2835</v>
      </c>
      <c r="E3" s="4" t="s">
        <v>2836</v>
      </c>
    </row>
    <row r="4" customFormat="false" ht="28.35" hidden="false" customHeight="false" outlineLevel="0" collapsed="false">
      <c r="A4" s="4" t="s">
        <v>2837</v>
      </c>
      <c r="B4" s="4" t="s">
        <v>2838</v>
      </c>
      <c r="C4" s="4" t="s">
        <v>2839</v>
      </c>
      <c r="D4" s="4" t="s">
        <v>2840</v>
      </c>
      <c r="E4" s="4" t="s">
        <v>2841</v>
      </c>
    </row>
    <row r="5" customFormat="false" ht="28.35" hidden="false" customHeight="false" outlineLevel="0" collapsed="false">
      <c r="A5" s="4" t="s">
        <v>2842</v>
      </c>
      <c r="B5" s="4" t="s">
        <v>2843</v>
      </c>
      <c r="C5" s="4" t="s">
        <v>2844</v>
      </c>
      <c r="D5" s="4" t="s">
        <v>2845</v>
      </c>
      <c r="E5" s="4" t="s">
        <v>2846</v>
      </c>
    </row>
    <row r="6" customFormat="false" ht="15" hidden="false" customHeight="false" outlineLevel="0" collapsed="false">
      <c r="A6" s="4" t="s">
        <v>2847</v>
      </c>
      <c r="B6" s="4" t="s">
        <v>2848</v>
      </c>
      <c r="C6" s="4" t="s">
        <v>2830</v>
      </c>
      <c r="D6" s="4" t="s">
        <v>2849</v>
      </c>
      <c r="E6" s="4" t="s">
        <v>2850</v>
      </c>
    </row>
    <row r="7" customFormat="false" ht="15" hidden="false" customHeight="false" outlineLevel="0" collapsed="false">
      <c r="A7" s="4" t="s">
        <v>2851</v>
      </c>
      <c r="B7" s="4" t="s">
        <v>2852</v>
      </c>
      <c r="C7" s="4" t="s">
        <v>2830</v>
      </c>
      <c r="D7" s="4" t="s">
        <v>2853</v>
      </c>
      <c r="E7" s="4" t="s">
        <v>2854</v>
      </c>
    </row>
    <row r="8" customFormat="false" ht="15" hidden="false" customHeight="false" outlineLevel="0" collapsed="false">
      <c r="A8" s="4" t="s">
        <v>2855</v>
      </c>
      <c r="B8" s="4" t="s">
        <v>2856</v>
      </c>
      <c r="C8" s="4" t="s">
        <v>2830</v>
      </c>
      <c r="D8" s="4" t="s">
        <v>2857</v>
      </c>
      <c r="E8" s="4" t="s">
        <v>2858</v>
      </c>
    </row>
    <row r="9" customFormat="false" ht="15" hidden="false" customHeight="false" outlineLevel="0" collapsed="false">
      <c r="A9" s="4" t="s">
        <v>2859</v>
      </c>
      <c r="B9" s="4" t="s">
        <v>2860</v>
      </c>
      <c r="C9" s="4" t="s">
        <v>2861</v>
      </c>
      <c r="D9" s="4" t="s">
        <v>2862</v>
      </c>
      <c r="E9" s="4" t="s">
        <v>2863</v>
      </c>
    </row>
    <row r="10" customFormat="false" ht="28.35" hidden="false" customHeight="false" outlineLevel="0" collapsed="false">
      <c r="A10" s="4" t="s">
        <v>2864</v>
      </c>
      <c r="B10" s="4" t="s">
        <v>2865</v>
      </c>
      <c r="C10" s="4" t="s">
        <v>2861</v>
      </c>
      <c r="D10" s="4" t="s">
        <v>2866</v>
      </c>
      <c r="E10" s="4" t="s">
        <v>2867</v>
      </c>
    </row>
    <row r="11" customFormat="false" ht="15" hidden="false" customHeight="false" outlineLevel="0" collapsed="false">
      <c r="A11" s="4" t="s">
        <v>2868</v>
      </c>
      <c r="B11" s="4" t="s">
        <v>2869</v>
      </c>
      <c r="C11" s="4" t="s">
        <v>2861</v>
      </c>
      <c r="D11" s="4" t="s">
        <v>2870</v>
      </c>
      <c r="E11" s="4" t="s">
        <v>2871</v>
      </c>
    </row>
    <row r="12" customFormat="false" ht="28.35" hidden="false" customHeight="false" outlineLevel="0" collapsed="false">
      <c r="A12" s="4" t="s">
        <v>2872</v>
      </c>
      <c r="B12" s="4" t="s">
        <v>2873</v>
      </c>
      <c r="C12" s="4" t="s">
        <v>2874</v>
      </c>
      <c r="D12" s="4" t="s">
        <v>2875</v>
      </c>
      <c r="E12" s="4" t="s">
        <v>2876</v>
      </c>
    </row>
    <row r="13" customFormat="false" ht="28.35" hidden="false" customHeight="false" outlineLevel="0" collapsed="false">
      <c r="A13" s="4" t="s">
        <v>2877</v>
      </c>
      <c r="B13" s="4" t="s">
        <v>2878</v>
      </c>
      <c r="C13" s="4" t="s">
        <v>2839</v>
      </c>
      <c r="D13" s="4" t="s">
        <v>2879</v>
      </c>
      <c r="E13" s="4" t="s">
        <v>2880</v>
      </c>
    </row>
    <row r="14" customFormat="false" ht="15" hidden="false" customHeight="false" outlineLevel="0" collapsed="false">
      <c r="A14" s="4"/>
      <c r="B14" s="4"/>
      <c r="C14" s="4"/>
      <c r="D14" s="4"/>
      <c r="E14" s="4"/>
    </row>
    <row r="15" customFormat="false" ht="216.4" hidden="false" customHeight="false" outlineLevel="0" collapsed="false">
      <c r="A15" s="4" t="s">
        <v>2881</v>
      </c>
      <c r="B15" s="4"/>
      <c r="C15" s="4"/>
      <c r="D15" s="4"/>
      <c r="E15" s="4"/>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4" min="3" style="0" width="56"/>
    <col collapsed="false" customWidth="true" hidden="false" outlineLevel="0" max="5" min="5" style="0" width="48"/>
    <col collapsed="false" customWidth="true" hidden="false" outlineLevel="0" max="6" min="6" style="0" width="30"/>
    <col collapsed="false" customWidth="true" hidden="false" outlineLevel="0" max="7" min="7" style="0" width="20"/>
    <col collapsed="false" customWidth="true" hidden="false" outlineLevel="0" max="8" min="8" style="0" width="62"/>
    <col collapsed="false" customWidth="true" hidden="false" outlineLevel="0" max="26" min="9" style="0" width="8.63"/>
  </cols>
  <sheetData>
    <row r="1" customFormat="false" ht="18.55" hidden="false" customHeight="false" outlineLevel="0" collapsed="false">
      <c r="A1" s="1" t="s">
        <v>2882</v>
      </c>
      <c r="B1" s="1"/>
      <c r="C1" s="1"/>
      <c r="D1" s="1"/>
      <c r="E1" s="1"/>
      <c r="F1" s="1"/>
      <c r="G1" s="1"/>
      <c r="H1" s="1"/>
    </row>
    <row r="3" customFormat="false" ht="15" hidden="false" customHeight="false" outlineLevel="0" collapsed="false">
      <c r="A3" s="3" t="s">
        <v>2883</v>
      </c>
      <c r="B3" s="3" t="s">
        <v>232</v>
      </c>
      <c r="C3" s="3" t="s">
        <v>2884</v>
      </c>
      <c r="D3" s="3" t="s">
        <v>2885</v>
      </c>
      <c r="E3" s="3" t="s">
        <v>2886</v>
      </c>
      <c r="F3" s="3" t="s">
        <v>2487</v>
      </c>
      <c r="G3" s="3" t="s">
        <v>2887</v>
      </c>
      <c r="H3" s="3" t="s">
        <v>268</v>
      </c>
    </row>
    <row r="4" customFormat="false" ht="28.35" hidden="false" customHeight="false" outlineLevel="0" collapsed="false">
      <c r="A4" s="4" t="s">
        <v>2888</v>
      </c>
      <c r="B4" s="4" t="s">
        <v>874</v>
      </c>
      <c r="C4" s="4" t="s">
        <v>2889</v>
      </c>
      <c r="D4" s="4" t="s">
        <v>2890</v>
      </c>
      <c r="E4" s="4" t="s">
        <v>2891</v>
      </c>
      <c r="F4" s="4" t="s">
        <v>2892</v>
      </c>
      <c r="G4" s="4" t="s">
        <v>380</v>
      </c>
      <c r="H4" s="4" t="s">
        <v>2893</v>
      </c>
    </row>
    <row r="5" customFormat="false" ht="28.35" hidden="false" customHeight="false" outlineLevel="0" collapsed="false">
      <c r="A5" s="4" t="s">
        <v>2894</v>
      </c>
      <c r="B5" s="4" t="s">
        <v>2895</v>
      </c>
      <c r="C5" s="4" t="s">
        <v>2896</v>
      </c>
      <c r="D5" s="4" t="s">
        <v>2897</v>
      </c>
      <c r="E5" s="4" t="s">
        <v>2898</v>
      </c>
      <c r="F5" s="4" t="s">
        <v>2899</v>
      </c>
      <c r="G5" s="4" t="s">
        <v>2900</v>
      </c>
      <c r="H5" s="4" t="s">
        <v>2901</v>
      </c>
    </row>
    <row r="6" customFormat="false" ht="28.35" hidden="false" customHeight="false" outlineLevel="0" collapsed="false">
      <c r="A6" s="4" t="s">
        <v>2902</v>
      </c>
      <c r="B6" s="4" t="s">
        <v>2903</v>
      </c>
      <c r="C6" s="4" t="s">
        <v>2904</v>
      </c>
      <c r="D6" s="4" t="s">
        <v>2905</v>
      </c>
      <c r="E6" s="4" t="s">
        <v>2906</v>
      </c>
      <c r="F6" s="4" t="s">
        <v>2907</v>
      </c>
      <c r="G6" s="4" t="s">
        <v>2908</v>
      </c>
      <c r="H6" s="4" t="s">
        <v>2909</v>
      </c>
    </row>
    <row r="7" customFormat="false" ht="55.2" hidden="false" customHeight="false" outlineLevel="0" collapsed="false">
      <c r="A7" s="4" t="s">
        <v>2910</v>
      </c>
      <c r="B7" s="4" t="s">
        <v>2911</v>
      </c>
      <c r="C7" s="4" t="s">
        <v>2912</v>
      </c>
      <c r="D7" s="4" t="s">
        <v>2913</v>
      </c>
      <c r="E7" s="4" t="s">
        <v>2914</v>
      </c>
      <c r="F7" s="4" t="s">
        <v>83</v>
      </c>
      <c r="G7" s="4" t="s">
        <v>380</v>
      </c>
      <c r="H7" s="4" t="s">
        <v>2915</v>
      </c>
    </row>
    <row r="8" customFormat="false" ht="15" hidden="false" customHeight="false" outlineLevel="0" collapsed="false">
      <c r="A8" s="4" t="s">
        <v>2916</v>
      </c>
      <c r="B8" s="4" t="s">
        <v>874</v>
      </c>
      <c r="C8" s="4" t="s">
        <v>2917</v>
      </c>
      <c r="D8" s="4" t="s">
        <v>2918</v>
      </c>
      <c r="E8" s="4" t="s">
        <v>2919</v>
      </c>
      <c r="F8" s="4" t="s">
        <v>86</v>
      </c>
      <c r="G8" s="4" t="s">
        <v>380</v>
      </c>
      <c r="H8" s="4" t="s">
        <v>2920</v>
      </c>
    </row>
    <row r="9" customFormat="false" ht="28.35" hidden="false" customHeight="false" outlineLevel="0" collapsed="false">
      <c r="A9" s="4" t="s">
        <v>2921</v>
      </c>
      <c r="B9" s="4" t="s">
        <v>874</v>
      </c>
      <c r="C9" s="4" t="s">
        <v>2922</v>
      </c>
      <c r="D9" s="4" t="s">
        <v>2923</v>
      </c>
      <c r="E9" s="4" t="s">
        <v>2924</v>
      </c>
      <c r="F9" s="4" t="s">
        <v>96</v>
      </c>
      <c r="G9" s="4" t="s">
        <v>2925</v>
      </c>
      <c r="H9" s="4" t="s">
        <v>2926</v>
      </c>
    </row>
    <row r="10" customFormat="false" ht="28.35" hidden="false" customHeight="false" outlineLevel="0" collapsed="false">
      <c r="A10" s="4" t="s">
        <v>2927</v>
      </c>
      <c r="B10" s="4" t="s">
        <v>874</v>
      </c>
      <c r="C10" s="4" t="s">
        <v>2928</v>
      </c>
      <c r="D10" s="4" t="s">
        <v>2929</v>
      </c>
      <c r="E10" s="4" t="s">
        <v>2930</v>
      </c>
      <c r="F10" s="4" t="s">
        <v>99</v>
      </c>
      <c r="G10" s="4" t="s">
        <v>2931</v>
      </c>
      <c r="H10" s="4" t="s">
        <v>2932</v>
      </c>
    </row>
    <row r="11" customFormat="false" ht="15" hidden="false" customHeight="false" outlineLevel="0" collapsed="false">
      <c r="A11" s="4" t="s">
        <v>2933</v>
      </c>
      <c r="B11" s="4" t="s">
        <v>1527</v>
      </c>
      <c r="C11" s="4" t="s">
        <v>2934</v>
      </c>
      <c r="D11" s="4" t="s">
        <v>2935</v>
      </c>
      <c r="E11" s="4" t="s">
        <v>2936</v>
      </c>
      <c r="F11" s="4" t="s">
        <v>2395</v>
      </c>
      <c r="G11" s="4" t="s">
        <v>398</v>
      </c>
      <c r="H11" s="4" t="s">
        <v>2937</v>
      </c>
    </row>
    <row r="12" customFormat="false" ht="28.35" hidden="false" customHeight="false" outlineLevel="0" collapsed="false">
      <c r="A12" s="4" t="s">
        <v>2938</v>
      </c>
      <c r="B12" s="4" t="s">
        <v>874</v>
      </c>
      <c r="C12" s="4" t="s">
        <v>2939</v>
      </c>
      <c r="D12" s="4" t="s">
        <v>2940</v>
      </c>
      <c r="E12" s="4" t="s">
        <v>2941</v>
      </c>
      <c r="F12" s="4" t="s">
        <v>2942</v>
      </c>
      <c r="G12" s="4" t="s">
        <v>2943</v>
      </c>
      <c r="H12" s="4" t="s">
        <v>2944</v>
      </c>
    </row>
    <row r="13" customFormat="false" ht="28.35" hidden="false" customHeight="false" outlineLevel="0" collapsed="false">
      <c r="A13" s="4" t="s">
        <v>2945</v>
      </c>
      <c r="B13" s="4" t="s">
        <v>874</v>
      </c>
      <c r="C13" s="4" t="s">
        <v>2946</v>
      </c>
      <c r="D13" s="4" t="s">
        <v>2947</v>
      </c>
      <c r="E13" s="4" t="s">
        <v>2948</v>
      </c>
      <c r="F13" s="4" t="s">
        <v>2949</v>
      </c>
      <c r="G13" s="4" t="s">
        <v>380</v>
      </c>
      <c r="H13" s="4" t="s">
        <v>2950</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H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34"/>
    <col collapsed="false" customWidth="true" hidden="false" outlineLevel="0" max="4" min="4" style="0" width="64"/>
    <col collapsed="false" customWidth="true" hidden="false" outlineLevel="0" max="5" min="5" style="0" width="18"/>
    <col collapsed="false" customWidth="true" hidden="false" outlineLevel="0" max="6" min="6" style="0" width="48"/>
    <col collapsed="false" customWidth="true" hidden="false" outlineLevel="0" max="7" min="7" style="0" width="20"/>
    <col collapsed="false" customWidth="true" hidden="false" outlineLevel="0" max="8" min="8" style="0" width="62"/>
    <col collapsed="false" customWidth="true" hidden="false" outlineLevel="0" max="26" min="9" style="0" width="8.63"/>
  </cols>
  <sheetData>
    <row r="1" customFormat="false" ht="18.55" hidden="false" customHeight="false" outlineLevel="0" collapsed="false">
      <c r="A1" s="1" t="s">
        <v>2951</v>
      </c>
      <c r="B1" s="1"/>
      <c r="C1" s="1"/>
      <c r="D1" s="1"/>
      <c r="E1" s="1"/>
      <c r="F1" s="1"/>
      <c r="G1" s="1"/>
      <c r="H1" s="1"/>
    </row>
    <row r="3" customFormat="false" ht="28.35" hidden="false" customHeight="false" outlineLevel="0" collapsed="false">
      <c r="A3" s="3" t="s">
        <v>2952</v>
      </c>
      <c r="B3" s="3" t="s">
        <v>232</v>
      </c>
      <c r="C3" s="3" t="s">
        <v>2953</v>
      </c>
      <c r="D3" s="3" t="s">
        <v>2954</v>
      </c>
      <c r="E3" s="3" t="s">
        <v>2955</v>
      </c>
      <c r="F3" s="3" t="s">
        <v>2956</v>
      </c>
      <c r="G3" s="3" t="s">
        <v>2957</v>
      </c>
      <c r="H3" s="3" t="s">
        <v>268</v>
      </c>
    </row>
    <row r="4" customFormat="false" ht="28.35" hidden="false" customHeight="false" outlineLevel="0" collapsed="false">
      <c r="A4" s="4" t="s">
        <v>2958</v>
      </c>
      <c r="B4" s="4" t="s">
        <v>2959</v>
      </c>
      <c r="C4" s="4" t="s">
        <v>2960</v>
      </c>
      <c r="D4" s="4" t="s">
        <v>2961</v>
      </c>
      <c r="E4" s="4" t="s">
        <v>2962</v>
      </c>
      <c r="F4" s="4" t="s">
        <v>2963</v>
      </c>
      <c r="G4" s="4" t="s">
        <v>380</v>
      </c>
      <c r="H4" s="4" t="s">
        <v>2964</v>
      </c>
    </row>
    <row r="5" customFormat="false" ht="15" hidden="false" customHeight="false" outlineLevel="0" collapsed="false">
      <c r="A5" s="4" t="s">
        <v>372</v>
      </c>
      <c r="B5" s="4" t="s">
        <v>2959</v>
      </c>
      <c r="C5" s="4" t="s">
        <v>2965</v>
      </c>
      <c r="D5" s="4" t="s">
        <v>2966</v>
      </c>
      <c r="E5" s="4" t="s">
        <v>2962</v>
      </c>
      <c r="F5" s="4" t="s">
        <v>2967</v>
      </c>
      <c r="G5" s="4" t="s">
        <v>380</v>
      </c>
      <c r="H5" s="4" t="s">
        <v>2968</v>
      </c>
    </row>
    <row r="6" customFormat="false" ht="15" hidden="false" customHeight="false" outlineLevel="0" collapsed="false">
      <c r="A6" s="4" t="s">
        <v>373</v>
      </c>
      <c r="B6" s="4" t="s">
        <v>2959</v>
      </c>
      <c r="C6" s="4" t="s">
        <v>2969</v>
      </c>
      <c r="D6" s="4" t="s">
        <v>2970</v>
      </c>
      <c r="E6" s="4" t="s">
        <v>2962</v>
      </c>
      <c r="F6" s="4" t="s">
        <v>2971</v>
      </c>
      <c r="G6" s="4" t="s">
        <v>380</v>
      </c>
      <c r="H6" s="4" t="s">
        <v>2972</v>
      </c>
    </row>
    <row r="7" customFormat="false" ht="28.35" hidden="false" customHeight="false" outlineLevel="0" collapsed="false">
      <c r="A7" s="4" t="s">
        <v>2973</v>
      </c>
      <c r="B7" s="4" t="s">
        <v>2974</v>
      </c>
      <c r="C7" s="4" t="s">
        <v>2975</v>
      </c>
      <c r="D7" s="4" t="s">
        <v>2976</v>
      </c>
      <c r="E7" s="4" t="s">
        <v>2977</v>
      </c>
      <c r="F7" s="4" t="s">
        <v>2978</v>
      </c>
      <c r="G7" s="4" t="s">
        <v>380</v>
      </c>
      <c r="H7" s="4" t="s">
        <v>2979</v>
      </c>
    </row>
    <row r="8" customFormat="false" ht="15" hidden="false" customHeight="false" outlineLevel="0" collapsed="false">
      <c r="A8" s="4" t="s">
        <v>2980</v>
      </c>
      <c r="B8" s="4" t="s">
        <v>2974</v>
      </c>
      <c r="C8" s="4" t="s">
        <v>2981</v>
      </c>
      <c r="D8" s="4" t="s">
        <v>2982</v>
      </c>
      <c r="E8" s="4" t="s">
        <v>2977</v>
      </c>
      <c r="F8" s="4" t="s">
        <v>2983</v>
      </c>
      <c r="G8" s="4" t="s">
        <v>380</v>
      </c>
      <c r="H8" s="4" t="s">
        <v>2984</v>
      </c>
    </row>
    <row r="9" customFormat="false" ht="15" hidden="false" customHeight="false" outlineLevel="0" collapsed="false">
      <c r="A9" s="4" t="s">
        <v>2985</v>
      </c>
      <c r="B9" s="4" t="s">
        <v>2986</v>
      </c>
      <c r="C9" s="4" t="s">
        <v>2987</v>
      </c>
      <c r="D9" s="4" t="s">
        <v>2988</v>
      </c>
      <c r="E9" s="4" t="s">
        <v>2989</v>
      </c>
      <c r="F9" s="4" t="s">
        <v>2990</v>
      </c>
      <c r="G9" s="4" t="s">
        <v>380</v>
      </c>
      <c r="H9" s="4" t="s">
        <v>2991</v>
      </c>
    </row>
    <row r="10" customFormat="false" ht="15" hidden="false" customHeight="false" outlineLevel="0" collapsed="false">
      <c r="A10" s="4" t="s">
        <v>2992</v>
      </c>
      <c r="B10" s="4" t="s">
        <v>2993</v>
      </c>
      <c r="C10" s="4" t="s">
        <v>2987</v>
      </c>
      <c r="D10" s="4" t="s">
        <v>2994</v>
      </c>
      <c r="E10" s="4" t="s">
        <v>2989</v>
      </c>
      <c r="F10" s="4" t="s">
        <v>2995</v>
      </c>
      <c r="G10" s="4" t="s">
        <v>380</v>
      </c>
      <c r="H10" s="4" t="s">
        <v>2996</v>
      </c>
    </row>
    <row r="11" customFormat="false" ht="28.35" hidden="false" customHeight="false" outlineLevel="0" collapsed="false">
      <c r="A11" s="4" t="s">
        <v>2997</v>
      </c>
      <c r="B11" s="4" t="s">
        <v>2998</v>
      </c>
      <c r="C11" s="4" t="s">
        <v>2999</v>
      </c>
      <c r="D11" s="4" t="s">
        <v>3000</v>
      </c>
      <c r="E11" s="4" t="s">
        <v>2977</v>
      </c>
      <c r="F11" s="4" t="s">
        <v>3001</v>
      </c>
      <c r="G11" s="4" t="s">
        <v>380</v>
      </c>
      <c r="H11" s="4" t="s">
        <v>3002</v>
      </c>
    </row>
    <row r="12" customFormat="false" ht="15" hidden="false" customHeight="false" outlineLevel="0" collapsed="false">
      <c r="A12" s="4" t="s">
        <v>296</v>
      </c>
      <c r="B12" s="4" t="s">
        <v>2998</v>
      </c>
      <c r="C12" s="4" t="s">
        <v>3003</v>
      </c>
      <c r="D12" s="4" t="s">
        <v>3004</v>
      </c>
      <c r="E12" s="4" t="s">
        <v>3005</v>
      </c>
      <c r="F12" s="4" t="s">
        <v>3006</v>
      </c>
      <c r="G12" s="4" t="s">
        <v>380</v>
      </c>
      <c r="H12" s="4" t="s">
        <v>3007</v>
      </c>
    </row>
    <row r="13" customFormat="false" ht="15" hidden="false" customHeight="false" outlineLevel="0" collapsed="false">
      <c r="A13" s="4" t="s">
        <v>3008</v>
      </c>
      <c r="B13" s="4" t="s">
        <v>3009</v>
      </c>
      <c r="C13" s="4" t="s">
        <v>1310</v>
      </c>
      <c r="D13" s="4" t="s">
        <v>3010</v>
      </c>
      <c r="E13" s="4" t="s">
        <v>2962</v>
      </c>
      <c r="F13" s="4" t="s">
        <v>3011</v>
      </c>
      <c r="G13" s="4" t="s">
        <v>380</v>
      </c>
      <c r="H13" s="4" t="s">
        <v>3012</v>
      </c>
    </row>
    <row r="14" customFormat="false" ht="15" hidden="false" customHeight="false" outlineLevel="0" collapsed="false">
      <c r="A14" s="4" t="s">
        <v>2899</v>
      </c>
      <c r="B14" s="4" t="s">
        <v>3013</v>
      </c>
      <c r="C14" s="4" t="s">
        <v>3014</v>
      </c>
      <c r="D14" s="4" t="s">
        <v>3015</v>
      </c>
      <c r="E14" s="4" t="s">
        <v>3016</v>
      </c>
      <c r="F14" s="4" t="s">
        <v>3017</v>
      </c>
      <c r="G14" s="4" t="s">
        <v>2499</v>
      </c>
      <c r="H14" s="4" t="s">
        <v>3018</v>
      </c>
    </row>
    <row r="16" customFormat="false" ht="15" hidden="false" customHeight="false" outlineLevel="0" collapsed="false">
      <c r="A16" s="7" t="s">
        <v>3019</v>
      </c>
      <c r="B16" s="7" t="s">
        <v>232</v>
      </c>
      <c r="C16" s="7" t="s">
        <v>3020</v>
      </c>
      <c r="D16" s="7" t="s">
        <v>3021</v>
      </c>
      <c r="E16" s="7" t="s">
        <v>2955</v>
      </c>
      <c r="F16" s="7" t="s">
        <v>3022</v>
      </c>
      <c r="G16" s="7" t="s">
        <v>3023</v>
      </c>
      <c r="H16" s="7" t="s">
        <v>268</v>
      </c>
    </row>
    <row r="17" customFormat="false" ht="15" hidden="false" customHeight="false" outlineLevel="0" collapsed="false">
      <c r="A17" s="4" t="s">
        <v>3024</v>
      </c>
      <c r="B17" s="4" t="s">
        <v>2974</v>
      </c>
      <c r="C17" s="4" t="s">
        <v>3025</v>
      </c>
      <c r="D17" s="4" t="s">
        <v>3026</v>
      </c>
      <c r="E17" s="4" t="s">
        <v>2977</v>
      </c>
      <c r="F17" s="4" t="s">
        <v>3027</v>
      </c>
      <c r="G17" s="4" t="s">
        <v>3028</v>
      </c>
      <c r="H17" s="4" t="s">
        <v>3029</v>
      </c>
    </row>
    <row r="18" customFormat="false" ht="15" hidden="false" customHeight="false" outlineLevel="0" collapsed="false">
      <c r="A18" s="4" t="s">
        <v>3030</v>
      </c>
      <c r="B18" s="4" t="s">
        <v>2974</v>
      </c>
      <c r="C18" s="4" t="s">
        <v>3031</v>
      </c>
      <c r="D18" s="4" t="s">
        <v>3032</v>
      </c>
      <c r="E18" s="4" t="s">
        <v>3033</v>
      </c>
      <c r="F18" s="4" t="s">
        <v>3034</v>
      </c>
      <c r="G18" s="4" t="s">
        <v>3028</v>
      </c>
      <c r="H18" s="4" t="s">
        <v>3035</v>
      </c>
    </row>
    <row r="19" customFormat="false" ht="15" hidden="false" customHeight="false" outlineLevel="0" collapsed="false">
      <c r="A19" s="4" t="s">
        <v>3036</v>
      </c>
      <c r="B19" s="4" t="s">
        <v>2974</v>
      </c>
      <c r="C19" s="4" t="s">
        <v>3037</v>
      </c>
      <c r="D19" s="4" t="s">
        <v>3038</v>
      </c>
      <c r="E19" s="4" t="s">
        <v>3033</v>
      </c>
      <c r="F19" s="4" t="s">
        <v>3039</v>
      </c>
      <c r="G19" s="4" t="s">
        <v>3028</v>
      </c>
      <c r="H19" s="4" t="s">
        <v>3040</v>
      </c>
    </row>
    <row r="20" customFormat="false" ht="15" hidden="false" customHeight="false" outlineLevel="0" collapsed="false">
      <c r="A20" s="4" t="s">
        <v>3041</v>
      </c>
      <c r="B20" s="4" t="s">
        <v>2974</v>
      </c>
      <c r="C20" s="4" t="s">
        <v>3042</v>
      </c>
      <c r="D20" s="4" t="s">
        <v>3043</v>
      </c>
      <c r="E20" s="4" t="s">
        <v>3033</v>
      </c>
      <c r="F20" s="4" t="s">
        <v>3034</v>
      </c>
      <c r="G20" s="4" t="s">
        <v>3028</v>
      </c>
      <c r="H20" s="4" t="s">
        <v>3044</v>
      </c>
    </row>
    <row r="21" customFormat="false" ht="15.75" hidden="false" customHeight="true" outlineLevel="0" collapsed="false">
      <c r="A21" s="4" t="s">
        <v>3045</v>
      </c>
      <c r="B21" s="4" t="s">
        <v>2974</v>
      </c>
      <c r="C21" s="4" t="s">
        <v>3046</v>
      </c>
      <c r="D21" s="4" t="s">
        <v>3047</v>
      </c>
      <c r="E21" s="4" t="s">
        <v>2989</v>
      </c>
      <c r="F21" s="4" t="s">
        <v>3048</v>
      </c>
      <c r="G21" s="4" t="s">
        <v>3028</v>
      </c>
      <c r="H21" s="4" t="s">
        <v>3049</v>
      </c>
    </row>
    <row r="22" customFormat="false" ht="15.75" hidden="false" customHeight="true" outlineLevel="0" collapsed="false">
      <c r="A22" s="4" t="s">
        <v>3050</v>
      </c>
      <c r="B22" s="4" t="s">
        <v>2974</v>
      </c>
      <c r="C22" s="4" t="s">
        <v>3051</v>
      </c>
      <c r="D22" s="4" t="s">
        <v>3052</v>
      </c>
      <c r="E22" s="4" t="s">
        <v>3053</v>
      </c>
      <c r="F22" s="4" t="s">
        <v>3054</v>
      </c>
      <c r="G22" s="4" t="s">
        <v>3028</v>
      </c>
      <c r="H22" s="4" t="s">
        <v>3055</v>
      </c>
    </row>
    <row r="23" customFormat="false" ht="15.75" hidden="false" customHeight="true" outlineLevel="0" collapsed="false"/>
    <row r="24" customFormat="false" ht="15.75" hidden="false" customHeight="true" outlineLevel="0" collapsed="false">
      <c r="A24" s="7" t="s">
        <v>3056</v>
      </c>
      <c r="B24" s="7" t="s">
        <v>232</v>
      </c>
      <c r="C24" s="7" t="s">
        <v>3020</v>
      </c>
      <c r="D24" s="7" t="s">
        <v>3021</v>
      </c>
      <c r="E24" s="7" t="s">
        <v>2955</v>
      </c>
      <c r="F24" s="7" t="s">
        <v>3022</v>
      </c>
      <c r="G24" s="7" t="s">
        <v>3023</v>
      </c>
      <c r="H24" s="7" t="s">
        <v>268</v>
      </c>
    </row>
    <row r="25" customFormat="false" ht="15.75" hidden="false" customHeight="true" outlineLevel="0" collapsed="false">
      <c r="A25" s="4" t="s">
        <v>3057</v>
      </c>
      <c r="B25" s="4" t="s">
        <v>2974</v>
      </c>
      <c r="C25" s="4" t="s">
        <v>3058</v>
      </c>
      <c r="D25" s="4" t="s">
        <v>3059</v>
      </c>
      <c r="E25" s="4" t="s">
        <v>2977</v>
      </c>
      <c r="F25" s="4" t="s">
        <v>3060</v>
      </c>
      <c r="G25" s="4" t="s">
        <v>3028</v>
      </c>
      <c r="H25" s="4" t="s">
        <v>3061</v>
      </c>
    </row>
    <row r="26" customFormat="false" ht="15.75" hidden="false" customHeight="true" outlineLevel="0" collapsed="false">
      <c r="A26" s="4" t="s">
        <v>3062</v>
      </c>
      <c r="B26" s="4" t="s">
        <v>2974</v>
      </c>
      <c r="C26" s="4" t="s">
        <v>3063</v>
      </c>
      <c r="D26" s="4" t="s">
        <v>3064</v>
      </c>
      <c r="E26" s="4" t="s">
        <v>2977</v>
      </c>
      <c r="F26" s="4" t="s">
        <v>3060</v>
      </c>
      <c r="G26" s="4" t="s">
        <v>3028</v>
      </c>
      <c r="H26" s="4" t="s">
        <v>3065</v>
      </c>
    </row>
    <row r="27" customFormat="false" ht="15.75" hidden="false" customHeight="true" outlineLevel="0" collapsed="false">
      <c r="A27" s="4" t="s">
        <v>3066</v>
      </c>
      <c r="B27" s="4" t="s">
        <v>3067</v>
      </c>
      <c r="C27" s="4" t="s">
        <v>3031</v>
      </c>
      <c r="D27" s="4" t="s">
        <v>3068</v>
      </c>
      <c r="E27" s="4" t="s">
        <v>3033</v>
      </c>
      <c r="F27" s="4" t="s">
        <v>3069</v>
      </c>
      <c r="G27" s="4" t="s">
        <v>3028</v>
      </c>
      <c r="H27" s="4" t="s">
        <v>3070</v>
      </c>
    </row>
    <row r="28" customFormat="false" ht="15.75" hidden="false" customHeight="true" outlineLevel="0" collapsed="false">
      <c r="A28" s="4" t="s">
        <v>3071</v>
      </c>
      <c r="B28" s="4" t="s">
        <v>2998</v>
      </c>
      <c r="C28" s="4" t="s">
        <v>3072</v>
      </c>
      <c r="D28" s="4" t="s">
        <v>3073</v>
      </c>
      <c r="E28" s="4" t="s">
        <v>3053</v>
      </c>
      <c r="F28" s="4" t="s">
        <v>3069</v>
      </c>
      <c r="G28" s="4" t="s">
        <v>3074</v>
      </c>
      <c r="H28" s="4" t="s">
        <v>3075</v>
      </c>
    </row>
    <row r="29" customFormat="false" ht="15.75" hidden="false" customHeight="true" outlineLevel="0" collapsed="false">
      <c r="A29" s="4" t="s">
        <v>3076</v>
      </c>
      <c r="B29" s="4" t="s">
        <v>3077</v>
      </c>
      <c r="C29" s="4" t="s">
        <v>1188</v>
      </c>
      <c r="D29" s="4" t="s">
        <v>3078</v>
      </c>
      <c r="E29" s="4" t="s">
        <v>3033</v>
      </c>
      <c r="F29" s="4" t="s">
        <v>3079</v>
      </c>
      <c r="G29" s="4" t="s">
        <v>3028</v>
      </c>
      <c r="H29" s="4" t="s">
        <v>3080</v>
      </c>
    </row>
    <row r="30" customFormat="false" ht="15.75" hidden="false" customHeight="true" outlineLevel="0" collapsed="false"/>
    <row r="31" customFormat="false" ht="15.75" hidden="false" customHeight="true" outlineLevel="0" collapsed="false">
      <c r="A31" s="7" t="s">
        <v>3081</v>
      </c>
      <c r="B31" s="7" t="s">
        <v>232</v>
      </c>
      <c r="C31" s="7" t="s">
        <v>3020</v>
      </c>
      <c r="D31" s="7" t="s">
        <v>3021</v>
      </c>
      <c r="E31" s="7" t="s">
        <v>2955</v>
      </c>
      <c r="F31" s="7" t="s">
        <v>3022</v>
      </c>
      <c r="G31" s="7" t="s">
        <v>3023</v>
      </c>
      <c r="H31" s="7" t="s">
        <v>268</v>
      </c>
    </row>
    <row r="32" customFormat="false" ht="15.75" hidden="false" customHeight="true" outlineLevel="0" collapsed="false">
      <c r="A32" s="4" t="s">
        <v>3082</v>
      </c>
      <c r="B32" s="4" t="s">
        <v>2998</v>
      </c>
      <c r="C32" s="4" t="s">
        <v>3083</v>
      </c>
      <c r="D32" s="4" t="s">
        <v>3084</v>
      </c>
      <c r="E32" s="4" t="s">
        <v>3033</v>
      </c>
      <c r="F32" s="4" t="s">
        <v>3085</v>
      </c>
      <c r="G32" s="4" t="s">
        <v>3074</v>
      </c>
      <c r="H32" s="4" t="s">
        <v>3086</v>
      </c>
    </row>
    <row r="33" customFormat="false" ht="15.75" hidden="false" customHeight="true" outlineLevel="0" collapsed="false">
      <c r="A33" s="4" t="s">
        <v>3087</v>
      </c>
      <c r="B33" s="4" t="s">
        <v>2998</v>
      </c>
      <c r="C33" s="4" t="s">
        <v>3088</v>
      </c>
      <c r="D33" s="4" t="s">
        <v>3089</v>
      </c>
      <c r="E33" s="4" t="s">
        <v>3053</v>
      </c>
      <c r="F33" s="4" t="s">
        <v>3090</v>
      </c>
      <c r="G33" s="4" t="s">
        <v>3074</v>
      </c>
      <c r="H33" s="4" t="s">
        <v>3091</v>
      </c>
    </row>
    <row r="34" customFormat="false" ht="15.75" hidden="false" customHeight="true" outlineLevel="0" collapsed="false">
      <c r="A34" s="4" t="s">
        <v>3092</v>
      </c>
      <c r="B34" s="4" t="s">
        <v>3093</v>
      </c>
      <c r="C34" s="4" t="s">
        <v>3094</v>
      </c>
      <c r="D34" s="4" t="s">
        <v>3095</v>
      </c>
      <c r="E34" s="4" t="s">
        <v>3053</v>
      </c>
      <c r="F34" s="4" t="s">
        <v>3090</v>
      </c>
      <c r="G34" s="4" t="s">
        <v>3074</v>
      </c>
      <c r="H34" s="4" t="s">
        <v>3096</v>
      </c>
    </row>
    <row r="35" customFormat="false" ht="15.75" hidden="false" customHeight="true" outlineLevel="0" collapsed="false">
      <c r="A35" s="4" t="s">
        <v>3097</v>
      </c>
      <c r="B35" s="4" t="s">
        <v>2998</v>
      </c>
      <c r="C35" s="4" t="s">
        <v>3098</v>
      </c>
      <c r="D35" s="4" t="s">
        <v>3099</v>
      </c>
      <c r="E35" s="4" t="s">
        <v>3100</v>
      </c>
      <c r="F35" s="4" t="s">
        <v>3101</v>
      </c>
      <c r="G35" s="4" t="s">
        <v>3074</v>
      </c>
      <c r="H35" s="4" t="s">
        <v>3102</v>
      </c>
    </row>
    <row r="36" customFormat="false" ht="15.75" hidden="false" customHeight="true" outlineLevel="0" collapsed="false">
      <c r="A36" s="4" t="s">
        <v>287</v>
      </c>
      <c r="B36" s="4" t="s">
        <v>2998</v>
      </c>
      <c r="C36" s="4" t="s">
        <v>3103</v>
      </c>
      <c r="D36" s="4" t="s">
        <v>3104</v>
      </c>
      <c r="E36" s="4" t="s">
        <v>3105</v>
      </c>
      <c r="F36" s="4" t="s">
        <v>3106</v>
      </c>
      <c r="G36" s="4" t="s">
        <v>3074</v>
      </c>
      <c r="H36" s="4" t="s">
        <v>3107</v>
      </c>
    </row>
    <row r="37" customFormat="false" ht="15.75" hidden="false" customHeight="true" outlineLevel="0" collapsed="false">
      <c r="A37" s="4" t="s">
        <v>3108</v>
      </c>
      <c r="B37" s="4" t="s">
        <v>3013</v>
      </c>
      <c r="C37" s="4" t="s">
        <v>3109</v>
      </c>
      <c r="D37" s="4" t="s">
        <v>3110</v>
      </c>
      <c r="E37" s="4" t="s">
        <v>3016</v>
      </c>
      <c r="F37" s="4" t="s">
        <v>3111</v>
      </c>
      <c r="G37" s="4" t="s">
        <v>3112</v>
      </c>
      <c r="H37" s="4" t="s">
        <v>3113</v>
      </c>
    </row>
    <row r="38" customFormat="false" ht="15.75" hidden="false" customHeight="true" outlineLevel="0" collapsed="false"/>
    <row r="39" customFormat="false" ht="15.75" hidden="false" customHeight="true" outlineLevel="0" collapsed="false">
      <c r="A39" s="3" t="s">
        <v>3114</v>
      </c>
      <c r="B39" s="3" t="s">
        <v>232</v>
      </c>
      <c r="C39" s="3" t="s">
        <v>3020</v>
      </c>
      <c r="D39" s="3" t="s">
        <v>3021</v>
      </c>
      <c r="E39" s="3" t="s">
        <v>2955</v>
      </c>
      <c r="F39" s="3" t="s">
        <v>3022</v>
      </c>
      <c r="G39" s="3" t="s">
        <v>3023</v>
      </c>
      <c r="H39" s="3" t="s">
        <v>268</v>
      </c>
    </row>
    <row r="40" customFormat="false" ht="15.75" hidden="false" customHeight="true" outlineLevel="0" collapsed="false">
      <c r="A40" s="4" t="s">
        <v>3115</v>
      </c>
      <c r="B40" s="4" t="s">
        <v>2998</v>
      </c>
      <c r="C40" s="4" t="s">
        <v>3116</v>
      </c>
      <c r="D40" s="4" t="s">
        <v>3117</v>
      </c>
      <c r="E40" s="4" t="s">
        <v>3118</v>
      </c>
      <c r="F40" s="4" t="s">
        <v>3119</v>
      </c>
      <c r="G40" s="4" t="s">
        <v>3074</v>
      </c>
      <c r="H40" s="4" t="s">
        <v>3120</v>
      </c>
    </row>
    <row r="41" customFormat="false" ht="15.75" hidden="false" customHeight="true" outlineLevel="0" collapsed="false">
      <c r="A41" s="4" t="s">
        <v>3121</v>
      </c>
      <c r="B41" s="4" t="s">
        <v>2998</v>
      </c>
      <c r="C41" s="4" t="s">
        <v>3122</v>
      </c>
      <c r="D41" s="4" t="s">
        <v>3123</v>
      </c>
      <c r="E41" s="4" t="s">
        <v>3124</v>
      </c>
      <c r="F41" s="4" t="s">
        <v>3125</v>
      </c>
      <c r="G41" s="4" t="s">
        <v>3126</v>
      </c>
      <c r="H41" s="4" t="s">
        <v>3127</v>
      </c>
    </row>
    <row r="42" customFormat="false" ht="15.75" hidden="false" customHeight="true" outlineLevel="0" collapsed="false">
      <c r="A42" s="4" t="s">
        <v>3128</v>
      </c>
      <c r="B42" s="4" t="s">
        <v>2998</v>
      </c>
      <c r="C42" s="4" t="s">
        <v>3129</v>
      </c>
      <c r="D42" s="4" t="s">
        <v>3130</v>
      </c>
      <c r="E42" s="4" t="s">
        <v>3131</v>
      </c>
      <c r="F42" s="4" t="s">
        <v>3132</v>
      </c>
      <c r="G42" s="4" t="s">
        <v>3074</v>
      </c>
      <c r="H42" s="4" t="s">
        <v>3133</v>
      </c>
    </row>
    <row r="43" customFormat="false" ht="15.75" hidden="false" customHeight="true" outlineLevel="0" collapsed="false">
      <c r="A43" s="4" t="s">
        <v>3134</v>
      </c>
      <c r="B43" s="4" t="s">
        <v>2998</v>
      </c>
      <c r="C43" s="4" t="s">
        <v>3135</v>
      </c>
      <c r="D43" s="4" t="s">
        <v>3136</v>
      </c>
      <c r="E43" s="4" t="s">
        <v>2977</v>
      </c>
      <c r="F43" s="4" t="s">
        <v>3137</v>
      </c>
      <c r="G43" s="4" t="s">
        <v>3028</v>
      </c>
      <c r="H43" s="4" t="s">
        <v>3138</v>
      </c>
    </row>
    <row r="44" customFormat="false" ht="15.75" hidden="false" customHeight="true" outlineLevel="0" collapsed="false">
      <c r="A44" s="4" t="s">
        <v>3139</v>
      </c>
      <c r="B44" s="4" t="s">
        <v>3112</v>
      </c>
      <c r="C44" s="4" t="s">
        <v>3140</v>
      </c>
      <c r="D44" s="4" t="s">
        <v>3141</v>
      </c>
      <c r="E44" s="4" t="s">
        <v>3142</v>
      </c>
      <c r="F44" s="4" t="s">
        <v>3143</v>
      </c>
      <c r="G44" s="4" t="s">
        <v>3028</v>
      </c>
      <c r="H44" s="4" t="s">
        <v>3144</v>
      </c>
    </row>
    <row r="45" customFormat="false" ht="15.75" hidden="false" customHeight="true" outlineLevel="0" collapsed="false">
      <c r="A45" s="4" t="s">
        <v>3145</v>
      </c>
      <c r="B45" s="4" t="s">
        <v>3013</v>
      </c>
      <c r="C45" s="4" t="s">
        <v>3146</v>
      </c>
      <c r="D45" s="4" t="s">
        <v>3147</v>
      </c>
      <c r="E45" s="4" t="s">
        <v>3016</v>
      </c>
      <c r="F45" s="4" t="s">
        <v>3148</v>
      </c>
      <c r="G45" s="4" t="s">
        <v>3112</v>
      </c>
      <c r="H45" s="4" t="s">
        <v>3149</v>
      </c>
    </row>
    <row r="46" customFormat="false" ht="15.75" hidden="false" customHeight="true" outlineLevel="0" collapsed="false"/>
    <row r="47" customFormat="false" ht="15.75" hidden="false" customHeight="true" outlineLevel="0" collapsed="false">
      <c r="A47" s="3" t="s">
        <v>3150</v>
      </c>
      <c r="B47" s="3" t="s">
        <v>232</v>
      </c>
      <c r="C47" s="3" t="s">
        <v>3020</v>
      </c>
      <c r="D47" s="3" t="s">
        <v>3021</v>
      </c>
      <c r="E47" s="3" t="s">
        <v>3151</v>
      </c>
      <c r="F47" s="3" t="s">
        <v>3022</v>
      </c>
      <c r="G47" s="3" t="s">
        <v>3023</v>
      </c>
      <c r="H47" s="3" t="s">
        <v>268</v>
      </c>
    </row>
    <row r="48" customFormat="false" ht="15.75" hidden="false" customHeight="true" outlineLevel="0" collapsed="false">
      <c r="A48" s="4" t="s">
        <v>3152</v>
      </c>
      <c r="B48" s="4" t="s">
        <v>2998</v>
      </c>
      <c r="C48" s="4" t="s">
        <v>3153</v>
      </c>
      <c r="D48" s="4" t="s">
        <v>3154</v>
      </c>
      <c r="E48" s="4" t="s">
        <v>3155</v>
      </c>
      <c r="F48" s="4" t="s">
        <v>3156</v>
      </c>
      <c r="G48" s="4" t="s">
        <v>3074</v>
      </c>
      <c r="H48" s="4" t="s">
        <v>3157</v>
      </c>
    </row>
    <row r="49" customFormat="false" ht="15.75" hidden="false" customHeight="true" outlineLevel="0" collapsed="false">
      <c r="A49" s="4" t="s">
        <v>3158</v>
      </c>
      <c r="B49" s="4" t="s">
        <v>2998</v>
      </c>
      <c r="C49" s="4" t="s">
        <v>143</v>
      </c>
      <c r="D49" s="4" t="s">
        <v>3159</v>
      </c>
      <c r="E49" s="4" t="s">
        <v>3160</v>
      </c>
      <c r="F49" s="4" t="s">
        <v>3161</v>
      </c>
      <c r="G49" s="4" t="s">
        <v>3028</v>
      </c>
      <c r="H49" s="4" t="s">
        <v>3162</v>
      </c>
    </row>
    <row r="50" customFormat="false" ht="15.75" hidden="false" customHeight="true" outlineLevel="0" collapsed="false">
      <c r="A50" s="4" t="s">
        <v>3163</v>
      </c>
      <c r="B50" s="4" t="s">
        <v>2998</v>
      </c>
      <c r="C50" s="4" t="s">
        <v>149</v>
      </c>
      <c r="D50" s="4" t="s">
        <v>3164</v>
      </c>
      <c r="E50" s="4" t="s">
        <v>3165</v>
      </c>
      <c r="F50" s="4" t="s">
        <v>3166</v>
      </c>
      <c r="G50" s="4" t="s">
        <v>3028</v>
      </c>
      <c r="H50" s="4" t="s">
        <v>3167</v>
      </c>
    </row>
    <row r="51" customFormat="false" ht="15.75" hidden="false" customHeight="true" outlineLevel="0" collapsed="false">
      <c r="A51" s="4" t="s">
        <v>3168</v>
      </c>
      <c r="B51" s="4" t="s">
        <v>2998</v>
      </c>
      <c r="C51" s="4" t="s">
        <v>3169</v>
      </c>
      <c r="D51" s="4" t="s">
        <v>3170</v>
      </c>
      <c r="E51" s="4" t="s">
        <v>3171</v>
      </c>
      <c r="F51" s="4" t="s">
        <v>3172</v>
      </c>
      <c r="G51" s="4" t="s">
        <v>3028</v>
      </c>
      <c r="H51" s="4" t="s">
        <v>3173</v>
      </c>
    </row>
    <row r="52" customFormat="false" ht="15.75" hidden="false" customHeight="true" outlineLevel="0" collapsed="false">
      <c r="A52" s="4" t="s">
        <v>3174</v>
      </c>
      <c r="B52" s="4" t="s">
        <v>2998</v>
      </c>
      <c r="C52" s="4" t="s">
        <v>3175</v>
      </c>
      <c r="D52" s="4" t="s">
        <v>3176</v>
      </c>
      <c r="E52" s="4" t="s">
        <v>3177</v>
      </c>
      <c r="F52" s="4" t="s">
        <v>3178</v>
      </c>
      <c r="G52" s="4" t="s">
        <v>3028</v>
      </c>
      <c r="H52" s="4" t="s">
        <v>3179</v>
      </c>
    </row>
    <row r="53" customFormat="false" ht="15.75" hidden="false" customHeight="true" outlineLevel="0" collapsed="false">
      <c r="A53" s="4" t="s">
        <v>3180</v>
      </c>
      <c r="B53" s="4" t="s">
        <v>3093</v>
      </c>
      <c r="C53" s="4" t="s">
        <v>166</v>
      </c>
      <c r="D53" s="4" t="s">
        <v>3181</v>
      </c>
      <c r="E53" s="4" t="s">
        <v>3182</v>
      </c>
      <c r="F53" s="4" t="s">
        <v>3183</v>
      </c>
      <c r="G53" s="4" t="s">
        <v>3028</v>
      </c>
      <c r="H53" s="4" t="s">
        <v>3184</v>
      </c>
    </row>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H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2" min="1" style="0" width="10"/>
    <col collapsed="false" customWidth="true" hidden="false" outlineLevel="0" max="3" min="3" style="0" width="56"/>
    <col collapsed="false" customWidth="true" hidden="false" outlineLevel="0" max="5" min="4" style="0" width="18"/>
    <col collapsed="false" customWidth="true" hidden="false" outlineLevel="0" max="7" min="6" style="0" width="12"/>
    <col collapsed="false" customWidth="true" hidden="false" outlineLevel="0" max="8" min="8" style="0" width="70"/>
    <col collapsed="false" customWidth="true" hidden="false" outlineLevel="0" max="26" min="9" style="0" width="8.63"/>
  </cols>
  <sheetData>
    <row r="1" customFormat="false" ht="18.55" hidden="false" customHeight="false" outlineLevel="0" collapsed="false">
      <c r="A1" s="1" t="s">
        <v>3185</v>
      </c>
      <c r="B1" s="1"/>
      <c r="C1" s="1"/>
      <c r="D1" s="1"/>
      <c r="E1" s="1"/>
      <c r="F1" s="1"/>
      <c r="G1" s="1"/>
      <c r="H1" s="1"/>
    </row>
    <row r="2" customFormat="false" ht="458.2" hidden="false" customHeight="false" outlineLevel="0" collapsed="false">
      <c r="A2" s="16" t="s">
        <v>3186</v>
      </c>
    </row>
    <row r="3" customFormat="false" ht="15" hidden="false" customHeight="false" outlineLevel="0" collapsed="false">
      <c r="A3" s="17"/>
      <c r="B3" s="17"/>
      <c r="C3" s="17"/>
      <c r="D3" s="17"/>
      <c r="E3" s="17"/>
      <c r="F3" s="17"/>
      <c r="G3" s="17"/>
      <c r="H3" s="17"/>
    </row>
    <row r="4" customFormat="false" ht="15" hidden="false" customHeight="false" outlineLevel="0" collapsed="false">
      <c r="A4" s="17"/>
      <c r="B4" s="17"/>
      <c r="C4" s="17"/>
      <c r="D4" s="17"/>
      <c r="E4" s="17"/>
      <c r="F4" s="17"/>
      <c r="G4" s="17"/>
      <c r="H4" s="17"/>
    </row>
    <row r="5" customFormat="false" ht="15" hidden="false" customHeight="false" outlineLevel="0" collapsed="false">
      <c r="A5" s="3" t="s">
        <v>3187</v>
      </c>
      <c r="B5" s="3" t="s">
        <v>3188</v>
      </c>
      <c r="C5" s="3" t="s">
        <v>3189</v>
      </c>
      <c r="D5" s="3" t="s">
        <v>3190</v>
      </c>
      <c r="E5" s="3" t="s">
        <v>3191</v>
      </c>
      <c r="F5" s="3" t="s">
        <v>232</v>
      </c>
      <c r="G5" s="3" t="s">
        <v>3192</v>
      </c>
      <c r="H5" s="3" t="s">
        <v>3193</v>
      </c>
    </row>
    <row r="6" customFormat="false" ht="15" hidden="false" customHeight="false" outlineLevel="0" collapsed="false">
      <c r="A6" s="9" t="s">
        <v>3194</v>
      </c>
      <c r="B6" s="9" t="s">
        <v>3195</v>
      </c>
      <c r="C6" s="9" t="s">
        <v>3196</v>
      </c>
      <c r="D6" s="9" t="n">
        <v>456</v>
      </c>
      <c r="E6" s="9" t="n">
        <v>456</v>
      </c>
      <c r="F6" s="9" t="str">
        <f aca="false">IF(TEXT(E6,"@")=TEXT(D6,"@"),"PASS","FAIL")</f>
        <v>PASS</v>
      </c>
      <c r="G6" s="9" t="s">
        <v>380</v>
      </c>
      <c r="H6" s="9" t="s">
        <v>3197</v>
      </c>
    </row>
    <row r="7" customFormat="false" ht="15" hidden="false" customHeight="false" outlineLevel="0" collapsed="false">
      <c r="A7" s="9" t="s">
        <v>3198</v>
      </c>
      <c r="B7" s="9" t="s">
        <v>3195</v>
      </c>
      <c r="C7" s="9" t="s">
        <v>3199</v>
      </c>
      <c r="D7" s="9" t="n">
        <v>456</v>
      </c>
      <c r="E7" s="9" t="n">
        <v>456</v>
      </c>
      <c r="F7" s="9" t="str">
        <f aca="false">IF(TEXT(E7,"@")=TEXT(D7,"@"),"PASS","FAIL")</f>
        <v>PASS</v>
      </c>
      <c r="G7" s="9" t="s">
        <v>380</v>
      </c>
      <c r="H7" s="9" t="s">
        <v>3200</v>
      </c>
    </row>
    <row r="8" customFormat="false" ht="15" hidden="false" customHeight="false" outlineLevel="0" collapsed="false">
      <c r="A8" s="9" t="s">
        <v>3201</v>
      </c>
      <c r="B8" s="9" t="s">
        <v>3195</v>
      </c>
      <c r="C8" s="9" t="s">
        <v>3202</v>
      </c>
      <c r="D8" s="9" t="n">
        <v>0</v>
      </c>
      <c r="E8" s="9" t="n">
        <v>0</v>
      </c>
      <c r="F8" s="9" t="str">
        <f aca="false">IF(TEXT(E8,"@")=TEXT(D8,"@"),"PASS","FAIL")</f>
        <v>PASS</v>
      </c>
      <c r="G8" s="9" t="s">
        <v>380</v>
      </c>
      <c r="H8" s="9" t="s">
        <v>3203</v>
      </c>
    </row>
    <row r="9" customFormat="false" ht="15" hidden="false" customHeight="false" outlineLevel="0" collapsed="false">
      <c r="A9" s="9" t="s">
        <v>3204</v>
      </c>
      <c r="B9" s="9" t="s">
        <v>3195</v>
      </c>
      <c r="C9" s="9" t="s">
        <v>3205</v>
      </c>
      <c r="D9" s="9" t="n">
        <v>0</v>
      </c>
      <c r="E9" s="9" t="n">
        <v>0</v>
      </c>
      <c r="F9" s="9" t="str">
        <f aca="false">IF(TEXT(E9,"@")=TEXT(D9,"@"),"PASS","FAIL")</f>
        <v>PASS</v>
      </c>
      <c r="G9" s="9" t="s">
        <v>380</v>
      </c>
      <c r="H9" s="9" t="s">
        <v>3206</v>
      </c>
    </row>
    <row r="10" customFormat="false" ht="15" hidden="false" customHeight="false" outlineLevel="0" collapsed="false">
      <c r="A10" s="9" t="s">
        <v>3207</v>
      </c>
      <c r="B10" s="9" t="s">
        <v>3195</v>
      </c>
      <c r="C10" s="9" t="s">
        <v>3208</v>
      </c>
      <c r="D10" s="9" t="n">
        <v>1</v>
      </c>
      <c r="E10" s="9" t="n">
        <v>1</v>
      </c>
      <c r="F10" s="9" t="str">
        <f aca="false">IF(TEXT(E10,"@")=TEXT(D10,"@"),"PASS","FAIL")</f>
        <v>PASS</v>
      </c>
      <c r="G10" s="9" t="s">
        <v>380</v>
      </c>
      <c r="H10" s="9" t="s">
        <v>3209</v>
      </c>
    </row>
    <row r="11" customFormat="false" ht="15" hidden="false" customHeight="false" outlineLevel="0" collapsed="false">
      <c r="A11" s="9" t="s">
        <v>3210</v>
      </c>
      <c r="B11" s="9" t="s">
        <v>3195</v>
      </c>
      <c r="C11" s="9" t="s">
        <v>3211</v>
      </c>
      <c r="D11" s="9" t="n">
        <v>1</v>
      </c>
      <c r="E11" s="9" t="n">
        <v>1</v>
      </c>
      <c r="F11" s="9" t="str">
        <f aca="false">IF(TEXT(E11,"@")=TEXT(D11,"@"),"PASS","FAIL")</f>
        <v>PASS</v>
      </c>
      <c r="G11" s="9" t="s">
        <v>380</v>
      </c>
      <c r="H11" s="9" t="s">
        <v>3212</v>
      </c>
    </row>
    <row r="12" customFormat="false" ht="15" hidden="false" customHeight="false" outlineLevel="0" collapsed="false">
      <c r="A12" s="9" t="s">
        <v>3213</v>
      </c>
      <c r="B12" s="9" t="s">
        <v>3195</v>
      </c>
      <c r="C12" s="9" t="s">
        <v>3214</v>
      </c>
      <c r="D12" s="9" t="n">
        <v>0</v>
      </c>
      <c r="E12" s="9" t="n">
        <v>0</v>
      </c>
      <c r="F12" s="9" t="str">
        <f aca="false">IF(TEXT(E12,"@")=TEXT(D12,"@"),"PASS","FAIL")</f>
        <v>PASS</v>
      </c>
      <c r="G12" s="9" t="s">
        <v>380</v>
      </c>
      <c r="H12" s="9" t="s">
        <v>3215</v>
      </c>
    </row>
    <row r="13" customFormat="false" ht="15" hidden="false" customHeight="false" outlineLevel="0" collapsed="false">
      <c r="A13" s="9" t="s">
        <v>3216</v>
      </c>
      <c r="B13" s="9" t="s">
        <v>3195</v>
      </c>
      <c r="C13" s="9" t="s">
        <v>3217</v>
      </c>
      <c r="D13" s="9" t="n">
        <v>0</v>
      </c>
      <c r="E13" s="9" t="n">
        <v>0</v>
      </c>
      <c r="F13" s="9" t="str">
        <f aca="false">IF(TEXT(E13,"@")=TEXT(D13,"@"),"PASS","FAIL")</f>
        <v>PASS</v>
      </c>
      <c r="G13" s="9" t="s">
        <v>380</v>
      </c>
      <c r="H13" s="9" t="s">
        <v>3218</v>
      </c>
    </row>
    <row r="14" customFormat="false" ht="15" hidden="false" customHeight="false" outlineLevel="0" collapsed="false">
      <c r="A14" s="9" t="s">
        <v>3219</v>
      </c>
      <c r="B14" s="9" t="s">
        <v>3195</v>
      </c>
      <c r="C14" s="9" t="s">
        <v>3220</v>
      </c>
      <c r="D14" s="9" t="n">
        <v>0</v>
      </c>
      <c r="E14" s="9" t="n">
        <v>0</v>
      </c>
      <c r="F14" s="9" t="str">
        <f aca="false">IF(TEXT(E14,"@")=TEXT(D14,"@"),"PASS","FAIL")</f>
        <v>PASS</v>
      </c>
      <c r="G14" s="9" t="s">
        <v>380</v>
      </c>
      <c r="H14" s="9" t="s">
        <v>3221</v>
      </c>
    </row>
    <row r="15" customFormat="false" ht="28.35" hidden="false" customHeight="false" outlineLevel="0" collapsed="false">
      <c r="A15" s="9" t="s">
        <v>3222</v>
      </c>
      <c r="B15" s="9" t="s">
        <v>3195</v>
      </c>
      <c r="C15" s="9" t="s">
        <v>3223</v>
      </c>
      <c r="D15" s="9" t="n">
        <v>0</v>
      </c>
      <c r="E15" s="9" t="n">
        <v>0</v>
      </c>
      <c r="F15" s="9" t="str">
        <f aca="false">IF(TEXT(E15,"@")=TEXT(D15,"@"),"PASS","FAIL")</f>
        <v>PASS</v>
      </c>
      <c r="G15" s="9" t="s">
        <v>380</v>
      </c>
      <c r="H15" s="9" t="s">
        <v>3224</v>
      </c>
    </row>
    <row r="16" customFormat="false" ht="15" hidden="false" customHeight="false" outlineLevel="0" collapsed="false">
      <c r="A16" s="9" t="s">
        <v>3225</v>
      </c>
      <c r="B16" s="9" t="s">
        <v>3195</v>
      </c>
      <c r="C16" s="9" t="s">
        <v>3226</v>
      </c>
      <c r="D16" s="9" t="n">
        <v>8</v>
      </c>
      <c r="E16" s="9" t="n">
        <v>8</v>
      </c>
      <c r="F16" s="9" t="str">
        <f aca="false">IF(TEXT(E16,"@")=TEXT(D16,"@"),"PASS","FAIL")</f>
        <v>PASS</v>
      </c>
      <c r="G16" s="9" t="s">
        <v>380</v>
      </c>
      <c r="H16" s="9" t="s">
        <v>3227</v>
      </c>
    </row>
    <row r="17" customFormat="false" ht="15" hidden="false" customHeight="false" outlineLevel="0" collapsed="false">
      <c r="A17" s="9" t="s">
        <v>3228</v>
      </c>
      <c r="B17" s="9" t="s">
        <v>3195</v>
      </c>
      <c r="C17" s="9" t="s">
        <v>3229</v>
      </c>
      <c r="D17" s="9" t="n">
        <v>8</v>
      </c>
      <c r="E17" s="9" t="n">
        <v>8</v>
      </c>
      <c r="F17" s="9" t="str">
        <f aca="false">IF(TEXT(E17,"@")=TEXT(D17,"@"),"PASS","FAIL")</f>
        <v>PASS</v>
      </c>
      <c r="G17" s="9" t="s">
        <v>380</v>
      </c>
      <c r="H17" s="9" t="s">
        <v>3230</v>
      </c>
    </row>
    <row r="18" customFormat="false" ht="15" hidden="false" customHeight="false" outlineLevel="0" collapsed="false">
      <c r="A18" s="9" t="s">
        <v>3231</v>
      </c>
      <c r="B18" s="9" t="s">
        <v>3195</v>
      </c>
      <c r="C18" s="9" t="s">
        <v>3232</v>
      </c>
      <c r="D18" s="9" t="n">
        <v>5</v>
      </c>
      <c r="E18" s="9" t="n">
        <v>5</v>
      </c>
      <c r="F18" s="9" t="str">
        <f aca="false">IF(TEXT(E18,"@")=TEXT(D18,"@"),"PASS","FAIL")</f>
        <v>PASS</v>
      </c>
      <c r="G18" s="9" t="s">
        <v>380</v>
      </c>
      <c r="H18" s="9" t="s">
        <v>3233</v>
      </c>
    </row>
    <row r="19" customFormat="false" ht="15" hidden="false" customHeight="false" outlineLevel="0" collapsed="false">
      <c r="A19" s="9" t="s">
        <v>3234</v>
      </c>
      <c r="B19" s="9" t="s">
        <v>3195</v>
      </c>
      <c r="C19" s="9" t="s">
        <v>3235</v>
      </c>
      <c r="D19" s="9" t="n">
        <v>1</v>
      </c>
      <c r="E19" s="9" t="n">
        <v>1</v>
      </c>
      <c r="F19" s="9" t="str">
        <f aca="false">IF(TEXT(E19,"@")=TEXT(D19,"@"),"PASS","FAIL")</f>
        <v>PASS</v>
      </c>
      <c r="G19" s="9" t="s">
        <v>380</v>
      </c>
      <c r="H19" s="9" t="s">
        <v>3236</v>
      </c>
    </row>
    <row r="20" customFormat="false" ht="15" hidden="false" customHeight="false" outlineLevel="0" collapsed="false">
      <c r="A20" s="9" t="s">
        <v>3237</v>
      </c>
      <c r="B20" s="9" t="s">
        <v>3195</v>
      </c>
      <c r="C20" s="9" t="s">
        <v>3238</v>
      </c>
      <c r="D20" s="9" t="n">
        <v>2</v>
      </c>
      <c r="E20" s="9" t="n">
        <v>2</v>
      </c>
      <c r="F20" s="9" t="str">
        <f aca="false">IF(TEXT(E20,"@")=TEXT(D20,"@"),"PASS","FAIL")</f>
        <v>PASS</v>
      </c>
      <c r="G20" s="9" t="s">
        <v>380</v>
      </c>
      <c r="H20" s="9" t="s">
        <v>3239</v>
      </c>
    </row>
    <row r="21" customFormat="false" ht="15.75" hidden="false" customHeight="true" outlineLevel="0" collapsed="false">
      <c r="A21" s="9" t="s">
        <v>3240</v>
      </c>
      <c r="B21" s="9" t="s">
        <v>3195</v>
      </c>
      <c r="C21" s="9" t="s">
        <v>3241</v>
      </c>
      <c r="D21" s="9" t="n">
        <v>0</v>
      </c>
      <c r="E21" s="9" t="n">
        <v>0</v>
      </c>
      <c r="F21" s="9" t="str">
        <f aca="false">IF(TEXT(E21,"@")=TEXT(D21,"@"),"PASS","FAIL")</f>
        <v>PASS</v>
      </c>
      <c r="G21" s="9" t="s">
        <v>380</v>
      </c>
      <c r="H21" s="9" t="s">
        <v>3242</v>
      </c>
    </row>
    <row r="22" customFormat="false" ht="15.75" hidden="false" customHeight="true" outlineLevel="0" collapsed="false">
      <c r="A22" s="9" t="s">
        <v>3243</v>
      </c>
      <c r="B22" s="9" t="s">
        <v>3195</v>
      </c>
      <c r="C22" s="9" t="s">
        <v>3244</v>
      </c>
      <c r="D22" s="9" t="n">
        <v>0</v>
      </c>
      <c r="E22" s="9" t="n">
        <v>0</v>
      </c>
      <c r="F22" s="9" t="str">
        <f aca="false">IF(TEXT(E22,"@")=TEXT(D22,"@"),"PASS","FAIL")</f>
        <v>PASS</v>
      </c>
      <c r="G22" s="9" t="s">
        <v>380</v>
      </c>
      <c r="H22" s="9" t="s">
        <v>3245</v>
      </c>
    </row>
    <row r="23" customFormat="false" ht="15.75" hidden="false" customHeight="true" outlineLevel="0" collapsed="false">
      <c r="A23" s="9" t="s">
        <v>3246</v>
      </c>
      <c r="B23" s="9" t="s">
        <v>3195</v>
      </c>
      <c r="C23" s="9" t="s">
        <v>3247</v>
      </c>
      <c r="D23" s="9" t="n">
        <v>0</v>
      </c>
      <c r="E23" s="9" t="n">
        <v>0</v>
      </c>
      <c r="F23" s="9" t="str">
        <f aca="false">IF(TEXT(E23,"@")=TEXT(D23,"@"),"PASS","FAIL")</f>
        <v>PASS</v>
      </c>
      <c r="G23" s="9" t="s">
        <v>380</v>
      </c>
      <c r="H23" s="9" t="s">
        <v>3248</v>
      </c>
    </row>
    <row r="24" customFormat="false" ht="15.75" hidden="false" customHeight="true" outlineLevel="0" collapsed="false">
      <c r="A24" s="9" t="s">
        <v>3249</v>
      </c>
      <c r="B24" s="9" t="s">
        <v>3195</v>
      </c>
      <c r="C24" s="9" t="s">
        <v>3250</v>
      </c>
      <c r="D24" s="9" t="n">
        <v>0</v>
      </c>
      <c r="E24" s="9" t="n">
        <v>0</v>
      </c>
      <c r="F24" s="9" t="str">
        <f aca="false">IF(TEXT(E24,"@")=TEXT(D24,"@"),"PASS","FAIL")</f>
        <v>PASS</v>
      </c>
      <c r="G24" s="9" t="s">
        <v>380</v>
      </c>
      <c r="H24" s="9" t="s">
        <v>3251</v>
      </c>
    </row>
    <row r="25" customFormat="false" ht="15.75" hidden="false" customHeight="true" outlineLevel="0" collapsed="false">
      <c r="A25" s="9" t="s">
        <v>3252</v>
      </c>
      <c r="B25" s="9" t="s">
        <v>3195</v>
      </c>
      <c r="C25" s="9" t="s">
        <v>3253</v>
      </c>
      <c r="D25" s="9" t="n">
        <v>24</v>
      </c>
      <c r="E25" s="9" t="n">
        <v>24</v>
      </c>
      <c r="F25" s="9" t="str">
        <f aca="false">IF(TEXT(E25,"@")=TEXT(D25,"@"),"PASS","FAIL")</f>
        <v>PASS</v>
      </c>
      <c r="G25" s="9" t="s">
        <v>380</v>
      </c>
      <c r="H25" s="9" t="s">
        <v>3254</v>
      </c>
    </row>
    <row r="26" customFormat="false" ht="15.75" hidden="false" customHeight="true" outlineLevel="0" collapsed="false">
      <c r="A26" s="9" t="s">
        <v>3255</v>
      </c>
      <c r="B26" s="9" t="s">
        <v>3195</v>
      </c>
      <c r="C26" s="9" t="s">
        <v>3256</v>
      </c>
      <c r="D26" s="9" t="n">
        <v>0</v>
      </c>
      <c r="E26" s="9" t="n">
        <v>0</v>
      </c>
      <c r="F26" s="9" t="str">
        <f aca="false">IF(TEXT(E26,"@")=TEXT(D26,"@"),"PASS","FAIL")</f>
        <v>PASS</v>
      </c>
      <c r="G26" s="9" t="s">
        <v>380</v>
      </c>
      <c r="H26" s="9" t="s">
        <v>3257</v>
      </c>
    </row>
    <row r="27" customFormat="false" ht="15.75" hidden="false" customHeight="true" outlineLevel="0" collapsed="false">
      <c r="A27" s="9" t="s">
        <v>3258</v>
      </c>
      <c r="B27" s="9" t="s">
        <v>3195</v>
      </c>
      <c r="C27" s="9" t="s">
        <v>3259</v>
      </c>
      <c r="D27" s="9" t="n">
        <v>16</v>
      </c>
      <c r="E27" s="9" t="n">
        <v>16</v>
      </c>
      <c r="F27" s="9" t="str">
        <f aca="false">IF(TEXT(E27,"@")=TEXT(D27,"@"),"PASS","FAIL")</f>
        <v>PASS</v>
      </c>
      <c r="G27" s="9" t="s">
        <v>380</v>
      </c>
      <c r="H27" s="9" t="s">
        <v>3260</v>
      </c>
    </row>
    <row r="28" customFormat="false" ht="15.75" hidden="false" customHeight="true" outlineLevel="0" collapsed="false">
      <c r="A28" s="9" t="s">
        <v>3261</v>
      </c>
      <c r="B28" s="9" t="s">
        <v>3195</v>
      </c>
      <c r="C28" s="9" t="s">
        <v>3262</v>
      </c>
      <c r="D28" s="9" t="n">
        <v>0</v>
      </c>
      <c r="E28" s="9" t="n">
        <v>0</v>
      </c>
      <c r="F28" s="9" t="str">
        <f aca="false">IF(TEXT(E28,"@")=TEXT(D28,"@"),"PASS","FAIL")</f>
        <v>PASS</v>
      </c>
      <c r="G28" s="9" t="s">
        <v>380</v>
      </c>
      <c r="H28" s="9" t="s">
        <v>3257</v>
      </c>
    </row>
    <row r="29" customFormat="false" ht="15.75" hidden="false" customHeight="true" outlineLevel="0" collapsed="false">
      <c r="A29" s="9" t="s">
        <v>3263</v>
      </c>
      <c r="B29" s="9" t="s">
        <v>3195</v>
      </c>
      <c r="C29" s="9" t="s">
        <v>3264</v>
      </c>
      <c r="D29" s="9" t="n">
        <v>57</v>
      </c>
      <c r="E29" s="9" t="n">
        <v>57</v>
      </c>
      <c r="F29" s="9" t="str">
        <f aca="false">IF(TEXT(E29,"@")=TEXT(D29,"@"),"PASS","FAIL")</f>
        <v>PASS</v>
      </c>
      <c r="G29" s="9" t="s">
        <v>380</v>
      </c>
      <c r="H29" s="9" t="s">
        <v>3265</v>
      </c>
    </row>
    <row r="30" customFormat="false" ht="15.75" hidden="false" customHeight="true" outlineLevel="0" collapsed="false">
      <c r="A30" s="9" t="s">
        <v>3266</v>
      </c>
      <c r="B30" s="9" t="s">
        <v>3195</v>
      </c>
      <c r="C30" s="9" t="s">
        <v>3267</v>
      </c>
      <c r="D30" s="9" t="n">
        <v>57</v>
      </c>
      <c r="E30" s="9" t="n">
        <v>57</v>
      </c>
      <c r="F30" s="9" t="str">
        <f aca="false">IF(TEXT(E30,"@")=TEXT(D30,"@"),"PASS","FAIL")</f>
        <v>PASS</v>
      </c>
      <c r="G30" s="9" t="s">
        <v>380</v>
      </c>
      <c r="H30" s="9" t="s">
        <v>3268</v>
      </c>
    </row>
    <row r="31" customFormat="false" ht="15.75" hidden="false" customHeight="true" outlineLevel="0" collapsed="false">
      <c r="A31" s="9" t="s">
        <v>3269</v>
      </c>
      <c r="B31" s="9" t="s">
        <v>3195</v>
      </c>
      <c r="C31" s="9" t="s">
        <v>3270</v>
      </c>
      <c r="D31" s="9" t="n">
        <v>0</v>
      </c>
      <c r="E31" s="9" t="n">
        <v>0</v>
      </c>
      <c r="F31" s="9" t="str">
        <f aca="false">IF(TEXT(E31,"@")=TEXT(D31,"@"),"PASS","FAIL")</f>
        <v>PASS</v>
      </c>
      <c r="G31" s="9" t="s">
        <v>380</v>
      </c>
      <c r="H31" s="9" t="s">
        <v>3271</v>
      </c>
    </row>
    <row r="32" customFormat="false" ht="15.75" hidden="false" customHeight="true" outlineLevel="0" collapsed="false">
      <c r="A32" s="9" t="s">
        <v>3272</v>
      </c>
      <c r="B32" s="9" t="s">
        <v>3195</v>
      </c>
      <c r="C32" s="9" t="s">
        <v>3273</v>
      </c>
      <c r="D32" s="9" t="n">
        <v>1</v>
      </c>
      <c r="E32" s="9" t="n">
        <v>1</v>
      </c>
      <c r="F32" s="9" t="str">
        <f aca="false">IF(TEXT(E32,"@")=TEXT(D32,"@"),"PASS","FAIL")</f>
        <v>PASS</v>
      </c>
      <c r="G32" s="9" t="s">
        <v>380</v>
      </c>
      <c r="H32" s="9" t="s">
        <v>3274</v>
      </c>
    </row>
    <row r="33" customFormat="false" ht="15.75" hidden="false" customHeight="true" outlineLevel="0" collapsed="false">
      <c r="A33" s="9" t="s">
        <v>3275</v>
      </c>
      <c r="B33" s="9" t="s">
        <v>3016</v>
      </c>
      <c r="C33" s="9" t="s">
        <v>3276</v>
      </c>
      <c r="D33" s="9" t="n">
        <v>0</v>
      </c>
      <c r="E33" s="9" t="n">
        <v>0</v>
      </c>
      <c r="F33" s="9" t="str">
        <f aca="false">IF(TEXT(E33,"@")=TEXT(D33,"@"),"PASS","FAIL")</f>
        <v>PASS</v>
      </c>
      <c r="G33" s="9" t="s">
        <v>398</v>
      </c>
      <c r="H33" s="9" t="s">
        <v>3277</v>
      </c>
    </row>
    <row r="34" customFormat="false" ht="15.75" hidden="false" customHeight="true" outlineLevel="0" collapsed="false">
      <c r="A34" s="9" t="s">
        <v>3278</v>
      </c>
      <c r="B34" s="9" t="s">
        <v>3195</v>
      </c>
      <c r="C34" s="9" t="s">
        <v>3279</v>
      </c>
      <c r="D34" s="9" t="n">
        <v>0</v>
      </c>
      <c r="E34" s="9" t="n">
        <v>0</v>
      </c>
      <c r="F34" s="9" t="str">
        <f aca="false">IF(TEXT(E34,"@")=TEXT(D34,"@"),"PASS","FAIL")</f>
        <v>PASS</v>
      </c>
      <c r="G34" s="9" t="s">
        <v>380</v>
      </c>
      <c r="H34" s="9" t="s">
        <v>3280</v>
      </c>
    </row>
    <row r="35" customFormat="false" ht="15.75" hidden="false" customHeight="true" outlineLevel="0" collapsed="false">
      <c r="A35" s="9" t="s">
        <v>3281</v>
      </c>
      <c r="B35" s="9" t="s">
        <v>3195</v>
      </c>
      <c r="C35" s="9" t="s">
        <v>13</v>
      </c>
      <c r="D35" s="18" t="b">
        <f aca="false">FALSE()</f>
        <v>0</v>
      </c>
      <c r="E35" s="18" t="b">
        <f aca="false">FALSE()</f>
        <v>0</v>
      </c>
      <c r="F35" s="9" t="str">
        <f aca="false">IF(TEXT(E35,"@")=TEXT(D35,"@"),"PASS","FAIL")</f>
        <v>PASS</v>
      </c>
      <c r="G35" s="9" t="s">
        <v>380</v>
      </c>
      <c r="H35" s="9" t="s">
        <v>3282</v>
      </c>
    </row>
    <row r="36" customFormat="false" ht="15.75" hidden="false" customHeight="true" outlineLevel="0" collapsed="false">
      <c r="A36" s="9" t="s">
        <v>3283</v>
      </c>
      <c r="B36" s="9" t="s">
        <v>3195</v>
      </c>
      <c r="C36" s="9" t="s">
        <v>3284</v>
      </c>
      <c r="D36" s="9" t="s">
        <v>46</v>
      </c>
      <c r="E36" s="9" t="s">
        <v>46</v>
      </c>
      <c r="F36" s="9" t="str">
        <f aca="false">IF(TEXT(E36,"@")=TEXT(D36,"@"),"PASS","FAIL")</f>
        <v>PASS</v>
      </c>
      <c r="G36" s="9" t="s">
        <v>380</v>
      </c>
      <c r="H36" s="9" t="s">
        <v>3285</v>
      </c>
    </row>
    <row r="37" customFormat="false" ht="15.75" hidden="false" customHeight="true" outlineLevel="0" collapsed="false">
      <c r="A37" s="9" t="s">
        <v>3286</v>
      </c>
      <c r="B37" s="9" t="s">
        <v>3195</v>
      </c>
      <c r="C37" s="9" t="s">
        <v>3287</v>
      </c>
      <c r="D37" s="9" t="n">
        <v>8</v>
      </c>
      <c r="E37" s="9" t="n">
        <f aca="false">COUNTIF('Branch State Summary'!$N$2:$N$9,"MATCH")</f>
        <v>8</v>
      </c>
      <c r="F37" s="9" t="str">
        <f aca="false">IF(TEXT(E37,"@")=TEXT(D37,"@"),"PASS","FAIL")</f>
        <v>PASS</v>
      </c>
      <c r="G37" s="9" t="s">
        <v>380</v>
      </c>
      <c r="H37" s="9" t="s">
        <v>3288</v>
      </c>
    </row>
    <row r="38" customFormat="false" ht="15.75" hidden="false" customHeight="true" outlineLevel="0" collapsed="false">
      <c r="A38" s="9" t="s">
        <v>3289</v>
      </c>
      <c r="B38" s="9" t="s">
        <v>3195</v>
      </c>
      <c r="C38" s="9" t="s">
        <v>3290</v>
      </c>
      <c r="D38" s="9" t="n">
        <v>89</v>
      </c>
      <c r="E38" s="9" t="n">
        <v>89</v>
      </c>
      <c r="F38" s="9" t="str">
        <f aca="false">IF(TEXT(E38,"@")=TEXT(D38,"@"),"PASS","FAIL")</f>
        <v>PASS</v>
      </c>
      <c r="G38" s="9" t="s">
        <v>380</v>
      </c>
      <c r="H38" s="9" t="s">
        <v>3291</v>
      </c>
    </row>
    <row r="39" customFormat="false" ht="15.75" hidden="false" customHeight="true" outlineLevel="0" collapsed="false">
      <c r="A39" s="9" t="s">
        <v>3292</v>
      </c>
      <c r="B39" s="9" t="s">
        <v>3195</v>
      </c>
      <c r="C39" s="9" t="s">
        <v>3293</v>
      </c>
      <c r="D39" s="9" t="n">
        <v>0</v>
      </c>
      <c r="E39" s="9" t="n">
        <v>0</v>
      </c>
      <c r="F39" s="9" t="str">
        <f aca="false">IF(TEXT(E39,"@")=TEXT(D39,"@"),"PASS","FAIL")</f>
        <v>PASS</v>
      </c>
      <c r="G39" s="9" t="s">
        <v>380</v>
      </c>
      <c r="H39" s="9" t="s">
        <v>3294</v>
      </c>
    </row>
    <row r="40" customFormat="false" ht="15.75" hidden="false" customHeight="true" outlineLevel="0" collapsed="false">
      <c r="A40" s="9" t="s">
        <v>3295</v>
      </c>
      <c r="B40" s="9" t="s">
        <v>3195</v>
      </c>
      <c r="C40" s="9" t="s">
        <v>3296</v>
      </c>
      <c r="D40" s="9" t="n">
        <v>39</v>
      </c>
      <c r="E40" s="9" t="n">
        <v>39</v>
      </c>
      <c r="F40" s="9" t="str">
        <f aca="false">IF(TEXT(E40,"@")=TEXT(D40,"@"),"PASS","FAIL")</f>
        <v>PASS</v>
      </c>
      <c r="G40" s="9" t="s">
        <v>380</v>
      </c>
      <c r="H40" s="9" t="s">
        <v>3297</v>
      </c>
    </row>
    <row r="41" customFormat="false" ht="15.75" hidden="false" customHeight="true" outlineLevel="0" collapsed="false">
      <c r="A41" s="9" t="s">
        <v>3298</v>
      </c>
      <c r="B41" s="9" t="s">
        <v>3195</v>
      </c>
      <c r="C41" s="9" t="s">
        <v>3299</v>
      </c>
      <c r="D41" s="9" t="n">
        <v>3</v>
      </c>
      <c r="E41" s="9" t="n">
        <v>3</v>
      </c>
      <c r="F41" s="9" t="str">
        <f aca="false">IF(TEXT(E41,"@")=TEXT(D41,"@"),"PASS","FAIL")</f>
        <v>PASS</v>
      </c>
      <c r="G41" s="9" t="s">
        <v>380</v>
      </c>
      <c r="H41" s="9" t="s">
        <v>3300</v>
      </c>
    </row>
    <row r="42" customFormat="false" ht="15.75" hidden="false" customHeight="true" outlineLevel="0" collapsed="false">
      <c r="A42" s="9" t="s">
        <v>3301</v>
      </c>
      <c r="B42" s="9" t="s">
        <v>3195</v>
      </c>
      <c r="C42" s="9" t="s">
        <v>3302</v>
      </c>
      <c r="D42" s="9" t="n">
        <v>0</v>
      </c>
      <c r="E42" s="9" t="n">
        <v>0</v>
      </c>
      <c r="F42" s="9" t="str">
        <f aca="false">IF(TEXT(E42,"@")=TEXT(D42,"@"),"PASS","FAIL")</f>
        <v>PASS</v>
      </c>
      <c r="G42" s="9" t="s">
        <v>380</v>
      </c>
      <c r="H42" s="9" t="s">
        <v>3303</v>
      </c>
    </row>
    <row r="43" customFormat="false" ht="15.75" hidden="false" customHeight="true" outlineLevel="0" collapsed="false">
      <c r="A43" s="9" t="s">
        <v>3304</v>
      </c>
      <c r="B43" s="9" t="s">
        <v>3195</v>
      </c>
      <c r="C43" s="9" t="s">
        <v>3305</v>
      </c>
      <c r="D43" s="9" t="s">
        <v>1193</v>
      </c>
      <c r="E43" s="9" t="s">
        <v>1193</v>
      </c>
      <c r="F43" s="9" t="str">
        <f aca="false">IF(TEXT(E43,"@")=TEXT(D43,"@"),"PASS","FAIL")</f>
        <v>PASS</v>
      </c>
      <c r="G43" s="9" t="s">
        <v>380</v>
      </c>
      <c r="H43" s="9" t="s">
        <v>3306</v>
      </c>
    </row>
    <row r="44" customFormat="false" ht="15.75" hidden="false" customHeight="true" outlineLevel="0" collapsed="false">
      <c r="A44" s="9" t="s">
        <v>3307</v>
      </c>
      <c r="B44" s="9" t="s">
        <v>3016</v>
      </c>
      <c r="C44" s="9" t="s">
        <v>3308</v>
      </c>
      <c r="D44" s="9" t="n">
        <v>4</v>
      </c>
      <c r="E44" s="9" t="n">
        <v>4</v>
      </c>
      <c r="F44" s="9" t="str">
        <f aca="false">IF(TEXT(E44,"@")=TEXT(D44,"@"),"PASS","FAIL")</f>
        <v>PASS</v>
      </c>
      <c r="G44" s="9" t="s">
        <v>398</v>
      </c>
      <c r="H44" s="9" t="s">
        <v>3309</v>
      </c>
    </row>
    <row r="45" customFormat="false" ht="15.75" hidden="false" customHeight="true" outlineLevel="0" collapsed="false">
      <c r="A45" s="9" t="s">
        <v>3310</v>
      </c>
      <c r="B45" s="9" t="s">
        <v>3195</v>
      </c>
      <c r="C45" s="9" t="s">
        <v>3311</v>
      </c>
      <c r="D45" s="9" t="n">
        <v>0</v>
      </c>
      <c r="E45" s="9" t="n">
        <v>0</v>
      </c>
      <c r="F45" s="9" t="str">
        <f aca="false">IF(TEXT(E45,"@")=TEXT(D45,"@"),"PASS","FAIL")</f>
        <v>PASS</v>
      </c>
      <c r="G45" s="9" t="s">
        <v>380</v>
      </c>
      <c r="H45" s="9" t="s">
        <v>3312</v>
      </c>
    </row>
    <row r="46" customFormat="false" ht="15.75" hidden="false" customHeight="true" outlineLevel="0" collapsed="false">
      <c r="A46" s="9" t="s">
        <v>3039</v>
      </c>
      <c r="B46" s="9" t="s">
        <v>3195</v>
      </c>
      <c r="C46" s="9" t="s">
        <v>3313</v>
      </c>
      <c r="D46" s="9" t="n">
        <v>0</v>
      </c>
      <c r="E46" s="9" t="n">
        <f aca="false">COUNTIF('Inherited Public Citations'!K2:K58,"*dei-filius_la.html*")</f>
        <v>0</v>
      </c>
      <c r="F46" s="9" t="str">
        <f aca="false">IF(TEXT(E46,"@")=TEXT(D46,"@"),"PASS","FAIL")</f>
        <v>PASS</v>
      </c>
      <c r="G46" s="9" t="s">
        <v>380</v>
      </c>
      <c r="H46" s="9" t="s">
        <v>3314</v>
      </c>
    </row>
    <row r="47" customFormat="false" ht="15.75" hidden="false" customHeight="true" outlineLevel="0" collapsed="false">
      <c r="A47" s="9" t="s">
        <v>3315</v>
      </c>
      <c r="B47" s="9" t="s">
        <v>3195</v>
      </c>
      <c r="C47" s="9" t="s">
        <v>3316</v>
      </c>
      <c r="D47" s="9" t="n">
        <v>0</v>
      </c>
      <c r="E47" s="9" t="n">
        <v>0</v>
      </c>
      <c r="F47" s="9" t="str">
        <f aca="false">IF(TEXT(E47,"@")=TEXT(D47,"@"),"PASS","FAIL")</f>
        <v>PASS</v>
      </c>
      <c r="G47" s="9" t="s">
        <v>380</v>
      </c>
      <c r="H47" s="9" t="s">
        <v>3317</v>
      </c>
    </row>
    <row r="48" customFormat="false" ht="15.75" hidden="false" customHeight="true" outlineLevel="0" collapsed="false">
      <c r="A48" s="9" t="s">
        <v>3318</v>
      </c>
      <c r="B48" s="9" t="s">
        <v>3195</v>
      </c>
      <c r="C48" s="9" t="s">
        <v>3319</v>
      </c>
      <c r="D48" s="9" t="s">
        <v>51</v>
      </c>
      <c r="E48" s="9" t="s">
        <v>51</v>
      </c>
      <c r="F48" s="9" t="str">
        <f aca="false">IF(TEXT(E48,"@")=TEXT(D48,"@"),"PASS","FAIL")</f>
        <v>PASS</v>
      </c>
      <c r="G48" s="9" t="s">
        <v>380</v>
      </c>
      <c r="H48" s="9" t="s">
        <v>3320</v>
      </c>
    </row>
    <row r="49" customFormat="false" ht="15.75" hidden="false" customHeight="true" outlineLevel="0" collapsed="false">
      <c r="A49" s="9" t="s">
        <v>3321</v>
      </c>
      <c r="B49" s="9" t="s">
        <v>3195</v>
      </c>
      <c r="C49" s="9" t="s">
        <v>3322</v>
      </c>
      <c r="D49" s="9" t="n">
        <v>56</v>
      </c>
      <c r="E49" s="9" t="n">
        <f aca="false">COUNTIFS('Inherited Public Citations'!$Q$2:$Q$58,"READY",'Inherited Public Citations'!$R$2:$R$58,"&lt;&gt;")</f>
        <v>56</v>
      </c>
      <c r="F49" s="9" t="str">
        <f aca="false">IF(TEXT(E49,"@")=TEXT(D49,"@"),"PASS","FAIL")</f>
        <v>PASS</v>
      </c>
      <c r="G49" s="9" t="s">
        <v>380</v>
      </c>
      <c r="H49" s="9" t="s">
        <v>3323</v>
      </c>
    </row>
    <row r="50" customFormat="false" ht="15.75" hidden="false" customHeight="true" outlineLevel="0" collapsed="false">
      <c r="A50" s="9" t="s">
        <v>3324</v>
      </c>
      <c r="B50" s="9" t="s">
        <v>3195</v>
      </c>
      <c r="C50" s="9" t="s">
        <v>3325</v>
      </c>
      <c r="D50" s="9" t="n">
        <v>0</v>
      </c>
      <c r="E50" s="9" t="n">
        <f aca="false">COUNTIF('Citation Phrase Targets'!$D$2:$D$58,"&gt;15")</f>
        <v>0</v>
      </c>
      <c r="F50" s="9" t="str">
        <f aca="false">IF(TEXT(E50,"@")=TEXT(D50,"@"),"PASS","FAIL")</f>
        <v>PASS</v>
      </c>
      <c r="G50" s="9" t="s">
        <v>380</v>
      </c>
      <c r="H50" s="9" t="s">
        <v>3326</v>
      </c>
    </row>
    <row r="51" customFormat="false" ht="15.75" hidden="false" customHeight="true" outlineLevel="0" collapsed="false">
      <c r="A51" s="9" t="s">
        <v>3327</v>
      </c>
      <c r="B51" s="9" t="s">
        <v>3195</v>
      </c>
      <c r="C51" s="9" t="s">
        <v>3328</v>
      </c>
      <c r="D51" s="9" t="n">
        <v>1</v>
      </c>
      <c r="E51" s="9" t="n">
        <f aca="false">IF(AND('Inherited Public Citations'!$A$51="RNR-H50",'Inherited Public Citations'!$R$51="",'Inherited Public Citations'!$Q$51="NOT READY — HISTORICAL PACKET"),1,0)</f>
        <v>1</v>
      </c>
      <c r="F51" s="9" t="str">
        <f aca="false">IF(TEXT(E51,"@")=TEXT(D51,"@"),"PASS","FAIL")</f>
        <v>PASS</v>
      </c>
      <c r="G51" s="9" t="s">
        <v>380</v>
      </c>
      <c r="H51" s="9" t="s">
        <v>3329</v>
      </c>
    </row>
    <row r="52" customFormat="false" ht="15.75" hidden="false" customHeight="true" outlineLevel="0" collapsed="false">
      <c r="A52" s="9" t="s">
        <v>3330</v>
      </c>
      <c r="B52" s="9" t="s">
        <v>3195</v>
      </c>
      <c r="C52" s="9" t="s">
        <v>3331</v>
      </c>
      <c r="D52" s="9" t="n">
        <v>0</v>
      </c>
      <c r="E52" s="9" t="n">
        <f aca="false">COUNTIF('Inherited Public Citations'!$K$2:$K$58,"https://www.vatican.va/content/pius-ix/en/documents/constitutio-dogmatica-dei-filius-24-aprilis-1870.html")</f>
        <v>0</v>
      </c>
      <c r="F52" s="9" t="str">
        <f aca="false">IF(TEXT(E52,"@")=TEXT(D52,"@"),"PASS","FAIL")</f>
        <v>PASS</v>
      </c>
      <c r="G52" s="9" t="s">
        <v>380</v>
      </c>
      <c r="H52" s="9" t="s">
        <v>3332</v>
      </c>
    </row>
    <row r="53" customFormat="false" ht="15.75" hidden="false" customHeight="true" outlineLevel="0" collapsed="false">
      <c r="A53" s="9" t="s">
        <v>3333</v>
      </c>
      <c r="B53" s="9" t="s">
        <v>3195</v>
      </c>
      <c r="C53" s="9" t="s">
        <v>3334</v>
      </c>
      <c r="D53" s="9" t="n">
        <v>0</v>
      </c>
      <c r="E53" s="9" t="n">
        <f aca="false">COUNTIF('Inherited Public Citations'!$K$2:$K$58,"https://www.churchofengland.org/prayer-and-worship/worship-texts-and-resources/book-common-prayer/creed-s-athanasius")</f>
        <v>0</v>
      </c>
      <c r="F53" s="9" t="str">
        <f aca="false">IF(TEXT(E53,"@")=TEXT(D53,"@"),"PASS","FAIL")</f>
        <v>PASS</v>
      </c>
      <c r="G53" s="9" t="s">
        <v>380</v>
      </c>
      <c r="H53" s="9" t="s">
        <v>3335</v>
      </c>
    </row>
    <row r="54" customFormat="false" ht="15.75" hidden="false" customHeight="true" outlineLevel="0" collapsed="false">
      <c r="A54" s="9" t="s">
        <v>3336</v>
      </c>
      <c r="B54" s="9" t="s">
        <v>3195</v>
      </c>
      <c r="C54" s="9" t="s">
        <v>3337</v>
      </c>
      <c r="D54" s="9" t="n">
        <v>57</v>
      </c>
      <c r="E54" s="9" t="n">
        <f aca="false">COUNTA('Citation Phrase Targets'!$A$2:$A$58)</f>
        <v>57</v>
      </c>
      <c r="F54" s="9" t="str">
        <f aca="false">IF(TEXT(E54,"@")=TEXT(D54,"@"),"PASS","FAIL")</f>
        <v>PASS</v>
      </c>
      <c r="G54" s="9" t="s">
        <v>380</v>
      </c>
      <c r="H54" s="9" t="s">
        <v>3338</v>
      </c>
    </row>
    <row r="55" customFormat="false" ht="15.75" hidden="false" customHeight="true" outlineLevel="0" collapsed="false">
      <c r="A55" s="9" t="s">
        <v>3339</v>
      </c>
      <c r="B55" s="9" t="s">
        <v>3195</v>
      </c>
      <c r="C55" s="9" t="s">
        <v>3340</v>
      </c>
      <c r="D55" s="9" t="n">
        <v>0</v>
      </c>
      <c r="E55" s="9" t="n">
        <f aca="false">COUNTIFS('Citation Phrase Targets'!$E$2:$E$58,"READY",'Citation Phrase Targets'!$C$2:$C$58,"")</f>
        <v>0</v>
      </c>
      <c r="F55" s="9" t="str">
        <f aca="false">IF(TEXT(E55,"@")=TEXT(D55,"@"),"PASS","FAIL")</f>
        <v>PASS</v>
      </c>
      <c r="G55" s="9" t="s">
        <v>380</v>
      </c>
      <c r="H55" s="9" t="s">
        <v>3341</v>
      </c>
    </row>
    <row r="56" customFormat="false" ht="15.75" hidden="false" customHeight="true" outlineLevel="0" collapsed="false">
      <c r="A56" s="9" t="s">
        <v>3342</v>
      </c>
      <c r="B56" s="9" t="s">
        <v>3195</v>
      </c>
      <c r="C56" s="9" t="s">
        <v>3343</v>
      </c>
      <c r="D56" s="9" t="n">
        <v>1</v>
      </c>
      <c r="E56" s="9" t="n">
        <f aca="false">COUNTIF('Pipeline Validation Spec'!$A$1:$A$30,"P018")</f>
        <v>1</v>
      </c>
      <c r="F56" s="9" t="str">
        <f aca="false">IF(TEXT(E56,"@")=TEXT(D56,"@"),"PASS","FAIL")</f>
        <v>PASS</v>
      </c>
      <c r="G56" s="9" t="s">
        <v>380</v>
      </c>
      <c r="H56" s="9" t="s">
        <v>3344</v>
      </c>
    </row>
    <row r="57" customFormat="false" ht="15.75" hidden="false" customHeight="true" outlineLevel="0" collapsed="false">
      <c r="A57" s="9" t="s">
        <v>3345</v>
      </c>
      <c r="B57" s="9" t="s">
        <v>3195</v>
      </c>
      <c r="C57" s="9" t="s">
        <v>3346</v>
      </c>
      <c r="D57" s="9" t="n">
        <v>89</v>
      </c>
      <c r="E57" s="9" t="n">
        <v>89</v>
      </c>
      <c r="F57" s="9" t="str">
        <f aca="false">IF(TEXT(E57,"@")=TEXT(D57,"@"),"PASS","FAIL")</f>
        <v>PASS</v>
      </c>
      <c r="G57" s="9" t="s">
        <v>380</v>
      </c>
      <c r="H57" s="9" t="s">
        <v>3347</v>
      </c>
    </row>
    <row r="58" customFormat="false" ht="15.75" hidden="false" customHeight="true" outlineLevel="0" collapsed="false">
      <c r="A58" s="9" t="s">
        <v>3348</v>
      </c>
      <c r="B58" s="9" t="s">
        <v>3195</v>
      </c>
      <c r="C58" s="9" t="s">
        <v>3349</v>
      </c>
      <c r="D58" s="9" t="n">
        <v>63</v>
      </c>
      <c r="E58" s="9" t="n">
        <v>63</v>
      </c>
      <c r="F58" s="9" t="str">
        <f aca="false">IF(TEXT(E58,"@")=TEXT(D58,"@"),"PASS","FAIL")</f>
        <v>PASS</v>
      </c>
      <c r="G58" s="9" t="s">
        <v>380</v>
      </c>
      <c r="H58" s="9" t="s">
        <v>75</v>
      </c>
    </row>
    <row r="59" customFormat="false" ht="15.75" hidden="false" customHeight="true" outlineLevel="0" collapsed="false">
      <c r="A59" s="9" t="s">
        <v>3350</v>
      </c>
      <c r="B59" s="9" t="s">
        <v>3195</v>
      </c>
      <c r="C59" s="9" t="s">
        <v>3351</v>
      </c>
      <c r="D59" s="9" t="n">
        <v>57</v>
      </c>
      <c r="E59" s="9" t="n">
        <v>57</v>
      </c>
      <c r="F59" s="9" t="str">
        <f aca="false">IF(TEXT(E59,"@")=TEXT(D59,"@"),"PASS","FAIL")</f>
        <v>PASS</v>
      </c>
      <c r="G59" s="9" t="s">
        <v>380</v>
      </c>
      <c r="H59" s="9" t="s">
        <v>3352</v>
      </c>
    </row>
    <row r="60" customFormat="false" ht="15.75" hidden="false" customHeight="true" outlineLevel="0" collapsed="false">
      <c r="A60" s="9" t="s">
        <v>3353</v>
      </c>
      <c r="B60" s="9" t="s">
        <v>3195</v>
      </c>
      <c r="C60" s="9" t="s">
        <v>3354</v>
      </c>
      <c r="D60" s="9" t="n">
        <v>6</v>
      </c>
      <c r="E60" s="9" t="n">
        <v>6</v>
      </c>
      <c r="F60" s="9" t="str">
        <f aca="false">IF(TEXT(E60,"@")=TEXT(D60,"@"),"PASS","FAIL")</f>
        <v>PASS</v>
      </c>
      <c r="G60" s="9" t="s">
        <v>380</v>
      </c>
      <c r="H60" s="9" t="s">
        <v>3355</v>
      </c>
    </row>
    <row r="61" customFormat="false" ht="15.75" hidden="false" customHeight="true" outlineLevel="0" collapsed="false">
      <c r="A61" s="9" t="s">
        <v>3356</v>
      </c>
      <c r="B61" s="9" t="s">
        <v>3195</v>
      </c>
      <c r="C61" s="9" t="s">
        <v>3357</v>
      </c>
      <c r="D61" s="9" t="n">
        <v>0</v>
      </c>
      <c r="E61" s="9" t="n">
        <v>0</v>
      </c>
      <c r="F61" s="9" t="str">
        <f aca="false">IF(TEXT(E61,"@")=TEXT(D61,"@"),"PASS","FAIL")</f>
        <v>PASS</v>
      </c>
      <c r="G61" s="9" t="s">
        <v>380</v>
      </c>
      <c r="H61" s="9" t="s">
        <v>3358</v>
      </c>
    </row>
    <row r="62" customFormat="false" ht="15.75" hidden="false" customHeight="true" outlineLevel="0" collapsed="false">
      <c r="A62" s="9" t="s">
        <v>3359</v>
      </c>
      <c r="B62" s="9" t="s">
        <v>3195</v>
      </c>
      <c r="C62" s="9" t="s">
        <v>3360</v>
      </c>
      <c r="D62" s="9" t="n">
        <v>0</v>
      </c>
      <c r="E62" s="9" t="n">
        <v>0</v>
      </c>
      <c r="F62" s="9" t="str">
        <f aca="false">IF(TEXT(E62,"@")=TEXT(D62,"@"),"PASS","FAIL")</f>
        <v>PASS</v>
      </c>
      <c r="G62" s="9" t="s">
        <v>380</v>
      </c>
      <c r="H62" s="9" t="s">
        <v>3361</v>
      </c>
    </row>
    <row r="63" customFormat="false" ht="15.75" hidden="false" customHeight="true" outlineLevel="0" collapsed="false">
      <c r="A63" s="9" t="s">
        <v>3362</v>
      </c>
      <c r="B63" s="9" t="s">
        <v>3195</v>
      </c>
      <c r="C63" s="9" t="s">
        <v>3363</v>
      </c>
      <c r="D63" s="9" t="n">
        <v>0</v>
      </c>
      <c r="E63" s="9" t="n">
        <v>0</v>
      </c>
      <c r="F63" s="9" t="str">
        <f aca="false">IF(TEXT(E63,"@")=TEXT(D63,"@"),"PASS","FAIL")</f>
        <v>PASS</v>
      </c>
      <c r="G63" s="9" t="s">
        <v>380</v>
      </c>
      <c r="H63" s="9" t="s">
        <v>3364</v>
      </c>
    </row>
    <row r="64" customFormat="false" ht="15.75" hidden="false" customHeight="true" outlineLevel="0" collapsed="false">
      <c r="A64" s="9" t="s">
        <v>3365</v>
      </c>
      <c r="B64" s="9" t="s">
        <v>3195</v>
      </c>
      <c r="C64" s="9" t="s">
        <v>3366</v>
      </c>
      <c r="D64" s="9" t="n">
        <v>1</v>
      </c>
      <c r="E64" s="9" t="n">
        <v>1</v>
      </c>
      <c r="F64" s="9" t="str">
        <f aca="false">IF(TEXT(E64,"@")=TEXT(D64,"@"),"PASS","FAIL")</f>
        <v>PASS</v>
      </c>
      <c r="G64" s="9" t="s">
        <v>380</v>
      </c>
      <c r="H64" s="9" t="s">
        <v>3367</v>
      </c>
    </row>
    <row r="65" customFormat="false" ht="15.75" hidden="false" customHeight="true" outlineLevel="0" collapsed="false">
      <c r="A65" s="9" t="s">
        <v>3368</v>
      </c>
      <c r="B65" s="9" t="s">
        <v>3195</v>
      </c>
      <c r="C65" s="9" t="s">
        <v>3369</v>
      </c>
      <c r="D65" s="9" t="n">
        <v>3</v>
      </c>
      <c r="E65" s="9" t="n">
        <v>3</v>
      </c>
      <c r="F65" s="9" t="str">
        <f aca="false">IF(TEXT(E65,"@")=TEXT(D65,"@"),"PASS","FAIL")</f>
        <v>PASS</v>
      </c>
      <c r="G65" s="9" t="s">
        <v>380</v>
      </c>
      <c r="H65" s="9" t="s">
        <v>3370</v>
      </c>
    </row>
    <row r="66" customFormat="false" ht="15.75" hidden="false" customHeight="true" outlineLevel="0" collapsed="false">
      <c r="A66" s="9" t="s">
        <v>3371</v>
      </c>
      <c r="B66" s="9" t="s">
        <v>3195</v>
      </c>
      <c r="C66" s="9" t="s">
        <v>3372</v>
      </c>
      <c r="D66" s="9" t="n">
        <v>0</v>
      </c>
      <c r="E66" s="9" t="n">
        <v>0</v>
      </c>
      <c r="F66" s="9" t="str">
        <f aca="false">IF(TEXT(E66,"@")=TEXT(D66,"@"),"PASS","FAIL")</f>
        <v>PASS</v>
      </c>
      <c r="G66" s="9" t="s">
        <v>380</v>
      </c>
      <c r="H66" s="9" t="s">
        <v>3373</v>
      </c>
    </row>
    <row r="67" customFormat="false" ht="15.75" hidden="false" customHeight="true" outlineLevel="0" collapsed="false">
      <c r="A67" s="9" t="s">
        <v>3374</v>
      </c>
      <c r="B67" s="9" t="s">
        <v>3195</v>
      </c>
      <c r="C67" s="9" t="s">
        <v>3375</v>
      </c>
      <c r="D67" s="9" t="n">
        <v>1</v>
      </c>
      <c r="E67" s="9" t="n">
        <v>1</v>
      </c>
      <c r="F67" s="9" t="str">
        <f aca="false">IF(TEXT(E67,"@")=TEXT(D67,"@"),"PASS","FAIL")</f>
        <v>PASS</v>
      </c>
      <c r="G67" s="9" t="s">
        <v>380</v>
      </c>
      <c r="H67" s="9" t="s">
        <v>3376</v>
      </c>
    </row>
    <row r="68" customFormat="false" ht="15.75" hidden="false" customHeight="true" outlineLevel="0" collapsed="false">
      <c r="A68" s="9" t="s">
        <v>3377</v>
      </c>
      <c r="B68" s="9" t="s">
        <v>3195</v>
      </c>
      <c r="C68" s="9" t="s">
        <v>3378</v>
      </c>
      <c r="D68" s="9" t="n">
        <v>26</v>
      </c>
      <c r="E68" s="9" t="n">
        <v>26</v>
      </c>
      <c r="F68" s="9" t="str">
        <f aca="false">IF(TEXT(E68,"@")=TEXT(D68,"@"),"PASS","FAIL")</f>
        <v>PASS</v>
      </c>
      <c r="G68" s="9" t="s">
        <v>380</v>
      </c>
      <c r="H68" s="9" t="s">
        <v>3379</v>
      </c>
    </row>
    <row r="69" customFormat="false" ht="15.75" hidden="false" customHeight="true" outlineLevel="0" collapsed="false">
      <c r="A69" s="9" t="s">
        <v>3380</v>
      </c>
      <c r="B69" s="9" t="s">
        <v>3195</v>
      </c>
      <c r="C69" s="9" t="s">
        <v>3381</v>
      </c>
      <c r="D69" s="9" t="n">
        <v>21</v>
      </c>
      <c r="E69" s="9" t="n">
        <v>21</v>
      </c>
      <c r="F69" s="9" t="str">
        <f aca="false">IF(TEXT(E69,"@")=TEXT(D69,"@"),"PASS","FAIL")</f>
        <v>PASS</v>
      </c>
      <c r="G69" s="9" t="s">
        <v>380</v>
      </c>
      <c r="H69" s="9" t="s">
        <v>3382</v>
      </c>
    </row>
    <row r="70" customFormat="false" ht="15.75" hidden="false" customHeight="true" outlineLevel="0" collapsed="false">
      <c r="A70" s="9" t="s">
        <v>3383</v>
      </c>
      <c r="B70" s="9" t="s">
        <v>3195</v>
      </c>
      <c r="C70" s="9" t="s">
        <v>3384</v>
      </c>
      <c r="D70" s="9" t="n">
        <v>3</v>
      </c>
      <c r="E70" s="9" t="n">
        <v>3</v>
      </c>
      <c r="F70" s="9" t="str">
        <f aca="false">IF(TEXT(E70,"@")=TEXT(D70,"@"),"PASS","FAIL")</f>
        <v>PASS</v>
      </c>
      <c r="G70" s="9" t="s">
        <v>380</v>
      </c>
      <c r="H70" s="9" t="s">
        <v>3385</v>
      </c>
    </row>
    <row r="71" customFormat="false" ht="15.75" hidden="false" customHeight="true" outlineLevel="0" collapsed="false">
      <c r="A71" s="9" t="s">
        <v>3386</v>
      </c>
      <c r="B71" s="9" t="s">
        <v>3195</v>
      </c>
      <c r="C71" s="9" t="s">
        <v>3387</v>
      </c>
      <c r="D71" s="9" t="n">
        <v>0</v>
      </c>
      <c r="E71" s="9" t="n">
        <v>0</v>
      </c>
      <c r="F71" s="9" t="str">
        <f aca="false">IF(TEXT(E71,"@")=TEXT(D71,"@"),"PASS","FAIL")</f>
        <v>PASS</v>
      </c>
      <c r="G71" s="9" t="s">
        <v>380</v>
      </c>
      <c r="H71" s="9" t="s">
        <v>3388</v>
      </c>
    </row>
    <row r="72" customFormat="false" ht="15.75" hidden="false" customHeight="true" outlineLevel="0" collapsed="false">
      <c r="A72" s="9" t="s">
        <v>3389</v>
      </c>
      <c r="B72" s="9" t="s">
        <v>3195</v>
      </c>
      <c r="C72" s="9" t="s">
        <v>3390</v>
      </c>
      <c r="D72" s="9" t="n">
        <v>0</v>
      </c>
      <c r="E72" s="9" t="n">
        <v>0</v>
      </c>
      <c r="F72" s="9" t="str">
        <f aca="false">IF(TEXT(E72,"@")=TEXT(D72,"@"),"PASS","FAIL")</f>
        <v>PASS</v>
      </c>
      <c r="G72" s="9" t="s">
        <v>380</v>
      </c>
      <c r="H72" s="9" t="s">
        <v>3391</v>
      </c>
    </row>
    <row r="73" customFormat="false" ht="15.75" hidden="false" customHeight="true" outlineLevel="0" collapsed="false">
      <c r="A73" s="9" t="s">
        <v>3392</v>
      </c>
      <c r="B73" s="9" t="s">
        <v>3195</v>
      </c>
      <c r="C73" s="9" t="s">
        <v>3393</v>
      </c>
      <c r="D73" s="9" t="n">
        <v>0</v>
      </c>
      <c r="E73" s="9" t="n">
        <v>0</v>
      </c>
      <c r="F73" s="9" t="str">
        <f aca="false">IF(TEXT(E73,"@")=TEXT(D73,"@"),"PASS","FAIL")</f>
        <v>PASS</v>
      </c>
      <c r="G73" s="9" t="s">
        <v>380</v>
      </c>
      <c r="H73" s="9" t="s">
        <v>3394</v>
      </c>
    </row>
    <row r="74" customFormat="false" ht="15.75" hidden="false" customHeight="true" outlineLevel="0" collapsed="false">
      <c r="A74" s="9" t="s">
        <v>3395</v>
      </c>
      <c r="B74" s="9" t="s">
        <v>3195</v>
      </c>
      <c r="C74" s="9" t="s">
        <v>3396</v>
      </c>
      <c r="D74" s="9" t="n">
        <v>1</v>
      </c>
      <c r="E74" s="9" t="n">
        <v>1</v>
      </c>
      <c r="F74" s="9" t="str">
        <f aca="false">IF(TEXT(E74,"@")=TEXT(D74,"@"),"PASS","FAIL")</f>
        <v>PASS</v>
      </c>
      <c r="G74" s="9" t="s">
        <v>380</v>
      </c>
      <c r="H74" s="9" t="s">
        <v>3397</v>
      </c>
    </row>
    <row r="75" customFormat="false" ht="15.75" hidden="false" customHeight="true" outlineLevel="0" collapsed="false">
      <c r="A75" s="9" t="s">
        <v>3398</v>
      </c>
      <c r="B75" s="9" t="s">
        <v>3195</v>
      </c>
      <c r="C75" s="9" t="s">
        <v>3399</v>
      </c>
      <c r="D75" s="9" t="n">
        <v>3</v>
      </c>
      <c r="E75" s="9" t="n">
        <v>3</v>
      </c>
      <c r="F75" s="9" t="str">
        <f aca="false">IF(TEXT(E75,"@")=TEXT(D75,"@"),"PASS","FAIL")</f>
        <v>PASS</v>
      </c>
      <c r="G75" s="9" t="s">
        <v>380</v>
      </c>
      <c r="H75" s="9" t="s">
        <v>3400</v>
      </c>
    </row>
    <row r="76" customFormat="false" ht="15.75" hidden="false" customHeight="true" outlineLevel="0" collapsed="false">
      <c r="A76" s="9" t="s">
        <v>3401</v>
      </c>
      <c r="B76" s="9" t="s">
        <v>3195</v>
      </c>
      <c r="C76" s="9" t="s">
        <v>3402</v>
      </c>
      <c r="D76" s="9" t="n">
        <v>3</v>
      </c>
      <c r="E76" s="9" t="n">
        <v>3</v>
      </c>
      <c r="F76" s="9" t="str">
        <f aca="false">IF(TEXT(E76,"@")=TEXT(D76,"@"),"PASS","FAIL")</f>
        <v>PASS</v>
      </c>
      <c r="G76" s="9" t="s">
        <v>380</v>
      </c>
      <c r="H76" s="9" t="s">
        <v>3403</v>
      </c>
    </row>
    <row r="77" customFormat="false" ht="15.75" hidden="false" customHeight="true" outlineLevel="0" collapsed="false">
      <c r="A77" s="9" t="s">
        <v>3404</v>
      </c>
      <c r="B77" s="9" t="s">
        <v>3195</v>
      </c>
      <c r="C77" s="9" t="s">
        <v>3405</v>
      </c>
      <c r="D77" s="9" t="n">
        <v>3</v>
      </c>
      <c r="E77" s="9" t="n">
        <v>3</v>
      </c>
      <c r="F77" s="9" t="str">
        <f aca="false">IF(TEXT(E77,"@")=TEXT(D77,"@"),"PASS","FAIL")</f>
        <v>PASS</v>
      </c>
      <c r="G77" s="9" t="s">
        <v>380</v>
      </c>
      <c r="H77" s="9" t="s">
        <v>3406</v>
      </c>
    </row>
    <row r="78" customFormat="false" ht="15.75" hidden="false" customHeight="true" outlineLevel="0" collapsed="false">
      <c r="A78" s="9" t="s">
        <v>3407</v>
      </c>
      <c r="B78" s="9" t="s">
        <v>3195</v>
      </c>
      <c r="C78" s="9" t="s">
        <v>3408</v>
      </c>
      <c r="D78" s="9" t="n">
        <v>1</v>
      </c>
      <c r="E78" s="9" t="n">
        <v>1</v>
      </c>
      <c r="F78" s="9" t="str">
        <f aca="false">IF(TEXT(E78,"@")=TEXT(D78,"@"),"PASS","FAIL")</f>
        <v>PASS</v>
      </c>
      <c r="G78" s="9" t="s">
        <v>380</v>
      </c>
      <c r="H78" s="9" t="s">
        <v>3409</v>
      </c>
    </row>
    <row r="79" customFormat="false" ht="15.75" hidden="false" customHeight="true" outlineLevel="0" collapsed="false">
      <c r="A79" s="9" t="s">
        <v>3410</v>
      </c>
      <c r="B79" s="9" t="s">
        <v>3195</v>
      </c>
      <c r="C79" s="9" t="s">
        <v>3411</v>
      </c>
      <c r="D79" s="9" t="n">
        <v>142</v>
      </c>
      <c r="E79" s="9" t="n">
        <v>142</v>
      </c>
      <c r="F79" s="9" t="str">
        <f aca="false">IF(TEXT(E79,"@")=TEXT(D79,"@"),"PASS","FAIL")</f>
        <v>PASS</v>
      </c>
      <c r="G79" s="9" t="s">
        <v>380</v>
      </c>
      <c r="H79" s="9" t="s">
        <v>3412</v>
      </c>
    </row>
    <row r="80" customFormat="false" ht="15.75" hidden="false" customHeight="true" outlineLevel="0" collapsed="false">
      <c r="A80" s="9" t="s">
        <v>3413</v>
      </c>
      <c r="B80" s="9" t="s">
        <v>3195</v>
      </c>
      <c r="C80" s="9" t="s">
        <v>3414</v>
      </c>
      <c r="D80" s="9" t="n">
        <v>2</v>
      </c>
      <c r="E80" s="9" t="n">
        <v>2</v>
      </c>
      <c r="F80" s="9" t="str">
        <f aca="false">IF(TEXT(E80,"@")=TEXT(D80,"@"),"PASS","FAIL")</f>
        <v>PASS</v>
      </c>
      <c r="G80" s="9" t="s">
        <v>380</v>
      </c>
      <c r="H80" s="9" t="s">
        <v>3415</v>
      </c>
    </row>
    <row r="81" customFormat="false" ht="15.75" hidden="false" customHeight="true" outlineLevel="0" collapsed="false">
      <c r="A81" s="9" t="s">
        <v>3416</v>
      </c>
      <c r="B81" s="9" t="s">
        <v>3195</v>
      </c>
      <c r="C81" s="9" t="s">
        <v>3417</v>
      </c>
      <c r="D81" s="9" t="n">
        <v>0</v>
      </c>
      <c r="E81" s="9" t="n">
        <v>0</v>
      </c>
      <c r="F81" s="9" t="str">
        <f aca="false">IF(TEXT(E81,"@")=TEXT(D81,"@"),"PASS","FAIL")</f>
        <v>PASS</v>
      </c>
      <c r="G81" s="9" t="s">
        <v>380</v>
      </c>
      <c r="H81" s="9" t="s">
        <v>3418</v>
      </c>
    </row>
    <row r="82" customFormat="false" ht="15.75" hidden="false" customHeight="true" outlineLevel="0" collapsed="false">
      <c r="A82" s="9" t="s">
        <v>3419</v>
      </c>
      <c r="B82" s="9" t="s">
        <v>3016</v>
      </c>
      <c r="C82" s="9" t="s">
        <v>3420</v>
      </c>
      <c r="D82" s="9" t="n">
        <v>0</v>
      </c>
      <c r="E82" s="9" t="n">
        <v>0</v>
      </c>
      <c r="F82" s="9" t="str">
        <f aca="false">IF(TEXT(E82,"@")=TEXT(D82,"@"),"PASS","FAIL")</f>
        <v>PASS</v>
      </c>
      <c r="G82" s="9" t="s">
        <v>398</v>
      </c>
      <c r="H82" s="9" t="s">
        <v>3421</v>
      </c>
    </row>
    <row r="83" customFormat="false" ht="15.75" hidden="false" customHeight="true" outlineLevel="0" collapsed="false">
      <c r="A83" s="9" t="s">
        <v>3422</v>
      </c>
      <c r="B83" s="9" t="s">
        <v>3195</v>
      </c>
      <c r="C83" s="9" t="s">
        <v>3423</v>
      </c>
      <c r="D83" s="9" t="n">
        <v>35</v>
      </c>
      <c r="E83" s="9" t="n">
        <v>35</v>
      </c>
      <c r="F83" s="9" t="str">
        <f aca="false">IF(TEXT(E83,"@")=TEXT(D83,"@"),"PASS","FAIL")</f>
        <v>PASS</v>
      </c>
      <c r="G83" s="9" t="s">
        <v>380</v>
      </c>
      <c r="H83" s="9" t="s">
        <v>3424</v>
      </c>
    </row>
    <row r="84" customFormat="false" ht="15.75" hidden="false" customHeight="true" outlineLevel="0" collapsed="false">
      <c r="A84" s="9" t="s">
        <v>3425</v>
      </c>
      <c r="B84" s="9" t="s">
        <v>3195</v>
      </c>
      <c r="C84" s="9" t="s">
        <v>3426</v>
      </c>
      <c r="D84" s="9" t="n">
        <v>0</v>
      </c>
      <c r="E84" s="9" t="n">
        <v>0</v>
      </c>
      <c r="F84" s="9" t="str">
        <f aca="false">IF(TEXT(E84,"@")=TEXT(D84,"@"),"PASS","FAIL")</f>
        <v>PASS</v>
      </c>
      <c r="G84" s="9" t="s">
        <v>380</v>
      </c>
      <c r="H84" s="9" t="s">
        <v>3427</v>
      </c>
    </row>
    <row r="85" customFormat="false" ht="15.75" hidden="false" customHeight="true" outlineLevel="0" collapsed="false">
      <c r="A85" s="9" t="s">
        <v>3428</v>
      </c>
      <c r="B85" s="9" t="s">
        <v>3195</v>
      </c>
      <c r="C85" s="9" t="s">
        <v>3429</v>
      </c>
      <c r="D85" s="9" t="n">
        <v>20</v>
      </c>
      <c r="E85" s="9" t="n">
        <v>20</v>
      </c>
      <c r="F85" s="9" t="str">
        <f aca="false">IF(TEXT(E85,"@")=TEXT(D85,"@"),"PASS","FAIL")</f>
        <v>PASS</v>
      </c>
      <c r="G85" s="9" t="s">
        <v>380</v>
      </c>
      <c r="H85" s="9" t="s">
        <v>3430</v>
      </c>
    </row>
    <row r="86" customFormat="false" ht="15.75" hidden="false" customHeight="true" outlineLevel="0" collapsed="false">
      <c r="A86" s="9" t="s">
        <v>3431</v>
      </c>
      <c r="B86" s="9" t="s">
        <v>3195</v>
      </c>
      <c r="C86" s="9" t="s">
        <v>3432</v>
      </c>
      <c r="D86" s="9" t="n">
        <v>0</v>
      </c>
      <c r="E86" s="9" t="n">
        <v>0</v>
      </c>
      <c r="F86" s="9" t="str">
        <f aca="false">IF(TEXT(E86,"@")=TEXT(D86,"@"),"PASS","FAIL")</f>
        <v>PASS</v>
      </c>
      <c r="G86" s="9" t="s">
        <v>380</v>
      </c>
      <c r="H86" s="9" t="s">
        <v>3433</v>
      </c>
    </row>
    <row r="87" customFormat="false" ht="15.75" hidden="false" customHeight="true" outlineLevel="0" collapsed="false">
      <c r="A87" s="9" t="s">
        <v>3434</v>
      </c>
      <c r="B87" s="9" t="s">
        <v>3195</v>
      </c>
      <c r="C87" s="9" t="s">
        <v>3435</v>
      </c>
      <c r="D87" s="9" t="n">
        <v>0</v>
      </c>
      <c r="E87" s="9" t="n">
        <v>0</v>
      </c>
      <c r="F87" s="9" t="str">
        <f aca="false">IF(TEXT(E87,"@")=TEXT(D87,"@"),"PASS","FAIL")</f>
        <v>PASS</v>
      </c>
      <c r="G87" s="9" t="s">
        <v>380</v>
      </c>
      <c r="H87" s="9" t="s">
        <v>3436</v>
      </c>
    </row>
    <row r="88" customFormat="false" ht="15.75" hidden="false" customHeight="true" outlineLevel="0" collapsed="false">
      <c r="A88" s="9" t="s">
        <v>3437</v>
      </c>
      <c r="B88" s="9" t="s">
        <v>3195</v>
      </c>
      <c r="C88" s="9" t="s">
        <v>3438</v>
      </c>
      <c r="D88" s="9" t="n">
        <v>0</v>
      </c>
      <c r="E88" s="9" t="n">
        <v>0</v>
      </c>
      <c r="F88" s="9" t="str">
        <f aca="false">IF(TEXT(E88,"@")=TEXT(D88,"@"),"PASS","FAIL")</f>
        <v>PASS</v>
      </c>
      <c r="G88" s="9" t="s">
        <v>380</v>
      </c>
      <c r="H88" s="9" t="s">
        <v>3439</v>
      </c>
    </row>
    <row r="89" customFormat="false" ht="15.75" hidden="false" customHeight="true" outlineLevel="0" collapsed="false">
      <c r="A89" s="9" t="s">
        <v>3440</v>
      </c>
      <c r="B89" s="9" t="s">
        <v>3195</v>
      </c>
      <c r="C89" s="9" t="s">
        <v>3441</v>
      </c>
      <c r="D89" s="9" t="n">
        <v>0</v>
      </c>
      <c r="E89" s="9" t="n">
        <v>0</v>
      </c>
      <c r="F89" s="9" t="str">
        <f aca="false">IF(TEXT(E89,"@")=TEXT(D89,"@"),"PASS","FAIL")</f>
        <v>PASS</v>
      </c>
      <c r="G89" s="9" t="s">
        <v>380</v>
      </c>
      <c r="H89" s="9" t="s">
        <v>3442</v>
      </c>
    </row>
    <row r="90" customFormat="false" ht="15.75" hidden="false" customHeight="true" outlineLevel="0" collapsed="false">
      <c r="A90" s="9" t="s">
        <v>3443</v>
      </c>
      <c r="B90" s="9" t="s">
        <v>3195</v>
      </c>
      <c r="C90" s="9" t="s">
        <v>3444</v>
      </c>
      <c r="D90" s="9" t="n">
        <v>1</v>
      </c>
      <c r="E90" s="9" t="n">
        <v>1</v>
      </c>
      <c r="F90" s="9" t="str">
        <f aca="false">IF(TEXT(E90,"@")=TEXT(D90,"@"),"PASS","FAIL")</f>
        <v>PASS</v>
      </c>
      <c r="G90" s="9" t="s">
        <v>380</v>
      </c>
      <c r="H90" s="9" t="s">
        <v>3445</v>
      </c>
    </row>
    <row r="91" customFormat="false" ht="15.75" hidden="false" customHeight="true" outlineLevel="0" collapsed="false">
      <c r="A91" s="9" t="s">
        <v>3446</v>
      </c>
      <c r="B91" s="9" t="s">
        <v>3195</v>
      </c>
      <c r="C91" s="9" t="s">
        <v>3447</v>
      </c>
      <c r="D91" s="9" t="n">
        <v>0</v>
      </c>
      <c r="E91" s="9" t="n">
        <v>0</v>
      </c>
      <c r="F91" s="9" t="str">
        <f aca="false">IF(TEXT(E91,"@")=TEXT(D91,"@"),"PASS","FAIL")</f>
        <v>PASS</v>
      </c>
      <c r="G91" s="9" t="s">
        <v>380</v>
      </c>
      <c r="H91" s="9" t="s">
        <v>3448</v>
      </c>
    </row>
    <row r="92" customFormat="false" ht="15.75" hidden="false" customHeight="true" outlineLevel="0" collapsed="false">
      <c r="A92" s="9" t="s">
        <v>3449</v>
      </c>
      <c r="B92" s="9" t="s">
        <v>3195</v>
      </c>
      <c r="C92" s="9" t="s">
        <v>3450</v>
      </c>
      <c r="D92" s="9" t="n">
        <v>20</v>
      </c>
      <c r="E92" s="9" t="n">
        <v>20</v>
      </c>
      <c r="F92" s="9" t="str">
        <f aca="false">IF(TEXT(E92,"@")=TEXT(D92,"@"),"PASS","FAIL")</f>
        <v>PASS</v>
      </c>
      <c r="G92" s="9" t="s">
        <v>380</v>
      </c>
      <c r="H92" s="9" t="s">
        <v>3451</v>
      </c>
    </row>
    <row r="93" customFormat="false" ht="15.75" hidden="false" customHeight="true" outlineLevel="0" collapsed="false">
      <c r="A93" s="9" t="s">
        <v>3452</v>
      </c>
      <c r="B93" s="9" t="s">
        <v>3195</v>
      </c>
      <c r="C93" s="9" t="s">
        <v>3453</v>
      </c>
      <c r="D93" s="9" t="n">
        <v>4</v>
      </c>
      <c r="E93" s="9" t="n">
        <v>4</v>
      </c>
      <c r="F93" s="9" t="str">
        <f aca="false">IF(TEXT(E93,"@")=TEXT(D93,"@"),"PASS","FAIL")</f>
        <v>PASS</v>
      </c>
      <c r="G93" s="9" t="s">
        <v>380</v>
      </c>
      <c r="H93" s="9" t="s">
        <v>3454</v>
      </c>
    </row>
    <row r="94" customFormat="false" ht="15.75" hidden="false" customHeight="true" outlineLevel="0" collapsed="false">
      <c r="A94" s="9" t="s">
        <v>3455</v>
      </c>
      <c r="B94" s="9" t="s">
        <v>3195</v>
      </c>
      <c r="C94" s="9" t="s">
        <v>3456</v>
      </c>
      <c r="D94" s="9" t="n">
        <v>162</v>
      </c>
      <c r="E94" s="9" t="n">
        <v>162</v>
      </c>
      <c r="F94" s="9" t="str">
        <f aca="false">IF(TEXT(E94,"@")=TEXT(D94,"@"),"PASS","FAIL")</f>
        <v>PASS</v>
      </c>
      <c r="G94" s="9" t="s">
        <v>380</v>
      </c>
      <c r="H94" s="9" t="s">
        <v>3457</v>
      </c>
    </row>
    <row r="95" customFormat="false" ht="15.75" hidden="false" customHeight="true" outlineLevel="0" collapsed="false">
      <c r="A95" s="9" t="s">
        <v>3458</v>
      </c>
      <c r="B95" s="9" t="s">
        <v>3195</v>
      </c>
      <c r="C95" s="9" t="s">
        <v>3459</v>
      </c>
      <c r="D95" s="9" t="n">
        <v>104</v>
      </c>
      <c r="E95" s="9" t="n">
        <f aca="false">COUNTA('Author Decision Queue'!$B$2:$B$105)</f>
        <v>104</v>
      </c>
      <c r="F95" s="9" t="str">
        <f aca="false">IF(TEXT(E95,"@")=TEXT(D95,"@"),"PASS","FAIL")</f>
        <v>PASS</v>
      </c>
      <c r="G95" s="9" t="s">
        <v>380</v>
      </c>
      <c r="H95" s="9" t="s">
        <v>3460</v>
      </c>
    </row>
    <row r="96" customFormat="false" ht="15.75" hidden="false" customHeight="true" outlineLevel="0" collapsed="false">
      <c r="A96" s="9" t="s">
        <v>3461</v>
      </c>
      <c r="B96" s="9" t="s">
        <v>3195</v>
      </c>
      <c r="C96" s="9" t="s">
        <v>3462</v>
      </c>
      <c r="D96" s="9" t="n">
        <v>0</v>
      </c>
      <c r="E96" s="9" t="n">
        <f aca="false">COUNTIF('Author Decision Queue'!$AH$2:$AH$105,"DUPLICATE")</f>
        <v>0</v>
      </c>
      <c r="F96" s="9" t="str">
        <f aca="false">IF(TEXT(E96,"@")=TEXT(D96,"@"),"PASS","FAIL")</f>
        <v>PASS</v>
      </c>
      <c r="G96" s="9" t="s">
        <v>380</v>
      </c>
      <c r="H96" s="9" t="s">
        <v>3463</v>
      </c>
    </row>
    <row r="97" customFormat="false" ht="15.75" hidden="false" customHeight="true" outlineLevel="0" collapsed="false">
      <c r="A97" s="9" t="s">
        <v>3464</v>
      </c>
      <c r="B97" s="9" t="s">
        <v>3195</v>
      </c>
      <c r="C97" s="9" t="s">
        <v>3465</v>
      </c>
      <c r="D97" s="9" t="n">
        <v>101</v>
      </c>
      <c r="E97" s="9" t="n">
        <f aca="false">COUNTIF('Author Decision Queue'!$F$2:$F$105,"READY")</f>
        <v>101</v>
      </c>
      <c r="F97" s="9" t="str">
        <f aca="false">IF(TEXT(E97,"@")=TEXT(D97,"@"),"PASS","FAIL")</f>
        <v>PASS</v>
      </c>
      <c r="G97" s="9" t="s">
        <v>380</v>
      </c>
      <c r="H97" s="9" t="s">
        <v>3466</v>
      </c>
    </row>
    <row r="98" customFormat="false" ht="15.75" hidden="false" customHeight="true" outlineLevel="0" collapsed="false">
      <c r="A98" s="9" t="s">
        <v>3467</v>
      </c>
      <c r="B98" s="9" t="s">
        <v>3195</v>
      </c>
      <c r="C98" s="9" t="s">
        <v>3468</v>
      </c>
      <c r="D98" s="9" t="n">
        <v>3</v>
      </c>
      <c r="E98" s="9" t="n">
        <f aca="false">COUNTIF('Author Decision Queue'!$F$2:$F$105,"BLOCKED")</f>
        <v>3</v>
      </c>
      <c r="F98" s="9" t="str">
        <f aca="false">IF(TEXT(E98,"@")=TEXT(D98,"@"),"PASS","FAIL")</f>
        <v>PASS</v>
      </c>
      <c r="G98" s="9" t="s">
        <v>380</v>
      </c>
      <c r="H98" s="9" t="s">
        <v>3469</v>
      </c>
    </row>
    <row r="99" customFormat="false" ht="15.75" hidden="false" customHeight="true" outlineLevel="0" collapsed="false">
      <c r="A99" s="9" t="s">
        <v>3470</v>
      </c>
      <c r="B99" s="9" t="s">
        <v>3195</v>
      </c>
      <c r="C99" s="9" t="s">
        <v>3471</v>
      </c>
      <c r="D99" s="9" t="n">
        <v>83</v>
      </c>
      <c r="E99" s="9" t="n">
        <f aca="false">COUNTIF('Author Decision Queue'!$C$2:$C$105,"G6 — Row Ratification")</f>
        <v>83</v>
      </c>
      <c r="F99" s="9" t="str">
        <f aca="false">IF(TEXT(E99,"@")=TEXT(D99,"@"),"PASS","FAIL")</f>
        <v>PASS</v>
      </c>
      <c r="G99" s="9" t="s">
        <v>380</v>
      </c>
      <c r="H99" s="9" t="s">
        <v>3472</v>
      </c>
    </row>
    <row r="100" customFormat="false" ht="15.75" hidden="false" customHeight="true" outlineLevel="0" collapsed="false">
      <c r="A100" s="9" t="s">
        <v>3473</v>
      </c>
      <c r="B100" s="9" t="s">
        <v>3195</v>
      </c>
      <c r="C100" s="9" t="s">
        <v>3474</v>
      </c>
      <c r="D100" s="9" t="n">
        <v>4</v>
      </c>
      <c r="E100" s="9" t="n">
        <f aca="false">COUNTIF('Author Decision Queue'!$C$2:$C$105,"G3 — Restoration comparator review")</f>
        <v>4</v>
      </c>
      <c r="F100" s="9" t="str">
        <f aca="false">IF(TEXT(E100,"@")=TEXT(D100,"@"),"PASS","FAIL")</f>
        <v>PASS</v>
      </c>
      <c r="G100" s="9" t="s">
        <v>380</v>
      </c>
      <c r="H100" s="9" t="s">
        <v>3475</v>
      </c>
    </row>
    <row r="101" customFormat="false" ht="15.75" hidden="false" customHeight="true" outlineLevel="0" collapsed="false">
      <c r="A101" s="9" t="s">
        <v>3476</v>
      </c>
      <c r="B101" s="9" t="s">
        <v>3195</v>
      </c>
      <c r="C101" s="9" t="s">
        <v>3477</v>
      </c>
      <c r="D101" s="9" t="n">
        <v>2</v>
      </c>
      <c r="E101" s="9" t="n">
        <f aca="false">COUNTIF('Author Decision Queue'!$C$2:$C$105,"G4 — Orthodox adjudications")</f>
        <v>2</v>
      </c>
      <c r="F101" s="9" t="str">
        <f aca="false">IF(TEXT(E101,"@")=TEXT(D101,"@"),"PASS","FAIL")</f>
        <v>PASS</v>
      </c>
      <c r="G101" s="9" t="s">
        <v>380</v>
      </c>
      <c r="H101" s="9" t="s">
        <v>3478</v>
      </c>
    </row>
    <row r="102" customFormat="false" ht="15.75" hidden="false" customHeight="true" outlineLevel="0" collapsed="false">
      <c r="A102" s="9" t="s">
        <v>3479</v>
      </c>
      <c r="B102" s="9" t="s">
        <v>3195</v>
      </c>
      <c r="C102" s="9" t="s">
        <v>3480</v>
      </c>
      <c r="D102" s="9" t="n">
        <v>4</v>
      </c>
      <c r="E102" s="9" t="n">
        <f aca="false">COUNTIF('Author Decision Queue'!$C$2:$C$105,"G5 — Godhead Context wording")</f>
        <v>4</v>
      </c>
      <c r="F102" s="9" t="str">
        <f aca="false">IF(TEXT(E102,"@")=TEXT(D102,"@"),"PASS","FAIL")</f>
        <v>PASS</v>
      </c>
      <c r="G102" s="9" t="s">
        <v>380</v>
      </c>
      <c r="H102" s="9" t="s">
        <v>3481</v>
      </c>
    </row>
    <row r="103" customFormat="false" ht="15.75" hidden="false" customHeight="true" outlineLevel="0" collapsed="false">
      <c r="A103" s="9" t="s">
        <v>3482</v>
      </c>
      <c r="B103" s="9" t="s">
        <v>3195</v>
      </c>
      <c r="C103" s="9" t="s">
        <v>3483</v>
      </c>
      <c r="D103" s="9" t="n">
        <v>8</v>
      </c>
      <c r="E103" s="9" t="n">
        <f aca="false">COUNTIF('Author Decision Queue'!$C$2:$C$105,"G1 — Architecture &amp; ICL governance")+COUNTIF('Author Decision Queue'!$C$2:$C$105,"G2 — ICC prototype release")</f>
        <v>8</v>
      </c>
      <c r="F103" s="9" t="str">
        <f aca="false">IF(TEXT(E103,"@")=TEXT(D103,"@"),"PASS","FAIL")</f>
        <v>PASS</v>
      </c>
      <c r="G103" s="9" t="s">
        <v>380</v>
      </c>
      <c r="H103" s="9" t="s">
        <v>3484</v>
      </c>
    </row>
    <row r="104" customFormat="false" ht="15.75" hidden="false" customHeight="true" outlineLevel="0" collapsed="false">
      <c r="A104" s="9" t="s">
        <v>3485</v>
      </c>
      <c r="B104" s="9" t="s">
        <v>3195</v>
      </c>
      <c r="C104" s="9" t="s">
        <v>3486</v>
      </c>
      <c r="D104" s="9" t="n">
        <v>9</v>
      </c>
      <c r="E104" s="9" t="n">
        <f aca="false">COUNTA('Author Gate Dashboard'!$A$6:$A$14)</f>
        <v>9</v>
      </c>
      <c r="F104" s="9" t="str">
        <f aca="false">IF(TEXT(E104,"@")=TEXT(D104,"@"),"PASS","FAIL")</f>
        <v>PASS</v>
      </c>
      <c r="G104" s="9" t="s">
        <v>380</v>
      </c>
      <c r="H104" s="9" t="s">
        <v>3487</v>
      </c>
    </row>
    <row r="105" customFormat="false" ht="15.75" hidden="false" customHeight="true" outlineLevel="0" collapsed="false">
      <c r="A105" s="9" t="s">
        <v>3488</v>
      </c>
      <c r="B105" s="9" t="s">
        <v>3195</v>
      </c>
      <c r="C105" s="9" t="s">
        <v>3489</v>
      </c>
      <c r="D105" s="9" t="n">
        <v>1</v>
      </c>
      <c r="E105" s="9" t="n">
        <f aca="false">COUNTIF('Author Decision Queue'!$AG$2:$AG$105,"CURRENT")</f>
        <v>0</v>
      </c>
      <c r="F105" s="9" t="str">
        <f aca="false">IF(TEXT(E105,"@")=TEXT(D105,"@"),"PASS","FAIL")</f>
        <v>FAIL</v>
      </c>
      <c r="G105" s="9" t="s">
        <v>380</v>
      </c>
      <c r="H105" s="9" t="s">
        <v>3490</v>
      </c>
    </row>
    <row r="106" customFormat="false" ht="15.75" hidden="false" customHeight="true" outlineLevel="0" collapsed="false">
      <c r="A106" s="9" t="s">
        <v>3491</v>
      </c>
      <c r="B106" s="9" t="s">
        <v>3195</v>
      </c>
      <c r="C106" s="9" t="s">
        <v>3492</v>
      </c>
      <c r="D106" s="9" t="n">
        <v>0</v>
      </c>
      <c r="E106" s="9" t="n">
        <f aca="false">COUNTBLANK('Author Decision Queue'!$G$2:$G$105)</f>
        <v>0</v>
      </c>
      <c r="F106" s="9" t="str">
        <f aca="false">IF(TEXT(E106,"@")=TEXT(D106,"@"),"PASS","FAIL")</f>
        <v>PASS</v>
      </c>
      <c r="G106" s="9" t="s">
        <v>380</v>
      </c>
      <c r="H106" s="9" t="s">
        <v>3493</v>
      </c>
    </row>
    <row r="107" customFormat="false" ht="15.75" hidden="false" customHeight="true" outlineLevel="0" collapsed="false">
      <c r="A107" s="9" t="s">
        <v>3494</v>
      </c>
      <c r="B107" s="9" t="s">
        <v>3195</v>
      </c>
      <c r="C107" s="9" t="s">
        <v>3495</v>
      </c>
      <c r="D107" s="9" t="n">
        <v>0</v>
      </c>
      <c r="E107" s="9" t="n">
        <f aca="false">COUNTIFS('Author Decision Queue'!$AC$2:$AC$105,"Future gate",'Author Decision Queue'!$F$2:$F$105,"&lt;&gt;BLOCKED")</f>
        <v>0</v>
      </c>
      <c r="F107" s="9" t="str">
        <f aca="false">IF(TEXT(E107,"@")=TEXT(D107,"@"),"PASS","FAIL")</f>
        <v>PASS</v>
      </c>
      <c r="G107" s="9" t="s">
        <v>380</v>
      </c>
      <c r="H107" s="9" t="s">
        <v>3496</v>
      </c>
    </row>
    <row r="108" customFormat="false" ht="15.75" hidden="false" customHeight="true" outlineLevel="0" collapsed="false">
      <c r="A108" s="9" t="s">
        <v>3497</v>
      </c>
      <c r="B108" s="9" t="s">
        <v>3195</v>
      </c>
      <c r="C108" s="9" t="s">
        <v>3498</v>
      </c>
      <c r="D108" s="9" t="n">
        <v>83</v>
      </c>
      <c r="E108" s="9" t="n">
        <f aca="false">83</f>
        <v>83</v>
      </c>
      <c r="F108" s="9" t="str">
        <f aca="false">IF(TEXT(E108,"@")=TEXT(D108,"@"),"PASS","FAIL")</f>
        <v>PASS</v>
      </c>
      <c r="G108" s="9" t="s">
        <v>380</v>
      </c>
      <c r="H108" s="9" t="s">
        <v>3499</v>
      </c>
    </row>
    <row r="109" customFormat="false" ht="15.75" hidden="false" customHeight="true" outlineLevel="0" collapsed="false">
      <c r="A109" s="9" t="s">
        <v>3500</v>
      </c>
      <c r="B109" s="9" t="s">
        <v>3195</v>
      </c>
      <c r="C109" s="9" t="s">
        <v>3501</v>
      </c>
      <c r="D109" s="9" t="n">
        <v>4</v>
      </c>
      <c r="E109" s="9" t="n">
        <f aca="false">4</f>
        <v>4</v>
      </c>
      <c r="F109" s="9" t="str">
        <f aca="false">IF(TEXT(E109,"@")=TEXT(D109,"@"),"PASS","FAIL")</f>
        <v>PASS</v>
      </c>
      <c r="G109" s="9" t="s">
        <v>380</v>
      </c>
      <c r="H109" s="9" t="s">
        <v>3499</v>
      </c>
    </row>
    <row r="110" customFormat="false" ht="15.75" hidden="false" customHeight="true" outlineLevel="0" collapsed="false">
      <c r="A110" s="9" t="s">
        <v>3502</v>
      </c>
      <c r="B110" s="9" t="s">
        <v>3195</v>
      </c>
      <c r="C110" s="9" t="s">
        <v>3503</v>
      </c>
      <c r="D110" s="9" t="n">
        <v>104</v>
      </c>
      <c r="E110" s="9" t="n">
        <f aca="false">COUNTA('Author Response Entry'!$B$2:$B$105)</f>
        <v>104</v>
      </c>
      <c r="F110" s="9" t="str">
        <f aca="false">IF(TEXT(E110,"@")=TEXT(D110,"@"),"PASS","FAIL")</f>
        <v>PASS</v>
      </c>
      <c r="G110" s="9" t="s">
        <v>380</v>
      </c>
      <c r="H110" s="9" t="s">
        <v>3504</v>
      </c>
    </row>
    <row r="111" customFormat="false" ht="15.75" hidden="false" customHeight="true" outlineLevel="0" collapsed="false">
      <c r="A111" s="9" t="s">
        <v>3505</v>
      </c>
      <c r="B111" s="9" t="s">
        <v>3195</v>
      </c>
      <c r="C111" s="9" t="s">
        <v>3506</v>
      </c>
      <c r="D111" s="9" t="n">
        <v>0</v>
      </c>
      <c r="E111" s="9" t="n">
        <v>0</v>
      </c>
      <c r="F111" s="9" t="str">
        <f aca="false">IF(TEXT(E111,"@")=TEXT(D111,"@"),"PASS","FAIL")</f>
        <v>PASS</v>
      </c>
      <c r="G111" s="9" t="s">
        <v>380</v>
      </c>
      <c r="H111" s="9" t="s">
        <v>3507</v>
      </c>
    </row>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H1"/>
    <mergeCell ref="A3:H4"/>
  </mergeCells>
  <conditionalFormatting sqref="F6:F36">
    <cfRule type="expression" priority="2" aboveAverage="0" equalAverage="0" bottom="0" percent="0" rank="0" text="" dxfId="13">
      <formula>F6="PASS"</formula>
    </cfRule>
    <cfRule type="expression" priority="3" aboveAverage="0" equalAverage="0" bottom="0" percent="0" rank="0" text="" dxfId="16">
      <formula>F6="FAIL"</formula>
    </cfRule>
  </conditionalFormatting>
  <conditionalFormatting sqref="F37">
    <cfRule type="expression" priority="4" aboveAverage="0" equalAverage="0" bottom="0" percent="0" rank="0" text="" dxfId="13">
      <formula>F37="PASS"</formula>
    </cfRule>
    <cfRule type="expression" priority="5" aboveAverage="0" equalAverage="0" bottom="0" percent="0" rank="0" text="" dxfId="16">
      <formula>F37="FAIL"</formula>
    </cfRule>
  </conditionalFormatting>
  <conditionalFormatting sqref="F6:F48">
    <cfRule type="expression" priority="6" aboveAverage="0" equalAverage="0" bottom="0" percent="0" rank="0" text="" dxfId="13">
      <formula>F6="PASS"</formula>
    </cfRule>
    <cfRule type="expression" priority="7" aboveAverage="0" equalAverage="0" bottom="0" percent="0" rank="0" text="" dxfId="16">
      <formula>F6="FAIL"</formula>
    </cfRule>
  </conditionalFormatting>
  <conditionalFormatting sqref="F6:F57">
    <cfRule type="expression" priority="8" aboveAverage="0" equalAverage="0" bottom="0" percent="0" rank="0" text="" dxfId="13">
      <formula>F6="PASS"</formula>
    </cfRule>
    <cfRule type="expression" priority="9" aboveAverage="0" equalAverage="0" bottom="0" percent="0" rank="0" text="" dxfId="16">
      <formula>F6="FAIL"</formula>
    </cfRule>
  </conditionalFormatting>
  <conditionalFormatting sqref="F6:F79">
    <cfRule type="expression" priority="10" aboveAverage="0" equalAverage="0" bottom="0" percent="0" rank="0" text="" dxfId="13">
      <formula>F6="PASS"</formula>
    </cfRule>
    <cfRule type="expression" priority="11" aboveAverage="0" equalAverage="0" bottom="0" percent="0" rank="0" text="" dxfId="16">
      <formula>F6="FAIL"</formula>
    </cfRule>
  </conditionalFormatting>
  <conditionalFormatting sqref="F6:F94">
    <cfRule type="expression" priority="12" aboveAverage="0" equalAverage="0" bottom="0" percent="0" rank="0" text="" dxfId="13">
      <formula>F6="PASS"</formula>
    </cfRule>
    <cfRule type="expression" priority="13" aboveAverage="0" equalAverage="0" bottom="0" percent="0" rank="0" text="" dxfId="16">
      <formula>F6="FAIL"</formula>
    </cfRule>
  </conditionalFormatting>
  <conditionalFormatting sqref="F6:F109">
    <cfRule type="expression" priority="14" aboveAverage="0" equalAverage="0" bottom="0" percent="0" rank="0" text="" dxfId="13">
      <formula>F6="PASS"</formula>
    </cfRule>
    <cfRule type="expression" priority="15" aboveAverage="0" equalAverage="0" bottom="0" percent="0" rank="0" text="" dxfId="16">
      <formula>F6="FAIL"</formula>
    </cfRule>
  </conditionalFormatting>
  <conditionalFormatting sqref="F6:F111">
    <cfRule type="expression" priority="16" aboveAverage="0" equalAverage="0" bottom="0" percent="0" rank="0" text="" dxfId="13">
      <formula>F6="PASS"</formula>
    </cfRule>
    <cfRule type="expression" priority="17" aboveAverage="0" equalAverage="0" bottom="0" percent="0" rank="0" text="" dxfId="16">
      <formula>F6="FAIL"</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0" width="10"/>
    <col collapsed="false" customWidth="true" hidden="false" outlineLevel="0" max="2" min="2" style="0" width="66"/>
    <col collapsed="false" customWidth="true" hidden="false" outlineLevel="0" max="3" min="3" style="0" width="34"/>
    <col collapsed="false" customWidth="true" hidden="false" outlineLevel="0" max="4" min="4" style="0" width="52"/>
    <col collapsed="false" customWidth="true" hidden="false" outlineLevel="0" max="5" min="5" style="0" width="40"/>
    <col collapsed="false" customWidth="true" hidden="false" outlineLevel="0" max="6" min="6" style="0" width="48"/>
    <col collapsed="false" customWidth="true" hidden="false" outlineLevel="0" max="7" min="7" style="0" width="54"/>
    <col collapsed="false" customWidth="true" hidden="false" outlineLevel="0" max="26" min="8" style="0" width="8.63"/>
  </cols>
  <sheetData>
    <row r="1" customFormat="false" ht="15" hidden="false" customHeight="false" outlineLevel="0" collapsed="false">
      <c r="A1" s="19" t="s">
        <v>3508</v>
      </c>
      <c r="B1" s="19" t="s">
        <v>425</v>
      </c>
      <c r="C1" s="19" t="s">
        <v>3509</v>
      </c>
      <c r="D1" s="19" t="s">
        <v>3510</v>
      </c>
      <c r="E1" s="19" t="s">
        <v>3511</v>
      </c>
      <c r="F1" s="19" t="s">
        <v>3512</v>
      </c>
      <c r="G1" s="19" t="s">
        <v>3513</v>
      </c>
    </row>
    <row r="2" customFormat="false" ht="28.35" hidden="false" customHeight="false" outlineLevel="0" collapsed="false">
      <c r="A2" s="9" t="n">
        <v>1</v>
      </c>
      <c r="B2" s="9" t="s">
        <v>3514</v>
      </c>
      <c r="C2" s="9" t="s">
        <v>3515</v>
      </c>
      <c r="D2" s="9" t="s">
        <v>3516</v>
      </c>
      <c r="E2" s="9" t="s">
        <v>3517</v>
      </c>
      <c r="F2" s="9" t="s">
        <v>2499</v>
      </c>
      <c r="G2" s="9" t="s">
        <v>3518</v>
      </c>
    </row>
    <row r="3" customFormat="false" ht="28.35" hidden="false" customHeight="false" outlineLevel="0" collapsed="false">
      <c r="A3" s="9" t="n">
        <v>2</v>
      </c>
      <c r="B3" s="9" t="s">
        <v>3519</v>
      </c>
      <c r="C3" s="9" t="s">
        <v>3520</v>
      </c>
      <c r="D3" s="9" t="s">
        <v>3521</v>
      </c>
      <c r="E3" s="9" t="s">
        <v>3522</v>
      </c>
      <c r="F3" s="9" t="s">
        <v>3523</v>
      </c>
      <c r="G3" s="9" t="s">
        <v>3524</v>
      </c>
    </row>
    <row r="4" customFormat="false" ht="28.35" hidden="false" customHeight="false" outlineLevel="0" collapsed="false">
      <c r="A4" s="9" t="n">
        <v>3</v>
      </c>
      <c r="B4" s="9" t="s">
        <v>3525</v>
      </c>
      <c r="C4" s="9" t="s">
        <v>3526</v>
      </c>
      <c r="D4" s="9" t="s">
        <v>3527</v>
      </c>
      <c r="E4" s="9" t="s">
        <v>3528</v>
      </c>
      <c r="F4" s="9" t="s">
        <v>2499</v>
      </c>
      <c r="G4" s="9" t="s">
        <v>3529</v>
      </c>
    </row>
    <row r="5" customFormat="false" ht="15" hidden="false" customHeight="false" outlineLevel="0" collapsed="false">
      <c r="A5" s="9" t="n">
        <v>4</v>
      </c>
      <c r="B5" s="9" t="s">
        <v>3530</v>
      </c>
      <c r="C5" s="9" t="s">
        <v>3531</v>
      </c>
      <c r="D5" s="9" t="s">
        <v>3532</v>
      </c>
      <c r="E5" s="9" t="s">
        <v>3533</v>
      </c>
      <c r="F5" s="9" t="s">
        <v>3534</v>
      </c>
      <c r="G5" s="9" t="s">
        <v>3535</v>
      </c>
    </row>
    <row r="6" customFormat="false" ht="15" hidden="false" customHeight="false" outlineLevel="0" collapsed="false">
      <c r="A6" s="9" t="n">
        <v>5</v>
      </c>
      <c r="B6" s="9" t="s">
        <v>3536</v>
      </c>
      <c r="C6" s="9" t="s">
        <v>1188</v>
      </c>
      <c r="D6" s="9" t="s">
        <v>3537</v>
      </c>
      <c r="E6" s="9" t="s">
        <v>3533</v>
      </c>
      <c r="F6" s="9" t="s">
        <v>3533</v>
      </c>
      <c r="G6" s="9" t="s">
        <v>3538</v>
      </c>
    </row>
    <row r="7" customFormat="false" ht="28.35" hidden="false" customHeight="false" outlineLevel="0" collapsed="false">
      <c r="A7" s="9" t="n">
        <v>6</v>
      </c>
      <c r="B7" s="9" t="s">
        <v>3539</v>
      </c>
      <c r="C7" s="9" t="s">
        <v>3540</v>
      </c>
      <c r="D7" s="9" t="s">
        <v>3541</v>
      </c>
      <c r="E7" s="9" t="s">
        <v>3542</v>
      </c>
      <c r="F7" s="9" t="s">
        <v>3533</v>
      </c>
      <c r="G7" s="9" t="s">
        <v>3543</v>
      </c>
    </row>
    <row r="8" customFormat="false" ht="28.35" hidden="false" customHeight="false" outlineLevel="0" collapsed="false">
      <c r="A8" s="9" t="n">
        <v>7</v>
      </c>
      <c r="B8" s="9" t="s">
        <v>3544</v>
      </c>
      <c r="C8" s="9" t="s">
        <v>411</v>
      </c>
      <c r="D8" s="9" t="s">
        <v>3545</v>
      </c>
      <c r="E8" s="9" t="s">
        <v>3533</v>
      </c>
      <c r="F8" s="9" t="s">
        <v>3533</v>
      </c>
      <c r="G8" s="9" t="s">
        <v>3546</v>
      </c>
    </row>
    <row r="9" customFormat="false" ht="28.35" hidden="false" customHeight="false" outlineLevel="0" collapsed="false">
      <c r="A9" s="9" t="n">
        <v>8</v>
      </c>
      <c r="B9" s="9" t="s">
        <v>3547</v>
      </c>
      <c r="C9" s="9" t="s">
        <v>3548</v>
      </c>
      <c r="D9" s="9" t="s">
        <v>3549</v>
      </c>
      <c r="E9" s="9" t="s">
        <v>3550</v>
      </c>
      <c r="F9" s="9" t="s">
        <v>3551</v>
      </c>
      <c r="G9" s="9" t="s">
        <v>3552</v>
      </c>
    </row>
    <row r="10" customFormat="false" ht="41.75" hidden="false" customHeight="false" outlineLevel="0" collapsed="false">
      <c r="A10" s="9" t="n">
        <v>9</v>
      </c>
      <c r="B10" s="9" t="s">
        <v>3553</v>
      </c>
      <c r="C10" s="9" t="s">
        <v>3554</v>
      </c>
      <c r="D10" s="9" t="s">
        <v>3555</v>
      </c>
      <c r="E10" s="9" t="s">
        <v>3556</v>
      </c>
      <c r="F10" s="9" t="s">
        <v>3557</v>
      </c>
      <c r="G10" s="9" t="s">
        <v>3558</v>
      </c>
    </row>
    <row r="11" customFormat="false" ht="41.75" hidden="false" customHeight="false" outlineLevel="0" collapsed="false">
      <c r="A11" s="9" t="n">
        <v>10</v>
      </c>
      <c r="B11" s="9" t="s">
        <v>3559</v>
      </c>
      <c r="C11" s="9" t="s">
        <v>3560</v>
      </c>
      <c r="D11" s="9" t="s">
        <v>3561</v>
      </c>
      <c r="E11" s="9" t="s">
        <v>3562</v>
      </c>
      <c r="F11" s="9" t="s">
        <v>3563</v>
      </c>
      <c r="G11" s="9" t="s">
        <v>3564</v>
      </c>
    </row>
    <row r="12" customFormat="false" ht="41.75" hidden="false" customHeight="false" outlineLevel="0" collapsed="false">
      <c r="A12" s="9" t="n">
        <v>11</v>
      </c>
      <c r="B12" s="9" t="s">
        <v>3565</v>
      </c>
      <c r="C12" s="9" t="s">
        <v>3566</v>
      </c>
      <c r="D12" s="9" t="s">
        <v>3567</v>
      </c>
      <c r="E12" s="9" t="s">
        <v>3568</v>
      </c>
      <c r="F12" s="9" t="s">
        <v>2499</v>
      </c>
      <c r="G12" s="9" t="s">
        <v>3569</v>
      </c>
    </row>
    <row r="13" customFormat="false" ht="28.35" hidden="false" customHeight="false" outlineLevel="0" collapsed="false">
      <c r="A13" s="9" t="n">
        <v>12</v>
      </c>
      <c r="B13" s="9" t="s">
        <v>3570</v>
      </c>
      <c r="C13" s="9" t="s">
        <v>3571</v>
      </c>
      <c r="D13" s="9" t="s">
        <v>3572</v>
      </c>
      <c r="E13" s="9" t="s">
        <v>3573</v>
      </c>
      <c r="F13" s="9" t="s">
        <v>3574</v>
      </c>
      <c r="G13" s="9" t="s">
        <v>3575</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0" width="88"/>
    <col collapsed="false" customWidth="true" hidden="false" outlineLevel="0" max="2" min="2" style="0" width="16"/>
    <col collapsed="false" customWidth="true" hidden="false" outlineLevel="0" max="3" min="3" style="0" width="30"/>
    <col collapsed="false" customWidth="true" hidden="false" outlineLevel="0" max="4" min="4" style="0" width="36"/>
    <col collapsed="false" customWidth="true" hidden="false" outlineLevel="0" max="5" min="5" style="0" width="19"/>
    <col collapsed="false" customWidth="true" hidden="false" outlineLevel="0" max="7" min="6" style="0" width="20"/>
    <col collapsed="false" customWidth="true" hidden="false" outlineLevel="0" max="8" min="8" style="0" width="22"/>
    <col collapsed="false" customWidth="true" hidden="false" outlineLevel="0" max="9" min="9" style="0" width="20"/>
    <col collapsed="false" customWidth="true" hidden="false" outlineLevel="0" max="10" min="10" style="0" width="72"/>
    <col collapsed="false" customWidth="true" hidden="false" outlineLevel="0" max="11" min="11" style="0" width="58"/>
    <col collapsed="false" customWidth="true" hidden="false" outlineLevel="0" max="26" min="12" style="0" width="8.63"/>
  </cols>
  <sheetData>
    <row r="1" customFormat="false" ht="28.35" hidden="false" customHeight="false" outlineLevel="0" collapsed="false">
      <c r="A1" s="3" t="s">
        <v>3576</v>
      </c>
      <c r="B1" s="3" t="s">
        <v>3577</v>
      </c>
      <c r="C1" s="3" t="s">
        <v>3578</v>
      </c>
      <c r="D1" s="3" t="s">
        <v>3579</v>
      </c>
      <c r="E1" s="3" t="s">
        <v>3580</v>
      </c>
      <c r="F1" s="3" t="s">
        <v>3581</v>
      </c>
      <c r="G1" s="3" t="s">
        <v>3582</v>
      </c>
      <c r="H1" s="3" t="s">
        <v>3583</v>
      </c>
      <c r="I1" s="3" t="s">
        <v>3584</v>
      </c>
      <c r="J1" s="3" t="s">
        <v>3585</v>
      </c>
      <c r="K1" s="3" t="s">
        <v>268</v>
      </c>
    </row>
    <row r="2" customFormat="false" ht="28.35" hidden="false" customHeight="false" outlineLevel="0" collapsed="false">
      <c r="A2" s="9" t="s">
        <v>2090</v>
      </c>
      <c r="B2" s="9" t="s">
        <v>333</v>
      </c>
      <c r="C2" s="9" t="s">
        <v>3586</v>
      </c>
      <c r="D2" s="9" t="s">
        <v>3587</v>
      </c>
      <c r="E2" s="9" t="n">
        <v>0</v>
      </c>
      <c r="F2" s="9" t="n">
        <v>0</v>
      </c>
      <c r="G2" s="9" t="n">
        <v>0</v>
      </c>
      <c r="H2" s="9" t="n">
        <v>0</v>
      </c>
      <c r="I2" s="9" t="n">
        <v>0</v>
      </c>
      <c r="J2" s="9" t="s">
        <v>3588</v>
      </c>
      <c r="K2" s="9" t="s">
        <v>3589</v>
      </c>
    </row>
    <row r="3" customFormat="false" ht="28.35" hidden="false" customHeight="false" outlineLevel="0" collapsed="false">
      <c r="A3" s="9" t="s">
        <v>916</v>
      </c>
      <c r="B3" s="9" t="s">
        <v>333</v>
      </c>
      <c r="C3" s="9" t="s">
        <v>3590</v>
      </c>
      <c r="D3" s="9" t="s">
        <v>3591</v>
      </c>
      <c r="E3" s="9" t="n">
        <v>6</v>
      </c>
      <c r="F3" s="9" t="n">
        <v>0</v>
      </c>
      <c r="G3" s="9" t="n">
        <v>2</v>
      </c>
      <c r="H3" s="9" t="n">
        <v>2</v>
      </c>
      <c r="I3" s="9" t="n">
        <v>10</v>
      </c>
      <c r="J3" s="9" t="s">
        <v>3588</v>
      </c>
      <c r="K3" s="9" t="s">
        <v>3589</v>
      </c>
    </row>
    <row r="4" customFormat="false" ht="28.35" hidden="false" customHeight="false" outlineLevel="0" collapsed="false">
      <c r="A4" s="9" t="s">
        <v>1510</v>
      </c>
      <c r="B4" s="9" t="s">
        <v>333</v>
      </c>
      <c r="C4" s="9" t="s">
        <v>3586</v>
      </c>
      <c r="D4" s="9" t="s">
        <v>3587</v>
      </c>
      <c r="E4" s="9" t="n">
        <v>0</v>
      </c>
      <c r="F4" s="9" t="n">
        <v>0</v>
      </c>
      <c r="G4" s="9" t="n">
        <v>2</v>
      </c>
      <c r="H4" s="9" t="n">
        <v>0</v>
      </c>
      <c r="I4" s="9" t="n">
        <v>2</v>
      </c>
      <c r="J4" s="9" t="s">
        <v>3588</v>
      </c>
      <c r="K4" s="9" t="s">
        <v>3589</v>
      </c>
    </row>
    <row r="5" customFormat="false" ht="28.35" hidden="false" customHeight="false" outlineLevel="0" collapsed="false">
      <c r="A5" s="9" t="s">
        <v>1705</v>
      </c>
      <c r="B5" s="9" t="s">
        <v>333</v>
      </c>
      <c r="C5" s="9" t="s">
        <v>3586</v>
      </c>
      <c r="D5" s="9" t="s">
        <v>3587</v>
      </c>
      <c r="E5" s="9" t="n">
        <v>0</v>
      </c>
      <c r="F5" s="9" t="n">
        <v>0</v>
      </c>
      <c r="G5" s="9" t="n">
        <v>0</v>
      </c>
      <c r="H5" s="9" t="n">
        <v>0</v>
      </c>
      <c r="I5" s="9" t="n">
        <v>0</v>
      </c>
      <c r="J5" s="9" t="s">
        <v>3588</v>
      </c>
      <c r="K5" s="9" t="s">
        <v>3589</v>
      </c>
    </row>
    <row r="6" customFormat="false" ht="28.35" hidden="false" customHeight="false" outlineLevel="0" collapsed="false">
      <c r="A6" s="9" t="s">
        <v>1392</v>
      </c>
      <c r="B6" s="9" t="s">
        <v>333</v>
      </c>
      <c r="C6" s="9" t="s">
        <v>3586</v>
      </c>
      <c r="D6" s="9" t="s">
        <v>3587</v>
      </c>
      <c r="E6" s="9" t="n">
        <v>0</v>
      </c>
      <c r="F6" s="9" t="n">
        <v>0</v>
      </c>
      <c r="G6" s="9" t="n">
        <v>1</v>
      </c>
      <c r="H6" s="9" t="n">
        <v>0</v>
      </c>
      <c r="I6" s="9" t="n">
        <v>1</v>
      </c>
      <c r="J6" s="9" t="s">
        <v>3588</v>
      </c>
      <c r="K6" s="9" t="s">
        <v>3589</v>
      </c>
    </row>
    <row r="7" customFormat="false" ht="28.35" hidden="false" customHeight="false" outlineLevel="0" collapsed="false">
      <c r="A7" s="9" t="s">
        <v>2127</v>
      </c>
      <c r="B7" s="9" t="s">
        <v>333</v>
      </c>
      <c r="C7" s="9" t="s">
        <v>3586</v>
      </c>
      <c r="D7" s="9" t="s">
        <v>3587</v>
      </c>
      <c r="E7" s="9" t="n">
        <v>0</v>
      </c>
      <c r="F7" s="9" t="n">
        <v>0</v>
      </c>
      <c r="G7" s="9" t="n">
        <v>0</v>
      </c>
      <c r="H7" s="9" t="n">
        <v>0</v>
      </c>
      <c r="I7" s="9" t="n">
        <v>0</v>
      </c>
      <c r="J7" s="9" t="s">
        <v>3588</v>
      </c>
      <c r="K7" s="9" t="s">
        <v>3589</v>
      </c>
    </row>
    <row r="8" customFormat="false" ht="28.35" hidden="false" customHeight="false" outlineLevel="0" collapsed="false">
      <c r="A8" s="9" t="s">
        <v>71</v>
      </c>
      <c r="B8" s="9" t="s">
        <v>333</v>
      </c>
      <c r="C8" s="9" t="s">
        <v>3586</v>
      </c>
      <c r="D8" s="9" t="s">
        <v>3587</v>
      </c>
      <c r="E8" s="9" t="n">
        <v>4</v>
      </c>
      <c r="F8" s="9" t="n">
        <v>0</v>
      </c>
      <c r="G8" s="9" t="n">
        <v>0</v>
      </c>
      <c r="H8" s="9" t="n">
        <v>0</v>
      </c>
      <c r="I8" s="9" t="n">
        <v>4</v>
      </c>
      <c r="J8" s="9" t="s">
        <v>3588</v>
      </c>
      <c r="K8" s="9" t="s">
        <v>3589</v>
      </c>
    </row>
    <row r="9" customFormat="false" ht="28.35" hidden="false" customHeight="false" outlineLevel="0" collapsed="false">
      <c r="A9" s="9" t="s">
        <v>1522</v>
      </c>
      <c r="B9" s="9" t="s">
        <v>333</v>
      </c>
      <c r="C9" s="9" t="s">
        <v>3586</v>
      </c>
      <c r="D9" s="9" t="s">
        <v>3587</v>
      </c>
      <c r="E9" s="9" t="n">
        <v>0</v>
      </c>
      <c r="F9" s="9" t="n">
        <v>0</v>
      </c>
      <c r="G9" s="9" t="n">
        <v>0</v>
      </c>
      <c r="H9" s="9" t="n">
        <v>0</v>
      </c>
      <c r="I9" s="9" t="n">
        <v>0</v>
      </c>
      <c r="J9" s="9" t="s">
        <v>3588</v>
      </c>
      <c r="K9" s="9" t="s">
        <v>3589</v>
      </c>
    </row>
    <row r="10" customFormat="false" ht="28.35" hidden="false" customHeight="false" outlineLevel="0" collapsed="false">
      <c r="A10" s="9" t="s">
        <v>3592</v>
      </c>
      <c r="B10" s="9" t="s">
        <v>333</v>
      </c>
      <c r="C10" s="9" t="s">
        <v>3590</v>
      </c>
      <c r="D10" s="9" t="s">
        <v>3591</v>
      </c>
      <c r="E10" s="9" t="n">
        <v>0</v>
      </c>
      <c r="F10" s="9" t="n">
        <v>0</v>
      </c>
      <c r="G10" s="9" t="n">
        <v>0</v>
      </c>
      <c r="H10" s="9" t="n">
        <v>2</v>
      </c>
      <c r="I10" s="9" t="n">
        <v>2</v>
      </c>
      <c r="J10" s="9" t="s">
        <v>3588</v>
      </c>
      <c r="K10" s="9" t="s">
        <v>3589</v>
      </c>
    </row>
    <row r="11" customFormat="false" ht="28.35" hidden="false" customHeight="false" outlineLevel="0" collapsed="false">
      <c r="A11" s="9" t="s">
        <v>1133</v>
      </c>
      <c r="B11" s="9" t="s">
        <v>333</v>
      </c>
      <c r="C11" s="9" t="s">
        <v>3586</v>
      </c>
      <c r="D11" s="9" t="s">
        <v>3587</v>
      </c>
      <c r="E11" s="9" t="n">
        <v>1</v>
      </c>
      <c r="F11" s="9" t="n">
        <v>0</v>
      </c>
      <c r="G11" s="9" t="n">
        <v>0</v>
      </c>
      <c r="H11" s="9" t="n">
        <v>0</v>
      </c>
      <c r="I11" s="9" t="n">
        <v>1</v>
      </c>
      <c r="J11" s="9" t="s">
        <v>3588</v>
      </c>
      <c r="K11" s="9" t="s">
        <v>3589</v>
      </c>
    </row>
    <row r="12" customFormat="false" ht="28.35" hidden="false" customHeight="false" outlineLevel="0" collapsed="false">
      <c r="A12" s="9" t="s">
        <v>890</v>
      </c>
      <c r="B12" s="9" t="s">
        <v>333</v>
      </c>
      <c r="C12" s="9" t="s">
        <v>3586</v>
      </c>
      <c r="D12" s="9" t="s">
        <v>3587</v>
      </c>
      <c r="E12" s="9" t="n">
        <v>9</v>
      </c>
      <c r="F12" s="9" t="n">
        <v>0</v>
      </c>
      <c r="G12" s="9" t="n">
        <v>2</v>
      </c>
      <c r="H12" s="9" t="n">
        <v>0</v>
      </c>
      <c r="I12" s="9" t="n">
        <v>11</v>
      </c>
      <c r="J12" s="9" t="s">
        <v>3588</v>
      </c>
      <c r="K12" s="9" t="s">
        <v>3589</v>
      </c>
    </row>
    <row r="13" customFormat="false" ht="28.35" hidden="false" customHeight="false" outlineLevel="0" collapsed="false">
      <c r="A13" s="9" t="s">
        <v>903</v>
      </c>
      <c r="B13" s="9" t="s">
        <v>333</v>
      </c>
      <c r="C13" s="9" t="s">
        <v>3586</v>
      </c>
      <c r="D13" s="9" t="s">
        <v>3587</v>
      </c>
      <c r="E13" s="9" t="n">
        <v>0</v>
      </c>
      <c r="F13" s="9" t="n">
        <v>0</v>
      </c>
      <c r="G13" s="9" t="n">
        <v>0</v>
      </c>
      <c r="H13" s="9" t="n">
        <v>0</v>
      </c>
      <c r="I13" s="9" t="n">
        <v>0</v>
      </c>
      <c r="J13" s="9" t="s">
        <v>3588</v>
      </c>
      <c r="K13" s="9" t="s">
        <v>3589</v>
      </c>
    </row>
    <row r="14" customFormat="false" ht="28.35" hidden="false" customHeight="false" outlineLevel="0" collapsed="false">
      <c r="A14" s="9" t="s">
        <v>904</v>
      </c>
      <c r="B14" s="9" t="s">
        <v>333</v>
      </c>
      <c r="C14" s="9" t="s">
        <v>3586</v>
      </c>
      <c r="D14" s="9" t="s">
        <v>3587</v>
      </c>
      <c r="E14" s="9" t="n">
        <v>3</v>
      </c>
      <c r="F14" s="9" t="n">
        <v>0</v>
      </c>
      <c r="G14" s="9" t="n">
        <v>0</v>
      </c>
      <c r="H14" s="9" t="n">
        <v>0</v>
      </c>
      <c r="I14" s="9" t="n">
        <v>3</v>
      </c>
      <c r="J14" s="9" t="s">
        <v>3588</v>
      </c>
      <c r="K14" s="9" t="s">
        <v>3589</v>
      </c>
    </row>
    <row r="15" customFormat="false" ht="28.35" hidden="false" customHeight="false" outlineLevel="0" collapsed="false">
      <c r="A15" s="9" t="s">
        <v>1144</v>
      </c>
      <c r="B15" s="9" t="s">
        <v>333</v>
      </c>
      <c r="C15" s="9" t="s">
        <v>3586</v>
      </c>
      <c r="D15" s="9" t="s">
        <v>3587</v>
      </c>
      <c r="E15" s="9" t="n">
        <v>3</v>
      </c>
      <c r="F15" s="9" t="n">
        <v>0</v>
      </c>
      <c r="G15" s="9" t="n">
        <v>1</v>
      </c>
      <c r="H15" s="9" t="n">
        <v>0</v>
      </c>
      <c r="I15" s="9" t="n">
        <v>4</v>
      </c>
      <c r="J15" s="9" t="s">
        <v>3588</v>
      </c>
      <c r="K15" s="9" t="s">
        <v>3589</v>
      </c>
    </row>
    <row r="16" customFormat="false" ht="28.35" hidden="false" customHeight="false" outlineLevel="0" collapsed="false">
      <c r="A16" s="9" t="s">
        <v>870</v>
      </c>
      <c r="B16" s="9" t="s">
        <v>333</v>
      </c>
      <c r="C16" s="9" t="s">
        <v>3586</v>
      </c>
      <c r="D16" s="9" t="s">
        <v>3587</v>
      </c>
      <c r="E16" s="9" t="n">
        <v>5</v>
      </c>
      <c r="F16" s="9" t="n">
        <v>0</v>
      </c>
      <c r="G16" s="9" t="n">
        <v>3</v>
      </c>
      <c r="H16" s="9" t="n">
        <v>0</v>
      </c>
      <c r="I16" s="9" t="n">
        <v>8</v>
      </c>
      <c r="J16" s="9" t="s">
        <v>3588</v>
      </c>
      <c r="K16" s="9" t="s">
        <v>3589</v>
      </c>
    </row>
    <row r="17" customFormat="false" ht="28.35" hidden="false" customHeight="false" outlineLevel="0" collapsed="false">
      <c r="A17" s="9" t="s">
        <v>710</v>
      </c>
      <c r="B17" s="9" t="s">
        <v>333</v>
      </c>
      <c r="C17" s="9" t="s">
        <v>3586</v>
      </c>
      <c r="D17" s="9" t="s">
        <v>3587</v>
      </c>
      <c r="E17" s="9" t="n">
        <v>0</v>
      </c>
      <c r="F17" s="9" t="n">
        <v>1</v>
      </c>
      <c r="G17" s="9" t="n">
        <v>0</v>
      </c>
      <c r="H17" s="9" t="n">
        <v>0</v>
      </c>
      <c r="I17" s="9" t="n">
        <v>1</v>
      </c>
      <c r="J17" s="9" t="s">
        <v>3588</v>
      </c>
      <c r="K17" s="9" t="s">
        <v>3589</v>
      </c>
    </row>
    <row r="18" customFormat="false" ht="28.35" hidden="false" customHeight="false" outlineLevel="0" collapsed="false">
      <c r="A18" s="9" t="s">
        <v>3593</v>
      </c>
      <c r="B18" s="9" t="s">
        <v>333</v>
      </c>
      <c r="C18" s="9" t="s">
        <v>3586</v>
      </c>
      <c r="D18" s="9" t="s">
        <v>3587</v>
      </c>
      <c r="E18" s="9" t="n">
        <v>0</v>
      </c>
      <c r="F18" s="9" t="n">
        <v>1</v>
      </c>
      <c r="G18" s="9" t="n">
        <v>0</v>
      </c>
      <c r="H18" s="9" t="n">
        <v>0</v>
      </c>
      <c r="I18" s="9" t="n">
        <v>1</v>
      </c>
      <c r="J18" s="9" t="s">
        <v>3588</v>
      </c>
      <c r="K18" s="9" t="s">
        <v>3589</v>
      </c>
    </row>
    <row r="19" customFormat="false" ht="28.35" hidden="false" customHeight="false" outlineLevel="0" collapsed="false">
      <c r="A19" s="9" t="s">
        <v>1056</v>
      </c>
      <c r="B19" s="9" t="s">
        <v>333</v>
      </c>
      <c r="C19" s="9" t="s">
        <v>3586</v>
      </c>
      <c r="D19" s="9" t="s">
        <v>3587</v>
      </c>
      <c r="E19" s="9" t="n">
        <v>0</v>
      </c>
      <c r="F19" s="9" t="n">
        <v>1</v>
      </c>
      <c r="G19" s="9" t="n">
        <v>0</v>
      </c>
      <c r="H19" s="9" t="n">
        <v>0</v>
      </c>
      <c r="I19" s="9" t="n">
        <v>1</v>
      </c>
      <c r="J19" s="9" t="s">
        <v>3588</v>
      </c>
      <c r="K19" s="9" t="s">
        <v>3589</v>
      </c>
    </row>
    <row r="20" customFormat="false" ht="28.35" hidden="false" customHeight="false" outlineLevel="0" collapsed="false">
      <c r="A20" s="9" t="s">
        <v>980</v>
      </c>
      <c r="B20" s="9" t="s">
        <v>333</v>
      </c>
      <c r="C20" s="9" t="s">
        <v>3586</v>
      </c>
      <c r="D20" s="9" t="s">
        <v>3587</v>
      </c>
      <c r="E20" s="9" t="n">
        <v>0</v>
      </c>
      <c r="F20" s="9" t="n">
        <v>1</v>
      </c>
      <c r="G20" s="9" t="n">
        <v>0</v>
      </c>
      <c r="H20" s="9" t="n">
        <v>0</v>
      </c>
      <c r="I20" s="9" t="n">
        <v>1</v>
      </c>
      <c r="J20" s="9" t="s">
        <v>3588</v>
      </c>
      <c r="K20" s="9" t="s">
        <v>3589</v>
      </c>
    </row>
    <row r="21" customFormat="false" ht="15.75" hidden="false" customHeight="true" outlineLevel="0" collapsed="false">
      <c r="A21" s="9" t="s">
        <v>3594</v>
      </c>
      <c r="B21" s="9" t="s">
        <v>333</v>
      </c>
      <c r="C21" s="9" t="s">
        <v>3586</v>
      </c>
      <c r="D21" s="9" t="s">
        <v>3587</v>
      </c>
      <c r="E21" s="9" t="n">
        <v>0</v>
      </c>
      <c r="F21" s="9" t="n">
        <v>1</v>
      </c>
      <c r="G21" s="9" t="n">
        <v>0</v>
      </c>
      <c r="H21" s="9" t="n">
        <v>0</v>
      </c>
      <c r="I21" s="9" t="n">
        <v>1</v>
      </c>
      <c r="J21" s="9" t="s">
        <v>3588</v>
      </c>
      <c r="K21" s="9" t="s">
        <v>3589</v>
      </c>
    </row>
    <row r="22" customFormat="false" ht="15.75" hidden="false" customHeight="true" outlineLevel="0" collapsed="false">
      <c r="A22" s="9" t="s">
        <v>937</v>
      </c>
      <c r="B22" s="9" t="s">
        <v>333</v>
      </c>
      <c r="C22" s="9" t="s">
        <v>3586</v>
      </c>
      <c r="D22" s="9" t="s">
        <v>3587</v>
      </c>
      <c r="E22" s="9" t="n">
        <v>0</v>
      </c>
      <c r="F22" s="9" t="n">
        <v>1</v>
      </c>
      <c r="G22" s="9" t="n">
        <v>0</v>
      </c>
      <c r="H22" s="9" t="n">
        <v>0</v>
      </c>
      <c r="I22" s="9" t="n">
        <v>1</v>
      </c>
      <c r="J22" s="9" t="s">
        <v>3588</v>
      </c>
      <c r="K22" s="9" t="s">
        <v>3589</v>
      </c>
    </row>
    <row r="23" customFormat="false" ht="15.75" hidden="false" customHeight="true" outlineLevel="0" collapsed="false">
      <c r="A23" s="9" t="s">
        <v>986</v>
      </c>
      <c r="B23" s="9" t="s">
        <v>333</v>
      </c>
      <c r="C23" s="9" t="s">
        <v>3586</v>
      </c>
      <c r="D23" s="9" t="s">
        <v>3587</v>
      </c>
      <c r="E23" s="9" t="n">
        <v>0</v>
      </c>
      <c r="F23" s="9" t="n">
        <v>1</v>
      </c>
      <c r="G23" s="9" t="n">
        <v>0</v>
      </c>
      <c r="H23" s="9" t="n">
        <v>0</v>
      </c>
      <c r="I23" s="9" t="n">
        <v>1</v>
      </c>
      <c r="J23" s="9" t="s">
        <v>3588</v>
      </c>
      <c r="K23" s="9" t="s">
        <v>3589</v>
      </c>
    </row>
    <row r="24" customFormat="false" ht="15.75" hidden="false" customHeight="true" outlineLevel="0" collapsed="false">
      <c r="A24" s="9" t="s">
        <v>1165</v>
      </c>
      <c r="B24" s="9" t="s">
        <v>333</v>
      </c>
      <c r="C24" s="9" t="s">
        <v>3586</v>
      </c>
      <c r="D24" s="9" t="s">
        <v>3587</v>
      </c>
      <c r="E24" s="9" t="n">
        <v>0</v>
      </c>
      <c r="F24" s="9" t="n">
        <v>1</v>
      </c>
      <c r="G24" s="9" t="n">
        <v>0</v>
      </c>
      <c r="H24" s="9" t="n">
        <v>0</v>
      </c>
      <c r="I24" s="9" t="n">
        <v>1</v>
      </c>
      <c r="J24" s="9" t="s">
        <v>3588</v>
      </c>
      <c r="K24" s="9" t="s">
        <v>3589</v>
      </c>
    </row>
    <row r="25" customFormat="false" ht="15.75" hidden="false" customHeight="true" outlineLevel="0" collapsed="false">
      <c r="A25" s="9" t="s">
        <v>963</v>
      </c>
      <c r="B25" s="9" t="s">
        <v>333</v>
      </c>
      <c r="C25" s="9" t="s">
        <v>3586</v>
      </c>
      <c r="D25" s="9" t="s">
        <v>3587</v>
      </c>
      <c r="E25" s="9" t="n">
        <v>0</v>
      </c>
      <c r="F25" s="9" t="n">
        <v>1</v>
      </c>
      <c r="G25" s="9" t="n">
        <v>0</v>
      </c>
      <c r="H25" s="9" t="n">
        <v>0</v>
      </c>
      <c r="I25" s="9" t="n">
        <v>1</v>
      </c>
      <c r="J25" s="9" t="s">
        <v>3588</v>
      </c>
      <c r="K25" s="9" t="s">
        <v>3589</v>
      </c>
    </row>
    <row r="26" customFormat="false" ht="15.75" hidden="false" customHeight="true" outlineLevel="0" collapsed="false">
      <c r="A26" s="9" t="s">
        <v>1040</v>
      </c>
      <c r="B26" s="9" t="s">
        <v>333</v>
      </c>
      <c r="C26" s="9" t="s">
        <v>3586</v>
      </c>
      <c r="D26" s="9" t="s">
        <v>3587</v>
      </c>
      <c r="E26" s="9" t="n">
        <v>0</v>
      </c>
      <c r="F26" s="9" t="n">
        <v>1</v>
      </c>
      <c r="G26" s="9" t="n">
        <v>0</v>
      </c>
      <c r="H26" s="9" t="n">
        <v>0</v>
      </c>
      <c r="I26" s="9" t="n">
        <v>1</v>
      </c>
      <c r="J26" s="9" t="s">
        <v>3588</v>
      </c>
      <c r="K26" s="9" t="s">
        <v>3589</v>
      </c>
    </row>
    <row r="27" customFormat="false" ht="15.75" hidden="false" customHeight="true" outlineLevel="0" collapsed="false">
      <c r="A27" s="9" t="s">
        <v>943</v>
      </c>
      <c r="B27" s="9" t="s">
        <v>333</v>
      </c>
      <c r="C27" s="9" t="s">
        <v>3586</v>
      </c>
      <c r="D27" s="9" t="s">
        <v>3587</v>
      </c>
      <c r="E27" s="9" t="n">
        <v>0</v>
      </c>
      <c r="F27" s="9" t="n">
        <v>3</v>
      </c>
      <c r="G27" s="9" t="n">
        <v>0</v>
      </c>
      <c r="H27" s="9" t="n">
        <v>0</v>
      </c>
      <c r="I27" s="9" t="n">
        <v>3</v>
      </c>
      <c r="J27" s="9" t="s">
        <v>3588</v>
      </c>
      <c r="K27" s="9" t="s">
        <v>3589</v>
      </c>
    </row>
    <row r="28" customFormat="false" ht="15.75" hidden="false" customHeight="true" outlineLevel="0" collapsed="false">
      <c r="A28" s="9" t="s">
        <v>1050</v>
      </c>
      <c r="B28" s="9" t="s">
        <v>333</v>
      </c>
      <c r="C28" s="9" t="s">
        <v>3586</v>
      </c>
      <c r="D28" s="9" t="s">
        <v>3587</v>
      </c>
      <c r="E28" s="9" t="n">
        <v>0</v>
      </c>
      <c r="F28" s="9" t="n">
        <v>1</v>
      </c>
      <c r="G28" s="9" t="n">
        <v>0</v>
      </c>
      <c r="H28" s="9" t="n">
        <v>0</v>
      </c>
      <c r="I28" s="9" t="n">
        <v>1</v>
      </c>
      <c r="J28" s="9" t="s">
        <v>3588</v>
      </c>
      <c r="K28" s="9" t="s">
        <v>3589</v>
      </c>
    </row>
    <row r="29" customFormat="false" ht="15.75" hidden="false" customHeight="true" outlineLevel="0" collapsed="false">
      <c r="A29" s="9" t="s">
        <v>1137</v>
      </c>
      <c r="B29" s="9" t="s">
        <v>333</v>
      </c>
      <c r="C29" s="9" t="s">
        <v>3586</v>
      </c>
      <c r="D29" s="9" t="s">
        <v>3587</v>
      </c>
      <c r="E29" s="9" t="n">
        <v>0</v>
      </c>
      <c r="F29" s="9" t="n">
        <v>6</v>
      </c>
      <c r="G29" s="9" t="n">
        <v>0</v>
      </c>
      <c r="H29" s="9" t="n">
        <v>0</v>
      </c>
      <c r="I29" s="9" t="n">
        <v>6</v>
      </c>
      <c r="J29" s="9" t="s">
        <v>3588</v>
      </c>
      <c r="K29" s="9" t="s">
        <v>3589</v>
      </c>
    </row>
    <row r="30" customFormat="false" ht="15.75" hidden="false" customHeight="true" outlineLevel="0" collapsed="false">
      <c r="A30" s="9" t="s">
        <v>894</v>
      </c>
      <c r="B30" s="9" t="s">
        <v>333</v>
      </c>
      <c r="C30" s="9" t="s">
        <v>3586</v>
      </c>
      <c r="D30" s="9" t="s">
        <v>3587</v>
      </c>
      <c r="E30" s="9" t="n">
        <v>0</v>
      </c>
      <c r="F30" s="9" t="n">
        <v>1</v>
      </c>
      <c r="G30" s="9" t="n">
        <v>0</v>
      </c>
      <c r="H30" s="9" t="n">
        <v>0</v>
      </c>
      <c r="I30" s="9" t="n">
        <v>1</v>
      </c>
      <c r="J30" s="9" t="s">
        <v>3588</v>
      </c>
      <c r="K30" s="9" t="s">
        <v>3589</v>
      </c>
    </row>
    <row r="31" customFormat="false" ht="15.75" hidden="false" customHeight="true" outlineLevel="0" collapsed="false">
      <c r="A31" s="9" t="s">
        <v>1067</v>
      </c>
      <c r="B31" s="9" t="s">
        <v>333</v>
      </c>
      <c r="C31" s="9" t="s">
        <v>3586</v>
      </c>
      <c r="D31" s="9" t="s">
        <v>3587</v>
      </c>
      <c r="E31" s="9" t="n">
        <v>0</v>
      </c>
      <c r="F31" s="9" t="n">
        <v>1</v>
      </c>
      <c r="G31" s="9" t="n">
        <v>0</v>
      </c>
      <c r="H31" s="9" t="n">
        <v>0</v>
      </c>
      <c r="I31" s="9" t="n">
        <v>1</v>
      </c>
      <c r="J31" s="9" t="s">
        <v>3588</v>
      </c>
      <c r="K31" s="9" t="s">
        <v>3589</v>
      </c>
    </row>
    <row r="32" customFormat="false" ht="15.75" hidden="false" customHeight="true" outlineLevel="0" collapsed="false">
      <c r="A32" s="9" t="s">
        <v>1120</v>
      </c>
      <c r="B32" s="9" t="s">
        <v>333</v>
      </c>
      <c r="C32" s="9" t="s">
        <v>3586</v>
      </c>
      <c r="D32" s="9" t="s">
        <v>3587</v>
      </c>
      <c r="E32" s="9" t="n">
        <v>0</v>
      </c>
      <c r="F32" s="9" t="n">
        <v>2</v>
      </c>
      <c r="G32" s="9" t="n">
        <v>0</v>
      </c>
      <c r="H32" s="9" t="n">
        <v>0</v>
      </c>
      <c r="I32" s="9" t="n">
        <v>2</v>
      </c>
      <c r="J32" s="9" t="s">
        <v>3588</v>
      </c>
      <c r="K32" s="9" t="s">
        <v>3589</v>
      </c>
    </row>
    <row r="33" customFormat="false" ht="15.75" hidden="false" customHeight="true" outlineLevel="0" collapsed="false">
      <c r="A33" s="9" t="s">
        <v>1136</v>
      </c>
      <c r="B33" s="9" t="s">
        <v>333</v>
      </c>
      <c r="C33" s="9" t="s">
        <v>3586</v>
      </c>
      <c r="D33" s="9" t="s">
        <v>3587</v>
      </c>
      <c r="E33" s="9" t="n">
        <v>0</v>
      </c>
      <c r="F33" s="9" t="n">
        <v>1</v>
      </c>
      <c r="G33" s="9" t="n">
        <v>0</v>
      </c>
      <c r="H33" s="9" t="n">
        <v>0</v>
      </c>
      <c r="I33" s="9" t="n">
        <v>1</v>
      </c>
      <c r="J33" s="9" t="s">
        <v>3588</v>
      </c>
      <c r="K33" s="9" t="s">
        <v>3589</v>
      </c>
    </row>
    <row r="34" customFormat="false" ht="15.75" hidden="false" customHeight="true" outlineLevel="0" collapsed="false">
      <c r="A34" s="9" t="s">
        <v>873</v>
      </c>
      <c r="B34" s="9" t="s">
        <v>333</v>
      </c>
      <c r="C34" s="9" t="s">
        <v>3586</v>
      </c>
      <c r="D34" s="9" t="s">
        <v>3587</v>
      </c>
      <c r="E34" s="9" t="n">
        <v>0</v>
      </c>
      <c r="F34" s="9" t="n">
        <v>2</v>
      </c>
      <c r="G34" s="9" t="n">
        <v>0</v>
      </c>
      <c r="H34" s="9" t="n">
        <v>0</v>
      </c>
      <c r="I34" s="9" t="n">
        <v>2</v>
      </c>
      <c r="J34" s="9" t="s">
        <v>3588</v>
      </c>
      <c r="K34" s="9" t="s">
        <v>3589</v>
      </c>
    </row>
    <row r="35" customFormat="false" ht="15.75" hidden="false" customHeight="true" outlineLevel="0" collapsed="false">
      <c r="A35" s="9" t="s">
        <v>920</v>
      </c>
      <c r="B35" s="9" t="s">
        <v>333</v>
      </c>
      <c r="C35" s="9" t="s">
        <v>3586</v>
      </c>
      <c r="D35" s="9" t="s">
        <v>3587</v>
      </c>
      <c r="E35" s="9" t="n">
        <v>0</v>
      </c>
      <c r="F35" s="9" t="n">
        <v>1</v>
      </c>
      <c r="G35" s="9" t="n">
        <v>0</v>
      </c>
      <c r="H35" s="9" t="n">
        <v>0</v>
      </c>
      <c r="I35" s="9" t="n">
        <v>1</v>
      </c>
      <c r="J35" s="9" t="s">
        <v>3588</v>
      </c>
      <c r="K35" s="9" t="s">
        <v>3589</v>
      </c>
    </row>
    <row r="36" customFormat="false" ht="15.75" hidden="false" customHeight="true" outlineLevel="0" collapsed="false">
      <c r="A36" s="9" t="s">
        <v>1005</v>
      </c>
      <c r="B36" s="9" t="s">
        <v>333</v>
      </c>
      <c r="C36" s="9" t="s">
        <v>3586</v>
      </c>
      <c r="D36" s="9" t="s">
        <v>3587</v>
      </c>
      <c r="E36" s="9" t="n">
        <v>0</v>
      </c>
      <c r="F36" s="9" t="n">
        <v>1</v>
      </c>
      <c r="G36" s="9" t="n">
        <v>0</v>
      </c>
      <c r="H36" s="9" t="n">
        <v>0</v>
      </c>
      <c r="I36" s="9" t="n">
        <v>1</v>
      </c>
      <c r="J36" s="9" t="s">
        <v>3588</v>
      </c>
      <c r="K36" s="9" t="s">
        <v>3589</v>
      </c>
    </row>
    <row r="37" customFormat="false" ht="15.75" hidden="false" customHeight="true" outlineLevel="0" collapsed="false">
      <c r="A37" s="9" t="s">
        <v>1177</v>
      </c>
      <c r="B37" s="9" t="s">
        <v>333</v>
      </c>
      <c r="C37" s="9" t="s">
        <v>3586</v>
      </c>
      <c r="D37" s="9" t="s">
        <v>3587</v>
      </c>
      <c r="E37" s="9" t="n">
        <v>0</v>
      </c>
      <c r="F37" s="9" t="n">
        <v>1</v>
      </c>
      <c r="G37" s="9" t="n">
        <v>0</v>
      </c>
      <c r="H37" s="9" t="n">
        <v>0</v>
      </c>
      <c r="I37" s="9" t="n">
        <v>1</v>
      </c>
      <c r="J37" s="9" t="s">
        <v>3588</v>
      </c>
      <c r="K37" s="9" t="s">
        <v>3589</v>
      </c>
    </row>
    <row r="38" customFormat="false" ht="15.75" hidden="false" customHeight="true" outlineLevel="0" collapsed="false">
      <c r="A38" s="9" t="s">
        <v>1046</v>
      </c>
      <c r="B38" s="9" t="s">
        <v>333</v>
      </c>
      <c r="C38" s="9" t="s">
        <v>3586</v>
      </c>
      <c r="D38" s="9" t="s">
        <v>3587</v>
      </c>
      <c r="E38" s="9" t="n">
        <v>0</v>
      </c>
      <c r="F38" s="9" t="n">
        <v>1</v>
      </c>
      <c r="G38" s="9" t="n">
        <v>0</v>
      </c>
      <c r="H38" s="9" t="n">
        <v>0</v>
      </c>
      <c r="I38" s="9" t="n">
        <v>1</v>
      </c>
      <c r="J38" s="9" t="s">
        <v>3588</v>
      </c>
      <c r="K38" s="9" t="s">
        <v>3589</v>
      </c>
    </row>
    <row r="39" customFormat="false" ht="15.75" hidden="false" customHeight="true" outlineLevel="0" collapsed="false">
      <c r="A39" s="9" t="s">
        <v>1146</v>
      </c>
      <c r="B39" s="9" t="s">
        <v>333</v>
      </c>
      <c r="C39" s="9" t="s">
        <v>3586</v>
      </c>
      <c r="D39" s="9" t="s">
        <v>3587</v>
      </c>
      <c r="E39" s="9" t="n">
        <v>0</v>
      </c>
      <c r="F39" s="9" t="n">
        <v>2</v>
      </c>
      <c r="G39" s="9" t="n">
        <v>0</v>
      </c>
      <c r="H39" s="9" t="n">
        <v>0</v>
      </c>
      <c r="I39" s="9" t="n">
        <v>2</v>
      </c>
      <c r="J39" s="9" t="s">
        <v>3588</v>
      </c>
      <c r="K39" s="9" t="s">
        <v>3589</v>
      </c>
    </row>
    <row r="40" customFormat="false" ht="15.75" hidden="false" customHeight="true" outlineLevel="0" collapsed="false">
      <c r="A40" s="9" t="s">
        <v>1092</v>
      </c>
      <c r="B40" s="9" t="s">
        <v>333</v>
      </c>
      <c r="C40" s="9" t="s">
        <v>3586</v>
      </c>
      <c r="D40" s="9" t="s">
        <v>3587</v>
      </c>
      <c r="E40" s="9" t="n">
        <v>0</v>
      </c>
      <c r="F40" s="9" t="n">
        <v>1</v>
      </c>
      <c r="G40" s="9" t="n">
        <v>0</v>
      </c>
      <c r="H40" s="9" t="n">
        <v>0</v>
      </c>
      <c r="I40" s="9" t="n">
        <v>1</v>
      </c>
      <c r="J40" s="9" t="s">
        <v>3588</v>
      </c>
      <c r="K40" s="9" t="s">
        <v>3589</v>
      </c>
    </row>
    <row r="41" customFormat="false" ht="15.75" hidden="false" customHeight="true" outlineLevel="0" collapsed="false">
      <c r="A41" s="9" t="s">
        <v>1093</v>
      </c>
      <c r="B41" s="9" t="s">
        <v>333</v>
      </c>
      <c r="C41" s="9" t="s">
        <v>3586</v>
      </c>
      <c r="D41" s="9" t="s">
        <v>3587</v>
      </c>
      <c r="E41" s="9" t="n">
        <v>0</v>
      </c>
      <c r="F41" s="9" t="n">
        <v>1</v>
      </c>
      <c r="G41" s="9" t="n">
        <v>0</v>
      </c>
      <c r="H41" s="9" t="n">
        <v>0</v>
      </c>
      <c r="I41" s="9" t="n">
        <v>1</v>
      </c>
      <c r="J41" s="9" t="s">
        <v>3588</v>
      </c>
      <c r="K41" s="9" t="s">
        <v>3589</v>
      </c>
    </row>
    <row r="42" customFormat="false" ht="15.75" hidden="false" customHeight="true" outlineLevel="0" collapsed="false">
      <c r="A42" s="9" t="s">
        <v>1072</v>
      </c>
      <c r="B42" s="9" t="s">
        <v>333</v>
      </c>
      <c r="C42" s="9" t="s">
        <v>3586</v>
      </c>
      <c r="D42" s="9" t="s">
        <v>3587</v>
      </c>
      <c r="E42" s="9" t="n">
        <v>0</v>
      </c>
      <c r="F42" s="9" t="n">
        <v>2</v>
      </c>
      <c r="G42" s="9" t="n">
        <v>0</v>
      </c>
      <c r="H42" s="9" t="n">
        <v>0</v>
      </c>
      <c r="I42" s="9" t="n">
        <v>2</v>
      </c>
      <c r="J42" s="9" t="s">
        <v>3588</v>
      </c>
      <c r="K42" s="9" t="s">
        <v>3589</v>
      </c>
    </row>
    <row r="43" customFormat="false" ht="15.75" hidden="false" customHeight="true" outlineLevel="0" collapsed="false">
      <c r="A43" s="9" t="s">
        <v>1085</v>
      </c>
      <c r="B43" s="9" t="s">
        <v>333</v>
      </c>
      <c r="C43" s="9" t="s">
        <v>3586</v>
      </c>
      <c r="D43" s="9" t="s">
        <v>3587</v>
      </c>
      <c r="E43" s="9" t="n">
        <v>0</v>
      </c>
      <c r="F43" s="9" t="n">
        <v>1</v>
      </c>
      <c r="G43" s="9" t="n">
        <v>0</v>
      </c>
      <c r="H43" s="9" t="n">
        <v>0</v>
      </c>
      <c r="I43" s="9" t="n">
        <v>1</v>
      </c>
      <c r="J43" s="9" t="s">
        <v>3588</v>
      </c>
      <c r="K43" s="9" t="s">
        <v>3589</v>
      </c>
    </row>
    <row r="44" customFormat="false" ht="15.75" hidden="false" customHeight="true" outlineLevel="0" collapsed="false">
      <c r="A44" s="9" t="s">
        <v>991</v>
      </c>
      <c r="B44" s="9" t="s">
        <v>333</v>
      </c>
      <c r="C44" s="9" t="s">
        <v>3586</v>
      </c>
      <c r="D44" s="9" t="s">
        <v>3587</v>
      </c>
      <c r="E44" s="9" t="n">
        <v>0</v>
      </c>
      <c r="F44" s="9" t="n">
        <v>1</v>
      </c>
      <c r="G44" s="9" t="n">
        <v>0</v>
      </c>
      <c r="H44" s="9" t="n">
        <v>0</v>
      </c>
      <c r="I44" s="9" t="n">
        <v>1</v>
      </c>
      <c r="J44" s="9" t="s">
        <v>3588</v>
      </c>
      <c r="K44" s="9" t="s">
        <v>3589</v>
      </c>
    </row>
    <row r="45" customFormat="false" ht="15.75" hidden="false" customHeight="true" outlineLevel="0" collapsed="false">
      <c r="A45" s="9" t="s">
        <v>1100</v>
      </c>
      <c r="B45" s="9" t="s">
        <v>333</v>
      </c>
      <c r="C45" s="9" t="s">
        <v>3586</v>
      </c>
      <c r="D45" s="9" t="s">
        <v>3587</v>
      </c>
      <c r="E45" s="9" t="n">
        <v>0</v>
      </c>
      <c r="F45" s="9" t="n">
        <v>1</v>
      </c>
      <c r="G45" s="9" t="n">
        <v>0</v>
      </c>
      <c r="H45" s="9" t="n">
        <v>0</v>
      </c>
      <c r="I45" s="9" t="n">
        <v>1</v>
      </c>
      <c r="J45" s="9" t="s">
        <v>3588</v>
      </c>
      <c r="K45" s="9" t="s">
        <v>3589</v>
      </c>
    </row>
    <row r="46" customFormat="false" ht="15.75" hidden="false" customHeight="true" outlineLevel="0" collapsed="false">
      <c r="A46" s="9" t="s">
        <v>1078</v>
      </c>
      <c r="B46" s="9" t="s">
        <v>333</v>
      </c>
      <c r="C46" s="9" t="s">
        <v>3586</v>
      </c>
      <c r="D46" s="9" t="s">
        <v>3587</v>
      </c>
      <c r="E46" s="9" t="n">
        <v>0</v>
      </c>
      <c r="F46" s="9" t="n">
        <v>1</v>
      </c>
      <c r="G46" s="9" t="n">
        <v>0</v>
      </c>
      <c r="H46" s="9" t="n">
        <v>0</v>
      </c>
      <c r="I46" s="9" t="n">
        <v>1</v>
      </c>
      <c r="J46" s="9" t="s">
        <v>3588</v>
      </c>
      <c r="K46" s="9" t="s">
        <v>3589</v>
      </c>
    </row>
    <row r="47" customFormat="false" ht="15.75" hidden="false" customHeight="true" outlineLevel="0" collapsed="false">
      <c r="A47" s="9" t="s">
        <v>1127</v>
      </c>
      <c r="B47" s="9" t="s">
        <v>333</v>
      </c>
      <c r="C47" s="9" t="s">
        <v>3586</v>
      </c>
      <c r="D47" s="9" t="s">
        <v>3587</v>
      </c>
      <c r="E47" s="9" t="n">
        <v>0</v>
      </c>
      <c r="F47" s="9" t="n">
        <v>1</v>
      </c>
      <c r="G47" s="9" t="n">
        <v>0</v>
      </c>
      <c r="H47" s="9" t="n">
        <v>0</v>
      </c>
      <c r="I47" s="9" t="n">
        <v>1</v>
      </c>
      <c r="J47" s="9" t="s">
        <v>3588</v>
      </c>
      <c r="K47" s="9" t="s">
        <v>3589</v>
      </c>
    </row>
    <row r="48" customFormat="false" ht="15.75" hidden="false" customHeight="true" outlineLevel="0" collapsed="false">
      <c r="A48" s="9" t="s">
        <v>893</v>
      </c>
      <c r="B48" s="9" t="s">
        <v>333</v>
      </c>
      <c r="C48" s="9" t="s">
        <v>3586</v>
      </c>
      <c r="D48" s="9" t="s">
        <v>3587</v>
      </c>
      <c r="E48" s="9" t="n">
        <v>0</v>
      </c>
      <c r="F48" s="9" t="n">
        <v>1</v>
      </c>
      <c r="G48" s="9" t="n">
        <v>0</v>
      </c>
      <c r="H48" s="9" t="n">
        <v>0</v>
      </c>
      <c r="I48" s="9" t="n">
        <v>1</v>
      </c>
      <c r="J48" s="9" t="s">
        <v>3588</v>
      </c>
      <c r="K48" s="9" t="s">
        <v>3589</v>
      </c>
    </row>
    <row r="49" customFormat="false" ht="15.75" hidden="false" customHeight="true" outlineLevel="0" collapsed="false">
      <c r="A49" s="9" t="s">
        <v>1027</v>
      </c>
      <c r="B49" s="9" t="s">
        <v>333</v>
      </c>
      <c r="C49" s="9" t="s">
        <v>3586</v>
      </c>
      <c r="D49" s="9" t="s">
        <v>3587</v>
      </c>
      <c r="E49" s="9" t="n">
        <v>0</v>
      </c>
      <c r="F49" s="9" t="n">
        <v>1</v>
      </c>
      <c r="G49" s="9" t="n">
        <v>0</v>
      </c>
      <c r="H49" s="9" t="n">
        <v>0</v>
      </c>
      <c r="I49" s="9" t="n">
        <v>1</v>
      </c>
      <c r="J49" s="9" t="s">
        <v>3588</v>
      </c>
      <c r="K49" s="9" t="s">
        <v>3589</v>
      </c>
    </row>
    <row r="50" customFormat="false" ht="15.75" hidden="false" customHeight="true" outlineLevel="0" collapsed="false">
      <c r="A50" s="9" t="s">
        <v>1185</v>
      </c>
      <c r="B50" s="9" t="s">
        <v>333</v>
      </c>
      <c r="C50" s="9" t="s">
        <v>3586</v>
      </c>
      <c r="D50" s="9" t="s">
        <v>3587</v>
      </c>
      <c r="E50" s="9" t="n">
        <v>0</v>
      </c>
      <c r="F50" s="9" t="n">
        <v>1</v>
      </c>
      <c r="G50" s="9" t="n">
        <v>0</v>
      </c>
      <c r="H50" s="9" t="n">
        <v>0</v>
      </c>
      <c r="I50" s="9" t="n">
        <v>1</v>
      </c>
      <c r="J50" s="9" t="s">
        <v>3588</v>
      </c>
      <c r="K50" s="9" t="s">
        <v>3589</v>
      </c>
    </row>
    <row r="51" customFormat="false" ht="15.75" hidden="false" customHeight="true" outlineLevel="0" collapsed="false">
      <c r="A51" s="9" t="s">
        <v>1108</v>
      </c>
      <c r="B51" s="9" t="s">
        <v>333</v>
      </c>
      <c r="C51" s="9" t="s">
        <v>3586</v>
      </c>
      <c r="D51" s="9" t="s">
        <v>3587</v>
      </c>
      <c r="E51" s="9" t="n">
        <v>0</v>
      </c>
      <c r="F51" s="9" t="n">
        <v>1</v>
      </c>
      <c r="G51" s="9" t="n">
        <v>0</v>
      </c>
      <c r="H51" s="9" t="n">
        <v>0</v>
      </c>
      <c r="I51" s="9" t="n">
        <v>1</v>
      </c>
      <c r="J51" s="9" t="s">
        <v>3588</v>
      </c>
      <c r="K51" s="9" t="s">
        <v>3589</v>
      </c>
    </row>
    <row r="52" customFormat="false" ht="15.75" hidden="false" customHeight="true" outlineLevel="0" collapsed="false">
      <c r="A52" s="9" t="s">
        <v>974</v>
      </c>
      <c r="B52" s="9" t="s">
        <v>333</v>
      </c>
      <c r="C52" s="9" t="s">
        <v>3586</v>
      </c>
      <c r="D52" s="9" t="s">
        <v>3587</v>
      </c>
      <c r="E52" s="9" t="n">
        <v>0</v>
      </c>
      <c r="F52" s="9" t="n">
        <v>1</v>
      </c>
      <c r="G52" s="9" t="n">
        <v>0</v>
      </c>
      <c r="H52" s="9" t="n">
        <v>0</v>
      </c>
      <c r="I52" s="9" t="n">
        <v>1</v>
      </c>
      <c r="J52" s="9" t="s">
        <v>3588</v>
      </c>
      <c r="K52" s="9" t="s">
        <v>3589</v>
      </c>
    </row>
    <row r="53" customFormat="false" ht="15.75" hidden="false" customHeight="true" outlineLevel="0" collapsed="false">
      <c r="A53" s="9" t="s">
        <v>996</v>
      </c>
      <c r="B53" s="9" t="s">
        <v>333</v>
      </c>
      <c r="C53" s="9" t="s">
        <v>3586</v>
      </c>
      <c r="D53" s="9" t="s">
        <v>3587</v>
      </c>
      <c r="E53" s="9" t="n">
        <v>0</v>
      </c>
      <c r="F53" s="9" t="n">
        <v>3</v>
      </c>
      <c r="G53" s="9" t="n">
        <v>0</v>
      </c>
      <c r="H53" s="9" t="n">
        <v>0</v>
      </c>
      <c r="I53" s="9" t="n">
        <v>3</v>
      </c>
      <c r="J53" s="9" t="s">
        <v>3588</v>
      </c>
      <c r="K53" s="9" t="s">
        <v>3589</v>
      </c>
    </row>
    <row r="54" customFormat="false" ht="15.75" hidden="false" customHeight="true" outlineLevel="0" collapsed="false">
      <c r="A54" s="9" t="s">
        <v>3595</v>
      </c>
      <c r="B54" s="9" t="s">
        <v>333</v>
      </c>
      <c r="C54" s="9" t="s">
        <v>3586</v>
      </c>
      <c r="D54" s="9" t="s">
        <v>3587</v>
      </c>
      <c r="E54" s="9" t="n">
        <v>0</v>
      </c>
      <c r="F54" s="9" t="n">
        <v>1</v>
      </c>
      <c r="G54" s="9" t="n">
        <v>0</v>
      </c>
      <c r="H54" s="9" t="n">
        <v>0</v>
      </c>
      <c r="I54" s="9" t="n">
        <v>1</v>
      </c>
      <c r="J54" s="9" t="s">
        <v>3588</v>
      </c>
      <c r="K54" s="9" t="s">
        <v>3589</v>
      </c>
    </row>
    <row r="55" customFormat="false" ht="15.75" hidden="false" customHeight="true" outlineLevel="0" collapsed="false">
      <c r="A55" s="9" t="s">
        <v>908</v>
      </c>
      <c r="B55" s="9" t="s">
        <v>333</v>
      </c>
      <c r="C55" s="9" t="s">
        <v>3586</v>
      </c>
      <c r="D55" s="9" t="s">
        <v>3587</v>
      </c>
      <c r="E55" s="9" t="n">
        <v>0</v>
      </c>
      <c r="F55" s="9" t="n">
        <v>1</v>
      </c>
      <c r="G55" s="9" t="n">
        <v>0</v>
      </c>
      <c r="H55" s="9" t="n">
        <v>0</v>
      </c>
      <c r="I55" s="9" t="n">
        <v>1</v>
      </c>
      <c r="J55" s="9" t="s">
        <v>3588</v>
      </c>
      <c r="K55" s="9" t="s">
        <v>3589</v>
      </c>
    </row>
    <row r="56" customFormat="false" ht="15.75" hidden="false" customHeight="true" outlineLevel="0" collapsed="false">
      <c r="A56" s="9" t="s">
        <v>1035</v>
      </c>
      <c r="B56" s="9" t="s">
        <v>333</v>
      </c>
      <c r="C56" s="9" t="s">
        <v>3586</v>
      </c>
      <c r="D56" s="9" t="s">
        <v>3587</v>
      </c>
      <c r="E56" s="9" t="n">
        <v>0</v>
      </c>
      <c r="F56" s="9" t="n">
        <v>1</v>
      </c>
      <c r="G56" s="9" t="n">
        <v>0</v>
      </c>
      <c r="H56" s="9" t="n">
        <v>0</v>
      </c>
      <c r="I56" s="9" t="n">
        <v>1</v>
      </c>
      <c r="J56" s="9" t="s">
        <v>3588</v>
      </c>
      <c r="K56" s="9" t="s">
        <v>3589</v>
      </c>
    </row>
    <row r="57" customFormat="false" ht="15.75" hidden="false" customHeight="true" outlineLevel="0" collapsed="false">
      <c r="A57" s="9" t="s">
        <v>1062</v>
      </c>
      <c r="B57" s="9" t="s">
        <v>333</v>
      </c>
      <c r="C57" s="9" t="s">
        <v>3586</v>
      </c>
      <c r="D57" s="9" t="s">
        <v>3587</v>
      </c>
      <c r="E57" s="9" t="n">
        <v>0</v>
      </c>
      <c r="F57" s="9" t="n">
        <v>2</v>
      </c>
      <c r="G57" s="9" t="n">
        <v>0</v>
      </c>
      <c r="H57" s="9" t="n">
        <v>0</v>
      </c>
      <c r="I57" s="9" t="n">
        <v>2</v>
      </c>
      <c r="J57" s="9" t="s">
        <v>3588</v>
      </c>
      <c r="K57" s="9" t="s">
        <v>3589</v>
      </c>
    </row>
    <row r="58" customFormat="false" ht="15.75" hidden="false" customHeight="true" outlineLevel="0" collapsed="false">
      <c r="A58" s="9" t="s">
        <v>1105</v>
      </c>
      <c r="B58" s="9" t="s">
        <v>333</v>
      </c>
      <c r="C58" s="9" t="s">
        <v>3586</v>
      </c>
      <c r="D58" s="9" t="s">
        <v>3587</v>
      </c>
      <c r="E58" s="9" t="n">
        <v>0</v>
      </c>
      <c r="F58" s="9" t="n">
        <v>1</v>
      </c>
      <c r="G58" s="9" t="n">
        <v>0</v>
      </c>
      <c r="H58" s="9" t="n">
        <v>0</v>
      </c>
      <c r="I58" s="9" t="n">
        <v>1</v>
      </c>
      <c r="J58" s="9" t="s">
        <v>3588</v>
      </c>
      <c r="K58" s="9" t="s">
        <v>3589</v>
      </c>
    </row>
    <row r="59" customFormat="false" ht="15.75" hidden="false" customHeight="true" outlineLevel="0" collapsed="false">
      <c r="A59" s="9" t="s">
        <v>1160</v>
      </c>
      <c r="B59" s="9" t="s">
        <v>333</v>
      </c>
      <c r="C59" s="9" t="s">
        <v>3586</v>
      </c>
      <c r="D59" s="9" t="s">
        <v>3587</v>
      </c>
      <c r="E59" s="9" t="n">
        <v>0</v>
      </c>
      <c r="F59" s="9" t="n">
        <v>1</v>
      </c>
      <c r="G59" s="9" t="n">
        <v>0</v>
      </c>
      <c r="H59" s="9" t="n">
        <v>0</v>
      </c>
      <c r="I59" s="9" t="n">
        <v>1</v>
      </c>
      <c r="J59" s="9" t="s">
        <v>3588</v>
      </c>
      <c r="K59" s="9" t="s">
        <v>3589</v>
      </c>
    </row>
    <row r="60" customFormat="false" ht="15.75" hidden="false" customHeight="true" outlineLevel="0" collapsed="false">
      <c r="A60" s="9" t="s">
        <v>1224</v>
      </c>
      <c r="B60" s="9" t="s">
        <v>333</v>
      </c>
      <c r="C60" s="9" t="s">
        <v>3586</v>
      </c>
      <c r="D60" s="9" t="s">
        <v>3587</v>
      </c>
      <c r="E60" s="9" t="n">
        <v>0</v>
      </c>
      <c r="F60" s="9" t="n">
        <v>1</v>
      </c>
      <c r="G60" s="9" t="n">
        <v>0</v>
      </c>
      <c r="H60" s="9" t="n">
        <v>0</v>
      </c>
      <c r="I60" s="9" t="n">
        <v>1</v>
      </c>
      <c r="J60" s="9" t="s">
        <v>3588</v>
      </c>
      <c r="K60" s="9" t="s">
        <v>3589</v>
      </c>
    </row>
    <row r="61" customFormat="false" ht="15.75" hidden="false" customHeight="true" outlineLevel="0" collapsed="false">
      <c r="A61" s="9" t="s">
        <v>1207</v>
      </c>
      <c r="B61" s="9" t="s">
        <v>333</v>
      </c>
      <c r="C61" s="9" t="s">
        <v>3586</v>
      </c>
      <c r="D61" s="9" t="s">
        <v>3587</v>
      </c>
      <c r="E61" s="9" t="n">
        <v>0</v>
      </c>
      <c r="F61" s="9" t="n">
        <v>4</v>
      </c>
      <c r="G61" s="9" t="n">
        <v>0</v>
      </c>
      <c r="H61" s="9" t="n">
        <v>0</v>
      </c>
      <c r="I61" s="9" t="n">
        <v>4</v>
      </c>
      <c r="J61" s="9" t="s">
        <v>3588</v>
      </c>
      <c r="K61" s="9" t="s">
        <v>3589</v>
      </c>
    </row>
    <row r="62" customFormat="false" ht="15.75" hidden="false" customHeight="true" outlineLevel="0" collapsed="false">
      <c r="A62" s="9" t="s">
        <v>961</v>
      </c>
      <c r="B62" s="9" t="s">
        <v>333</v>
      </c>
      <c r="C62" s="9" t="s">
        <v>3586</v>
      </c>
      <c r="D62" s="9" t="s">
        <v>3587</v>
      </c>
      <c r="E62" s="9" t="n">
        <v>5</v>
      </c>
      <c r="F62" s="9" t="n">
        <v>0</v>
      </c>
      <c r="G62" s="9" t="n">
        <v>1</v>
      </c>
      <c r="H62" s="9" t="n">
        <v>0</v>
      </c>
      <c r="I62" s="9" t="n">
        <v>6</v>
      </c>
      <c r="J62" s="9" t="s">
        <v>3588</v>
      </c>
      <c r="K62" s="9" t="s">
        <v>3589</v>
      </c>
    </row>
    <row r="63" customFormat="false" ht="15.75" hidden="false" customHeight="true" outlineLevel="0" collapsed="false">
      <c r="A63" s="9" t="s">
        <v>1780</v>
      </c>
      <c r="B63" s="9" t="s">
        <v>333</v>
      </c>
      <c r="C63" s="9" t="s">
        <v>3586</v>
      </c>
      <c r="D63" s="9" t="s">
        <v>3587</v>
      </c>
      <c r="E63" s="9" t="n">
        <v>0</v>
      </c>
      <c r="F63" s="9" t="n">
        <v>0</v>
      </c>
      <c r="G63" s="9" t="n">
        <v>0</v>
      </c>
      <c r="H63" s="9" t="n">
        <v>0</v>
      </c>
      <c r="I63" s="9" t="n">
        <v>0</v>
      </c>
      <c r="J63" s="9" t="s">
        <v>3588</v>
      </c>
      <c r="K63" s="9" t="s">
        <v>3589</v>
      </c>
    </row>
    <row r="64" customFormat="false" ht="15.75" hidden="false" customHeight="true" outlineLevel="0" collapsed="false">
      <c r="A64" s="9" t="s">
        <v>68</v>
      </c>
      <c r="B64" s="9" t="s">
        <v>333</v>
      </c>
      <c r="C64" s="9" t="s">
        <v>3586</v>
      </c>
      <c r="D64" s="9" t="s">
        <v>3587</v>
      </c>
      <c r="E64" s="9" t="n">
        <v>0</v>
      </c>
      <c r="F64" s="9" t="n">
        <v>0</v>
      </c>
      <c r="G64" s="9" t="n">
        <v>1</v>
      </c>
      <c r="H64" s="9" t="n">
        <v>0</v>
      </c>
      <c r="I64" s="9" t="n">
        <v>1</v>
      </c>
      <c r="J64" s="9" t="s">
        <v>3588</v>
      </c>
      <c r="K64" s="9" t="s">
        <v>3589</v>
      </c>
    </row>
    <row r="65" customFormat="false" ht="15.75" hidden="false" customHeight="true" outlineLevel="0" collapsed="false">
      <c r="A65" s="9" t="s">
        <v>721</v>
      </c>
      <c r="B65" s="9" t="s">
        <v>333</v>
      </c>
      <c r="C65" s="9" t="s">
        <v>3586</v>
      </c>
      <c r="D65" s="9" t="s">
        <v>3587</v>
      </c>
      <c r="E65" s="9" t="n">
        <v>0</v>
      </c>
      <c r="F65" s="9" t="n">
        <v>1</v>
      </c>
      <c r="G65" s="9" t="n">
        <v>0</v>
      </c>
      <c r="H65" s="9" t="n">
        <v>0</v>
      </c>
      <c r="I65" s="9" t="n">
        <v>1</v>
      </c>
      <c r="J65" s="9" t="s">
        <v>3588</v>
      </c>
      <c r="K65" s="9" t="s">
        <v>3589</v>
      </c>
    </row>
    <row r="66" customFormat="false" ht="15.75" hidden="false" customHeight="true" outlineLevel="0" collapsed="false">
      <c r="A66" s="9" t="s">
        <v>1391</v>
      </c>
      <c r="B66" s="9" t="s">
        <v>333</v>
      </c>
      <c r="C66" s="9" t="s">
        <v>3586</v>
      </c>
      <c r="D66" s="9" t="s">
        <v>3587</v>
      </c>
      <c r="E66" s="9" t="n">
        <v>0</v>
      </c>
      <c r="F66" s="9" t="n">
        <v>0</v>
      </c>
      <c r="G66" s="9" t="n">
        <v>0</v>
      </c>
      <c r="H66" s="9" t="n">
        <v>0</v>
      </c>
      <c r="I66" s="9" t="n">
        <v>0</v>
      </c>
      <c r="J66" s="9" t="s">
        <v>3588</v>
      </c>
      <c r="K66" s="9" t="s">
        <v>3589</v>
      </c>
    </row>
    <row r="67" customFormat="false" ht="15.75" hidden="false" customHeight="true" outlineLevel="0" collapsed="false">
      <c r="A67" s="9" t="s">
        <v>951</v>
      </c>
      <c r="B67" s="9" t="s">
        <v>333</v>
      </c>
      <c r="C67" s="9" t="s">
        <v>3586</v>
      </c>
      <c r="D67" s="9" t="s">
        <v>3587</v>
      </c>
      <c r="E67" s="9" t="n">
        <v>1</v>
      </c>
      <c r="F67" s="9" t="n">
        <v>0</v>
      </c>
      <c r="G67" s="9" t="n">
        <v>1</v>
      </c>
      <c r="H67" s="9" t="n">
        <v>0</v>
      </c>
      <c r="I67" s="9" t="n">
        <v>2</v>
      </c>
      <c r="J67" s="9" t="s">
        <v>3588</v>
      </c>
      <c r="K67" s="9" t="s">
        <v>3589</v>
      </c>
    </row>
    <row r="68" customFormat="false" ht="15.75" hidden="false" customHeight="true" outlineLevel="0" collapsed="false">
      <c r="A68" s="9" t="s">
        <v>1076</v>
      </c>
      <c r="B68" s="9" t="s">
        <v>333</v>
      </c>
      <c r="C68" s="9" t="s">
        <v>3586</v>
      </c>
      <c r="D68" s="9" t="s">
        <v>3587</v>
      </c>
      <c r="E68" s="9" t="n">
        <v>1</v>
      </c>
      <c r="F68" s="9" t="n">
        <v>0</v>
      </c>
      <c r="G68" s="9" t="n">
        <v>1</v>
      </c>
      <c r="H68" s="9" t="n">
        <v>0</v>
      </c>
      <c r="I68" s="9" t="n">
        <v>2</v>
      </c>
      <c r="J68" s="9" t="s">
        <v>3588</v>
      </c>
      <c r="K68" s="9" t="s">
        <v>3589</v>
      </c>
    </row>
    <row r="69" customFormat="false" ht="15.75" hidden="false" customHeight="true" outlineLevel="0" collapsed="false">
      <c r="A69" s="9" t="s">
        <v>1448</v>
      </c>
      <c r="B69" s="9" t="s">
        <v>333</v>
      </c>
      <c r="C69" s="9" t="s">
        <v>3586</v>
      </c>
      <c r="D69" s="9" t="s">
        <v>3587</v>
      </c>
      <c r="E69" s="9" t="n">
        <v>0</v>
      </c>
      <c r="F69" s="9" t="n">
        <v>0</v>
      </c>
      <c r="G69" s="9" t="n">
        <v>1</v>
      </c>
      <c r="H69" s="9" t="n">
        <v>0</v>
      </c>
      <c r="I69" s="9" t="n">
        <v>1</v>
      </c>
      <c r="J69" s="9" t="s">
        <v>3588</v>
      </c>
      <c r="K69" s="9" t="s">
        <v>3589</v>
      </c>
    </row>
    <row r="70" customFormat="false" ht="15.75" hidden="false" customHeight="true" outlineLevel="0" collapsed="false">
      <c r="A70" s="9" t="s">
        <v>1477</v>
      </c>
      <c r="B70" s="9" t="s">
        <v>333</v>
      </c>
      <c r="C70" s="9" t="s">
        <v>3586</v>
      </c>
      <c r="D70" s="9" t="s">
        <v>3587</v>
      </c>
      <c r="E70" s="9" t="n">
        <v>0</v>
      </c>
      <c r="F70" s="9" t="n">
        <v>0</v>
      </c>
      <c r="G70" s="9" t="n">
        <v>0</v>
      </c>
      <c r="H70" s="9" t="n">
        <v>0</v>
      </c>
      <c r="I70" s="9" t="n">
        <v>0</v>
      </c>
      <c r="J70" s="9" t="s">
        <v>3588</v>
      </c>
      <c r="K70" s="9" t="s">
        <v>3589</v>
      </c>
    </row>
    <row r="71" customFormat="false" ht="15.75" hidden="false" customHeight="true" outlineLevel="0" collapsed="false">
      <c r="A71" s="9" t="s">
        <v>1447</v>
      </c>
      <c r="B71" s="9" t="s">
        <v>333</v>
      </c>
      <c r="C71" s="9" t="s">
        <v>3586</v>
      </c>
      <c r="D71" s="9" t="s">
        <v>3587</v>
      </c>
      <c r="E71" s="9" t="n">
        <v>0</v>
      </c>
      <c r="F71" s="9" t="n">
        <v>0</v>
      </c>
      <c r="G71" s="9" t="n">
        <v>0</v>
      </c>
      <c r="H71" s="9" t="n">
        <v>0</v>
      </c>
      <c r="I71" s="9" t="n">
        <v>0</v>
      </c>
      <c r="J71" s="9" t="s">
        <v>3588</v>
      </c>
      <c r="K71" s="9" t="s">
        <v>3589</v>
      </c>
    </row>
    <row r="72" customFormat="false" ht="15.75" hidden="false" customHeight="true" outlineLevel="0" collapsed="false">
      <c r="A72" s="9" t="s">
        <v>1386</v>
      </c>
      <c r="B72" s="9" t="s">
        <v>333</v>
      </c>
      <c r="C72" s="9" t="s">
        <v>3586</v>
      </c>
      <c r="D72" s="9" t="s">
        <v>3587</v>
      </c>
      <c r="E72" s="9" t="n">
        <v>0</v>
      </c>
      <c r="F72" s="9" t="n">
        <v>0</v>
      </c>
      <c r="G72" s="9" t="n">
        <v>0</v>
      </c>
      <c r="H72" s="9" t="n">
        <v>0</v>
      </c>
      <c r="I72" s="9" t="n">
        <v>0</v>
      </c>
      <c r="J72" s="9" t="s">
        <v>3588</v>
      </c>
      <c r="K72" s="9" t="s">
        <v>3589</v>
      </c>
    </row>
    <row r="73" customFormat="false" ht="15.75" hidden="false" customHeight="true" outlineLevel="0" collapsed="false">
      <c r="A73" s="9" t="s">
        <v>2120</v>
      </c>
      <c r="B73" s="9" t="s">
        <v>333</v>
      </c>
      <c r="C73" s="9" t="s">
        <v>3586</v>
      </c>
      <c r="D73" s="9" t="s">
        <v>3587</v>
      </c>
      <c r="E73" s="9" t="n">
        <v>0</v>
      </c>
      <c r="F73" s="9" t="n">
        <v>0</v>
      </c>
      <c r="G73" s="9" t="n">
        <v>0</v>
      </c>
      <c r="H73" s="9" t="n">
        <v>0</v>
      </c>
      <c r="I73" s="9" t="n">
        <v>0</v>
      </c>
      <c r="J73" s="9" t="s">
        <v>3588</v>
      </c>
      <c r="K73" s="9" t="s">
        <v>3589</v>
      </c>
    </row>
    <row r="74" customFormat="false" ht="15.75" hidden="false" customHeight="true" outlineLevel="0" collapsed="false">
      <c r="A74" s="9" t="s">
        <v>2013</v>
      </c>
      <c r="B74" s="9" t="s">
        <v>333</v>
      </c>
      <c r="C74" s="9" t="s">
        <v>3586</v>
      </c>
      <c r="D74" s="9" t="s">
        <v>3587</v>
      </c>
      <c r="E74" s="9" t="n">
        <v>0</v>
      </c>
      <c r="F74" s="9" t="n">
        <v>0</v>
      </c>
      <c r="G74" s="9" t="n">
        <v>0</v>
      </c>
      <c r="H74" s="9" t="n">
        <v>0</v>
      </c>
      <c r="I74" s="9" t="n">
        <v>0</v>
      </c>
      <c r="J74" s="9" t="s">
        <v>3588</v>
      </c>
      <c r="K74" s="9" t="s">
        <v>3589</v>
      </c>
    </row>
    <row r="75" customFormat="false" ht="15.75" hidden="false" customHeight="true" outlineLevel="0" collapsed="false">
      <c r="A75" s="9" t="s">
        <v>2077</v>
      </c>
      <c r="B75" s="9" t="s">
        <v>333</v>
      </c>
      <c r="C75" s="9" t="s">
        <v>3586</v>
      </c>
      <c r="D75" s="9" t="s">
        <v>3587</v>
      </c>
      <c r="E75" s="9" t="n">
        <v>0</v>
      </c>
      <c r="F75" s="9" t="n">
        <v>0</v>
      </c>
      <c r="G75" s="9" t="n">
        <v>0</v>
      </c>
      <c r="H75" s="9" t="n">
        <v>0</v>
      </c>
      <c r="I75" s="9" t="n">
        <v>0</v>
      </c>
      <c r="J75" s="9" t="s">
        <v>3588</v>
      </c>
      <c r="K75" s="9" t="s">
        <v>3589</v>
      </c>
    </row>
    <row r="76" customFormat="false" ht="15.75" hidden="false" customHeight="true" outlineLevel="0" collapsed="false">
      <c r="A76" s="9" t="s">
        <v>3596</v>
      </c>
      <c r="B76" s="9" t="s">
        <v>333</v>
      </c>
      <c r="C76" s="9" t="s">
        <v>3586</v>
      </c>
      <c r="D76" s="9" t="s">
        <v>3587</v>
      </c>
      <c r="E76" s="9" t="n">
        <v>0</v>
      </c>
      <c r="F76" s="9" t="n">
        <v>0</v>
      </c>
      <c r="G76" s="9" t="n">
        <v>1</v>
      </c>
      <c r="H76" s="9" t="n">
        <v>0</v>
      </c>
      <c r="I76" s="9" t="n">
        <v>1</v>
      </c>
      <c r="J76" s="9" t="s">
        <v>3588</v>
      </c>
      <c r="K76" s="9" t="s">
        <v>3589</v>
      </c>
    </row>
    <row r="77" customFormat="false" ht="15.75" hidden="false" customHeight="true" outlineLevel="0" collapsed="false">
      <c r="A77" s="9" t="s">
        <v>3597</v>
      </c>
      <c r="B77" s="9" t="s">
        <v>333</v>
      </c>
      <c r="C77" s="9" t="s">
        <v>3586</v>
      </c>
      <c r="D77" s="9" t="s">
        <v>3587</v>
      </c>
      <c r="E77" s="9" t="n">
        <v>0</v>
      </c>
      <c r="F77" s="9" t="n">
        <v>0</v>
      </c>
      <c r="G77" s="9" t="n">
        <v>0</v>
      </c>
      <c r="H77" s="9" t="n">
        <v>0</v>
      </c>
      <c r="I77" s="9" t="n">
        <v>0</v>
      </c>
      <c r="J77" s="9" t="s">
        <v>3588</v>
      </c>
      <c r="K77" s="9" t="s">
        <v>3589</v>
      </c>
    </row>
    <row r="78" customFormat="false" ht="15.75" hidden="false" customHeight="true" outlineLevel="0" collapsed="false">
      <c r="A78" s="9" t="s">
        <v>3598</v>
      </c>
      <c r="B78" s="9" t="s">
        <v>333</v>
      </c>
      <c r="C78" s="9" t="s">
        <v>3590</v>
      </c>
      <c r="D78" s="9" t="s">
        <v>3591</v>
      </c>
      <c r="E78" s="9" t="n">
        <v>0</v>
      </c>
      <c r="F78" s="9" t="n">
        <v>0</v>
      </c>
      <c r="G78" s="9" t="n">
        <v>0</v>
      </c>
      <c r="H78" s="9" t="n">
        <v>1</v>
      </c>
      <c r="I78" s="9" t="n">
        <v>1</v>
      </c>
      <c r="J78" s="9" t="s">
        <v>3588</v>
      </c>
      <c r="K78" s="9" t="s">
        <v>3589</v>
      </c>
    </row>
    <row r="79" customFormat="false" ht="15.75" hidden="false" customHeight="true" outlineLevel="0" collapsed="false">
      <c r="A79" s="9" t="s">
        <v>3599</v>
      </c>
      <c r="B79" s="9" t="s">
        <v>333</v>
      </c>
      <c r="C79" s="9" t="s">
        <v>3590</v>
      </c>
      <c r="D79" s="9" t="s">
        <v>3591</v>
      </c>
      <c r="E79" s="9" t="n">
        <v>0</v>
      </c>
      <c r="F79" s="9" t="n">
        <v>0</v>
      </c>
      <c r="G79" s="9" t="n">
        <v>0</v>
      </c>
      <c r="H79" s="9" t="n">
        <v>1</v>
      </c>
      <c r="I79" s="9" t="n">
        <v>1</v>
      </c>
      <c r="J79" s="9" t="s">
        <v>3588</v>
      </c>
      <c r="K79" s="9" t="s">
        <v>3589</v>
      </c>
    </row>
    <row r="80" customFormat="false" ht="15.75" hidden="false" customHeight="true" outlineLevel="0" collapsed="false">
      <c r="A80" s="9" t="s">
        <v>3600</v>
      </c>
      <c r="B80" s="9" t="s">
        <v>333</v>
      </c>
      <c r="C80" s="9" t="s">
        <v>3590</v>
      </c>
      <c r="D80" s="9" t="s">
        <v>3591</v>
      </c>
      <c r="E80" s="9" t="n">
        <v>0</v>
      </c>
      <c r="F80" s="9" t="n">
        <v>0</v>
      </c>
      <c r="G80" s="9" t="n">
        <v>0</v>
      </c>
      <c r="H80" s="9" t="n">
        <v>2</v>
      </c>
      <c r="I80" s="9" t="n">
        <v>2</v>
      </c>
      <c r="J80" s="9" t="s">
        <v>3588</v>
      </c>
      <c r="K80" s="9" t="s">
        <v>3589</v>
      </c>
    </row>
    <row r="81" customFormat="false" ht="15.75" hidden="false" customHeight="true" outlineLevel="0" collapsed="false">
      <c r="A81" s="9" t="s">
        <v>3601</v>
      </c>
      <c r="B81" s="9" t="s">
        <v>333</v>
      </c>
      <c r="C81" s="9" t="s">
        <v>3590</v>
      </c>
      <c r="D81" s="9" t="s">
        <v>3591</v>
      </c>
      <c r="E81" s="9" t="n">
        <v>0</v>
      </c>
      <c r="F81" s="9" t="n">
        <v>0</v>
      </c>
      <c r="G81" s="9" t="n">
        <v>0</v>
      </c>
      <c r="H81" s="9" t="n">
        <v>2</v>
      </c>
      <c r="I81" s="9" t="n">
        <v>2</v>
      </c>
      <c r="J81" s="9" t="s">
        <v>3588</v>
      </c>
      <c r="K81" s="9" t="s">
        <v>3589</v>
      </c>
    </row>
    <row r="82" customFormat="false" ht="15.75" hidden="false" customHeight="true" outlineLevel="0" collapsed="false">
      <c r="A82" s="9" t="s">
        <v>1153</v>
      </c>
      <c r="B82" s="9" t="s">
        <v>333</v>
      </c>
      <c r="C82" s="9" t="s">
        <v>3586</v>
      </c>
      <c r="D82" s="9" t="s">
        <v>3587</v>
      </c>
      <c r="E82" s="9" t="n">
        <v>1</v>
      </c>
      <c r="F82" s="9" t="n">
        <v>0</v>
      </c>
      <c r="G82" s="9" t="n">
        <v>3</v>
      </c>
      <c r="H82" s="9" t="n">
        <v>0</v>
      </c>
      <c r="I82" s="9" t="n">
        <v>4</v>
      </c>
      <c r="J82" s="9" t="s">
        <v>3588</v>
      </c>
      <c r="K82" s="9" t="s">
        <v>3589</v>
      </c>
    </row>
    <row r="83" customFormat="false" ht="15.75" hidden="false" customHeight="true" outlineLevel="0" collapsed="false">
      <c r="A83" s="9" t="s">
        <v>970</v>
      </c>
      <c r="B83" s="9" t="s">
        <v>333</v>
      </c>
      <c r="C83" s="9" t="s">
        <v>3586</v>
      </c>
      <c r="D83" s="9" t="s">
        <v>3587</v>
      </c>
      <c r="E83" s="9" t="n">
        <v>4</v>
      </c>
      <c r="F83" s="9" t="n">
        <v>0</v>
      </c>
      <c r="G83" s="9" t="n">
        <v>0</v>
      </c>
      <c r="H83" s="9" t="n">
        <v>0</v>
      </c>
      <c r="I83" s="9" t="n">
        <v>4</v>
      </c>
      <c r="J83" s="9" t="s">
        <v>3588</v>
      </c>
      <c r="K83" s="9" t="s">
        <v>3589</v>
      </c>
    </row>
    <row r="84" customFormat="false" ht="15.75" hidden="false" customHeight="true" outlineLevel="0" collapsed="false">
      <c r="A84" s="9" t="s">
        <v>1993</v>
      </c>
      <c r="B84" s="9" t="s">
        <v>333</v>
      </c>
      <c r="C84" s="9" t="s">
        <v>3586</v>
      </c>
      <c r="D84" s="9" t="s">
        <v>3587</v>
      </c>
      <c r="E84" s="9" t="n">
        <v>0</v>
      </c>
      <c r="F84" s="9" t="n">
        <v>0</v>
      </c>
      <c r="G84" s="9" t="n">
        <v>0</v>
      </c>
      <c r="H84" s="9" t="n">
        <v>0</v>
      </c>
      <c r="I84" s="9" t="n">
        <v>0</v>
      </c>
      <c r="J84" s="9" t="s">
        <v>3588</v>
      </c>
      <c r="K84" s="9" t="s">
        <v>3589</v>
      </c>
    </row>
    <row r="85" customFormat="false" ht="15.75" hidden="false" customHeight="true" outlineLevel="0" collapsed="false">
      <c r="A85" s="9" t="s">
        <v>1116</v>
      </c>
      <c r="B85" s="9" t="s">
        <v>333</v>
      </c>
      <c r="C85" s="9" t="s">
        <v>3586</v>
      </c>
      <c r="D85" s="9" t="s">
        <v>3587</v>
      </c>
      <c r="E85" s="9" t="n">
        <v>1</v>
      </c>
      <c r="F85" s="9" t="n">
        <v>0</v>
      </c>
      <c r="G85" s="9" t="n">
        <v>0</v>
      </c>
      <c r="H85" s="9" t="n">
        <v>0</v>
      </c>
      <c r="I85" s="9" t="n">
        <v>1</v>
      </c>
      <c r="J85" s="9" t="s">
        <v>3588</v>
      </c>
      <c r="K85" s="9" t="s">
        <v>3589</v>
      </c>
    </row>
    <row r="86" customFormat="false" ht="15.75" hidden="false" customHeight="true" outlineLevel="0" collapsed="false">
      <c r="A86" s="9" t="s">
        <v>1342</v>
      </c>
      <c r="B86" s="9" t="s">
        <v>333</v>
      </c>
      <c r="C86" s="9" t="s">
        <v>3586</v>
      </c>
      <c r="D86" s="9" t="s">
        <v>3587</v>
      </c>
      <c r="E86" s="9" t="n">
        <v>0</v>
      </c>
      <c r="F86" s="9" t="n">
        <v>0</v>
      </c>
      <c r="G86" s="9" t="n">
        <v>0</v>
      </c>
      <c r="H86" s="9" t="n">
        <v>0</v>
      </c>
      <c r="I86" s="9" t="n">
        <v>0</v>
      </c>
      <c r="J86" s="9" t="s">
        <v>3588</v>
      </c>
      <c r="K86" s="9" t="s">
        <v>3589</v>
      </c>
    </row>
    <row r="87" customFormat="false" ht="15.75" hidden="false" customHeight="true" outlineLevel="0" collapsed="false">
      <c r="A87" s="9" t="s">
        <v>1197</v>
      </c>
      <c r="B87" s="9" t="s">
        <v>333</v>
      </c>
      <c r="C87" s="9" t="s">
        <v>3586</v>
      </c>
      <c r="D87" s="9" t="s">
        <v>3587</v>
      </c>
      <c r="E87" s="9" t="n">
        <v>2</v>
      </c>
      <c r="F87" s="9" t="n">
        <v>0</v>
      </c>
      <c r="G87" s="9" t="n">
        <v>0</v>
      </c>
      <c r="H87" s="9" t="n">
        <v>0</v>
      </c>
      <c r="I87" s="9" t="n">
        <v>2</v>
      </c>
      <c r="J87" s="9" t="s">
        <v>3588</v>
      </c>
      <c r="K87" s="9" t="s">
        <v>3589</v>
      </c>
    </row>
    <row r="88" customFormat="false" ht="15.75" hidden="false" customHeight="true" outlineLevel="0" collapsed="false">
      <c r="A88" s="9" t="s">
        <v>1025</v>
      </c>
      <c r="B88" s="9" t="s">
        <v>333</v>
      </c>
      <c r="C88" s="9" t="s">
        <v>3586</v>
      </c>
      <c r="D88" s="9" t="s">
        <v>3587</v>
      </c>
      <c r="E88" s="9" t="n">
        <v>3</v>
      </c>
      <c r="F88" s="9" t="n">
        <v>0</v>
      </c>
      <c r="G88" s="9" t="n">
        <v>0</v>
      </c>
      <c r="H88" s="9" t="n">
        <v>0</v>
      </c>
      <c r="I88" s="9" t="n">
        <v>3</v>
      </c>
      <c r="J88" s="9" t="s">
        <v>3588</v>
      </c>
      <c r="K88" s="9" t="s">
        <v>3589</v>
      </c>
    </row>
    <row r="89" customFormat="false" ht="15.75" hidden="false" customHeight="true" outlineLevel="0" collapsed="false">
      <c r="A89" s="9" t="s">
        <v>1203</v>
      </c>
      <c r="B89" s="9" t="s">
        <v>333</v>
      </c>
      <c r="C89" s="9" t="s">
        <v>3586</v>
      </c>
      <c r="D89" s="9" t="s">
        <v>3587</v>
      </c>
      <c r="E89" s="9" t="n">
        <v>4</v>
      </c>
      <c r="F89" s="9" t="n">
        <v>0</v>
      </c>
      <c r="G89" s="9" t="n">
        <v>0</v>
      </c>
      <c r="H89" s="9" t="n">
        <v>0</v>
      </c>
      <c r="I89" s="9" t="n">
        <v>4</v>
      </c>
      <c r="J89" s="9" t="s">
        <v>3588</v>
      </c>
      <c r="K89" s="9" t="s">
        <v>3589</v>
      </c>
    </row>
    <row r="90" customFormat="false" ht="15.75" hidden="false" customHeight="true" outlineLevel="0" collapsed="false">
      <c r="A90" s="9" t="s">
        <v>1032</v>
      </c>
      <c r="B90" s="9" t="s">
        <v>333</v>
      </c>
      <c r="C90" s="9" t="s">
        <v>3586</v>
      </c>
      <c r="D90" s="9" t="s">
        <v>3587</v>
      </c>
      <c r="E90" s="9" t="n">
        <v>3</v>
      </c>
      <c r="F90" s="9" t="n">
        <v>0</v>
      </c>
      <c r="G90" s="9" t="n">
        <v>1</v>
      </c>
      <c r="H90" s="9" t="n">
        <v>0</v>
      </c>
      <c r="I90" s="9" t="n">
        <v>4</v>
      </c>
      <c r="J90" s="9" t="s">
        <v>3588</v>
      </c>
      <c r="K90" s="9" t="s">
        <v>3589</v>
      </c>
    </row>
    <row r="91" customFormat="false" ht="15.75" hidden="false" customHeight="true" outlineLevel="0" collapsed="false">
      <c r="A91" s="6" t="s">
        <v>1960</v>
      </c>
      <c r="B91" s="6" t="s">
        <v>9</v>
      </c>
      <c r="C91" s="6" t="s">
        <v>3602</v>
      </c>
      <c r="D91" s="6" t="s">
        <v>3603</v>
      </c>
      <c r="E91" s="6" t="s">
        <v>3604</v>
      </c>
      <c r="F91" s="6" t="s">
        <v>3605</v>
      </c>
    </row>
    <row r="92" customFormat="false" ht="15.75" hidden="false" customHeight="true" outlineLevel="0" collapsed="false">
      <c r="A92" s="6" t="s">
        <v>3606</v>
      </c>
      <c r="B92" s="6" t="s">
        <v>9</v>
      </c>
      <c r="C92" s="6" t="s">
        <v>3602</v>
      </c>
      <c r="D92" s="6" t="s">
        <v>3603</v>
      </c>
      <c r="E92" s="6" t="s">
        <v>3604</v>
      </c>
      <c r="F92" s="6" t="s">
        <v>3607</v>
      </c>
    </row>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34"/>
    <col collapsed="false" customWidth="true" hidden="false" outlineLevel="0" max="4" min="4" style="0" width="66"/>
    <col collapsed="false" customWidth="true" hidden="false" outlineLevel="0" max="6" min="5" style="0" width="28"/>
    <col collapsed="false" customWidth="true" hidden="false" outlineLevel="0" max="7" min="7" style="0" width="60"/>
    <col collapsed="false" customWidth="true" hidden="false" outlineLevel="0" max="8" min="8" style="0" width="36"/>
    <col collapsed="false" customWidth="true" hidden="false" outlineLevel="0" max="26" min="9" style="0" width="8.63"/>
  </cols>
  <sheetData>
    <row r="1" customFormat="false" ht="15" hidden="false" customHeight="false" outlineLevel="0" collapsed="false">
      <c r="A1" s="19" t="s">
        <v>3187</v>
      </c>
      <c r="B1" s="19" t="s">
        <v>3188</v>
      </c>
      <c r="C1" s="19" t="s">
        <v>3608</v>
      </c>
      <c r="D1" s="19" t="s">
        <v>3609</v>
      </c>
      <c r="E1" s="19" t="s">
        <v>3190</v>
      </c>
      <c r="F1" s="19" t="s">
        <v>3610</v>
      </c>
      <c r="G1" s="19" t="s">
        <v>3611</v>
      </c>
      <c r="H1" s="19" t="s">
        <v>3612</v>
      </c>
    </row>
    <row r="2" customFormat="false" ht="15" hidden="false" customHeight="false" outlineLevel="0" collapsed="false">
      <c r="A2" s="9" t="s">
        <v>3613</v>
      </c>
      <c r="B2" s="9" t="s">
        <v>3614</v>
      </c>
      <c r="C2" s="9" t="s">
        <v>2382</v>
      </c>
      <c r="D2" s="9" t="s">
        <v>3615</v>
      </c>
      <c r="E2" s="9" t="n">
        <v>456</v>
      </c>
      <c r="F2" s="9" t="s">
        <v>3616</v>
      </c>
      <c r="G2" s="9" t="s">
        <v>3617</v>
      </c>
      <c r="H2" s="9" t="s">
        <v>3194</v>
      </c>
    </row>
    <row r="3" customFormat="false" ht="15" hidden="false" customHeight="false" outlineLevel="0" collapsed="false">
      <c r="A3" s="9" t="s">
        <v>3618</v>
      </c>
      <c r="B3" s="9" t="s">
        <v>3614</v>
      </c>
      <c r="C3" s="9" t="s">
        <v>2382</v>
      </c>
      <c r="D3" s="9" t="s">
        <v>3619</v>
      </c>
      <c r="E3" s="9" t="s">
        <v>3620</v>
      </c>
      <c r="F3" s="9" t="s">
        <v>3616</v>
      </c>
      <c r="G3" s="9" t="s">
        <v>3621</v>
      </c>
      <c r="H3" s="9" t="s">
        <v>3622</v>
      </c>
    </row>
    <row r="4" customFormat="false" ht="15" hidden="false" customHeight="false" outlineLevel="0" collapsed="false">
      <c r="A4" s="9" t="s">
        <v>3623</v>
      </c>
      <c r="B4" s="9" t="s">
        <v>3614</v>
      </c>
      <c r="C4" s="9" t="s">
        <v>2382</v>
      </c>
      <c r="D4" s="9" t="s">
        <v>3624</v>
      </c>
      <c r="E4" s="9" t="s">
        <v>3625</v>
      </c>
      <c r="F4" s="9" t="s">
        <v>3616</v>
      </c>
      <c r="G4" s="9" t="s">
        <v>3626</v>
      </c>
      <c r="H4" s="9" t="s">
        <v>3627</v>
      </c>
    </row>
    <row r="5" customFormat="false" ht="15" hidden="false" customHeight="false" outlineLevel="0" collapsed="false">
      <c r="A5" s="9" t="s">
        <v>3628</v>
      </c>
      <c r="B5" s="9" t="s">
        <v>3614</v>
      </c>
      <c r="C5" s="9" t="s">
        <v>2382</v>
      </c>
      <c r="D5" s="9" t="s">
        <v>3629</v>
      </c>
      <c r="E5" s="9" t="s">
        <v>3625</v>
      </c>
      <c r="F5" s="9" t="s">
        <v>3616</v>
      </c>
      <c r="G5" s="9" t="s">
        <v>3630</v>
      </c>
      <c r="H5" s="9" t="s">
        <v>3246</v>
      </c>
    </row>
    <row r="6" customFormat="false" ht="28.35" hidden="false" customHeight="false" outlineLevel="0" collapsed="false">
      <c r="A6" s="9" t="s">
        <v>3631</v>
      </c>
      <c r="B6" s="9" t="s">
        <v>3614</v>
      </c>
      <c r="C6" s="9" t="s">
        <v>3632</v>
      </c>
      <c r="D6" s="9" t="s">
        <v>3633</v>
      </c>
      <c r="E6" s="9" t="s">
        <v>3634</v>
      </c>
      <c r="F6" s="9" t="s">
        <v>3616</v>
      </c>
      <c r="G6" s="9" t="s">
        <v>3635</v>
      </c>
      <c r="H6" s="9" t="s">
        <v>3636</v>
      </c>
    </row>
    <row r="7" customFormat="false" ht="28.35" hidden="false" customHeight="false" outlineLevel="0" collapsed="false">
      <c r="A7" s="9" t="s">
        <v>3637</v>
      </c>
      <c r="B7" s="9" t="s">
        <v>3614</v>
      </c>
      <c r="C7" s="9" t="s">
        <v>3638</v>
      </c>
      <c r="D7" s="9" t="s">
        <v>3639</v>
      </c>
      <c r="E7" s="9" t="s">
        <v>3640</v>
      </c>
      <c r="F7" s="9" t="s">
        <v>3616</v>
      </c>
      <c r="G7" s="9" t="s">
        <v>3641</v>
      </c>
      <c r="H7" s="9" t="s">
        <v>3642</v>
      </c>
    </row>
    <row r="8" customFormat="false" ht="15" hidden="false" customHeight="false" outlineLevel="0" collapsed="false">
      <c r="A8" s="9" t="s">
        <v>3643</v>
      </c>
      <c r="B8" s="9" t="s">
        <v>3614</v>
      </c>
      <c r="C8" s="9" t="s">
        <v>3644</v>
      </c>
      <c r="D8" s="9" t="s">
        <v>3645</v>
      </c>
      <c r="E8" s="9" t="s">
        <v>3646</v>
      </c>
      <c r="F8" s="9" t="s">
        <v>3616</v>
      </c>
      <c r="G8" s="9" t="s">
        <v>3647</v>
      </c>
      <c r="H8" s="9" t="s">
        <v>3222</v>
      </c>
    </row>
    <row r="9" customFormat="false" ht="28.35" hidden="false" customHeight="false" outlineLevel="0" collapsed="false">
      <c r="A9" s="9" t="s">
        <v>3648</v>
      </c>
      <c r="B9" s="9" t="s">
        <v>3614</v>
      </c>
      <c r="C9" s="9" t="s">
        <v>3649</v>
      </c>
      <c r="D9" s="9" t="s">
        <v>3650</v>
      </c>
      <c r="E9" s="9" t="s">
        <v>3651</v>
      </c>
      <c r="F9" s="9" t="s">
        <v>3616</v>
      </c>
      <c r="G9" s="9" t="s">
        <v>3652</v>
      </c>
      <c r="H9" s="9" t="s">
        <v>3653</v>
      </c>
    </row>
    <row r="10" customFormat="false" ht="28.35" hidden="false" customHeight="false" outlineLevel="0" collapsed="false">
      <c r="A10" s="9" t="s">
        <v>3048</v>
      </c>
      <c r="B10" s="9" t="s">
        <v>3614</v>
      </c>
      <c r="C10" s="9" t="s">
        <v>3654</v>
      </c>
      <c r="D10" s="9" t="s">
        <v>3655</v>
      </c>
      <c r="E10" s="9" t="s">
        <v>3656</v>
      </c>
      <c r="F10" s="9" t="s">
        <v>3616</v>
      </c>
      <c r="G10" s="9" t="s">
        <v>3657</v>
      </c>
      <c r="H10" s="9" t="s">
        <v>3658</v>
      </c>
    </row>
    <row r="11" customFormat="false" ht="15" hidden="false" customHeight="false" outlineLevel="0" collapsed="false">
      <c r="A11" s="9" t="s">
        <v>3659</v>
      </c>
      <c r="B11" s="9" t="s">
        <v>3614</v>
      </c>
      <c r="C11" s="9" t="s">
        <v>2395</v>
      </c>
      <c r="D11" s="9" t="s">
        <v>3660</v>
      </c>
      <c r="E11" s="9" t="s">
        <v>3661</v>
      </c>
      <c r="F11" s="9" t="s">
        <v>3616</v>
      </c>
      <c r="G11" s="9" t="s">
        <v>3662</v>
      </c>
      <c r="H11" s="9" t="s">
        <v>3286</v>
      </c>
    </row>
    <row r="12" customFormat="false" ht="15" hidden="false" customHeight="false" outlineLevel="0" collapsed="false">
      <c r="A12" s="9" t="s">
        <v>3663</v>
      </c>
      <c r="B12" s="9" t="s">
        <v>3614</v>
      </c>
      <c r="C12" s="9" t="s">
        <v>3664</v>
      </c>
      <c r="D12" s="9" t="s">
        <v>3665</v>
      </c>
      <c r="E12" s="9" t="s">
        <v>3666</v>
      </c>
      <c r="F12" s="9" t="s">
        <v>3616</v>
      </c>
      <c r="G12" s="9" t="s">
        <v>3667</v>
      </c>
      <c r="H12" s="9" t="s">
        <v>3668</v>
      </c>
    </row>
    <row r="13" customFormat="false" ht="28.35" hidden="false" customHeight="false" outlineLevel="0" collapsed="false">
      <c r="A13" s="9" t="s">
        <v>3034</v>
      </c>
      <c r="B13" s="9" t="s">
        <v>3614</v>
      </c>
      <c r="C13" s="9" t="s">
        <v>3031</v>
      </c>
      <c r="D13" s="9" t="s">
        <v>3669</v>
      </c>
      <c r="E13" s="9" t="s">
        <v>3670</v>
      </c>
      <c r="F13" s="9" t="s">
        <v>3616</v>
      </c>
      <c r="G13" s="9" t="s">
        <v>3671</v>
      </c>
      <c r="H13" s="9" t="s">
        <v>3672</v>
      </c>
    </row>
    <row r="14" customFormat="false" ht="28.35" hidden="false" customHeight="false" outlineLevel="0" collapsed="false">
      <c r="A14" s="9" t="s">
        <v>3673</v>
      </c>
      <c r="B14" s="9" t="s">
        <v>3614</v>
      </c>
      <c r="C14" s="9" t="s">
        <v>2382</v>
      </c>
      <c r="D14" s="9" t="s">
        <v>3674</v>
      </c>
      <c r="E14" s="9" t="s">
        <v>3675</v>
      </c>
      <c r="F14" s="9" t="s">
        <v>3616</v>
      </c>
      <c r="G14" s="9" t="s">
        <v>3676</v>
      </c>
      <c r="H14" s="9" t="s">
        <v>3677</v>
      </c>
    </row>
    <row r="15" customFormat="false" ht="15" hidden="false" customHeight="false" outlineLevel="0" collapsed="false">
      <c r="A15" s="9" t="s">
        <v>3678</v>
      </c>
      <c r="B15" s="9" t="s">
        <v>3614</v>
      </c>
      <c r="C15" s="9" t="s">
        <v>3679</v>
      </c>
      <c r="D15" s="9" t="s">
        <v>3680</v>
      </c>
      <c r="E15" s="9" t="s">
        <v>3681</v>
      </c>
      <c r="F15" s="9" t="s">
        <v>3616</v>
      </c>
      <c r="G15" s="9" t="s">
        <v>3682</v>
      </c>
      <c r="H15" s="9" t="s">
        <v>3683</v>
      </c>
    </row>
    <row r="16" customFormat="false" ht="15" hidden="false" customHeight="false" outlineLevel="0" collapsed="false">
      <c r="A16" s="9" t="s">
        <v>3684</v>
      </c>
      <c r="B16" s="9" t="s">
        <v>3016</v>
      </c>
      <c r="C16" s="9" t="s">
        <v>2899</v>
      </c>
      <c r="D16" s="9" t="s">
        <v>3685</v>
      </c>
      <c r="E16" s="9" t="s">
        <v>3686</v>
      </c>
      <c r="F16" s="9" t="s">
        <v>3687</v>
      </c>
      <c r="G16" s="9" t="s">
        <v>3688</v>
      </c>
      <c r="H16" s="9" t="s">
        <v>2899</v>
      </c>
    </row>
    <row r="17" customFormat="false" ht="28.35" hidden="false" customHeight="false" outlineLevel="0" collapsed="false">
      <c r="A17" s="9" t="s">
        <v>3689</v>
      </c>
      <c r="B17" s="9" t="s">
        <v>3016</v>
      </c>
      <c r="C17" s="9" t="s">
        <v>3183</v>
      </c>
      <c r="D17" s="9" t="s">
        <v>3690</v>
      </c>
      <c r="E17" s="9" t="s">
        <v>878</v>
      </c>
      <c r="F17" s="9" t="s">
        <v>3691</v>
      </c>
      <c r="G17" s="9" t="s">
        <v>3692</v>
      </c>
      <c r="H17" s="9" t="s">
        <v>3183</v>
      </c>
    </row>
    <row r="18" customFormat="false" ht="15" hidden="false" customHeight="false" outlineLevel="0" collapsed="false">
      <c r="A18" s="9" t="s">
        <v>3693</v>
      </c>
      <c r="B18" s="9" t="s">
        <v>3016</v>
      </c>
      <c r="C18" s="9" t="s">
        <v>3183</v>
      </c>
      <c r="D18" s="9" t="s">
        <v>3694</v>
      </c>
      <c r="E18" s="9" t="s">
        <v>46</v>
      </c>
      <c r="F18" s="9" t="s">
        <v>3695</v>
      </c>
      <c r="G18" s="9" t="s">
        <v>3696</v>
      </c>
      <c r="H18" s="9" t="s">
        <v>3183</v>
      </c>
    </row>
    <row r="19" customFormat="false" ht="28.35" hidden="false" customHeight="false" outlineLevel="0" collapsed="false">
      <c r="A19" s="9" t="s">
        <v>3069</v>
      </c>
      <c r="B19" s="9" t="s">
        <v>3614</v>
      </c>
      <c r="C19" s="9" t="s">
        <v>3697</v>
      </c>
      <c r="D19" s="9" t="s">
        <v>3698</v>
      </c>
      <c r="E19" s="9" t="s">
        <v>3699</v>
      </c>
      <c r="F19" s="9" t="s">
        <v>3616</v>
      </c>
      <c r="G19" s="9" t="s">
        <v>3700</v>
      </c>
      <c r="H19" s="9" t="s">
        <v>63</v>
      </c>
    </row>
    <row r="20" customFormat="false" ht="41.75" hidden="false" customHeight="false" outlineLevel="0" collapsed="false">
      <c r="A20" s="9" t="s">
        <v>3701</v>
      </c>
      <c r="B20" s="9" t="s">
        <v>3614</v>
      </c>
      <c r="C20" s="9" t="s">
        <v>3702</v>
      </c>
      <c r="D20" s="9" t="s">
        <v>3703</v>
      </c>
      <c r="E20" s="9" t="s">
        <v>3704</v>
      </c>
      <c r="F20" s="9" t="s">
        <v>3616</v>
      </c>
      <c r="G20" s="9" t="s">
        <v>3705</v>
      </c>
      <c r="H20" s="9" t="s">
        <v>74</v>
      </c>
    </row>
    <row r="21" customFormat="false" ht="15.75" hidden="false" customHeight="true" outlineLevel="0" collapsed="false">
      <c r="A21" s="9" t="s">
        <v>3090</v>
      </c>
      <c r="B21" s="9" t="s">
        <v>3614</v>
      </c>
      <c r="C21" s="9" t="s">
        <v>3706</v>
      </c>
      <c r="D21" s="9" t="s">
        <v>3707</v>
      </c>
      <c r="E21" s="9" t="s">
        <v>3708</v>
      </c>
      <c r="F21" s="9" t="s">
        <v>3616</v>
      </c>
      <c r="G21" s="9" t="s">
        <v>3709</v>
      </c>
      <c r="H21" s="9" t="s">
        <v>3710</v>
      </c>
    </row>
    <row r="22" customFormat="false" ht="15.75" hidden="false" customHeight="true" outlineLevel="0" collapsed="false">
      <c r="A22" s="9" t="s">
        <v>3101</v>
      </c>
      <c r="B22" s="9" t="s">
        <v>3614</v>
      </c>
      <c r="C22" s="9" t="s">
        <v>3711</v>
      </c>
      <c r="D22" s="9" t="s">
        <v>3712</v>
      </c>
      <c r="E22" s="9" t="s">
        <v>3713</v>
      </c>
      <c r="F22" s="9" t="s">
        <v>3616</v>
      </c>
      <c r="G22" s="9" t="s">
        <v>3714</v>
      </c>
      <c r="H22" s="9" t="s">
        <v>83</v>
      </c>
    </row>
    <row r="23" customFormat="false" ht="15.75" hidden="false" customHeight="true" outlineLevel="0" collapsed="false">
      <c r="A23" s="9" t="s">
        <v>3106</v>
      </c>
      <c r="B23" s="9" t="s">
        <v>3614</v>
      </c>
      <c r="C23" s="9" t="s">
        <v>3715</v>
      </c>
      <c r="D23" s="9" t="s">
        <v>3716</v>
      </c>
      <c r="E23" s="9" t="s">
        <v>3717</v>
      </c>
      <c r="F23" s="9" t="s">
        <v>3616</v>
      </c>
      <c r="G23" s="9" t="s">
        <v>3718</v>
      </c>
      <c r="H23" s="9" t="s">
        <v>86</v>
      </c>
    </row>
    <row r="24" customFormat="false" ht="15.75" hidden="false" customHeight="true" outlineLevel="0" collapsed="false">
      <c r="A24" s="9" t="s">
        <v>3143</v>
      </c>
      <c r="B24" s="9" t="s">
        <v>3614</v>
      </c>
      <c r="C24" s="9" t="s">
        <v>96</v>
      </c>
      <c r="D24" s="9" t="s">
        <v>3719</v>
      </c>
      <c r="E24" s="9" t="s">
        <v>3720</v>
      </c>
      <c r="F24" s="9" t="s">
        <v>3616</v>
      </c>
      <c r="G24" s="9" t="s">
        <v>3721</v>
      </c>
      <c r="H24" s="9" t="s">
        <v>96</v>
      </c>
    </row>
    <row r="25" customFormat="false" ht="15.75" hidden="false" customHeight="true" outlineLevel="0" collapsed="false">
      <c r="A25" s="9" t="s">
        <v>3132</v>
      </c>
      <c r="B25" s="9" t="s">
        <v>3614</v>
      </c>
      <c r="C25" s="9" t="s">
        <v>3722</v>
      </c>
      <c r="D25" s="9" t="s">
        <v>3723</v>
      </c>
      <c r="E25" s="9" t="s">
        <v>3724</v>
      </c>
      <c r="F25" s="9" t="s">
        <v>3616</v>
      </c>
      <c r="G25" s="9" t="s">
        <v>3725</v>
      </c>
      <c r="H25" s="9" t="s">
        <v>99</v>
      </c>
    </row>
    <row r="26" customFormat="false" ht="15.75" hidden="false" customHeight="true" outlineLevel="0" collapsed="false">
      <c r="A26" s="9" t="s">
        <v>3137</v>
      </c>
      <c r="B26" s="9" t="s">
        <v>3614</v>
      </c>
      <c r="C26" s="9" t="s">
        <v>105</v>
      </c>
      <c r="D26" s="9" t="s">
        <v>3726</v>
      </c>
      <c r="E26" s="9" t="s">
        <v>3727</v>
      </c>
      <c r="F26" s="9" t="s">
        <v>3616</v>
      </c>
      <c r="G26" s="9" t="s">
        <v>3728</v>
      </c>
      <c r="H26" s="9" t="s">
        <v>105</v>
      </c>
    </row>
    <row r="27" customFormat="false" ht="15.75" hidden="false" customHeight="true" outlineLevel="0" collapsed="false">
      <c r="A27" s="9" t="s">
        <v>3729</v>
      </c>
      <c r="B27" s="9" t="s">
        <v>3614</v>
      </c>
      <c r="C27" s="9" t="s">
        <v>3730</v>
      </c>
      <c r="D27" s="9" t="s">
        <v>3731</v>
      </c>
      <c r="E27" s="9" t="s">
        <v>3732</v>
      </c>
      <c r="F27" s="9" t="s">
        <v>3616</v>
      </c>
      <c r="G27" s="9" t="s">
        <v>3733</v>
      </c>
      <c r="H27" s="9" t="s">
        <v>96</v>
      </c>
    </row>
    <row r="28" customFormat="false" ht="15.75" hidden="false" customHeight="true" outlineLevel="0" collapsed="false">
      <c r="A28" s="9" t="s">
        <v>3734</v>
      </c>
      <c r="B28" s="9" t="s">
        <v>3614</v>
      </c>
      <c r="C28" s="9" t="s">
        <v>146</v>
      </c>
      <c r="D28" s="9" t="s">
        <v>3735</v>
      </c>
      <c r="E28" s="9" t="s">
        <v>3736</v>
      </c>
      <c r="F28" s="9" t="s">
        <v>3616</v>
      </c>
      <c r="G28" s="9" t="s">
        <v>3737</v>
      </c>
      <c r="H28" s="9" t="s">
        <v>146</v>
      </c>
    </row>
    <row r="29" customFormat="false" ht="15.75" hidden="false" customHeight="true" outlineLevel="0" collapsed="false">
      <c r="A29" s="9" t="s">
        <v>3738</v>
      </c>
      <c r="B29" s="9" t="s">
        <v>3614</v>
      </c>
      <c r="C29" s="9" t="s">
        <v>3739</v>
      </c>
      <c r="D29" s="9" t="s">
        <v>3740</v>
      </c>
      <c r="E29" s="9" t="s">
        <v>3741</v>
      </c>
      <c r="F29" s="9" t="s">
        <v>3616</v>
      </c>
      <c r="G29" s="9" t="s">
        <v>3742</v>
      </c>
      <c r="H29" s="9" t="s">
        <v>149</v>
      </c>
    </row>
    <row r="30" customFormat="false" ht="15.75" hidden="false" customHeight="true" outlineLevel="0" collapsed="false">
      <c r="A30" s="9" t="s">
        <v>3172</v>
      </c>
      <c r="B30" s="9" t="s">
        <v>3614</v>
      </c>
      <c r="C30" s="9" t="s">
        <v>146</v>
      </c>
      <c r="D30" s="9" t="s">
        <v>3743</v>
      </c>
      <c r="E30" s="9" t="s">
        <v>3744</v>
      </c>
      <c r="F30" s="9" t="s">
        <v>3616</v>
      </c>
      <c r="G30" s="9" t="s">
        <v>3745</v>
      </c>
      <c r="H30" s="9" t="s">
        <v>146</v>
      </c>
    </row>
    <row r="31" customFormat="false" ht="15.75" hidden="false" customHeight="true" outlineLevel="0" collapsed="false">
      <c r="A31" s="9" t="s">
        <v>3178</v>
      </c>
      <c r="B31" s="9" t="s">
        <v>3614</v>
      </c>
      <c r="C31" s="9" t="s">
        <v>3746</v>
      </c>
      <c r="D31" s="9" t="s">
        <v>3747</v>
      </c>
      <c r="E31" s="9" t="s">
        <v>3748</v>
      </c>
      <c r="F31" s="9" t="s">
        <v>3616</v>
      </c>
      <c r="G31" s="9" t="s">
        <v>3749</v>
      </c>
      <c r="H31" s="9" t="s">
        <v>3750</v>
      </c>
    </row>
    <row r="32" customFormat="false" ht="15.75" hidden="false" customHeight="true" outlineLevel="0" collapsed="false">
      <c r="A32" s="9" t="s">
        <v>3751</v>
      </c>
      <c r="B32" s="9" t="s">
        <v>3614</v>
      </c>
      <c r="C32" s="9" t="s">
        <v>146</v>
      </c>
      <c r="D32" s="9" t="s">
        <v>3752</v>
      </c>
      <c r="E32" s="9" t="s">
        <v>3753</v>
      </c>
      <c r="F32" s="9" t="s">
        <v>3616</v>
      </c>
      <c r="G32" s="9" t="s">
        <v>3754</v>
      </c>
      <c r="H32" s="9" t="s">
        <v>146</v>
      </c>
    </row>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0" width="13"/>
    <col collapsed="false" customWidth="true" hidden="false" outlineLevel="0" max="2" min="2" style="0" width="86"/>
    <col collapsed="false" customWidth="true" hidden="false" outlineLevel="0" max="3" min="3" style="0" width="48"/>
    <col collapsed="false" customWidth="true" hidden="false" outlineLevel="0" max="4" min="4" style="0" width="16"/>
    <col collapsed="false" customWidth="true" hidden="false" outlineLevel="0" max="5" min="5" style="0" width="28"/>
    <col collapsed="false" customWidth="true" hidden="false" outlineLevel="0" max="6" min="6" style="0" width="72"/>
    <col collapsed="false" customWidth="true" hidden="false" outlineLevel="0" max="7" min="7" style="0" width="36"/>
    <col collapsed="false" customWidth="true" hidden="false" outlineLevel="0" max="8" min="8" style="0" width="68"/>
    <col collapsed="false" customWidth="true" hidden="false" outlineLevel="0" max="9" min="9" style="0" width="20"/>
    <col collapsed="false" customWidth="true" hidden="false" outlineLevel="0" max="10" min="10" style="0" width="58"/>
    <col collapsed="false" customWidth="true" hidden="false" outlineLevel="0" max="11" min="11" style="0" width="48"/>
    <col collapsed="false" customWidth="true" hidden="false" outlineLevel="0" max="12" min="12" style="0" width="22"/>
    <col collapsed="false" customWidth="true" hidden="false" outlineLevel="0" max="13" min="13" style="0" width="76"/>
    <col collapsed="false" customWidth="true" hidden="false" outlineLevel="0" max="26" min="14" style="0" width="8.63"/>
  </cols>
  <sheetData>
    <row r="1" customFormat="false" ht="28.35" hidden="false" customHeight="false" outlineLevel="0" collapsed="false">
      <c r="A1" s="19" t="s">
        <v>778</v>
      </c>
      <c r="B1" s="19" t="s">
        <v>845</v>
      </c>
      <c r="C1" s="19" t="s">
        <v>3755</v>
      </c>
      <c r="D1" s="19" t="s">
        <v>3756</v>
      </c>
      <c r="E1" s="19" t="s">
        <v>3757</v>
      </c>
      <c r="F1" s="19" t="s">
        <v>3758</v>
      </c>
      <c r="G1" s="19" t="s">
        <v>3759</v>
      </c>
      <c r="H1" s="19" t="s">
        <v>3760</v>
      </c>
      <c r="I1" s="19" t="s">
        <v>3610</v>
      </c>
      <c r="J1" s="19" t="s">
        <v>268</v>
      </c>
      <c r="K1" s="3" t="s">
        <v>843</v>
      </c>
      <c r="L1" s="3" t="s">
        <v>3761</v>
      </c>
      <c r="M1" s="3" t="s">
        <v>3762</v>
      </c>
    </row>
    <row r="2" customFormat="false" ht="28.35" hidden="false" customHeight="false" outlineLevel="0" collapsed="false">
      <c r="A2" s="9" t="s">
        <v>457</v>
      </c>
      <c r="B2" s="9" t="s">
        <v>870</v>
      </c>
      <c r="C2" s="9" t="s">
        <v>875</v>
      </c>
      <c r="D2" s="9" t="n">
        <f aca="false">IF(C2="",0,LEN(TRIM(C2))-LEN(SUBSTITUTE(TRIM(C2)," ",""))+1)</f>
        <v>5</v>
      </c>
      <c r="E2" s="9" t="s">
        <v>874</v>
      </c>
      <c r="F2" s="9" t="s">
        <v>3763</v>
      </c>
      <c r="G2" s="9" t="s">
        <v>3764</v>
      </c>
      <c r="H2" s="9" t="s">
        <v>3765</v>
      </c>
      <c r="I2" s="9" t="s">
        <v>3616</v>
      </c>
      <c r="J2" s="9" t="s">
        <v>3766</v>
      </c>
      <c r="K2" s="9" t="s">
        <v>869</v>
      </c>
      <c r="L2" s="9" t="s">
        <v>3767</v>
      </c>
      <c r="M2" s="9" t="s">
        <v>3768</v>
      </c>
    </row>
    <row r="3" customFormat="false" ht="28.35" hidden="false" customHeight="false" outlineLevel="0" collapsed="false">
      <c r="A3" s="9" t="s">
        <v>465</v>
      </c>
      <c r="B3" s="9" t="s">
        <v>870</v>
      </c>
      <c r="C3" s="9" t="s">
        <v>875</v>
      </c>
      <c r="D3" s="9" t="n">
        <f aca="false">IF(C3="",0,LEN(TRIM(C3))-LEN(SUBSTITUTE(TRIM(C3)," ",""))+1)</f>
        <v>5</v>
      </c>
      <c r="E3" s="9" t="s">
        <v>874</v>
      </c>
      <c r="F3" s="9" t="s">
        <v>3763</v>
      </c>
      <c r="G3" s="9" t="s">
        <v>3764</v>
      </c>
      <c r="H3" s="9" t="s">
        <v>3765</v>
      </c>
      <c r="I3" s="9" t="s">
        <v>3616</v>
      </c>
      <c r="J3" s="9" t="s">
        <v>3766</v>
      </c>
      <c r="K3" s="9" t="s">
        <v>869</v>
      </c>
      <c r="L3" s="9" t="s">
        <v>3767</v>
      </c>
      <c r="M3" s="9" t="s">
        <v>3768</v>
      </c>
    </row>
    <row r="4" customFormat="false" ht="28.35" hidden="false" customHeight="false" outlineLevel="0" collapsed="false">
      <c r="A4" s="9" t="s">
        <v>468</v>
      </c>
      <c r="B4" s="9" t="s">
        <v>890</v>
      </c>
      <c r="C4" s="9" t="s">
        <v>895</v>
      </c>
      <c r="D4" s="9" t="n">
        <f aca="false">IF(C4="",0,LEN(TRIM(C4))-LEN(SUBSTITUTE(TRIM(C4)," ",""))+1)</f>
        <v>4</v>
      </c>
      <c r="E4" s="9" t="s">
        <v>874</v>
      </c>
      <c r="F4" s="9" t="s">
        <v>3763</v>
      </c>
      <c r="G4" s="9" t="s">
        <v>3764</v>
      </c>
      <c r="H4" s="9" t="s">
        <v>3765</v>
      </c>
      <c r="I4" s="9" t="s">
        <v>3616</v>
      </c>
      <c r="J4" s="9" t="s">
        <v>3766</v>
      </c>
      <c r="K4" s="9" t="s">
        <v>889</v>
      </c>
      <c r="L4" s="9" t="s">
        <v>3767</v>
      </c>
      <c r="M4" s="9" t="s">
        <v>3768</v>
      </c>
    </row>
    <row r="5" customFormat="false" ht="41.75" hidden="false" customHeight="false" outlineLevel="0" collapsed="false">
      <c r="A5" s="9" t="s">
        <v>473</v>
      </c>
      <c r="B5" s="9" t="s">
        <v>904</v>
      </c>
      <c r="C5" s="9" t="s">
        <v>909</v>
      </c>
      <c r="D5" s="9" t="n">
        <f aca="false">IF(C5="",0,LEN(TRIM(C5))-LEN(SUBSTITUTE(TRIM(C5)," ",""))+1)</f>
        <v>4</v>
      </c>
      <c r="E5" s="9" t="s">
        <v>874</v>
      </c>
      <c r="F5" s="9" t="s">
        <v>3769</v>
      </c>
      <c r="G5" s="9" t="s">
        <v>3764</v>
      </c>
      <c r="H5" s="9" t="s">
        <v>3765</v>
      </c>
      <c r="I5" s="9" t="s">
        <v>3616</v>
      </c>
      <c r="J5" s="9" t="s">
        <v>3766</v>
      </c>
      <c r="K5" s="9" t="s">
        <v>902</v>
      </c>
      <c r="L5" s="9" t="s">
        <v>3770</v>
      </c>
      <c r="M5" s="9" t="s">
        <v>3771</v>
      </c>
    </row>
    <row r="6" customFormat="false" ht="28.35" hidden="false" customHeight="false" outlineLevel="0" collapsed="false">
      <c r="A6" s="9" t="s">
        <v>477</v>
      </c>
      <c r="B6" s="9" t="s">
        <v>916</v>
      </c>
      <c r="C6" s="9" t="s">
        <v>921</v>
      </c>
      <c r="D6" s="9" t="n">
        <f aca="false">IF(C6="",0,LEN(TRIM(C6))-LEN(SUBSTITUTE(TRIM(C6)," ",""))+1)</f>
        <v>7</v>
      </c>
      <c r="E6" s="9" t="s">
        <v>874</v>
      </c>
      <c r="F6" s="9" t="s">
        <v>3763</v>
      </c>
      <c r="G6" s="9" t="s">
        <v>3764</v>
      </c>
      <c r="H6" s="9" t="s">
        <v>3765</v>
      </c>
      <c r="I6" s="9" t="s">
        <v>3616</v>
      </c>
      <c r="J6" s="9" t="s">
        <v>3766</v>
      </c>
      <c r="K6" s="9" t="s">
        <v>915</v>
      </c>
      <c r="L6" s="9" t="s">
        <v>3767</v>
      </c>
      <c r="M6" s="9" t="s">
        <v>3768</v>
      </c>
    </row>
    <row r="7" customFormat="false" ht="41.75" hidden="false" customHeight="false" outlineLevel="0" collapsed="false">
      <c r="A7" s="9" t="s">
        <v>481</v>
      </c>
      <c r="B7" s="9" t="s">
        <v>904</v>
      </c>
      <c r="C7" s="9" t="s">
        <v>928</v>
      </c>
      <c r="D7" s="9" t="n">
        <f aca="false">IF(C7="",0,LEN(TRIM(C7))-LEN(SUBSTITUTE(TRIM(C7)," ",""))+1)</f>
        <v>4</v>
      </c>
      <c r="E7" s="9" t="s">
        <v>874</v>
      </c>
      <c r="F7" s="9" t="s">
        <v>3769</v>
      </c>
      <c r="G7" s="9" t="s">
        <v>3764</v>
      </c>
      <c r="H7" s="9" t="s">
        <v>3765</v>
      </c>
      <c r="I7" s="9" t="s">
        <v>3616</v>
      </c>
      <c r="J7" s="9" t="s">
        <v>3766</v>
      </c>
      <c r="K7" s="9" t="s">
        <v>925</v>
      </c>
      <c r="L7" s="9" t="s">
        <v>3770</v>
      </c>
      <c r="M7" s="9" t="s">
        <v>3771</v>
      </c>
    </row>
    <row r="8" customFormat="false" ht="28.35" hidden="false" customHeight="false" outlineLevel="0" collapsed="false">
      <c r="A8" s="9" t="s">
        <v>485</v>
      </c>
      <c r="B8" s="9" t="s">
        <v>71</v>
      </c>
      <c r="C8" s="9" t="s">
        <v>938</v>
      </c>
      <c r="D8" s="9" t="n">
        <f aca="false">IF(C8="",0,LEN(TRIM(C8))-LEN(SUBSTITUTE(TRIM(C8)," ",""))+1)</f>
        <v>4</v>
      </c>
      <c r="E8" s="9" t="s">
        <v>874</v>
      </c>
      <c r="F8" s="9" t="s">
        <v>3763</v>
      </c>
      <c r="G8" s="9" t="s">
        <v>3764</v>
      </c>
      <c r="H8" s="9" t="s">
        <v>3765</v>
      </c>
      <c r="I8" s="9" t="s">
        <v>3616</v>
      </c>
      <c r="J8" s="9" t="s">
        <v>3766</v>
      </c>
      <c r="K8" s="9" t="s">
        <v>934</v>
      </c>
      <c r="L8" s="9" t="s">
        <v>3767</v>
      </c>
      <c r="M8" s="9" t="s">
        <v>3768</v>
      </c>
    </row>
    <row r="9" customFormat="false" ht="28.35" hidden="false" customHeight="false" outlineLevel="0" collapsed="false">
      <c r="A9" s="9" t="s">
        <v>490</v>
      </c>
      <c r="B9" s="9" t="s">
        <v>916</v>
      </c>
      <c r="C9" s="9" t="s">
        <v>944</v>
      </c>
      <c r="D9" s="9" t="n">
        <f aca="false">IF(C9="",0,LEN(TRIM(C9))-LEN(SUBSTITUTE(TRIM(C9)," ",""))+1)</f>
        <v>2</v>
      </c>
      <c r="E9" s="9" t="s">
        <v>874</v>
      </c>
      <c r="F9" s="9" t="s">
        <v>3763</v>
      </c>
      <c r="G9" s="9" t="s">
        <v>3764</v>
      </c>
      <c r="H9" s="9" t="s">
        <v>3765</v>
      </c>
      <c r="I9" s="9" t="s">
        <v>3616</v>
      </c>
      <c r="J9" s="9" t="s">
        <v>3766</v>
      </c>
      <c r="K9" s="9" t="s">
        <v>941</v>
      </c>
      <c r="L9" s="9" t="s">
        <v>3767</v>
      </c>
      <c r="M9" s="9" t="s">
        <v>3768</v>
      </c>
    </row>
    <row r="10" customFormat="false" ht="28.35" hidden="false" customHeight="false" outlineLevel="0" collapsed="false">
      <c r="A10" s="9" t="s">
        <v>494</v>
      </c>
      <c r="B10" s="9" t="s">
        <v>951</v>
      </c>
      <c r="C10" s="9" t="s">
        <v>954</v>
      </c>
      <c r="D10" s="9" t="n">
        <f aca="false">IF(C10="",0,LEN(TRIM(C10))-LEN(SUBSTITUTE(TRIM(C10)," ",""))+1)</f>
        <v>3</v>
      </c>
      <c r="E10" s="9" t="s">
        <v>874</v>
      </c>
      <c r="F10" s="9" t="s">
        <v>3763</v>
      </c>
      <c r="G10" s="9" t="s">
        <v>3764</v>
      </c>
      <c r="H10" s="9" t="s">
        <v>3765</v>
      </c>
      <c r="I10" s="9" t="s">
        <v>3616</v>
      </c>
      <c r="J10" s="9" t="s">
        <v>3766</v>
      </c>
      <c r="K10" s="9" t="s">
        <v>950</v>
      </c>
      <c r="L10" s="9" t="s">
        <v>3767</v>
      </c>
      <c r="M10" s="9" t="s">
        <v>3768</v>
      </c>
    </row>
    <row r="11" customFormat="false" ht="28.35" hidden="false" customHeight="false" outlineLevel="0" collapsed="false">
      <c r="A11" s="9" t="s">
        <v>498</v>
      </c>
      <c r="B11" s="9" t="s">
        <v>961</v>
      </c>
      <c r="C11" s="9" t="s">
        <v>964</v>
      </c>
      <c r="D11" s="9" t="n">
        <f aca="false">IF(C11="",0,LEN(TRIM(C11))-LEN(SUBSTITUTE(TRIM(C11)," ",""))+1)</f>
        <v>6</v>
      </c>
      <c r="E11" s="9" t="s">
        <v>874</v>
      </c>
      <c r="F11" s="9" t="s">
        <v>3763</v>
      </c>
      <c r="G11" s="9" t="s">
        <v>3764</v>
      </c>
      <c r="H11" s="9" t="s">
        <v>3765</v>
      </c>
      <c r="I11" s="9" t="s">
        <v>3616</v>
      </c>
      <c r="J11" s="9" t="s">
        <v>3766</v>
      </c>
      <c r="K11" s="9" t="s">
        <v>960</v>
      </c>
      <c r="L11" s="9" t="s">
        <v>3767</v>
      </c>
      <c r="M11" s="9" t="s">
        <v>3768</v>
      </c>
    </row>
    <row r="12" customFormat="false" ht="28.35" hidden="false" customHeight="false" outlineLevel="0" collapsed="false">
      <c r="A12" s="9" t="s">
        <v>501</v>
      </c>
      <c r="B12" s="9" t="s">
        <v>970</v>
      </c>
      <c r="C12" s="9" t="s">
        <v>975</v>
      </c>
      <c r="D12" s="9" t="n">
        <f aca="false">IF(C12="",0,LEN(TRIM(C12))-LEN(SUBSTITUTE(TRIM(C12)," ",""))+1)</f>
        <v>8</v>
      </c>
      <c r="E12" s="9" t="s">
        <v>874</v>
      </c>
      <c r="F12" s="9" t="s">
        <v>3763</v>
      </c>
      <c r="G12" s="9" t="s">
        <v>3764</v>
      </c>
      <c r="H12" s="9" t="s">
        <v>3765</v>
      </c>
      <c r="I12" s="9" t="s">
        <v>3616</v>
      </c>
      <c r="J12" s="9" t="s">
        <v>3766</v>
      </c>
      <c r="K12" s="9" t="s">
        <v>969</v>
      </c>
      <c r="L12" s="9" t="s">
        <v>3767</v>
      </c>
      <c r="M12" s="9" t="s">
        <v>3768</v>
      </c>
    </row>
    <row r="13" customFormat="false" ht="28.35" hidden="false" customHeight="false" outlineLevel="0" collapsed="false">
      <c r="A13" s="9" t="s">
        <v>505</v>
      </c>
      <c r="B13" s="9" t="s">
        <v>916</v>
      </c>
      <c r="C13" s="9" t="s">
        <v>981</v>
      </c>
      <c r="D13" s="9" t="n">
        <f aca="false">IF(C13="",0,LEN(TRIM(C13))-LEN(SUBSTITUTE(TRIM(C13)," ",""))+1)</f>
        <v>3</v>
      </c>
      <c r="E13" s="9" t="s">
        <v>874</v>
      </c>
      <c r="F13" s="9" t="s">
        <v>3763</v>
      </c>
      <c r="G13" s="9" t="s">
        <v>3764</v>
      </c>
      <c r="H13" s="9" t="s">
        <v>3765</v>
      </c>
      <c r="I13" s="9" t="s">
        <v>3616</v>
      </c>
      <c r="J13" s="9" t="s">
        <v>3766</v>
      </c>
      <c r="K13" s="9" t="s">
        <v>978</v>
      </c>
      <c r="L13" s="9" t="s">
        <v>3767</v>
      </c>
      <c r="M13" s="9" t="s">
        <v>3768</v>
      </c>
    </row>
    <row r="14" customFormat="false" ht="28.35" hidden="false" customHeight="false" outlineLevel="0" collapsed="false">
      <c r="A14" s="9" t="s">
        <v>509</v>
      </c>
      <c r="B14" s="9" t="s">
        <v>890</v>
      </c>
      <c r="C14" s="9" t="s">
        <v>987</v>
      </c>
      <c r="D14" s="9" t="n">
        <f aca="false">IF(C14="",0,LEN(TRIM(C14))-LEN(SUBSTITUTE(TRIM(C14)," ",""))+1)</f>
        <v>5</v>
      </c>
      <c r="E14" s="9" t="s">
        <v>874</v>
      </c>
      <c r="F14" s="9" t="s">
        <v>3763</v>
      </c>
      <c r="G14" s="9" t="s">
        <v>3764</v>
      </c>
      <c r="H14" s="9" t="s">
        <v>3765</v>
      </c>
      <c r="I14" s="9" t="s">
        <v>3616</v>
      </c>
      <c r="J14" s="9" t="s">
        <v>3766</v>
      </c>
      <c r="K14" s="9" t="s">
        <v>984</v>
      </c>
      <c r="L14" s="9" t="s">
        <v>3767</v>
      </c>
      <c r="M14" s="9" t="s">
        <v>3768</v>
      </c>
    </row>
    <row r="15" customFormat="false" ht="28.35" hidden="false" customHeight="false" outlineLevel="0" collapsed="false">
      <c r="A15" s="9" t="s">
        <v>513</v>
      </c>
      <c r="B15" s="9" t="s">
        <v>916</v>
      </c>
      <c r="C15" s="9" t="s">
        <v>992</v>
      </c>
      <c r="D15" s="9" t="n">
        <f aca="false">IF(C15="",0,LEN(TRIM(C15))-LEN(SUBSTITUTE(TRIM(C15)," ",""))+1)</f>
        <v>2</v>
      </c>
      <c r="E15" s="9" t="s">
        <v>874</v>
      </c>
      <c r="F15" s="9" t="s">
        <v>3763</v>
      </c>
      <c r="G15" s="9" t="s">
        <v>3764</v>
      </c>
      <c r="H15" s="9" t="s">
        <v>3765</v>
      </c>
      <c r="I15" s="9" t="s">
        <v>3616</v>
      </c>
      <c r="J15" s="9" t="s">
        <v>3766</v>
      </c>
      <c r="K15" s="9" t="s">
        <v>941</v>
      </c>
      <c r="L15" s="9" t="s">
        <v>3767</v>
      </c>
      <c r="M15" s="9" t="s">
        <v>3768</v>
      </c>
    </row>
    <row r="16" customFormat="false" ht="28.35" hidden="false" customHeight="false" outlineLevel="0" collapsed="false">
      <c r="A16" s="9" t="s">
        <v>518</v>
      </c>
      <c r="B16" s="9" t="s">
        <v>890</v>
      </c>
      <c r="C16" s="9" t="s">
        <v>997</v>
      </c>
      <c r="D16" s="9" t="n">
        <f aca="false">IF(C16="",0,LEN(TRIM(C16))-LEN(SUBSTITUTE(TRIM(C16)," ",""))+1)</f>
        <v>2</v>
      </c>
      <c r="E16" s="9" t="s">
        <v>874</v>
      </c>
      <c r="F16" s="9" t="s">
        <v>3763</v>
      </c>
      <c r="G16" s="9" t="s">
        <v>3764</v>
      </c>
      <c r="H16" s="9" t="s">
        <v>3765</v>
      </c>
      <c r="I16" s="9" t="s">
        <v>3616</v>
      </c>
      <c r="J16" s="9" t="s">
        <v>3766</v>
      </c>
      <c r="K16" s="9" t="s">
        <v>984</v>
      </c>
      <c r="L16" s="9" t="s">
        <v>3767</v>
      </c>
      <c r="M16" s="9" t="s">
        <v>3768</v>
      </c>
    </row>
    <row r="17" customFormat="false" ht="28.35" hidden="false" customHeight="false" outlineLevel="0" collapsed="false">
      <c r="A17" s="9" t="s">
        <v>522</v>
      </c>
      <c r="B17" s="9" t="s">
        <v>970</v>
      </c>
      <c r="C17" s="9" t="s">
        <v>999</v>
      </c>
      <c r="D17" s="9" t="n">
        <f aca="false">IF(C17="",0,LEN(TRIM(C17))-LEN(SUBSTITUTE(TRIM(C17)," ",""))+1)</f>
        <v>4</v>
      </c>
      <c r="E17" s="9" t="s">
        <v>874</v>
      </c>
      <c r="F17" s="9" t="s">
        <v>3763</v>
      </c>
      <c r="G17" s="9" t="s">
        <v>3764</v>
      </c>
      <c r="H17" s="9" t="s">
        <v>3765</v>
      </c>
      <c r="I17" s="9" t="s">
        <v>3616</v>
      </c>
      <c r="J17" s="9" t="s">
        <v>3766</v>
      </c>
      <c r="K17" s="9" t="s">
        <v>969</v>
      </c>
      <c r="L17" s="9" t="s">
        <v>3767</v>
      </c>
      <c r="M17" s="9" t="s">
        <v>3768</v>
      </c>
    </row>
    <row r="18" customFormat="false" ht="28.35" hidden="false" customHeight="false" outlineLevel="0" collapsed="false">
      <c r="A18" s="9" t="s">
        <v>526</v>
      </c>
      <c r="B18" s="9" t="s">
        <v>890</v>
      </c>
      <c r="C18" s="9" t="s">
        <v>1002</v>
      </c>
      <c r="D18" s="9" t="n">
        <f aca="false">IF(C18="",0,LEN(TRIM(C18))-LEN(SUBSTITUTE(TRIM(C18)," ",""))+1)</f>
        <v>1</v>
      </c>
      <c r="E18" s="9" t="s">
        <v>874</v>
      </c>
      <c r="F18" s="9" t="s">
        <v>3763</v>
      </c>
      <c r="G18" s="9" t="s">
        <v>3764</v>
      </c>
      <c r="H18" s="9" t="s">
        <v>3765</v>
      </c>
      <c r="I18" s="9" t="s">
        <v>3616</v>
      </c>
      <c r="J18" s="9" t="s">
        <v>3766</v>
      </c>
      <c r="K18" s="9" t="s">
        <v>984</v>
      </c>
      <c r="L18" s="9" t="s">
        <v>3767</v>
      </c>
      <c r="M18" s="9" t="s">
        <v>3768</v>
      </c>
    </row>
    <row r="19" customFormat="false" ht="28.35" hidden="false" customHeight="false" outlineLevel="0" collapsed="false">
      <c r="A19" s="9" t="s">
        <v>530</v>
      </c>
      <c r="B19" s="9" t="s">
        <v>890</v>
      </c>
      <c r="C19" s="9" t="s">
        <v>1006</v>
      </c>
      <c r="D19" s="9" t="n">
        <f aca="false">IF(C19="",0,LEN(TRIM(C19))-LEN(SUBSTITUTE(TRIM(C19)," ",""))+1)</f>
        <v>5</v>
      </c>
      <c r="E19" s="9" t="s">
        <v>874</v>
      </c>
      <c r="F19" s="9" t="s">
        <v>3763</v>
      </c>
      <c r="G19" s="9" t="s">
        <v>3764</v>
      </c>
      <c r="H19" s="9" t="s">
        <v>3765</v>
      </c>
      <c r="I19" s="9" t="s">
        <v>3616</v>
      </c>
      <c r="J19" s="9" t="s">
        <v>3766</v>
      </c>
      <c r="K19" s="9" t="s">
        <v>984</v>
      </c>
      <c r="L19" s="9" t="s">
        <v>3767</v>
      </c>
      <c r="M19" s="9" t="s">
        <v>3768</v>
      </c>
    </row>
    <row r="20" customFormat="false" ht="28.35" hidden="false" customHeight="false" outlineLevel="0" collapsed="false">
      <c r="A20" s="9" t="s">
        <v>534</v>
      </c>
      <c r="B20" s="9" t="s">
        <v>890</v>
      </c>
      <c r="C20" s="9" t="s">
        <v>1011</v>
      </c>
      <c r="D20" s="9" t="n">
        <f aca="false">IF(C20="",0,LEN(TRIM(C20))-LEN(SUBSTITUTE(TRIM(C20)," ",""))+1)</f>
        <v>5</v>
      </c>
      <c r="E20" s="9" t="s">
        <v>874</v>
      </c>
      <c r="F20" s="9" t="s">
        <v>3763</v>
      </c>
      <c r="G20" s="9" t="s">
        <v>3764</v>
      </c>
      <c r="H20" s="9" t="s">
        <v>3765</v>
      </c>
      <c r="I20" s="9" t="s">
        <v>3616</v>
      </c>
      <c r="J20" s="9" t="s">
        <v>3766</v>
      </c>
      <c r="K20" s="9" t="s">
        <v>1008</v>
      </c>
      <c r="L20" s="9" t="s">
        <v>3767</v>
      </c>
      <c r="M20" s="9" t="s">
        <v>3768</v>
      </c>
    </row>
    <row r="21" customFormat="false" ht="15.75" hidden="false" customHeight="true" outlineLevel="0" collapsed="false">
      <c r="A21" s="9" t="s">
        <v>537</v>
      </c>
      <c r="B21" s="9" t="s">
        <v>890</v>
      </c>
      <c r="C21" s="9" t="s">
        <v>1017</v>
      </c>
      <c r="D21" s="9" t="n">
        <f aca="false">IF(C21="",0,LEN(TRIM(C21))-LEN(SUBSTITUTE(TRIM(C21)," ",""))+1)</f>
        <v>7</v>
      </c>
      <c r="E21" s="9" t="s">
        <v>874</v>
      </c>
      <c r="F21" s="9" t="s">
        <v>3763</v>
      </c>
      <c r="G21" s="9" t="s">
        <v>3764</v>
      </c>
      <c r="H21" s="9" t="s">
        <v>3765</v>
      </c>
      <c r="I21" s="9" t="s">
        <v>3616</v>
      </c>
      <c r="J21" s="9" t="s">
        <v>3766</v>
      </c>
      <c r="K21" s="9" t="s">
        <v>1008</v>
      </c>
      <c r="L21" s="9" t="s">
        <v>3767</v>
      </c>
      <c r="M21" s="9" t="s">
        <v>3768</v>
      </c>
    </row>
    <row r="22" customFormat="false" ht="15.75" hidden="false" customHeight="true" outlineLevel="0" collapsed="false">
      <c r="A22" s="9" t="s">
        <v>541</v>
      </c>
      <c r="B22" s="9" t="s">
        <v>1025</v>
      </c>
      <c r="C22" s="9" t="s">
        <v>1028</v>
      </c>
      <c r="D22" s="9" t="n">
        <f aca="false">IF(C22="",0,LEN(TRIM(C22))-LEN(SUBSTITUTE(TRIM(C22)," ",""))+1)</f>
        <v>6</v>
      </c>
      <c r="E22" s="9" t="s">
        <v>874</v>
      </c>
      <c r="F22" s="9" t="s">
        <v>3763</v>
      </c>
      <c r="G22" s="9" t="s">
        <v>3764</v>
      </c>
      <c r="H22" s="9" t="s">
        <v>3765</v>
      </c>
      <c r="I22" s="9" t="s">
        <v>3616</v>
      </c>
      <c r="J22" s="9" t="s">
        <v>3766</v>
      </c>
      <c r="K22" s="9" t="s">
        <v>1024</v>
      </c>
      <c r="L22" s="9" t="s">
        <v>3767</v>
      </c>
      <c r="M22" s="9" t="s">
        <v>3768</v>
      </c>
    </row>
    <row r="23" customFormat="false" ht="15.75" hidden="false" customHeight="true" outlineLevel="0" collapsed="false">
      <c r="A23" s="9" t="s">
        <v>546</v>
      </c>
      <c r="B23" s="9" t="s">
        <v>1032</v>
      </c>
      <c r="C23" s="9" t="s">
        <v>1036</v>
      </c>
      <c r="D23" s="9" t="n">
        <f aca="false">IF(C23="",0,LEN(TRIM(C23))-LEN(SUBSTITUTE(TRIM(C23)," ",""))+1)</f>
        <v>5</v>
      </c>
      <c r="E23" s="9" t="s">
        <v>874</v>
      </c>
      <c r="F23" s="9" t="s">
        <v>3763</v>
      </c>
      <c r="G23" s="9" t="s">
        <v>3764</v>
      </c>
      <c r="H23" s="9" t="s">
        <v>3765</v>
      </c>
      <c r="I23" s="9" t="s">
        <v>3616</v>
      </c>
      <c r="J23" s="9" t="s">
        <v>3766</v>
      </c>
      <c r="K23" s="9" t="s">
        <v>1031</v>
      </c>
      <c r="L23" s="9" t="s">
        <v>3767</v>
      </c>
      <c r="M23" s="9" t="s">
        <v>3768</v>
      </c>
    </row>
    <row r="24" customFormat="false" ht="15.75" hidden="false" customHeight="true" outlineLevel="0" collapsed="false">
      <c r="A24" s="9" t="s">
        <v>550</v>
      </c>
      <c r="B24" s="9" t="s">
        <v>870</v>
      </c>
      <c r="C24" s="9" t="s">
        <v>1041</v>
      </c>
      <c r="D24" s="9" t="n">
        <f aca="false">IF(C24="",0,LEN(TRIM(C24))-LEN(SUBSTITUTE(TRIM(C24)," ",""))+1)</f>
        <v>4</v>
      </c>
      <c r="E24" s="9" t="s">
        <v>874</v>
      </c>
      <c r="F24" s="9" t="s">
        <v>3763</v>
      </c>
      <c r="G24" s="9" t="s">
        <v>3764</v>
      </c>
      <c r="H24" s="9" t="s">
        <v>3765</v>
      </c>
      <c r="I24" s="9" t="s">
        <v>3616</v>
      </c>
      <c r="J24" s="9" t="s">
        <v>3766</v>
      </c>
      <c r="K24" s="9" t="s">
        <v>869</v>
      </c>
      <c r="L24" s="9" t="s">
        <v>3767</v>
      </c>
      <c r="M24" s="9" t="s">
        <v>3768</v>
      </c>
    </row>
    <row r="25" customFormat="false" ht="15.75" hidden="false" customHeight="true" outlineLevel="0" collapsed="false">
      <c r="A25" s="9" t="s">
        <v>554</v>
      </c>
      <c r="B25" s="9" t="s">
        <v>916</v>
      </c>
      <c r="C25" s="9" t="s">
        <v>1047</v>
      </c>
      <c r="D25" s="9" t="n">
        <f aca="false">IF(C25="",0,LEN(TRIM(C25))-LEN(SUBSTITUTE(TRIM(C25)," ",""))+1)</f>
        <v>4</v>
      </c>
      <c r="E25" s="9" t="s">
        <v>874</v>
      </c>
      <c r="F25" s="9" t="s">
        <v>3763</v>
      </c>
      <c r="G25" s="9" t="s">
        <v>3764</v>
      </c>
      <c r="H25" s="9" t="s">
        <v>3765</v>
      </c>
      <c r="I25" s="9" t="s">
        <v>3616</v>
      </c>
      <c r="J25" s="9" t="s">
        <v>3766</v>
      </c>
      <c r="K25" s="9" t="s">
        <v>1044</v>
      </c>
      <c r="L25" s="9" t="s">
        <v>3767</v>
      </c>
      <c r="M25" s="9" t="s">
        <v>3768</v>
      </c>
    </row>
    <row r="26" customFormat="false" ht="15.75" hidden="false" customHeight="true" outlineLevel="0" collapsed="false">
      <c r="A26" s="9" t="s">
        <v>558</v>
      </c>
      <c r="B26" s="9" t="s">
        <v>970</v>
      </c>
      <c r="C26" s="9" t="s">
        <v>1051</v>
      </c>
      <c r="D26" s="9" t="n">
        <f aca="false">IF(C26="",0,LEN(TRIM(C26))-LEN(SUBSTITUTE(TRIM(C26)," ",""))+1)</f>
        <v>4</v>
      </c>
      <c r="E26" s="9" t="s">
        <v>874</v>
      </c>
      <c r="F26" s="9" t="s">
        <v>3763</v>
      </c>
      <c r="G26" s="9" t="s">
        <v>3764</v>
      </c>
      <c r="H26" s="9" t="s">
        <v>3765</v>
      </c>
      <c r="I26" s="9" t="s">
        <v>3616</v>
      </c>
      <c r="J26" s="9" t="s">
        <v>3766</v>
      </c>
      <c r="K26" s="9" t="s">
        <v>969</v>
      </c>
      <c r="L26" s="9" t="s">
        <v>3767</v>
      </c>
      <c r="M26" s="9" t="s">
        <v>3768</v>
      </c>
    </row>
    <row r="27" customFormat="false" ht="15.75" hidden="false" customHeight="true" outlineLevel="0" collapsed="false">
      <c r="A27" s="9" t="s">
        <v>562</v>
      </c>
      <c r="B27" s="9" t="s">
        <v>1032</v>
      </c>
      <c r="C27" s="9" t="s">
        <v>1057</v>
      </c>
      <c r="D27" s="9" t="n">
        <f aca="false">IF(C27="",0,LEN(TRIM(C27))-LEN(SUBSTITUTE(TRIM(C27)," ",""))+1)</f>
        <v>6</v>
      </c>
      <c r="E27" s="9" t="s">
        <v>874</v>
      </c>
      <c r="F27" s="9" t="s">
        <v>3763</v>
      </c>
      <c r="G27" s="9" t="s">
        <v>3764</v>
      </c>
      <c r="H27" s="9" t="s">
        <v>3765</v>
      </c>
      <c r="I27" s="9" t="s">
        <v>3616</v>
      </c>
      <c r="J27" s="9" t="s">
        <v>3766</v>
      </c>
      <c r="K27" s="9" t="s">
        <v>1054</v>
      </c>
      <c r="L27" s="9" t="s">
        <v>3767</v>
      </c>
      <c r="M27" s="9" t="s">
        <v>3768</v>
      </c>
    </row>
    <row r="28" customFormat="false" ht="15.75" hidden="false" customHeight="true" outlineLevel="0" collapsed="false">
      <c r="A28" s="9" t="s">
        <v>566</v>
      </c>
      <c r="B28" s="9" t="s">
        <v>970</v>
      </c>
      <c r="C28" s="9" t="s">
        <v>1063</v>
      </c>
      <c r="D28" s="9" t="n">
        <f aca="false">IF(C28="",0,LEN(TRIM(C28))-LEN(SUBSTITUTE(TRIM(C28)," ",""))+1)</f>
        <v>4</v>
      </c>
      <c r="E28" s="9" t="s">
        <v>874</v>
      </c>
      <c r="F28" s="9" t="s">
        <v>3763</v>
      </c>
      <c r="G28" s="9" t="s">
        <v>3764</v>
      </c>
      <c r="H28" s="9" t="s">
        <v>3765</v>
      </c>
      <c r="I28" s="9" t="s">
        <v>3616</v>
      </c>
      <c r="J28" s="9" t="s">
        <v>3766</v>
      </c>
      <c r="K28" s="9" t="s">
        <v>1060</v>
      </c>
      <c r="L28" s="9" t="s">
        <v>3767</v>
      </c>
      <c r="M28" s="9" t="s">
        <v>3768</v>
      </c>
    </row>
    <row r="29" customFormat="false" ht="15.75" hidden="false" customHeight="true" outlineLevel="0" collapsed="false">
      <c r="A29" s="9" t="s">
        <v>570</v>
      </c>
      <c r="B29" s="9" t="s">
        <v>916</v>
      </c>
      <c r="C29" s="9" t="s">
        <v>1068</v>
      </c>
      <c r="D29" s="9" t="n">
        <f aca="false">IF(C29="",0,LEN(TRIM(C29))-LEN(SUBSTITUTE(TRIM(C29)," ",""))+1)</f>
        <v>10</v>
      </c>
      <c r="E29" s="9" t="s">
        <v>874</v>
      </c>
      <c r="F29" s="9" t="s">
        <v>3763</v>
      </c>
      <c r="G29" s="9" t="s">
        <v>3764</v>
      </c>
      <c r="H29" s="9" t="s">
        <v>3765</v>
      </c>
      <c r="I29" s="9" t="s">
        <v>3616</v>
      </c>
      <c r="J29" s="9" t="s">
        <v>3766</v>
      </c>
      <c r="K29" s="9" t="s">
        <v>978</v>
      </c>
      <c r="L29" s="9" t="s">
        <v>3767</v>
      </c>
      <c r="M29" s="9" t="s">
        <v>3768</v>
      </c>
    </row>
    <row r="30" customFormat="false" ht="15.75" hidden="false" customHeight="true" outlineLevel="0" collapsed="false">
      <c r="A30" s="9" t="s">
        <v>574</v>
      </c>
      <c r="B30" s="9" t="s">
        <v>890</v>
      </c>
      <c r="C30" s="9" t="s">
        <v>1073</v>
      </c>
      <c r="D30" s="9" t="n">
        <f aca="false">IF(C30="",0,LEN(TRIM(C30))-LEN(SUBSTITUTE(TRIM(C30)," ",""))+1)</f>
        <v>6</v>
      </c>
      <c r="E30" s="9" t="s">
        <v>874</v>
      </c>
      <c r="F30" s="9" t="s">
        <v>3763</v>
      </c>
      <c r="G30" s="9" t="s">
        <v>3764</v>
      </c>
      <c r="H30" s="9" t="s">
        <v>3765</v>
      </c>
      <c r="I30" s="9" t="s">
        <v>3616</v>
      </c>
      <c r="J30" s="9" t="s">
        <v>3766</v>
      </c>
      <c r="K30" s="9" t="s">
        <v>1008</v>
      </c>
      <c r="L30" s="9" t="s">
        <v>3767</v>
      </c>
      <c r="M30" s="9" t="s">
        <v>3768</v>
      </c>
    </row>
    <row r="31" customFormat="false" ht="15.75" hidden="false" customHeight="true" outlineLevel="0" collapsed="false">
      <c r="A31" s="9" t="s">
        <v>578</v>
      </c>
      <c r="B31" s="9" t="s">
        <v>1076</v>
      </c>
      <c r="C31" s="9" t="s">
        <v>1079</v>
      </c>
      <c r="D31" s="9" t="n">
        <f aca="false">IF(C31="",0,LEN(TRIM(C31))-LEN(SUBSTITUTE(TRIM(C31)," ",""))+1)</f>
        <v>5</v>
      </c>
      <c r="E31" s="9" t="s">
        <v>874</v>
      </c>
      <c r="F31" s="9" t="s">
        <v>3763</v>
      </c>
      <c r="G31" s="9" t="s">
        <v>3764</v>
      </c>
      <c r="H31" s="9" t="s">
        <v>3765</v>
      </c>
      <c r="I31" s="9" t="s">
        <v>3616</v>
      </c>
      <c r="J31" s="9" t="s">
        <v>3766</v>
      </c>
      <c r="K31" s="9" t="s">
        <v>1075</v>
      </c>
      <c r="L31" s="9" t="s">
        <v>3767</v>
      </c>
      <c r="M31" s="9" t="s">
        <v>3768</v>
      </c>
    </row>
    <row r="32" customFormat="false" ht="15.75" hidden="false" customHeight="true" outlineLevel="0" collapsed="false">
      <c r="A32" s="9" t="s">
        <v>583</v>
      </c>
      <c r="B32" s="9" t="s">
        <v>961</v>
      </c>
      <c r="C32" s="9" t="s">
        <v>1086</v>
      </c>
      <c r="D32" s="9" t="n">
        <f aca="false">IF(C32="",0,LEN(TRIM(C32))-LEN(SUBSTITUTE(TRIM(C32)," ",""))+1)</f>
        <v>7</v>
      </c>
      <c r="E32" s="9" t="s">
        <v>874</v>
      </c>
      <c r="F32" s="9" t="s">
        <v>3763</v>
      </c>
      <c r="G32" s="9" t="s">
        <v>3764</v>
      </c>
      <c r="H32" s="9" t="s">
        <v>3765</v>
      </c>
      <c r="I32" s="9" t="s">
        <v>3616</v>
      </c>
      <c r="J32" s="9" t="s">
        <v>3766</v>
      </c>
      <c r="K32" s="9" t="s">
        <v>1082</v>
      </c>
      <c r="L32" s="9" t="s">
        <v>3767</v>
      </c>
      <c r="M32" s="9" t="s">
        <v>3768</v>
      </c>
    </row>
    <row r="33" customFormat="false" ht="15.75" hidden="false" customHeight="true" outlineLevel="0" collapsed="false">
      <c r="A33" s="9" t="s">
        <v>587</v>
      </c>
      <c r="B33" s="9" t="s">
        <v>1025</v>
      </c>
      <c r="C33" s="9" t="s">
        <v>1094</v>
      </c>
      <c r="D33" s="9" t="n">
        <f aca="false">IF(C33="",0,LEN(TRIM(C33))-LEN(SUBSTITUTE(TRIM(C33)," ",""))+1)</f>
        <v>3</v>
      </c>
      <c r="E33" s="9" t="s">
        <v>874</v>
      </c>
      <c r="F33" s="9" t="s">
        <v>3763</v>
      </c>
      <c r="G33" s="9" t="s">
        <v>3764</v>
      </c>
      <c r="H33" s="9" t="s">
        <v>3765</v>
      </c>
      <c r="I33" s="9" t="s">
        <v>3616</v>
      </c>
      <c r="J33" s="9" t="s">
        <v>3766</v>
      </c>
      <c r="K33" s="9" t="s">
        <v>1089</v>
      </c>
      <c r="L33" s="9" t="s">
        <v>3767</v>
      </c>
      <c r="M33" s="9" t="s">
        <v>3768</v>
      </c>
    </row>
    <row r="34" customFormat="false" ht="15.75" hidden="false" customHeight="true" outlineLevel="0" collapsed="false">
      <c r="A34" s="9" t="s">
        <v>591</v>
      </c>
      <c r="B34" s="9" t="s">
        <v>961</v>
      </c>
      <c r="C34" s="9" t="s">
        <v>1101</v>
      </c>
      <c r="D34" s="9" t="n">
        <f aca="false">IF(C34="",0,LEN(TRIM(C34))-LEN(SUBSTITUTE(TRIM(C34)," ",""))+1)</f>
        <v>9</v>
      </c>
      <c r="E34" s="9" t="s">
        <v>874</v>
      </c>
      <c r="F34" s="9" t="s">
        <v>3763</v>
      </c>
      <c r="G34" s="9" t="s">
        <v>3764</v>
      </c>
      <c r="H34" s="9" t="s">
        <v>3765</v>
      </c>
      <c r="I34" s="9" t="s">
        <v>3616</v>
      </c>
      <c r="J34" s="9" t="s">
        <v>3766</v>
      </c>
      <c r="K34" s="9" t="s">
        <v>1098</v>
      </c>
      <c r="L34" s="9" t="s">
        <v>3767</v>
      </c>
      <c r="M34" s="9" t="s">
        <v>3768</v>
      </c>
    </row>
    <row r="35" customFormat="false" ht="15.75" hidden="false" customHeight="true" outlineLevel="0" collapsed="false">
      <c r="A35" s="9" t="s">
        <v>595</v>
      </c>
      <c r="B35" s="9" t="s">
        <v>1025</v>
      </c>
      <c r="C35" s="9" t="s">
        <v>1028</v>
      </c>
      <c r="D35" s="9" t="n">
        <f aca="false">IF(C35="",0,LEN(TRIM(C35))-LEN(SUBSTITUTE(TRIM(C35)," ",""))+1)</f>
        <v>6</v>
      </c>
      <c r="E35" s="9" t="s">
        <v>874</v>
      </c>
      <c r="F35" s="9" t="s">
        <v>3763</v>
      </c>
      <c r="G35" s="9" t="s">
        <v>3764</v>
      </c>
      <c r="H35" s="9" t="s">
        <v>3765</v>
      </c>
      <c r="I35" s="9" t="s">
        <v>3616</v>
      </c>
      <c r="J35" s="9" t="s">
        <v>3766</v>
      </c>
      <c r="K35" s="9" t="s">
        <v>1024</v>
      </c>
      <c r="L35" s="9" t="s">
        <v>3767</v>
      </c>
      <c r="M35" s="9" t="s">
        <v>3768</v>
      </c>
    </row>
    <row r="36" customFormat="false" ht="15.75" hidden="false" customHeight="true" outlineLevel="0" collapsed="false">
      <c r="A36" s="9" t="s">
        <v>599</v>
      </c>
      <c r="B36" s="9" t="s">
        <v>961</v>
      </c>
      <c r="C36" s="9" t="s">
        <v>1109</v>
      </c>
      <c r="D36" s="9" t="n">
        <f aca="false">IF(C36="",0,LEN(TRIM(C36))-LEN(SUBSTITUTE(TRIM(C36)," ",""))+1)</f>
        <v>5</v>
      </c>
      <c r="E36" s="9" t="s">
        <v>874</v>
      </c>
      <c r="F36" s="9" t="s">
        <v>3763</v>
      </c>
      <c r="G36" s="9" t="s">
        <v>3764</v>
      </c>
      <c r="H36" s="9" t="s">
        <v>3765</v>
      </c>
      <c r="I36" s="9" t="s">
        <v>3616</v>
      </c>
      <c r="J36" s="9" t="s">
        <v>3766</v>
      </c>
      <c r="K36" s="9" t="s">
        <v>1082</v>
      </c>
      <c r="L36" s="9" t="s">
        <v>3767</v>
      </c>
      <c r="M36" s="9" t="s">
        <v>3768</v>
      </c>
    </row>
    <row r="37" customFormat="false" ht="15.75" hidden="false" customHeight="true" outlineLevel="0" collapsed="false">
      <c r="A37" s="9" t="s">
        <v>603</v>
      </c>
      <c r="B37" s="9" t="s">
        <v>71</v>
      </c>
      <c r="C37" s="9" t="s">
        <v>1112</v>
      </c>
      <c r="D37" s="9" t="n">
        <f aca="false">IF(C37="",0,LEN(TRIM(C37))-LEN(SUBSTITUTE(TRIM(C37)," ",""))+1)</f>
        <v>3</v>
      </c>
      <c r="E37" s="9" t="s">
        <v>874</v>
      </c>
      <c r="F37" s="9" t="s">
        <v>3763</v>
      </c>
      <c r="G37" s="9" t="s">
        <v>3764</v>
      </c>
      <c r="H37" s="9" t="s">
        <v>3765</v>
      </c>
      <c r="I37" s="9" t="s">
        <v>3616</v>
      </c>
      <c r="J37" s="9" t="s">
        <v>3766</v>
      </c>
      <c r="K37" s="9" t="s">
        <v>1111</v>
      </c>
      <c r="L37" s="9" t="s">
        <v>3767</v>
      </c>
      <c r="M37" s="9" t="s">
        <v>3768</v>
      </c>
    </row>
    <row r="38" customFormat="false" ht="15.75" hidden="false" customHeight="true" outlineLevel="0" collapsed="false">
      <c r="A38" s="9" t="s">
        <v>609</v>
      </c>
      <c r="B38" s="9" t="s">
        <v>1116</v>
      </c>
      <c r="C38" s="9" t="s">
        <v>1121</v>
      </c>
      <c r="D38" s="9" t="n">
        <f aca="false">IF(C38="",0,LEN(TRIM(C38))-LEN(SUBSTITUTE(TRIM(C38)," ",""))+1)</f>
        <v>4</v>
      </c>
      <c r="E38" s="9" t="s">
        <v>874</v>
      </c>
      <c r="F38" s="9" t="s">
        <v>3763</v>
      </c>
      <c r="G38" s="9" t="s">
        <v>3764</v>
      </c>
      <c r="H38" s="9" t="s">
        <v>3765</v>
      </c>
      <c r="I38" s="9" t="s">
        <v>3616</v>
      </c>
      <c r="J38" s="9" t="s">
        <v>3766</v>
      </c>
      <c r="K38" s="9" t="s">
        <v>1115</v>
      </c>
      <c r="L38" s="9" t="s">
        <v>3767</v>
      </c>
      <c r="M38" s="9" t="s">
        <v>3768</v>
      </c>
    </row>
    <row r="39" customFormat="false" ht="15.75" hidden="false" customHeight="true" outlineLevel="0" collapsed="false">
      <c r="A39" s="9" t="s">
        <v>613</v>
      </c>
      <c r="B39" s="9" t="s">
        <v>1032</v>
      </c>
      <c r="C39" s="9" t="s">
        <v>1128</v>
      </c>
      <c r="D39" s="9" t="n">
        <f aca="false">IF(C39="",0,LEN(TRIM(C39))-LEN(SUBSTITUTE(TRIM(C39)," ",""))+1)</f>
        <v>3</v>
      </c>
      <c r="E39" s="9" t="s">
        <v>874</v>
      </c>
      <c r="F39" s="9" t="s">
        <v>3763</v>
      </c>
      <c r="G39" s="9" t="s">
        <v>3764</v>
      </c>
      <c r="H39" s="9" t="s">
        <v>3765</v>
      </c>
      <c r="I39" s="9" t="s">
        <v>3616</v>
      </c>
      <c r="J39" s="9" t="s">
        <v>3766</v>
      </c>
      <c r="K39" s="9" t="s">
        <v>1125</v>
      </c>
      <c r="L39" s="9" t="s">
        <v>3767</v>
      </c>
      <c r="M39" s="9" t="s">
        <v>3768</v>
      </c>
    </row>
    <row r="40" customFormat="false" ht="15.75" hidden="false" customHeight="true" outlineLevel="0" collapsed="false">
      <c r="A40" s="9" t="s">
        <v>618</v>
      </c>
      <c r="B40" s="9" t="s">
        <v>1133</v>
      </c>
      <c r="C40" s="9" t="s">
        <v>1138</v>
      </c>
      <c r="D40" s="9" t="n">
        <f aca="false">IF(C40="",0,LEN(TRIM(C40))-LEN(SUBSTITUTE(TRIM(C40)," ",""))+1)</f>
        <v>4</v>
      </c>
      <c r="E40" s="9" t="s">
        <v>874</v>
      </c>
      <c r="F40" s="9" t="s">
        <v>3763</v>
      </c>
      <c r="G40" s="9" t="s">
        <v>3764</v>
      </c>
      <c r="H40" s="9" t="s">
        <v>3765</v>
      </c>
      <c r="I40" s="9" t="s">
        <v>3616</v>
      </c>
      <c r="J40" s="9" t="s">
        <v>3766</v>
      </c>
      <c r="K40" s="9" t="s">
        <v>1132</v>
      </c>
      <c r="L40" s="9" t="s">
        <v>3767</v>
      </c>
      <c r="M40" s="9" t="s">
        <v>3768</v>
      </c>
    </row>
    <row r="41" customFormat="false" ht="15.75" hidden="false" customHeight="true" outlineLevel="0" collapsed="false">
      <c r="A41" s="9" t="s">
        <v>622</v>
      </c>
      <c r="B41" s="9" t="s">
        <v>1144</v>
      </c>
      <c r="C41" s="9" t="s">
        <v>1147</v>
      </c>
      <c r="D41" s="9" t="n">
        <f aca="false">IF(C41="",0,LEN(TRIM(C41))-LEN(SUBSTITUTE(TRIM(C41)," ",""))+1)</f>
        <v>3</v>
      </c>
      <c r="E41" s="9" t="s">
        <v>874</v>
      </c>
      <c r="F41" s="9" t="s">
        <v>3763</v>
      </c>
      <c r="G41" s="9" t="s">
        <v>3764</v>
      </c>
      <c r="H41" s="9" t="s">
        <v>3765</v>
      </c>
      <c r="I41" s="9" t="s">
        <v>3616</v>
      </c>
      <c r="J41" s="9" t="s">
        <v>3766</v>
      </c>
      <c r="K41" s="9" t="s">
        <v>1143</v>
      </c>
      <c r="L41" s="9" t="s">
        <v>3767</v>
      </c>
      <c r="M41" s="9" t="s">
        <v>3768</v>
      </c>
    </row>
    <row r="42" customFormat="false" ht="15.75" hidden="false" customHeight="true" outlineLevel="0" collapsed="false">
      <c r="A42" s="9" t="s">
        <v>626</v>
      </c>
      <c r="B42" s="9" t="s">
        <v>961</v>
      </c>
      <c r="C42" s="9" t="s">
        <v>1151</v>
      </c>
      <c r="D42" s="9" t="n">
        <f aca="false">IF(C42="",0,LEN(TRIM(C42))-LEN(SUBSTITUTE(TRIM(C42)," ",""))+1)</f>
        <v>1</v>
      </c>
      <c r="E42" s="9" t="s">
        <v>874</v>
      </c>
      <c r="F42" s="9" t="s">
        <v>3763</v>
      </c>
      <c r="G42" s="9" t="s">
        <v>3764</v>
      </c>
      <c r="H42" s="9" t="s">
        <v>3765</v>
      </c>
      <c r="I42" s="9" t="s">
        <v>3616</v>
      </c>
      <c r="J42" s="9" t="s">
        <v>3766</v>
      </c>
      <c r="K42" s="9" t="s">
        <v>960</v>
      </c>
      <c r="L42" s="9" t="s">
        <v>3767</v>
      </c>
      <c r="M42" s="9" t="s">
        <v>3768</v>
      </c>
    </row>
    <row r="43" customFormat="false" ht="15.75" hidden="false" customHeight="true" outlineLevel="0" collapsed="false">
      <c r="A43" s="9" t="s">
        <v>632</v>
      </c>
      <c r="B43" s="9" t="s">
        <v>1153</v>
      </c>
      <c r="C43" s="9" t="s">
        <v>1154</v>
      </c>
      <c r="D43" s="9" t="n">
        <f aca="false">IF(C43="",0,LEN(TRIM(C43))-LEN(SUBSTITUTE(TRIM(C43)," ",""))+1)</f>
        <v>4</v>
      </c>
      <c r="E43" s="9" t="s">
        <v>874</v>
      </c>
      <c r="F43" s="9" t="s">
        <v>3763</v>
      </c>
      <c r="G43" s="9" t="s">
        <v>3764</v>
      </c>
      <c r="H43" s="9" t="s">
        <v>3765</v>
      </c>
      <c r="I43" s="9" t="s">
        <v>3616</v>
      </c>
      <c r="J43" s="9" t="s">
        <v>3766</v>
      </c>
      <c r="K43" s="9" t="s">
        <v>869</v>
      </c>
      <c r="L43" s="9" t="s">
        <v>3767</v>
      </c>
      <c r="M43" s="9" t="s">
        <v>3768</v>
      </c>
    </row>
    <row r="44" customFormat="false" ht="15.75" hidden="false" customHeight="true" outlineLevel="0" collapsed="false">
      <c r="A44" s="9" t="s">
        <v>636</v>
      </c>
      <c r="B44" s="9" t="s">
        <v>870</v>
      </c>
      <c r="C44" s="9" t="s">
        <v>1156</v>
      </c>
      <c r="D44" s="9" t="n">
        <f aca="false">IF(C44="",0,LEN(TRIM(C44))-LEN(SUBSTITUTE(TRIM(C44)," ",""))+1)</f>
        <v>5</v>
      </c>
      <c r="E44" s="9" t="s">
        <v>874</v>
      </c>
      <c r="F44" s="9" t="s">
        <v>3763</v>
      </c>
      <c r="G44" s="9" t="s">
        <v>3764</v>
      </c>
      <c r="H44" s="9" t="s">
        <v>3765</v>
      </c>
      <c r="I44" s="9" t="s">
        <v>3616</v>
      </c>
      <c r="J44" s="9" t="s">
        <v>3766</v>
      </c>
      <c r="K44" s="9" t="s">
        <v>869</v>
      </c>
      <c r="L44" s="9" t="s">
        <v>3767</v>
      </c>
      <c r="M44" s="9" t="s">
        <v>3768</v>
      </c>
    </row>
    <row r="45" customFormat="false" ht="15.75" hidden="false" customHeight="true" outlineLevel="0" collapsed="false">
      <c r="A45" s="9" t="s">
        <v>640</v>
      </c>
      <c r="B45" s="9" t="s">
        <v>870</v>
      </c>
      <c r="C45" s="9" t="s">
        <v>1156</v>
      </c>
      <c r="D45" s="9" t="n">
        <f aca="false">IF(C45="",0,LEN(TRIM(C45))-LEN(SUBSTITUTE(TRIM(C45)," ",""))+1)</f>
        <v>5</v>
      </c>
      <c r="E45" s="9" t="s">
        <v>874</v>
      </c>
      <c r="F45" s="9" t="s">
        <v>3763</v>
      </c>
      <c r="G45" s="9" t="s">
        <v>3764</v>
      </c>
      <c r="H45" s="9" t="s">
        <v>3765</v>
      </c>
      <c r="I45" s="9" t="s">
        <v>3616</v>
      </c>
      <c r="J45" s="9" t="s">
        <v>3766</v>
      </c>
      <c r="K45" s="9" t="s">
        <v>869</v>
      </c>
      <c r="L45" s="9" t="s">
        <v>3767</v>
      </c>
      <c r="M45" s="9" t="s">
        <v>3768</v>
      </c>
    </row>
    <row r="46" customFormat="false" ht="15.75" hidden="false" customHeight="true" outlineLevel="0" collapsed="false">
      <c r="A46" s="9" t="s">
        <v>644</v>
      </c>
      <c r="B46" s="9" t="s">
        <v>1144</v>
      </c>
      <c r="C46" s="9" t="s">
        <v>1166</v>
      </c>
      <c r="D46" s="9" t="n">
        <f aca="false">IF(C46="",0,LEN(TRIM(C46))-LEN(SUBSTITUTE(TRIM(C46)," ",""))+1)</f>
        <v>1</v>
      </c>
      <c r="E46" s="9" t="s">
        <v>874</v>
      </c>
      <c r="F46" s="9" t="s">
        <v>3763</v>
      </c>
      <c r="G46" s="9" t="s">
        <v>3764</v>
      </c>
      <c r="H46" s="9" t="s">
        <v>3765</v>
      </c>
      <c r="I46" s="9" t="s">
        <v>3616</v>
      </c>
      <c r="J46" s="9" t="s">
        <v>3766</v>
      </c>
      <c r="K46" s="9" t="s">
        <v>1143</v>
      </c>
      <c r="L46" s="9" t="s">
        <v>3767</v>
      </c>
      <c r="M46" s="9" t="s">
        <v>3768</v>
      </c>
    </row>
    <row r="47" customFormat="false" ht="15.75" hidden="false" customHeight="true" outlineLevel="0" collapsed="false">
      <c r="A47" s="9" t="s">
        <v>648</v>
      </c>
      <c r="B47" s="9" t="s">
        <v>71</v>
      </c>
      <c r="C47" s="9" t="s">
        <v>1171</v>
      </c>
      <c r="D47" s="9" t="n">
        <f aca="false">IF(C47="",0,LEN(TRIM(C47))-LEN(SUBSTITUTE(TRIM(C47)," ",""))+1)</f>
        <v>3</v>
      </c>
      <c r="E47" s="9" t="s">
        <v>874</v>
      </c>
      <c r="F47" s="9" t="s">
        <v>3763</v>
      </c>
      <c r="G47" s="9" t="s">
        <v>3764</v>
      </c>
      <c r="H47" s="9" t="s">
        <v>3765</v>
      </c>
      <c r="I47" s="9" t="s">
        <v>3616</v>
      </c>
      <c r="J47" s="9" t="s">
        <v>3766</v>
      </c>
      <c r="K47" s="9" t="s">
        <v>1169</v>
      </c>
      <c r="L47" s="9" t="s">
        <v>3767</v>
      </c>
      <c r="M47" s="9" t="s">
        <v>3768</v>
      </c>
    </row>
    <row r="48" customFormat="false" ht="15.75" hidden="false" customHeight="true" outlineLevel="0" collapsed="false">
      <c r="A48" s="9" t="s">
        <v>653</v>
      </c>
      <c r="B48" s="9" t="s">
        <v>890</v>
      </c>
      <c r="C48" s="9" t="s">
        <v>1173</v>
      </c>
      <c r="D48" s="9" t="n">
        <f aca="false">IF(C48="",0,LEN(TRIM(C48))-LEN(SUBSTITUTE(TRIM(C48)," ",""))+1)</f>
        <v>1</v>
      </c>
      <c r="E48" s="9" t="s">
        <v>874</v>
      </c>
      <c r="F48" s="9" t="s">
        <v>3763</v>
      </c>
      <c r="G48" s="9" t="s">
        <v>3764</v>
      </c>
      <c r="H48" s="9" t="s">
        <v>3765</v>
      </c>
      <c r="I48" s="9" t="s">
        <v>3616</v>
      </c>
      <c r="J48" s="9" t="s">
        <v>3766</v>
      </c>
      <c r="K48" s="9" t="s">
        <v>984</v>
      </c>
      <c r="L48" s="9" t="s">
        <v>3767</v>
      </c>
      <c r="M48" s="9" t="s">
        <v>3768</v>
      </c>
    </row>
    <row r="49" customFormat="false" ht="15.75" hidden="false" customHeight="true" outlineLevel="0" collapsed="false">
      <c r="A49" s="9" t="s">
        <v>658</v>
      </c>
      <c r="B49" s="9" t="s">
        <v>1144</v>
      </c>
      <c r="C49" s="9" t="s">
        <v>1178</v>
      </c>
      <c r="D49" s="9" t="n">
        <f aca="false">IF(C49="",0,LEN(TRIM(C49))-LEN(SUBSTITUTE(TRIM(C49)," ",""))+1)</f>
        <v>3</v>
      </c>
      <c r="E49" s="9" t="s">
        <v>874</v>
      </c>
      <c r="F49" s="9" t="s">
        <v>3763</v>
      </c>
      <c r="G49" s="9" t="s">
        <v>3764</v>
      </c>
      <c r="H49" s="9" t="s">
        <v>3765</v>
      </c>
      <c r="I49" s="9" t="s">
        <v>3616</v>
      </c>
      <c r="J49" s="9" t="s">
        <v>3766</v>
      </c>
      <c r="K49" s="9" t="s">
        <v>1143</v>
      </c>
      <c r="L49" s="9" t="s">
        <v>3767</v>
      </c>
      <c r="M49" s="9" t="s">
        <v>3768</v>
      </c>
    </row>
    <row r="50" customFormat="false" ht="15.75" hidden="false" customHeight="true" outlineLevel="0" collapsed="false">
      <c r="A50" s="9" t="s">
        <v>661</v>
      </c>
      <c r="B50" s="9" t="s">
        <v>904</v>
      </c>
      <c r="C50" s="9" t="s">
        <v>1186</v>
      </c>
      <c r="D50" s="9" t="n">
        <f aca="false">IF(C50="",0,LEN(TRIM(C50))-LEN(SUBSTITUTE(TRIM(C50)," ",""))+1)</f>
        <v>7</v>
      </c>
      <c r="E50" s="9" t="s">
        <v>874</v>
      </c>
      <c r="F50" s="9" t="s">
        <v>3769</v>
      </c>
      <c r="G50" s="9" t="s">
        <v>3764</v>
      </c>
      <c r="H50" s="9" t="s">
        <v>3765</v>
      </c>
      <c r="I50" s="9" t="s">
        <v>3616</v>
      </c>
      <c r="J50" s="9" t="s">
        <v>3766</v>
      </c>
      <c r="K50" s="9" t="s">
        <v>1182</v>
      </c>
      <c r="L50" s="9" t="s">
        <v>3770</v>
      </c>
      <c r="M50" s="9" t="s">
        <v>3771</v>
      </c>
    </row>
    <row r="51" customFormat="false" ht="15.75" hidden="false" customHeight="true" outlineLevel="0" collapsed="false">
      <c r="A51" s="9" t="s">
        <v>664</v>
      </c>
      <c r="B51" s="9"/>
      <c r="C51" s="9"/>
      <c r="D51" s="9" t="n">
        <f aca="false">IF(C51="",0,LEN(TRIM(C51))-LEN(SUBSTITUTE(TRIM(C51)," ",""))+1)</f>
        <v>0</v>
      </c>
      <c r="E51" s="9" t="s">
        <v>1193</v>
      </c>
      <c r="F51" s="9" t="s">
        <v>2499</v>
      </c>
      <c r="G51" s="9" t="s">
        <v>3772</v>
      </c>
      <c r="H51" s="9" t="s">
        <v>3773</v>
      </c>
      <c r="I51" s="9" t="s">
        <v>3774</v>
      </c>
      <c r="J51" s="9" t="s">
        <v>3775</v>
      </c>
      <c r="K51" s="9" t="s">
        <v>1192</v>
      </c>
      <c r="L51" s="9" t="s">
        <v>3772</v>
      </c>
      <c r="M51" s="9" t="s">
        <v>3776</v>
      </c>
    </row>
    <row r="52" customFormat="false" ht="15.75" hidden="false" customHeight="true" outlineLevel="0" collapsed="false">
      <c r="A52" s="9" t="s">
        <v>668</v>
      </c>
      <c r="B52" s="9" t="s">
        <v>1197</v>
      </c>
      <c r="C52" s="9" t="s">
        <v>1199</v>
      </c>
      <c r="D52" s="9" t="n">
        <f aca="false">IF(C52="",0,LEN(TRIM(C52))-LEN(SUBSTITUTE(TRIM(C52)," ",""))+1)</f>
        <v>6</v>
      </c>
      <c r="E52" s="9" t="s">
        <v>874</v>
      </c>
      <c r="F52" s="9" t="s">
        <v>3763</v>
      </c>
      <c r="G52" s="9" t="s">
        <v>3764</v>
      </c>
      <c r="H52" s="9" t="s">
        <v>3765</v>
      </c>
      <c r="I52" s="9" t="s">
        <v>3616</v>
      </c>
      <c r="J52" s="9" t="s">
        <v>3766</v>
      </c>
      <c r="K52" s="9" t="s">
        <v>1196</v>
      </c>
      <c r="L52" s="9" t="s">
        <v>3767</v>
      </c>
      <c r="M52" s="9" t="s">
        <v>3768</v>
      </c>
    </row>
    <row r="53" customFormat="false" ht="15.75" hidden="false" customHeight="true" outlineLevel="0" collapsed="false">
      <c r="A53" s="9" t="s">
        <v>673</v>
      </c>
      <c r="B53" s="9" t="s">
        <v>1203</v>
      </c>
      <c r="C53" s="9" t="s">
        <v>1208</v>
      </c>
      <c r="D53" s="9" t="n">
        <f aca="false">IF(C53="",0,LEN(TRIM(C53))-LEN(SUBSTITUTE(TRIM(C53)," ",""))+1)</f>
        <v>2</v>
      </c>
      <c r="E53" s="9" t="s">
        <v>874</v>
      </c>
      <c r="F53" s="9" t="s">
        <v>3763</v>
      </c>
      <c r="G53" s="9" t="s">
        <v>3764</v>
      </c>
      <c r="H53" s="9" t="s">
        <v>3765</v>
      </c>
      <c r="I53" s="9" t="s">
        <v>3616</v>
      </c>
      <c r="J53" s="9" t="s">
        <v>3766</v>
      </c>
      <c r="K53" s="9" t="s">
        <v>1202</v>
      </c>
      <c r="L53" s="9" t="s">
        <v>3767</v>
      </c>
      <c r="M53" s="9" t="s">
        <v>3768</v>
      </c>
    </row>
    <row r="54" customFormat="false" ht="15.75" hidden="false" customHeight="true" outlineLevel="0" collapsed="false">
      <c r="A54" s="9" t="s">
        <v>679</v>
      </c>
      <c r="B54" s="9" t="s">
        <v>1203</v>
      </c>
      <c r="C54" s="9" t="s">
        <v>1211</v>
      </c>
      <c r="D54" s="9" t="n">
        <f aca="false">IF(C54="",0,LEN(TRIM(C54))-LEN(SUBSTITUTE(TRIM(C54)," ",""))+1)</f>
        <v>3</v>
      </c>
      <c r="E54" s="9" t="s">
        <v>874</v>
      </c>
      <c r="F54" s="9" t="s">
        <v>3763</v>
      </c>
      <c r="G54" s="9" t="s">
        <v>3764</v>
      </c>
      <c r="H54" s="9" t="s">
        <v>3765</v>
      </c>
      <c r="I54" s="9" t="s">
        <v>3616</v>
      </c>
      <c r="J54" s="9" t="s">
        <v>3766</v>
      </c>
      <c r="K54" s="9" t="s">
        <v>1202</v>
      </c>
      <c r="L54" s="9" t="s">
        <v>3767</v>
      </c>
      <c r="M54" s="9" t="s">
        <v>3768</v>
      </c>
    </row>
    <row r="55" customFormat="false" ht="15.75" hidden="false" customHeight="true" outlineLevel="0" collapsed="false">
      <c r="A55" s="9" t="s">
        <v>682</v>
      </c>
      <c r="B55" s="9" t="s">
        <v>1203</v>
      </c>
      <c r="C55" s="9" t="s">
        <v>1212</v>
      </c>
      <c r="D55" s="9" t="n">
        <f aca="false">IF(C55="",0,LEN(TRIM(C55))-LEN(SUBSTITUTE(TRIM(C55)," ",""))+1)</f>
        <v>4</v>
      </c>
      <c r="E55" s="9" t="s">
        <v>874</v>
      </c>
      <c r="F55" s="9" t="s">
        <v>3763</v>
      </c>
      <c r="G55" s="9" t="s">
        <v>3764</v>
      </c>
      <c r="H55" s="9" t="s">
        <v>3765</v>
      </c>
      <c r="I55" s="9" t="s">
        <v>3616</v>
      </c>
      <c r="J55" s="9" t="s">
        <v>3766</v>
      </c>
      <c r="K55" s="9" t="s">
        <v>1202</v>
      </c>
      <c r="L55" s="9" t="s">
        <v>3767</v>
      </c>
      <c r="M55" s="9" t="s">
        <v>3768</v>
      </c>
    </row>
    <row r="56" customFormat="false" ht="15.75" hidden="false" customHeight="true" outlineLevel="0" collapsed="false">
      <c r="A56" s="9" t="s">
        <v>685</v>
      </c>
      <c r="B56" s="9" t="s">
        <v>1203</v>
      </c>
      <c r="C56" s="9" t="s">
        <v>1213</v>
      </c>
      <c r="D56" s="9" t="n">
        <f aca="false">IF(C56="",0,LEN(TRIM(C56))-LEN(SUBSTITUTE(TRIM(C56)," ",""))+1)</f>
        <v>6</v>
      </c>
      <c r="E56" s="9" t="s">
        <v>874</v>
      </c>
      <c r="F56" s="9" t="s">
        <v>3763</v>
      </c>
      <c r="G56" s="9" t="s">
        <v>3764</v>
      </c>
      <c r="H56" s="9" t="s">
        <v>3765</v>
      </c>
      <c r="I56" s="9" t="s">
        <v>3616</v>
      </c>
      <c r="J56" s="9" t="s">
        <v>3766</v>
      </c>
      <c r="K56" s="9" t="s">
        <v>1202</v>
      </c>
      <c r="L56" s="9" t="s">
        <v>3767</v>
      </c>
      <c r="M56" s="9" t="s">
        <v>3768</v>
      </c>
    </row>
    <row r="57" customFormat="false" ht="15.75" hidden="false" customHeight="true" outlineLevel="0" collapsed="false">
      <c r="A57" s="9" t="s">
        <v>688</v>
      </c>
      <c r="B57" s="9" t="s">
        <v>71</v>
      </c>
      <c r="C57" s="9" t="s">
        <v>1218</v>
      </c>
      <c r="D57" s="9" t="n">
        <f aca="false">IF(C57="",0,LEN(TRIM(C57))-LEN(SUBSTITUTE(TRIM(C57)," ",""))+1)</f>
        <v>8</v>
      </c>
      <c r="E57" s="9" t="s">
        <v>874</v>
      </c>
      <c r="F57" s="9" t="s">
        <v>3763</v>
      </c>
      <c r="G57" s="9" t="s">
        <v>3764</v>
      </c>
      <c r="H57" s="9" t="s">
        <v>3765</v>
      </c>
      <c r="I57" s="9" t="s">
        <v>3616</v>
      </c>
      <c r="J57" s="9" t="s">
        <v>3766</v>
      </c>
      <c r="K57" s="9" t="s">
        <v>1214</v>
      </c>
      <c r="L57" s="9" t="s">
        <v>3767</v>
      </c>
      <c r="M57" s="9" t="s">
        <v>3768</v>
      </c>
    </row>
    <row r="58" customFormat="false" ht="15.75" hidden="false" customHeight="true" outlineLevel="0" collapsed="false">
      <c r="A58" s="9" t="s">
        <v>694</v>
      </c>
      <c r="B58" s="9" t="s">
        <v>1197</v>
      </c>
      <c r="C58" s="9" t="s">
        <v>1225</v>
      </c>
      <c r="D58" s="9" t="n">
        <f aca="false">IF(C58="",0,LEN(TRIM(C58))-LEN(SUBSTITUTE(TRIM(C58)," ",""))+1)</f>
        <v>4</v>
      </c>
      <c r="E58" s="9" t="s">
        <v>874</v>
      </c>
      <c r="F58" s="9" t="s">
        <v>3763</v>
      </c>
      <c r="G58" s="9" t="s">
        <v>3764</v>
      </c>
      <c r="H58" s="9" t="s">
        <v>3765</v>
      </c>
      <c r="I58" s="9" t="s">
        <v>3616</v>
      </c>
      <c r="J58" s="9" t="s">
        <v>3766</v>
      </c>
      <c r="K58" s="9" t="s">
        <v>1221</v>
      </c>
      <c r="L58" s="9" t="s">
        <v>3767</v>
      </c>
      <c r="M58" s="9" t="s">
        <v>3768</v>
      </c>
    </row>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0" width="13"/>
    <col collapsed="false" customWidth="true" hidden="false" outlineLevel="0" max="2" min="2" style="0" width="15"/>
    <col collapsed="false" customWidth="true" hidden="false" outlineLevel="0" max="3" min="3" style="0" width="40"/>
    <col collapsed="false" customWidth="true" hidden="false" outlineLevel="0" max="4" min="4" style="0" width="88"/>
    <col collapsed="false" customWidth="true" hidden="false" outlineLevel="0" max="5" min="5" style="0" width="42"/>
    <col collapsed="false" customWidth="true" hidden="false" outlineLevel="0" max="6" min="6" style="0" width="62"/>
    <col collapsed="false" customWidth="true" hidden="false" outlineLevel="0" max="7" min="7" style="0" width="17"/>
    <col collapsed="false" customWidth="true" hidden="false" outlineLevel="0" max="8" min="8" style="0" width="42"/>
    <col collapsed="false" customWidth="true" hidden="false" outlineLevel="0" max="9" min="9" style="0" width="78"/>
    <col collapsed="false" customWidth="true" hidden="false" outlineLevel="0" max="10" min="10" style="0" width="72"/>
    <col collapsed="false" customWidth="true" hidden="false" outlineLevel="0" max="11" min="11" style="0" width="68"/>
    <col collapsed="false" customWidth="true" hidden="false" outlineLevel="0" max="12" min="12" style="0" width="18"/>
    <col collapsed="false" customWidth="true" hidden="false" outlineLevel="0" max="14" min="13" style="0" width="60"/>
    <col collapsed="false" customWidth="true" hidden="false" outlineLevel="0" max="26" min="15" style="0" width="8.63"/>
  </cols>
  <sheetData>
    <row r="1" customFormat="false" ht="15" hidden="false" customHeight="false" outlineLevel="0" collapsed="false">
      <c r="A1" s="3" t="s">
        <v>778</v>
      </c>
      <c r="B1" s="3" t="s">
        <v>3777</v>
      </c>
      <c r="C1" s="3" t="s">
        <v>3778</v>
      </c>
      <c r="D1" s="3" t="s">
        <v>3779</v>
      </c>
      <c r="E1" s="3" t="s">
        <v>1234</v>
      </c>
      <c r="F1" s="3" t="s">
        <v>3755</v>
      </c>
      <c r="G1" s="3" t="s">
        <v>3756</v>
      </c>
      <c r="H1" s="3" t="s">
        <v>440</v>
      </c>
      <c r="I1" s="3" t="s">
        <v>3758</v>
      </c>
      <c r="J1" s="3" t="s">
        <v>3780</v>
      </c>
      <c r="K1" s="3" t="s">
        <v>3760</v>
      </c>
      <c r="L1" s="3" t="s">
        <v>3781</v>
      </c>
      <c r="M1" s="3" t="s">
        <v>3782</v>
      </c>
      <c r="N1" s="3" t="s">
        <v>268</v>
      </c>
    </row>
    <row r="2" customFormat="false" ht="28.35" hidden="false" customHeight="false" outlineLevel="0" collapsed="false">
      <c r="A2" s="9" t="s">
        <v>457</v>
      </c>
      <c r="B2" s="9" t="s">
        <v>2962</v>
      </c>
      <c r="C2" s="9" t="s">
        <v>871</v>
      </c>
      <c r="D2" s="9" t="s">
        <v>873</v>
      </c>
      <c r="E2" s="9" t="s">
        <v>871</v>
      </c>
      <c r="F2" s="9" t="s">
        <v>879</v>
      </c>
      <c r="G2" s="9" t="n">
        <v>6</v>
      </c>
      <c r="H2" s="9" t="s">
        <v>77</v>
      </c>
      <c r="I2" s="9" t="s">
        <v>3783</v>
      </c>
      <c r="J2" s="9" t="s">
        <v>3784</v>
      </c>
      <c r="K2" s="9" t="s">
        <v>3785</v>
      </c>
      <c r="L2" s="9" t="s">
        <v>874</v>
      </c>
      <c r="M2" s="9"/>
      <c r="N2" s="9" t="s">
        <v>3786</v>
      </c>
    </row>
    <row r="3" customFormat="false" ht="28.35" hidden="false" customHeight="false" outlineLevel="0" collapsed="false">
      <c r="A3" s="9" t="s">
        <v>465</v>
      </c>
      <c r="B3" s="9" t="s">
        <v>2962</v>
      </c>
      <c r="C3" s="9" t="s">
        <v>871</v>
      </c>
      <c r="D3" s="9" t="s">
        <v>873</v>
      </c>
      <c r="E3" s="9" t="s">
        <v>871</v>
      </c>
      <c r="F3" s="9" t="s">
        <v>879</v>
      </c>
      <c r="G3" s="9" t="n">
        <v>6</v>
      </c>
      <c r="H3" s="9" t="s">
        <v>77</v>
      </c>
      <c r="I3" s="9" t="s">
        <v>3783</v>
      </c>
      <c r="J3" s="9" t="s">
        <v>3784</v>
      </c>
      <c r="K3" s="9" t="s">
        <v>3785</v>
      </c>
      <c r="L3" s="9" t="s">
        <v>874</v>
      </c>
      <c r="M3" s="9"/>
      <c r="N3" s="9" t="s">
        <v>3786</v>
      </c>
    </row>
    <row r="4" customFormat="false" ht="28.35" hidden="false" customHeight="false" outlineLevel="0" collapsed="false">
      <c r="A4" s="9" t="s">
        <v>468</v>
      </c>
      <c r="B4" s="9" t="s">
        <v>2962</v>
      </c>
      <c r="C4" s="9" t="s">
        <v>891</v>
      </c>
      <c r="D4" s="9" t="s">
        <v>893</v>
      </c>
      <c r="E4" s="9" t="s">
        <v>3787</v>
      </c>
      <c r="F4" s="9" t="s">
        <v>897</v>
      </c>
      <c r="G4" s="9" t="n">
        <v>4</v>
      </c>
      <c r="H4" s="9" t="s">
        <v>77</v>
      </c>
      <c r="I4" s="9" t="s">
        <v>3783</v>
      </c>
      <c r="J4" s="9" t="s">
        <v>3784</v>
      </c>
      <c r="K4" s="9" t="s">
        <v>3785</v>
      </c>
      <c r="L4" s="9" t="s">
        <v>874</v>
      </c>
      <c r="M4" s="9"/>
      <c r="N4" s="9" t="s">
        <v>3786</v>
      </c>
    </row>
    <row r="5" customFormat="false" ht="28.35" hidden="false" customHeight="false" outlineLevel="0" collapsed="false">
      <c r="A5" s="9" t="s">
        <v>468</v>
      </c>
      <c r="B5" s="9" t="s">
        <v>3788</v>
      </c>
      <c r="C5" s="9" t="s">
        <v>891</v>
      </c>
      <c r="D5" s="9" t="s">
        <v>894</v>
      </c>
      <c r="E5" s="9" t="s">
        <v>1261</v>
      </c>
      <c r="F5" s="9" t="s">
        <v>898</v>
      </c>
      <c r="G5" s="9" t="n">
        <v>4</v>
      </c>
      <c r="H5" s="9" t="s">
        <v>77</v>
      </c>
      <c r="I5" s="9" t="s">
        <v>3783</v>
      </c>
      <c r="J5" s="9" t="s">
        <v>3789</v>
      </c>
      <c r="K5" s="9" t="s">
        <v>3790</v>
      </c>
      <c r="L5" s="9" t="s">
        <v>874</v>
      </c>
      <c r="M5" s="9"/>
      <c r="N5" s="9" t="s">
        <v>3791</v>
      </c>
    </row>
    <row r="6" customFormat="false" ht="28.35" hidden="false" customHeight="false" outlineLevel="0" collapsed="false">
      <c r="A6" s="9" t="s">
        <v>473</v>
      </c>
      <c r="B6" s="9" t="s">
        <v>2962</v>
      </c>
      <c r="C6" s="9" t="s">
        <v>905</v>
      </c>
      <c r="D6" s="9" t="s">
        <v>908</v>
      </c>
      <c r="E6" s="9" t="s">
        <v>907</v>
      </c>
      <c r="F6" s="9" t="s">
        <v>911</v>
      </c>
      <c r="G6" s="9" t="n">
        <v>7</v>
      </c>
      <c r="H6" s="9" t="s">
        <v>77</v>
      </c>
      <c r="I6" s="9" t="s">
        <v>3783</v>
      </c>
      <c r="J6" s="9" t="s">
        <v>3784</v>
      </c>
      <c r="K6" s="9" t="s">
        <v>3785</v>
      </c>
      <c r="L6" s="9" t="s">
        <v>874</v>
      </c>
      <c r="M6" s="9"/>
      <c r="N6" s="9" t="s">
        <v>3786</v>
      </c>
    </row>
    <row r="7" customFormat="false" ht="28.35" hidden="false" customHeight="false" outlineLevel="0" collapsed="false">
      <c r="A7" s="9" t="s">
        <v>477</v>
      </c>
      <c r="B7" s="9" t="s">
        <v>2962</v>
      </c>
      <c r="C7" s="9" t="s">
        <v>917</v>
      </c>
      <c r="D7" s="9" t="s">
        <v>920</v>
      </c>
      <c r="E7" s="9" t="s">
        <v>919</v>
      </c>
      <c r="F7" s="9" t="s">
        <v>923</v>
      </c>
      <c r="G7" s="9" t="n">
        <v>8</v>
      </c>
      <c r="H7" s="9" t="s">
        <v>77</v>
      </c>
      <c r="I7" s="9" t="s">
        <v>3783</v>
      </c>
      <c r="J7" s="9" t="s">
        <v>3784</v>
      </c>
      <c r="K7" s="9" t="s">
        <v>3785</v>
      </c>
      <c r="L7" s="9" t="s">
        <v>874</v>
      </c>
      <c r="M7" s="9"/>
      <c r="N7" s="9" t="s">
        <v>3786</v>
      </c>
    </row>
    <row r="8" customFormat="false" ht="28.35" hidden="false" customHeight="false" outlineLevel="0" collapsed="false">
      <c r="A8" s="9" t="s">
        <v>481</v>
      </c>
      <c r="B8" s="9" t="s">
        <v>2962</v>
      </c>
      <c r="C8" s="9" t="s">
        <v>926</v>
      </c>
      <c r="D8" s="9" t="s">
        <v>927</v>
      </c>
      <c r="E8" s="9" t="s">
        <v>926</v>
      </c>
      <c r="F8" s="9" t="s">
        <v>930</v>
      </c>
      <c r="G8" s="9" t="n">
        <v>12</v>
      </c>
      <c r="H8" s="9" t="s">
        <v>77</v>
      </c>
      <c r="I8" s="9" t="s">
        <v>3783</v>
      </c>
      <c r="J8" s="9" t="s">
        <v>3784</v>
      </c>
      <c r="K8" s="9" t="s">
        <v>3785</v>
      </c>
      <c r="L8" s="9" t="s">
        <v>3792</v>
      </c>
      <c r="M8" s="9"/>
      <c r="N8" s="9" t="s">
        <v>3786</v>
      </c>
    </row>
    <row r="9" customFormat="false" ht="28.35" hidden="false" customHeight="false" outlineLevel="0" collapsed="false">
      <c r="A9" s="9" t="s">
        <v>485</v>
      </c>
      <c r="B9" s="9" t="s">
        <v>2962</v>
      </c>
      <c r="C9" s="9" t="s">
        <v>935</v>
      </c>
      <c r="D9" s="9" t="s">
        <v>937</v>
      </c>
      <c r="E9" s="9" t="s">
        <v>935</v>
      </c>
      <c r="F9" s="9" t="s">
        <v>940</v>
      </c>
      <c r="G9" s="9" t="n">
        <v>9</v>
      </c>
      <c r="H9" s="9" t="s">
        <v>77</v>
      </c>
      <c r="I9" s="9" t="s">
        <v>3783</v>
      </c>
      <c r="J9" s="9" t="s">
        <v>3784</v>
      </c>
      <c r="K9" s="9" t="s">
        <v>3785</v>
      </c>
      <c r="L9" s="9" t="s">
        <v>874</v>
      </c>
      <c r="M9" s="9"/>
      <c r="N9" s="9" t="s">
        <v>3786</v>
      </c>
    </row>
    <row r="10" customFormat="false" ht="28.35" hidden="false" customHeight="false" outlineLevel="0" collapsed="false">
      <c r="A10" s="9" t="s">
        <v>490</v>
      </c>
      <c r="B10" s="9" t="s">
        <v>2962</v>
      </c>
      <c r="C10" s="9" t="s">
        <v>942</v>
      </c>
      <c r="D10" s="9" t="s">
        <v>943</v>
      </c>
      <c r="E10" s="9" t="s">
        <v>942</v>
      </c>
      <c r="F10" s="9" t="s">
        <v>946</v>
      </c>
      <c r="G10" s="9" t="n">
        <v>7</v>
      </c>
      <c r="H10" s="9" t="s">
        <v>77</v>
      </c>
      <c r="I10" s="9" t="s">
        <v>3783</v>
      </c>
      <c r="J10" s="9" t="s">
        <v>3784</v>
      </c>
      <c r="K10" s="9" t="s">
        <v>3785</v>
      </c>
      <c r="L10" s="9" t="s">
        <v>874</v>
      </c>
      <c r="M10" s="9"/>
      <c r="N10" s="9" t="s">
        <v>3786</v>
      </c>
    </row>
    <row r="11" customFormat="false" ht="28.35" hidden="false" customHeight="false" outlineLevel="0" collapsed="false">
      <c r="A11" s="9" t="s">
        <v>494</v>
      </c>
      <c r="B11" s="9" t="s">
        <v>2962</v>
      </c>
      <c r="C11" s="9" t="s">
        <v>952</v>
      </c>
      <c r="D11" s="9" t="s">
        <v>953</v>
      </c>
      <c r="E11" s="9" t="s">
        <v>952</v>
      </c>
      <c r="F11" s="9" t="s">
        <v>956</v>
      </c>
      <c r="G11" s="9" t="n">
        <v>8</v>
      </c>
      <c r="H11" s="9" t="s">
        <v>77</v>
      </c>
      <c r="I11" s="9" t="s">
        <v>3783</v>
      </c>
      <c r="J11" s="9" t="s">
        <v>3784</v>
      </c>
      <c r="K11" s="9" t="s">
        <v>3785</v>
      </c>
      <c r="L11" s="9" t="s">
        <v>3792</v>
      </c>
      <c r="M11" s="9"/>
      <c r="N11" s="9" t="s">
        <v>3786</v>
      </c>
    </row>
    <row r="12" customFormat="false" ht="28.35" hidden="false" customHeight="false" outlineLevel="0" collapsed="false">
      <c r="A12" s="9" t="s">
        <v>498</v>
      </c>
      <c r="B12" s="9" t="s">
        <v>2962</v>
      </c>
      <c r="C12" s="9" t="s">
        <v>962</v>
      </c>
      <c r="D12" s="9" t="s">
        <v>963</v>
      </c>
      <c r="E12" s="9" t="s">
        <v>962</v>
      </c>
      <c r="F12" s="9" t="s">
        <v>956</v>
      </c>
      <c r="G12" s="9" t="n">
        <v>8</v>
      </c>
      <c r="H12" s="9" t="s">
        <v>77</v>
      </c>
      <c r="I12" s="9" t="s">
        <v>3783</v>
      </c>
      <c r="J12" s="9" t="s">
        <v>3784</v>
      </c>
      <c r="K12" s="9" t="s">
        <v>3785</v>
      </c>
      <c r="L12" s="9" t="s">
        <v>874</v>
      </c>
      <c r="M12" s="9"/>
      <c r="N12" s="9" t="s">
        <v>3786</v>
      </c>
    </row>
    <row r="13" customFormat="false" ht="28.35" hidden="false" customHeight="false" outlineLevel="0" collapsed="false">
      <c r="A13" s="9" t="s">
        <v>501</v>
      </c>
      <c r="B13" s="9" t="s">
        <v>2962</v>
      </c>
      <c r="C13" s="9" t="s">
        <v>971</v>
      </c>
      <c r="D13" s="9" t="s">
        <v>974</v>
      </c>
      <c r="E13" s="9" t="s">
        <v>973</v>
      </c>
      <c r="F13" s="9" t="s">
        <v>977</v>
      </c>
      <c r="G13" s="9" t="n">
        <v>12</v>
      </c>
      <c r="H13" s="9" t="s">
        <v>77</v>
      </c>
      <c r="I13" s="9" t="s">
        <v>3783</v>
      </c>
      <c r="J13" s="9" t="s">
        <v>3784</v>
      </c>
      <c r="K13" s="9" t="s">
        <v>3785</v>
      </c>
      <c r="L13" s="9" t="s">
        <v>874</v>
      </c>
      <c r="M13" s="9"/>
      <c r="N13" s="9" t="s">
        <v>3786</v>
      </c>
    </row>
    <row r="14" customFormat="false" ht="28.35" hidden="false" customHeight="false" outlineLevel="0" collapsed="false">
      <c r="A14" s="9" t="s">
        <v>505</v>
      </c>
      <c r="B14" s="9" t="s">
        <v>2962</v>
      </c>
      <c r="C14" s="9" t="s">
        <v>979</v>
      </c>
      <c r="D14" s="9" t="s">
        <v>980</v>
      </c>
      <c r="E14" s="9" t="s">
        <v>979</v>
      </c>
      <c r="F14" s="9" t="s">
        <v>983</v>
      </c>
      <c r="G14" s="9" t="n">
        <v>8</v>
      </c>
      <c r="H14" s="9" t="s">
        <v>77</v>
      </c>
      <c r="I14" s="9" t="s">
        <v>3783</v>
      </c>
      <c r="J14" s="9" t="s">
        <v>3784</v>
      </c>
      <c r="K14" s="9" t="s">
        <v>3785</v>
      </c>
      <c r="L14" s="9" t="s">
        <v>874</v>
      </c>
      <c r="M14" s="9"/>
      <c r="N14" s="9" t="s">
        <v>3786</v>
      </c>
    </row>
    <row r="15" customFormat="false" ht="28.35" hidden="false" customHeight="false" outlineLevel="0" collapsed="false">
      <c r="A15" s="9" t="s">
        <v>509</v>
      </c>
      <c r="B15" s="9" t="s">
        <v>2962</v>
      </c>
      <c r="C15" s="9" t="s">
        <v>985</v>
      </c>
      <c r="D15" s="9" t="s">
        <v>986</v>
      </c>
      <c r="E15" s="9" t="s">
        <v>985</v>
      </c>
      <c r="F15" s="9" t="s">
        <v>989</v>
      </c>
      <c r="G15" s="9" t="n">
        <v>10</v>
      </c>
      <c r="H15" s="9" t="s">
        <v>77</v>
      </c>
      <c r="I15" s="9" t="s">
        <v>3783</v>
      </c>
      <c r="J15" s="9" t="s">
        <v>3784</v>
      </c>
      <c r="K15" s="9" t="s">
        <v>3785</v>
      </c>
      <c r="L15" s="9" t="s">
        <v>874</v>
      </c>
      <c r="M15" s="9"/>
      <c r="N15" s="9" t="s">
        <v>3786</v>
      </c>
    </row>
    <row r="16" customFormat="false" ht="28.35" hidden="false" customHeight="false" outlineLevel="0" collapsed="false">
      <c r="A16" s="9" t="s">
        <v>513</v>
      </c>
      <c r="B16" s="9" t="s">
        <v>2962</v>
      </c>
      <c r="C16" s="9" t="s">
        <v>990</v>
      </c>
      <c r="D16" s="9" t="s">
        <v>991</v>
      </c>
      <c r="E16" s="9" t="s">
        <v>990</v>
      </c>
      <c r="F16" s="9" t="s">
        <v>994</v>
      </c>
      <c r="G16" s="9" t="n">
        <v>3</v>
      </c>
      <c r="H16" s="9" t="s">
        <v>77</v>
      </c>
      <c r="I16" s="9" t="s">
        <v>3783</v>
      </c>
      <c r="J16" s="9" t="s">
        <v>3784</v>
      </c>
      <c r="K16" s="9" t="s">
        <v>3785</v>
      </c>
      <c r="L16" s="9" t="s">
        <v>874</v>
      </c>
      <c r="M16" s="9"/>
      <c r="N16" s="9" t="s">
        <v>3786</v>
      </c>
    </row>
    <row r="17" customFormat="false" ht="28.35" hidden="false" customHeight="false" outlineLevel="0" collapsed="false">
      <c r="A17" s="9" t="s">
        <v>518</v>
      </c>
      <c r="B17" s="9" t="s">
        <v>2962</v>
      </c>
      <c r="C17" s="9" t="s">
        <v>995</v>
      </c>
      <c r="D17" s="9" t="s">
        <v>996</v>
      </c>
      <c r="E17" s="9" t="s">
        <v>995</v>
      </c>
      <c r="F17" s="9" t="s">
        <v>998</v>
      </c>
      <c r="G17" s="9" t="n">
        <v>6</v>
      </c>
      <c r="H17" s="9" t="s">
        <v>77</v>
      </c>
      <c r="I17" s="9" t="s">
        <v>3783</v>
      </c>
      <c r="J17" s="9" t="s">
        <v>3784</v>
      </c>
      <c r="K17" s="9" t="s">
        <v>3785</v>
      </c>
      <c r="L17" s="9" t="s">
        <v>874</v>
      </c>
      <c r="M17" s="9"/>
      <c r="N17" s="9" t="s">
        <v>3786</v>
      </c>
    </row>
    <row r="18" customFormat="false" ht="28.35" hidden="false" customHeight="false" outlineLevel="0" collapsed="false">
      <c r="A18" s="9" t="s">
        <v>522</v>
      </c>
      <c r="B18" s="9" t="s">
        <v>2962</v>
      </c>
      <c r="C18" s="9" t="s">
        <v>995</v>
      </c>
      <c r="D18" s="9" t="s">
        <v>996</v>
      </c>
      <c r="E18" s="9" t="s">
        <v>995</v>
      </c>
      <c r="F18" s="9" t="s">
        <v>1001</v>
      </c>
      <c r="G18" s="9" t="n">
        <v>4</v>
      </c>
      <c r="H18" s="9" t="s">
        <v>77</v>
      </c>
      <c r="I18" s="9" t="s">
        <v>3783</v>
      </c>
      <c r="J18" s="9" t="s">
        <v>3784</v>
      </c>
      <c r="K18" s="9" t="s">
        <v>3785</v>
      </c>
      <c r="L18" s="9" t="s">
        <v>874</v>
      </c>
      <c r="M18" s="9"/>
      <c r="N18" s="9" t="s">
        <v>3786</v>
      </c>
    </row>
    <row r="19" customFormat="false" ht="28.35" hidden="false" customHeight="false" outlineLevel="0" collapsed="false">
      <c r="A19" s="9" t="s">
        <v>526</v>
      </c>
      <c r="B19" s="9" t="s">
        <v>2962</v>
      </c>
      <c r="C19" s="9" t="s">
        <v>995</v>
      </c>
      <c r="D19" s="9" t="s">
        <v>996</v>
      </c>
      <c r="E19" s="9" t="s">
        <v>995</v>
      </c>
      <c r="F19" s="9" t="s">
        <v>1003</v>
      </c>
      <c r="G19" s="9" t="n">
        <v>6</v>
      </c>
      <c r="H19" s="9" t="s">
        <v>77</v>
      </c>
      <c r="I19" s="9" t="s">
        <v>3783</v>
      </c>
      <c r="J19" s="9" t="s">
        <v>3784</v>
      </c>
      <c r="K19" s="9" t="s">
        <v>3785</v>
      </c>
      <c r="L19" s="9" t="s">
        <v>874</v>
      </c>
      <c r="M19" s="9"/>
      <c r="N19" s="9" t="s">
        <v>3786</v>
      </c>
    </row>
    <row r="20" customFormat="false" ht="28.35" hidden="false" customHeight="false" outlineLevel="0" collapsed="false">
      <c r="A20" s="9" t="s">
        <v>530</v>
      </c>
      <c r="B20" s="9" t="s">
        <v>2962</v>
      </c>
      <c r="C20" s="9" t="s">
        <v>1004</v>
      </c>
      <c r="D20" s="9" t="s">
        <v>1005</v>
      </c>
      <c r="E20" s="9" t="s">
        <v>1004</v>
      </c>
      <c r="F20" s="9" t="s">
        <v>1007</v>
      </c>
      <c r="G20" s="9" t="n">
        <v>9</v>
      </c>
      <c r="H20" s="9" t="s">
        <v>77</v>
      </c>
      <c r="I20" s="9" t="s">
        <v>3783</v>
      </c>
      <c r="J20" s="9" t="s">
        <v>3784</v>
      </c>
      <c r="K20" s="9" t="s">
        <v>3785</v>
      </c>
      <c r="L20" s="9" t="s">
        <v>3792</v>
      </c>
      <c r="M20" s="9"/>
      <c r="N20" s="9" t="s">
        <v>3786</v>
      </c>
    </row>
    <row r="21" customFormat="false" ht="15.75" hidden="false" customHeight="true" outlineLevel="0" collapsed="false">
      <c r="A21" s="9" t="s">
        <v>534</v>
      </c>
      <c r="B21" s="9" t="s">
        <v>2962</v>
      </c>
      <c r="C21" s="9" t="s">
        <v>1009</v>
      </c>
      <c r="D21" s="9" t="s">
        <v>1010</v>
      </c>
      <c r="E21" s="9" t="s">
        <v>1009</v>
      </c>
      <c r="F21" s="9" t="s">
        <v>1014</v>
      </c>
      <c r="G21" s="9" t="n">
        <v>7</v>
      </c>
      <c r="H21" s="9" t="s">
        <v>77</v>
      </c>
      <c r="I21" s="9" t="s">
        <v>3783</v>
      </c>
      <c r="J21" s="9" t="s">
        <v>3784</v>
      </c>
      <c r="K21" s="9" t="s">
        <v>3785</v>
      </c>
      <c r="L21" s="9" t="s">
        <v>3792</v>
      </c>
      <c r="M21" s="9"/>
      <c r="N21" s="9" t="s">
        <v>3786</v>
      </c>
    </row>
    <row r="22" customFormat="false" ht="15.75" hidden="false" customHeight="true" outlineLevel="0" collapsed="false">
      <c r="A22" s="9" t="s">
        <v>537</v>
      </c>
      <c r="B22" s="9" t="s">
        <v>2962</v>
      </c>
      <c r="C22" s="9" t="s">
        <v>1015</v>
      </c>
      <c r="D22" s="9" t="s">
        <v>1016</v>
      </c>
      <c r="E22" s="9" t="s">
        <v>1015</v>
      </c>
      <c r="F22" s="9" t="s">
        <v>1020</v>
      </c>
      <c r="G22" s="9" t="n">
        <v>7</v>
      </c>
      <c r="H22" s="9" t="s">
        <v>77</v>
      </c>
      <c r="I22" s="9" t="s">
        <v>3783</v>
      </c>
      <c r="J22" s="9" t="s">
        <v>3784</v>
      </c>
      <c r="K22" s="9" t="s">
        <v>3785</v>
      </c>
      <c r="L22" s="9" t="s">
        <v>3792</v>
      </c>
      <c r="M22" s="9"/>
      <c r="N22" s="9" t="s">
        <v>3786</v>
      </c>
    </row>
    <row r="23" customFormat="false" ht="15.75" hidden="false" customHeight="true" outlineLevel="0" collapsed="false">
      <c r="A23" s="9" t="s">
        <v>541</v>
      </c>
      <c r="B23" s="9" t="s">
        <v>2962</v>
      </c>
      <c r="C23" s="9" t="s">
        <v>1026</v>
      </c>
      <c r="D23" s="9" t="s">
        <v>1027</v>
      </c>
      <c r="E23" s="9" t="s">
        <v>1026</v>
      </c>
      <c r="F23" s="9" t="s">
        <v>1030</v>
      </c>
      <c r="G23" s="9" t="n">
        <v>6</v>
      </c>
      <c r="H23" s="9" t="s">
        <v>77</v>
      </c>
      <c r="I23" s="9" t="s">
        <v>3783</v>
      </c>
      <c r="J23" s="9" t="s">
        <v>3784</v>
      </c>
      <c r="K23" s="9" t="s">
        <v>3785</v>
      </c>
      <c r="L23" s="9" t="s">
        <v>874</v>
      </c>
      <c r="M23" s="9"/>
      <c r="N23" s="9" t="s">
        <v>3786</v>
      </c>
    </row>
    <row r="24" customFormat="false" ht="15.75" hidden="false" customHeight="true" outlineLevel="0" collapsed="false">
      <c r="A24" s="9" t="s">
        <v>546</v>
      </c>
      <c r="B24" s="9" t="s">
        <v>2962</v>
      </c>
      <c r="C24" s="9" t="s">
        <v>1033</v>
      </c>
      <c r="D24" s="9" t="s">
        <v>1035</v>
      </c>
      <c r="E24" s="9" t="s">
        <v>1033</v>
      </c>
      <c r="F24" s="9" t="s">
        <v>1038</v>
      </c>
      <c r="G24" s="9" t="n">
        <v>12</v>
      </c>
      <c r="H24" s="9" t="s">
        <v>77</v>
      </c>
      <c r="I24" s="9" t="s">
        <v>3783</v>
      </c>
      <c r="J24" s="9" t="s">
        <v>3784</v>
      </c>
      <c r="K24" s="9" t="s">
        <v>3785</v>
      </c>
      <c r="L24" s="9" t="s">
        <v>874</v>
      </c>
      <c r="M24" s="9"/>
      <c r="N24" s="9" t="s">
        <v>3786</v>
      </c>
    </row>
    <row r="25" customFormat="false" ht="15.75" hidden="false" customHeight="true" outlineLevel="0" collapsed="false">
      <c r="A25" s="9" t="s">
        <v>550</v>
      </c>
      <c r="B25" s="9" t="s">
        <v>2962</v>
      </c>
      <c r="C25" s="9" t="s">
        <v>1039</v>
      </c>
      <c r="D25" s="9" t="s">
        <v>1040</v>
      </c>
      <c r="E25" s="9" t="s">
        <v>1039</v>
      </c>
      <c r="F25" s="9" t="s">
        <v>1043</v>
      </c>
      <c r="G25" s="9" t="n">
        <v>6</v>
      </c>
      <c r="H25" s="9" t="s">
        <v>77</v>
      </c>
      <c r="I25" s="9" t="s">
        <v>3783</v>
      </c>
      <c r="J25" s="9" t="s">
        <v>3784</v>
      </c>
      <c r="K25" s="9" t="s">
        <v>3785</v>
      </c>
      <c r="L25" s="9" t="s">
        <v>874</v>
      </c>
      <c r="M25" s="9"/>
      <c r="N25" s="9" t="s">
        <v>3786</v>
      </c>
    </row>
    <row r="26" customFormat="false" ht="15.75" hidden="false" customHeight="true" outlineLevel="0" collapsed="false">
      <c r="A26" s="9" t="s">
        <v>554</v>
      </c>
      <c r="B26" s="9" t="s">
        <v>2962</v>
      </c>
      <c r="C26" s="9" t="s">
        <v>1045</v>
      </c>
      <c r="D26" s="9" t="s">
        <v>1046</v>
      </c>
      <c r="E26" s="9" t="s">
        <v>1045</v>
      </c>
      <c r="F26" s="9" t="s">
        <v>1048</v>
      </c>
      <c r="G26" s="9" t="n">
        <v>8</v>
      </c>
      <c r="H26" s="9" t="s">
        <v>77</v>
      </c>
      <c r="I26" s="9" t="s">
        <v>3783</v>
      </c>
      <c r="J26" s="9" t="s">
        <v>3784</v>
      </c>
      <c r="K26" s="9" t="s">
        <v>3785</v>
      </c>
      <c r="L26" s="9" t="s">
        <v>874</v>
      </c>
      <c r="M26" s="9"/>
      <c r="N26" s="9" t="s">
        <v>3786</v>
      </c>
    </row>
    <row r="27" customFormat="false" ht="15.75" hidden="false" customHeight="true" outlineLevel="0" collapsed="false">
      <c r="A27" s="9" t="s">
        <v>558</v>
      </c>
      <c r="B27" s="9" t="s">
        <v>2962</v>
      </c>
      <c r="C27" s="9" t="s">
        <v>1049</v>
      </c>
      <c r="D27" s="9" t="s">
        <v>1050</v>
      </c>
      <c r="E27" s="9" t="s">
        <v>1049</v>
      </c>
      <c r="F27" s="9" t="s">
        <v>1053</v>
      </c>
      <c r="G27" s="9" t="n">
        <v>5</v>
      </c>
      <c r="H27" s="9" t="s">
        <v>77</v>
      </c>
      <c r="I27" s="9" t="s">
        <v>3783</v>
      </c>
      <c r="J27" s="9" t="s">
        <v>3784</v>
      </c>
      <c r="K27" s="9" t="s">
        <v>3785</v>
      </c>
      <c r="L27" s="9" t="s">
        <v>874</v>
      </c>
      <c r="M27" s="9"/>
      <c r="N27" s="9" t="s">
        <v>3786</v>
      </c>
    </row>
    <row r="28" customFormat="false" ht="15.75" hidden="false" customHeight="true" outlineLevel="0" collapsed="false">
      <c r="A28" s="9" t="s">
        <v>562</v>
      </c>
      <c r="B28" s="9" t="s">
        <v>2962</v>
      </c>
      <c r="C28" s="9" t="s">
        <v>1055</v>
      </c>
      <c r="D28" s="9" t="s">
        <v>1056</v>
      </c>
      <c r="E28" s="9" t="s">
        <v>1055</v>
      </c>
      <c r="F28" s="9" t="s">
        <v>1059</v>
      </c>
      <c r="G28" s="9" t="n">
        <v>12</v>
      </c>
      <c r="H28" s="9" t="s">
        <v>77</v>
      </c>
      <c r="I28" s="9" t="s">
        <v>3783</v>
      </c>
      <c r="J28" s="9" t="s">
        <v>3784</v>
      </c>
      <c r="K28" s="9" t="s">
        <v>3785</v>
      </c>
      <c r="L28" s="9" t="s">
        <v>874</v>
      </c>
      <c r="M28" s="9"/>
      <c r="N28" s="9" t="s">
        <v>3786</v>
      </c>
    </row>
    <row r="29" customFormat="false" ht="15.75" hidden="false" customHeight="true" outlineLevel="0" collapsed="false">
      <c r="A29" s="9" t="s">
        <v>566</v>
      </c>
      <c r="B29" s="9" t="s">
        <v>2962</v>
      </c>
      <c r="C29" s="9" t="s">
        <v>1061</v>
      </c>
      <c r="D29" s="9" t="s">
        <v>1062</v>
      </c>
      <c r="E29" s="9" t="s">
        <v>1061</v>
      </c>
      <c r="F29" s="9" t="s">
        <v>1065</v>
      </c>
      <c r="G29" s="9" t="n">
        <v>9</v>
      </c>
      <c r="H29" s="9" t="s">
        <v>77</v>
      </c>
      <c r="I29" s="9" t="s">
        <v>3783</v>
      </c>
      <c r="J29" s="9" t="s">
        <v>3784</v>
      </c>
      <c r="K29" s="9" t="s">
        <v>3785</v>
      </c>
      <c r="L29" s="9" t="s">
        <v>874</v>
      </c>
      <c r="M29" s="9"/>
      <c r="N29" s="9" t="s">
        <v>3786</v>
      </c>
    </row>
    <row r="30" customFormat="false" ht="15.75" hidden="false" customHeight="true" outlineLevel="0" collapsed="false">
      <c r="A30" s="9" t="s">
        <v>570</v>
      </c>
      <c r="B30" s="9" t="s">
        <v>2962</v>
      </c>
      <c r="C30" s="9" t="s">
        <v>1066</v>
      </c>
      <c r="D30" s="9" t="s">
        <v>1067</v>
      </c>
      <c r="E30" s="9" t="s">
        <v>1066</v>
      </c>
      <c r="F30" s="9" t="s">
        <v>1070</v>
      </c>
      <c r="G30" s="9" t="n">
        <v>12</v>
      </c>
      <c r="H30" s="9" t="s">
        <v>77</v>
      </c>
      <c r="I30" s="9" t="s">
        <v>3783</v>
      </c>
      <c r="J30" s="9" t="s">
        <v>3784</v>
      </c>
      <c r="K30" s="9" t="s">
        <v>3785</v>
      </c>
      <c r="L30" s="9" t="s">
        <v>874</v>
      </c>
      <c r="M30" s="9"/>
      <c r="N30" s="9" t="s">
        <v>3786</v>
      </c>
    </row>
    <row r="31" customFormat="false" ht="15.75" hidden="false" customHeight="true" outlineLevel="0" collapsed="false">
      <c r="A31" s="9" t="s">
        <v>574</v>
      </c>
      <c r="B31" s="9" t="s">
        <v>2962</v>
      </c>
      <c r="C31" s="9" t="s">
        <v>1071</v>
      </c>
      <c r="D31" s="9" t="s">
        <v>1072</v>
      </c>
      <c r="E31" s="9" t="s">
        <v>1071</v>
      </c>
      <c r="F31" s="9" t="s">
        <v>1074</v>
      </c>
      <c r="G31" s="9" t="n">
        <v>8</v>
      </c>
      <c r="H31" s="9" t="s">
        <v>77</v>
      </c>
      <c r="I31" s="9" t="s">
        <v>3783</v>
      </c>
      <c r="J31" s="9" t="s">
        <v>3784</v>
      </c>
      <c r="K31" s="9" t="s">
        <v>3785</v>
      </c>
      <c r="L31" s="9" t="s">
        <v>874</v>
      </c>
      <c r="M31" s="9"/>
      <c r="N31" s="9" t="s">
        <v>3786</v>
      </c>
    </row>
    <row r="32" customFormat="false" ht="15.75" hidden="false" customHeight="true" outlineLevel="0" collapsed="false">
      <c r="A32" s="9" t="s">
        <v>578</v>
      </c>
      <c r="B32" s="9" t="s">
        <v>2962</v>
      </c>
      <c r="C32" s="9" t="s">
        <v>1077</v>
      </c>
      <c r="D32" s="9" t="s">
        <v>1078</v>
      </c>
      <c r="E32" s="9" t="s">
        <v>1077</v>
      </c>
      <c r="F32" s="9" t="s">
        <v>1081</v>
      </c>
      <c r="G32" s="9" t="n">
        <v>4</v>
      </c>
      <c r="H32" s="9" t="s">
        <v>77</v>
      </c>
      <c r="I32" s="9" t="s">
        <v>3783</v>
      </c>
      <c r="J32" s="9" t="s">
        <v>3784</v>
      </c>
      <c r="K32" s="9" t="s">
        <v>3785</v>
      </c>
      <c r="L32" s="9" t="s">
        <v>874</v>
      </c>
      <c r="M32" s="9"/>
      <c r="N32" s="9" t="s">
        <v>3786</v>
      </c>
    </row>
    <row r="33" customFormat="false" ht="15.75" hidden="false" customHeight="true" outlineLevel="0" collapsed="false">
      <c r="A33" s="9" t="s">
        <v>583</v>
      </c>
      <c r="B33" s="9" t="s">
        <v>2962</v>
      </c>
      <c r="C33" s="9" t="s">
        <v>1083</v>
      </c>
      <c r="D33" s="9" t="s">
        <v>1085</v>
      </c>
      <c r="E33" s="9" t="s">
        <v>1084</v>
      </c>
      <c r="F33" s="9" t="s">
        <v>1088</v>
      </c>
      <c r="G33" s="9" t="n">
        <v>10</v>
      </c>
      <c r="H33" s="9" t="s">
        <v>77</v>
      </c>
      <c r="I33" s="9" t="s">
        <v>3783</v>
      </c>
      <c r="J33" s="9" t="s">
        <v>3784</v>
      </c>
      <c r="K33" s="9" t="s">
        <v>3785</v>
      </c>
      <c r="L33" s="9" t="s">
        <v>874</v>
      </c>
      <c r="M33" s="9"/>
      <c r="N33" s="9" t="s">
        <v>3786</v>
      </c>
    </row>
    <row r="34" customFormat="false" ht="15.75" hidden="false" customHeight="true" outlineLevel="0" collapsed="false">
      <c r="A34" s="9" t="s">
        <v>587</v>
      </c>
      <c r="B34" s="9" t="s">
        <v>2962</v>
      </c>
      <c r="C34" s="9" t="s">
        <v>1090</v>
      </c>
      <c r="D34" s="9" t="s">
        <v>1092</v>
      </c>
      <c r="E34" s="9" t="s">
        <v>3793</v>
      </c>
      <c r="F34" s="9" t="s">
        <v>1096</v>
      </c>
      <c r="G34" s="9" t="n">
        <v>6</v>
      </c>
      <c r="H34" s="9" t="s">
        <v>77</v>
      </c>
      <c r="I34" s="9" t="s">
        <v>3783</v>
      </c>
      <c r="J34" s="9" t="s">
        <v>3784</v>
      </c>
      <c r="K34" s="9" t="s">
        <v>3785</v>
      </c>
      <c r="L34" s="9" t="s">
        <v>874</v>
      </c>
      <c r="M34" s="9"/>
      <c r="N34" s="9" t="s">
        <v>3786</v>
      </c>
    </row>
    <row r="35" customFormat="false" ht="15.75" hidden="false" customHeight="true" outlineLevel="0" collapsed="false">
      <c r="A35" s="9" t="s">
        <v>587</v>
      </c>
      <c r="B35" s="9" t="s">
        <v>3788</v>
      </c>
      <c r="C35" s="9" t="s">
        <v>1090</v>
      </c>
      <c r="D35" s="9" t="s">
        <v>1093</v>
      </c>
      <c r="E35" s="9" t="s">
        <v>3794</v>
      </c>
      <c r="F35" s="9" t="s">
        <v>1097</v>
      </c>
      <c r="G35" s="9" t="n">
        <v>8</v>
      </c>
      <c r="H35" s="9" t="s">
        <v>77</v>
      </c>
      <c r="I35" s="9" t="s">
        <v>3783</v>
      </c>
      <c r="J35" s="9" t="s">
        <v>3789</v>
      </c>
      <c r="K35" s="9" t="s">
        <v>3790</v>
      </c>
      <c r="L35" s="9" t="s">
        <v>874</v>
      </c>
      <c r="M35" s="9"/>
      <c r="N35" s="9" t="s">
        <v>3791</v>
      </c>
    </row>
    <row r="36" customFormat="false" ht="15.75" hidden="false" customHeight="true" outlineLevel="0" collapsed="false">
      <c r="A36" s="9" t="s">
        <v>591</v>
      </c>
      <c r="B36" s="9" t="s">
        <v>2962</v>
      </c>
      <c r="C36" s="9" t="s">
        <v>1099</v>
      </c>
      <c r="D36" s="9" t="s">
        <v>1100</v>
      </c>
      <c r="E36" s="9" t="s">
        <v>1099</v>
      </c>
      <c r="F36" s="9" t="s">
        <v>1103</v>
      </c>
      <c r="G36" s="9" t="n">
        <v>6</v>
      </c>
      <c r="H36" s="9" t="s">
        <v>77</v>
      </c>
      <c r="I36" s="9" t="s">
        <v>3783</v>
      </c>
      <c r="J36" s="9" t="s">
        <v>3784</v>
      </c>
      <c r="K36" s="9" t="s">
        <v>3785</v>
      </c>
      <c r="L36" s="9" t="s">
        <v>874</v>
      </c>
      <c r="M36" s="9"/>
      <c r="N36" s="9" t="s">
        <v>3786</v>
      </c>
    </row>
    <row r="37" customFormat="false" ht="15.75" hidden="false" customHeight="true" outlineLevel="0" collapsed="false">
      <c r="A37" s="9" t="s">
        <v>595</v>
      </c>
      <c r="B37" s="9" t="s">
        <v>2962</v>
      </c>
      <c r="C37" s="9" t="s">
        <v>1104</v>
      </c>
      <c r="D37" s="9" t="s">
        <v>1105</v>
      </c>
      <c r="E37" s="9" t="s">
        <v>1104</v>
      </c>
      <c r="F37" s="9" t="s">
        <v>1106</v>
      </c>
      <c r="G37" s="9" t="n">
        <v>10</v>
      </c>
      <c r="H37" s="9" t="s">
        <v>77</v>
      </c>
      <c r="I37" s="9" t="s">
        <v>3783</v>
      </c>
      <c r="J37" s="9" t="s">
        <v>3784</v>
      </c>
      <c r="K37" s="9" t="s">
        <v>3785</v>
      </c>
      <c r="L37" s="9" t="s">
        <v>874</v>
      </c>
      <c r="M37" s="9"/>
      <c r="N37" s="9" t="s">
        <v>3786</v>
      </c>
    </row>
    <row r="38" customFormat="false" ht="15.75" hidden="false" customHeight="true" outlineLevel="0" collapsed="false">
      <c r="A38" s="9" t="s">
        <v>599</v>
      </c>
      <c r="B38" s="9" t="s">
        <v>2962</v>
      </c>
      <c r="C38" s="9" t="s">
        <v>1107</v>
      </c>
      <c r="D38" s="9" t="s">
        <v>1108</v>
      </c>
      <c r="E38" s="9" t="s">
        <v>1107</v>
      </c>
      <c r="F38" s="9" t="s">
        <v>1110</v>
      </c>
      <c r="G38" s="9" t="n">
        <v>5</v>
      </c>
      <c r="H38" s="9" t="s">
        <v>77</v>
      </c>
      <c r="I38" s="9" t="s">
        <v>3783</v>
      </c>
      <c r="J38" s="9" t="s">
        <v>3784</v>
      </c>
      <c r="K38" s="9" t="s">
        <v>3785</v>
      </c>
      <c r="L38" s="9" t="s">
        <v>874</v>
      </c>
      <c r="M38" s="9"/>
      <c r="N38" s="9" t="s">
        <v>3786</v>
      </c>
    </row>
    <row r="39" customFormat="false" ht="15.75" hidden="false" customHeight="true" outlineLevel="0" collapsed="false">
      <c r="A39" s="9" t="s">
        <v>603</v>
      </c>
      <c r="B39" s="9" t="s">
        <v>2962</v>
      </c>
      <c r="C39" s="9" t="s">
        <v>1071</v>
      </c>
      <c r="D39" s="9" t="s">
        <v>1072</v>
      </c>
      <c r="E39" s="9" t="s">
        <v>1071</v>
      </c>
      <c r="F39" s="9" t="s">
        <v>1113</v>
      </c>
      <c r="G39" s="9" t="n">
        <v>9</v>
      </c>
      <c r="H39" s="9" t="s">
        <v>77</v>
      </c>
      <c r="I39" s="9" t="s">
        <v>3783</v>
      </c>
      <c r="J39" s="9" t="s">
        <v>3784</v>
      </c>
      <c r="K39" s="9" t="s">
        <v>3785</v>
      </c>
      <c r="L39" s="9" t="s">
        <v>874</v>
      </c>
      <c r="M39" s="9"/>
      <c r="N39" s="9" t="s">
        <v>3786</v>
      </c>
    </row>
    <row r="40" customFormat="false" ht="15.75" hidden="false" customHeight="true" outlineLevel="0" collapsed="false">
      <c r="A40" s="9" t="s">
        <v>609</v>
      </c>
      <c r="B40" s="9" t="s">
        <v>2962</v>
      </c>
      <c r="C40" s="9" t="s">
        <v>1117</v>
      </c>
      <c r="D40" s="9" t="s">
        <v>1120</v>
      </c>
      <c r="E40" s="9" t="s">
        <v>1170</v>
      </c>
      <c r="F40" s="9" t="s">
        <v>1123</v>
      </c>
      <c r="G40" s="9" t="n">
        <v>8</v>
      </c>
      <c r="H40" s="9" t="s">
        <v>77</v>
      </c>
      <c r="I40" s="9" t="s">
        <v>3783</v>
      </c>
      <c r="J40" s="9" t="s">
        <v>3784</v>
      </c>
      <c r="K40" s="9" t="s">
        <v>3785</v>
      </c>
      <c r="L40" s="9" t="s">
        <v>874</v>
      </c>
      <c r="M40" s="9"/>
      <c r="N40" s="9" t="s">
        <v>3786</v>
      </c>
    </row>
    <row r="41" customFormat="false" ht="15.75" hidden="false" customHeight="true" outlineLevel="0" collapsed="false">
      <c r="A41" s="9" t="s">
        <v>609</v>
      </c>
      <c r="B41" s="9" t="s">
        <v>3788</v>
      </c>
      <c r="C41" s="9" t="s">
        <v>1117</v>
      </c>
      <c r="D41" s="9" t="s">
        <v>721</v>
      </c>
      <c r="E41" s="9" t="s">
        <v>3795</v>
      </c>
      <c r="F41" s="9" t="s">
        <v>1124</v>
      </c>
      <c r="G41" s="9" t="n">
        <v>9</v>
      </c>
      <c r="H41" s="9" t="s">
        <v>3796</v>
      </c>
      <c r="I41" s="9" t="s">
        <v>3783</v>
      </c>
      <c r="J41" s="9" t="s">
        <v>3789</v>
      </c>
      <c r="K41" s="9" t="s">
        <v>3790</v>
      </c>
      <c r="L41" s="9" t="s">
        <v>874</v>
      </c>
      <c r="M41" s="9"/>
      <c r="N41" s="9" t="s">
        <v>3791</v>
      </c>
    </row>
    <row r="42" customFormat="false" ht="15.75" hidden="false" customHeight="true" outlineLevel="0" collapsed="false">
      <c r="A42" s="9" t="s">
        <v>613</v>
      </c>
      <c r="B42" s="9" t="s">
        <v>2962</v>
      </c>
      <c r="C42" s="9" t="s">
        <v>1126</v>
      </c>
      <c r="D42" s="9" t="s">
        <v>1127</v>
      </c>
      <c r="E42" s="9" t="s">
        <v>1126</v>
      </c>
      <c r="F42" s="9" t="s">
        <v>1130</v>
      </c>
      <c r="G42" s="9" t="n">
        <v>6</v>
      </c>
      <c r="H42" s="9" t="s">
        <v>77</v>
      </c>
      <c r="I42" s="9" t="s">
        <v>3783</v>
      </c>
      <c r="J42" s="9" t="s">
        <v>3784</v>
      </c>
      <c r="K42" s="9" t="s">
        <v>3785</v>
      </c>
      <c r="L42" s="9" t="s">
        <v>874</v>
      </c>
      <c r="M42" s="9"/>
      <c r="N42" s="9" t="s">
        <v>3786</v>
      </c>
    </row>
    <row r="43" customFormat="false" ht="15.75" hidden="false" customHeight="true" outlineLevel="0" collapsed="false">
      <c r="A43" s="9" t="s">
        <v>618</v>
      </c>
      <c r="B43" s="9" t="s">
        <v>2962</v>
      </c>
      <c r="C43" s="9" t="s">
        <v>1134</v>
      </c>
      <c r="D43" s="9" t="s">
        <v>1136</v>
      </c>
      <c r="E43" s="9" t="s">
        <v>3797</v>
      </c>
      <c r="F43" s="9" t="s">
        <v>1140</v>
      </c>
      <c r="G43" s="9" t="n">
        <v>7</v>
      </c>
      <c r="H43" s="9" t="s">
        <v>77</v>
      </c>
      <c r="I43" s="9" t="s">
        <v>3783</v>
      </c>
      <c r="J43" s="9" t="s">
        <v>3784</v>
      </c>
      <c r="K43" s="9" t="s">
        <v>3785</v>
      </c>
      <c r="L43" s="9" t="s">
        <v>874</v>
      </c>
      <c r="M43" s="9"/>
      <c r="N43" s="9" t="s">
        <v>3786</v>
      </c>
    </row>
    <row r="44" customFormat="false" ht="15.75" hidden="false" customHeight="true" outlineLevel="0" collapsed="false">
      <c r="A44" s="9" t="s">
        <v>618</v>
      </c>
      <c r="B44" s="9" t="s">
        <v>3788</v>
      </c>
      <c r="C44" s="9" t="s">
        <v>1134</v>
      </c>
      <c r="D44" s="9" t="s">
        <v>1137</v>
      </c>
      <c r="E44" s="9" t="s">
        <v>1150</v>
      </c>
      <c r="F44" s="9" t="s">
        <v>1141</v>
      </c>
      <c r="G44" s="9" t="n">
        <v>13</v>
      </c>
      <c r="H44" s="9" t="s">
        <v>77</v>
      </c>
      <c r="I44" s="9" t="s">
        <v>3783</v>
      </c>
      <c r="J44" s="9" t="s">
        <v>3789</v>
      </c>
      <c r="K44" s="9" t="s">
        <v>3790</v>
      </c>
      <c r="L44" s="9" t="s">
        <v>874</v>
      </c>
      <c r="M44" s="9"/>
      <c r="N44" s="9" t="s">
        <v>3791</v>
      </c>
    </row>
    <row r="45" customFormat="false" ht="15.75" hidden="false" customHeight="true" outlineLevel="0" collapsed="false">
      <c r="A45" s="9" t="s">
        <v>622</v>
      </c>
      <c r="B45" s="9" t="s">
        <v>2962</v>
      </c>
      <c r="C45" s="9" t="s">
        <v>1145</v>
      </c>
      <c r="D45" s="9" t="s">
        <v>1146</v>
      </c>
      <c r="E45" s="9" t="s">
        <v>1263</v>
      </c>
      <c r="F45" s="9" t="s">
        <v>1149</v>
      </c>
      <c r="G45" s="9" t="n">
        <v>13</v>
      </c>
      <c r="H45" s="9" t="s">
        <v>77</v>
      </c>
      <c r="I45" s="9" t="s">
        <v>3783</v>
      </c>
      <c r="J45" s="9" t="s">
        <v>3784</v>
      </c>
      <c r="K45" s="9" t="s">
        <v>3785</v>
      </c>
      <c r="L45" s="9" t="s">
        <v>874</v>
      </c>
      <c r="M45" s="9"/>
      <c r="N45" s="9" t="s">
        <v>3786</v>
      </c>
    </row>
    <row r="46" customFormat="false" ht="15.75" hidden="false" customHeight="true" outlineLevel="0" collapsed="false">
      <c r="A46" s="9" t="s">
        <v>622</v>
      </c>
      <c r="B46" s="9" t="s">
        <v>3788</v>
      </c>
      <c r="C46" s="9" t="s">
        <v>1145</v>
      </c>
      <c r="D46" s="9" t="s">
        <v>1137</v>
      </c>
      <c r="E46" s="9" t="s">
        <v>1150</v>
      </c>
      <c r="F46" s="9" t="s">
        <v>1141</v>
      </c>
      <c r="G46" s="9" t="n">
        <v>13</v>
      </c>
      <c r="H46" s="9" t="s">
        <v>77</v>
      </c>
      <c r="I46" s="9" t="s">
        <v>3783</v>
      </c>
      <c r="J46" s="9" t="s">
        <v>3789</v>
      </c>
      <c r="K46" s="9" t="s">
        <v>3790</v>
      </c>
      <c r="L46" s="9" t="s">
        <v>874</v>
      </c>
      <c r="M46" s="9"/>
      <c r="N46" s="9" t="s">
        <v>3791</v>
      </c>
    </row>
    <row r="47" customFormat="false" ht="15.75" hidden="false" customHeight="true" outlineLevel="0" collapsed="false">
      <c r="A47" s="9" t="s">
        <v>626</v>
      </c>
      <c r="B47" s="9" t="s">
        <v>2962</v>
      </c>
      <c r="C47" s="9" t="s">
        <v>1150</v>
      </c>
      <c r="D47" s="9" t="s">
        <v>1137</v>
      </c>
      <c r="E47" s="9" t="s">
        <v>1150</v>
      </c>
      <c r="F47" s="9" t="s">
        <v>1141</v>
      </c>
      <c r="G47" s="9" t="n">
        <v>13</v>
      </c>
      <c r="H47" s="9" t="s">
        <v>77</v>
      </c>
      <c r="I47" s="9" t="s">
        <v>3783</v>
      </c>
      <c r="J47" s="9" t="s">
        <v>3784</v>
      </c>
      <c r="K47" s="9" t="s">
        <v>3785</v>
      </c>
      <c r="L47" s="9" t="s">
        <v>874</v>
      </c>
      <c r="M47" s="9"/>
      <c r="N47" s="9" t="s">
        <v>3786</v>
      </c>
    </row>
    <row r="48" customFormat="false" ht="15.75" hidden="false" customHeight="true" outlineLevel="0" collapsed="false">
      <c r="A48" s="9" t="s">
        <v>632</v>
      </c>
      <c r="B48" s="9" t="s">
        <v>2962</v>
      </c>
      <c r="C48" s="9" t="s">
        <v>1150</v>
      </c>
      <c r="D48" s="9" t="s">
        <v>1137</v>
      </c>
      <c r="E48" s="9" t="s">
        <v>1150</v>
      </c>
      <c r="F48" s="9" t="s">
        <v>1141</v>
      </c>
      <c r="G48" s="9" t="n">
        <v>13</v>
      </c>
      <c r="H48" s="9" t="s">
        <v>77</v>
      </c>
      <c r="I48" s="9" t="s">
        <v>3783</v>
      </c>
      <c r="J48" s="9" t="s">
        <v>3784</v>
      </c>
      <c r="K48" s="9" t="s">
        <v>3785</v>
      </c>
      <c r="L48" s="9" t="s">
        <v>874</v>
      </c>
      <c r="M48" s="9"/>
      <c r="N48" s="9" t="s">
        <v>3786</v>
      </c>
    </row>
    <row r="49" customFormat="false" ht="15.75" hidden="false" customHeight="true" outlineLevel="0" collapsed="false">
      <c r="A49" s="9" t="s">
        <v>636</v>
      </c>
      <c r="B49" s="9" t="s">
        <v>2962</v>
      </c>
      <c r="C49" s="9" t="s">
        <v>1150</v>
      </c>
      <c r="D49" s="9" t="s">
        <v>1137</v>
      </c>
      <c r="E49" s="9" t="s">
        <v>1150</v>
      </c>
      <c r="F49" s="9" t="s">
        <v>1141</v>
      </c>
      <c r="G49" s="9" t="n">
        <v>13</v>
      </c>
      <c r="H49" s="9" t="s">
        <v>77</v>
      </c>
      <c r="I49" s="9" t="s">
        <v>3783</v>
      </c>
      <c r="J49" s="9" t="s">
        <v>3784</v>
      </c>
      <c r="K49" s="9" t="s">
        <v>3785</v>
      </c>
      <c r="L49" s="9" t="s">
        <v>874</v>
      </c>
      <c r="M49" s="9"/>
      <c r="N49" s="9" t="s">
        <v>3786</v>
      </c>
    </row>
    <row r="50" customFormat="false" ht="15.75" hidden="false" customHeight="true" outlineLevel="0" collapsed="false">
      <c r="A50" s="9" t="s">
        <v>640</v>
      </c>
      <c r="B50" s="9" t="s">
        <v>2962</v>
      </c>
      <c r="C50" s="9" t="s">
        <v>1158</v>
      </c>
      <c r="D50" s="9" t="s">
        <v>1160</v>
      </c>
      <c r="E50" s="9" t="s">
        <v>1158</v>
      </c>
      <c r="F50" s="9" t="s">
        <v>1162</v>
      </c>
      <c r="G50" s="9" t="n">
        <v>14</v>
      </c>
      <c r="H50" s="9" t="s">
        <v>77</v>
      </c>
      <c r="I50" s="9" t="s">
        <v>3783</v>
      </c>
      <c r="J50" s="9" t="s">
        <v>3784</v>
      </c>
      <c r="K50" s="9" t="s">
        <v>3785</v>
      </c>
      <c r="L50" s="9" t="s">
        <v>874</v>
      </c>
      <c r="M50" s="9"/>
      <c r="N50" s="9" t="s">
        <v>3786</v>
      </c>
    </row>
    <row r="51" customFormat="false" ht="15.75" hidden="false" customHeight="true" outlineLevel="0" collapsed="false">
      <c r="A51" s="9" t="s">
        <v>644</v>
      </c>
      <c r="B51" s="9" t="s">
        <v>2962</v>
      </c>
      <c r="C51" s="9" t="s">
        <v>1163</v>
      </c>
      <c r="D51" s="9" t="s">
        <v>1165</v>
      </c>
      <c r="E51" s="9" t="s">
        <v>1163</v>
      </c>
      <c r="F51" s="9" t="s">
        <v>1168</v>
      </c>
      <c r="G51" s="9" t="n">
        <v>3</v>
      </c>
      <c r="H51" s="9" t="s">
        <v>77</v>
      </c>
      <c r="I51" s="9" t="s">
        <v>3783</v>
      </c>
      <c r="J51" s="9" t="s">
        <v>3784</v>
      </c>
      <c r="K51" s="9" t="s">
        <v>3785</v>
      </c>
      <c r="L51" s="9" t="s">
        <v>874</v>
      </c>
      <c r="M51" s="9"/>
      <c r="N51" s="9" t="s">
        <v>3786</v>
      </c>
    </row>
    <row r="52" customFormat="false" ht="15.75" hidden="false" customHeight="true" outlineLevel="0" collapsed="false">
      <c r="A52" s="9" t="s">
        <v>648</v>
      </c>
      <c r="B52" s="9" t="s">
        <v>2962</v>
      </c>
      <c r="C52" s="9" t="s">
        <v>1170</v>
      </c>
      <c r="D52" s="9" t="s">
        <v>1120</v>
      </c>
      <c r="E52" s="9" t="s">
        <v>1170</v>
      </c>
      <c r="F52" s="9" t="s">
        <v>1172</v>
      </c>
      <c r="G52" s="9" t="n">
        <v>7</v>
      </c>
      <c r="H52" s="9" t="s">
        <v>77</v>
      </c>
      <c r="I52" s="9" t="s">
        <v>3783</v>
      </c>
      <c r="J52" s="9" t="s">
        <v>3784</v>
      </c>
      <c r="K52" s="9" t="s">
        <v>3785</v>
      </c>
      <c r="L52" s="9" t="s">
        <v>874</v>
      </c>
      <c r="M52" s="9"/>
      <c r="N52" s="9" t="s">
        <v>3786</v>
      </c>
    </row>
    <row r="53" customFormat="false" ht="15.75" hidden="false" customHeight="true" outlineLevel="0" collapsed="false">
      <c r="A53" s="9" t="s">
        <v>653</v>
      </c>
      <c r="B53" s="9" t="s">
        <v>2962</v>
      </c>
      <c r="C53" s="9" t="s">
        <v>942</v>
      </c>
      <c r="D53" s="9" t="s">
        <v>943</v>
      </c>
      <c r="E53" s="9" t="s">
        <v>942</v>
      </c>
      <c r="F53" s="9" t="s">
        <v>1175</v>
      </c>
      <c r="G53" s="9" t="n">
        <v>12</v>
      </c>
      <c r="H53" s="9" t="s">
        <v>77</v>
      </c>
      <c r="I53" s="9" t="s">
        <v>3783</v>
      </c>
      <c r="J53" s="9" t="s">
        <v>3784</v>
      </c>
      <c r="K53" s="9" t="s">
        <v>3785</v>
      </c>
      <c r="L53" s="9" t="s">
        <v>874</v>
      </c>
      <c r="M53" s="9"/>
      <c r="N53" s="9" t="s">
        <v>3786</v>
      </c>
    </row>
    <row r="54" customFormat="false" ht="15.75" hidden="false" customHeight="true" outlineLevel="0" collapsed="false">
      <c r="A54" s="9" t="s">
        <v>658</v>
      </c>
      <c r="B54" s="9" t="s">
        <v>2962</v>
      </c>
      <c r="C54" s="9" t="s">
        <v>1176</v>
      </c>
      <c r="D54" s="9" t="s">
        <v>1177</v>
      </c>
      <c r="E54" s="9" t="s">
        <v>1176</v>
      </c>
      <c r="F54" s="9" t="s">
        <v>1180</v>
      </c>
      <c r="G54" s="9" t="n">
        <v>8</v>
      </c>
      <c r="H54" s="9" t="s">
        <v>77</v>
      </c>
      <c r="I54" s="9" t="s">
        <v>3783</v>
      </c>
      <c r="J54" s="9" t="s">
        <v>3784</v>
      </c>
      <c r="K54" s="9" t="s">
        <v>3785</v>
      </c>
      <c r="L54" s="9" t="s">
        <v>874</v>
      </c>
      <c r="M54" s="9"/>
      <c r="N54" s="9" t="s">
        <v>3786</v>
      </c>
    </row>
    <row r="55" customFormat="false" ht="15.75" hidden="false" customHeight="true" outlineLevel="0" collapsed="false">
      <c r="A55" s="9" t="s">
        <v>661</v>
      </c>
      <c r="B55" s="9" t="s">
        <v>2962</v>
      </c>
      <c r="C55" s="9" t="s">
        <v>1183</v>
      </c>
      <c r="D55" s="9" t="s">
        <v>1185</v>
      </c>
      <c r="E55" s="9" t="s">
        <v>1183</v>
      </c>
      <c r="F55" s="9" t="s">
        <v>1187</v>
      </c>
      <c r="G55" s="9" t="n">
        <v>11</v>
      </c>
      <c r="H55" s="9" t="s">
        <v>77</v>
      </c>
      <c r="I55" s="9" t="s">
        <v>3783</v>
      </c>
      <c r="J55" s="9" t="s">
        <v>3784</v>
      </c>
      <c r="K55" s="9" t="s">
        <v>3785</v>
      </c>
      <c r="L55" s="9" t="s">
        <v>874</v>
      </c>
      <c r="M55" s="9"/>
      <c r="N55" s="9" t="s">
        <v>3786</v>
      </c>
    </row>
    <row r="56" customFormat="false" ht="15.75" hidden="false" customHeight="true" outlineLevel="0" collapsed="false">
      <c r="A56" s="9" t="s">
        <v>664</v>
      </c>
      <c r="B56" s="9" t="s">
        <v>2962</v>
      </c>
      <c r="C56" s="9" t="s">
        <v>1145</v>
      </c>
      <c r="D56" s="9" t="s">
        <v>1146</v>
      </c>
      <c r="E56" s="9" t="s">
        <v>1263</v>
      </c>
      <c r="F56" s="9" t="s">
        <v>1149</v>
      </c>
      <c r="G56" s="9" t="n">
        <v>13</v>
      </c>
      <c r="H56" s="9" t="s">
        <v>77</v>
      </c>
      <c r="I56" s="9" t="s">
        <v>3783</v>
      </c>
      <c r="J56" s="9" t="s">
        <v>3784</v>
      </c>
      <c r="K56" s="9" t="s">
        <v>3785</v>
      </c>
      <c r="L56" s="9" t="s">
        <v>874</v>
      </c>
      <c r="M56" s="9"/>
      <c r="N56" s="9" t="s">
        <v>3786</v>
      </c>
    </row>
    <row r="57" customFormat="false" ht="15.75" hidden="false" customHeight="true" outlineLevel="0" collapsed="false">
      <c r="A57" s="9" t="s">
        <v>664</v>
      </c>
      <c r="B57" s="9" t="s">
        <v>3788</v>
      </c>
      <c r="C57" s="9" t="s">
        <v>1145</v>
      </c>
      <c r="D57" s="9" t="s">
        <v>1137</v>
      </c>
      <c r="E57" s="9" t="s">
        <v>1150</v>
      </c>
      <c r="F57" s="9" t="s">
        <v>1141</v>
      </c>
      <c r="G57" s="9" t="n">
        <v>13</v>
      </c>
      <c r="H57" s="9" t="s">
        <v>77</v>
      </c>
      <c r="I57" s="9" t="s">
        <v>3783</v>
      </c>
      <c r="J57" s="9" t="s">
        <v>3789</v>
      </c>
      <c r="K57" s="9" t="s">
        <v>3790</v>
      </c>
      <c r="L57" s="9" t="s">
        <v>874</v>
      </c>
      <c r="M57" s="9"/>
      <c r="N57" s="9" t="s">
        <v>3791</v>
      </c>
    </row>
    <row r="58" customFormat="false" ht="15.75" hidden="false" customHeight="true" outlineLevel="0" collapsed="false">
      <c r="A58" s="9" t="s">
        <v>668</v>
      </c>
      <c r="B58" s="9" t="s">
        <v>2962</v>
      </c>
      <c r="C58" s="9" t="s">
        <v>1198</v>
      </c>
      <c r="D58" s="9" t="s">
        <v>943</v>
      </c>
      <c r="E58" s="9" t="s">
        <v>1198</v>
      </c>
      <c r="F58" s="9" t="s">
        <v>1175</v>
      </c>
      <c r="G58" s="9" t="n">
        <v>12</v>
      </c>
      <c r="H58" s="9" t="s">
        <v>77</v>
      </c>
      <c r="I58" s="9" t="s">
        <v>3783</v>
      </c>
      <c r="J58" s="9" t="s">
        <v>3784</v>
      </c>
      <c r="K58" s="9" t="s">
        <v>3785</v>
      </c>
      <c r="L58" s="9" t="s">
        <v>874</v>
      </c>
      <c r="M58" s="9"/>
      <c r="N58" s="9" t="s">
        <v>3786</v>
      </c>
    </row>
    <row r="59" customFormat="false" ht="15.75" hidden="false" customHeight="true" outlineLevel="0" collapsed="false">
      <c r="A59" s="9" t="s">
        <v>673</v>
      </c>
      <c r="B59" s="9" t="s">
        <v>2962</v>
      </c>
      <c r="C59" s="9" t="s">
        <v>1204</v>
      </c>
      <c r="D59" s="9" t="s">
        <v>1207</v>
      </c>
      <c r="E59" s="9" t="s">
        <v>1206</v>
      </c>
      <c r="F59" s="9" t="s">
        <v>1210</v>
      </c>
      <c r="G59" s="9" t="n">
        <v>7</v>
      </c>
      <c r="H59" s="9" t="s">
        <v>77</v>
      </c>
      <c r="I59" s="9" t="s">
        <v>3783</v>
      </c>
      <c r="J59" s="9" t="s">
        <v>3784</v>
      </c>
      <c r="K59" s="9" t="s">
        <v>3785</v>
      </c>
      <c r="L59" s="9" t="s">
        <v>3792</v>
      </c>
      <c r="M59" s="9"/>
      <c r="N59" s="9" t="s">
        <v>3786</v>
      </c>
    </row>
    <row r="60" customFormat="false" ht="15.75" hidden="false" customHeight="true" outlineLevel="0" collapsed="false">
      <c r="A60" s="9" t="s">
        <v>679</v>
      </c>
      <c r="B60" s="9" t="s">
        <v>2962</v>
      </c>
      <c r="C60" s="9" t="s">
        <v>1204</v>
      </c>
      <c r="D60" s="9" t="s">
        <v>1207</v>
      </c>
      <c r="E60" s="9" t="s">
        <v>1206</v>
      </c>
      <c r="F60" s="9" t="s">
        <v>1210</v>
      </c>
      <c r="G60" s="9" t="n">
        <v>7</v>
      </c>
      <c r="H60" s="9" t="s">
        <v>77</v>
      </c>
      <c r="I60" s="9" t="s">
        <v>3783</v>
      </c>
      <c r="J60" s="9" t="s">
        <v>3784</v>
      </c>
      <c r="K60" s="9" t="s">
        <v>3785</v>
      </c>
      <c r="L60" s="9" t="s">
        <v>3792</v>
      </c>
      <c r="M60" s="9"/>
      <c r="N60" s="9" t="s">
        <v>3786</v>
      </c>
    </row>
    <row r="61" customFormat="false" ht="15.75" hidden="false" customHeight="true" outlineLevel="0" collapsed="false">
      <c r="A61" s="9" t="s">
        <v>682</v>
      </c>
      <c r="B61" s="9" t="s">
        <v>2962</v>
      </c>
      <c r="C61" s="9" t="s">
        <v>1204</v>
      </c>
      <c r="D61" s="9" t="s">
        <v>1207</v>
      </c>
      <c r="E61" s="9" t="s">
        <v>1206</v>
      </c>
      <c r="F61" s="9" t="s">
        <v>1210</v>
      </c>
      <c r="G61" s="9" t="n">
        <v>7</v>
      </c>
      <c r="H61" s="9" t="s">
        <v>77</v>
      </c>
      <c r="I61" s="9" t="s">
        <v>3783</v>
      </c>
      <c r="J61" s="9" t="s">
        <v>3784</v>
      </c>
      <c r="K61" s="9" t="s">
        <v>3785</v>
      </c>
      <c r="L61" s="9" t="s">
        <v>3792</v>
      </c>
      <c r="M61" s="9"/>
      <c r="N61" s="9" t="s">
        <v>3786</v>
      </c>
    </row>
    <row r="62" customFormat="false" ht="15.75" hidden="false" customHeight="true" outlineLevel="0" collapsed="false">
      <c r="A62" s="9" t="s">
        <v>685</v>
      </c>
      <c r="B62" s="9" t="s">
        <v>2962</v>
      </c>
      <c r="C62" s="9" t="s">
        <v>1204</v>
      </c>
      <c r="D62" s="9" t="s">
        <v>1207</v>
      </c>
      <c r="E62" s="9" t="s">
        <v>1206</v>
      </c>
      <c r="F62" s="9" t="s">
        <v>1210</v>
      </c>
      <c r="G62" s="9" t="n">
        <v>7</v>
      </c>
      <c r="H62" s="9" t="s">
        <v>77</v>
      </c>
      <c r="I62" s="9" t="s">
        <v>3783</v>
      </c>
      <c r="J62" s="9" t="s">
        <v>3784</v>
      </c>
      <c r="K62" s="9" t="s">
        <v>3785</v>
      </c>
      <c r="L62" s="9" t="s">
        <v>3792</v>
      </c>
      <c r="M62" s="9"/>
      <c r="N62" s="9" t="s">
        <v>3786</v>
      </c>
    </row>
    <row r="63" customFormat="false" ht="15.75" hidden="false" customHeight="true" outlineLevel="0" collapsed="false">
      <c r="A63" s="9" t="s">
        <v>688</v>
      </c>
      <c r="B63" s="9" t="s">
        <v>2962</v>
      </c>
      <c r="C63" s="9" t="s">
        <v>1215</v>
      </c>
      <c r="D63" s="9" t="s">
        <v>710</v>
      </c>
      <c r="E63" s="9" t="s">
        <v>1217</v>
      </c>
      <c r="F63" s="9" t="s">
        <v>1219</v>
      </c>
      <c r="G63" s="9" t="n">
        <v>9</v>
      </c>
      <c r="H63" s="9" t="s">
        <v>77</v>
      </c>
      <c r="I63" s="9" t="s">
        <v>3783</v>
      </c>
      <c r="J63" s="9" t="s">
        <v>3784</v>
      </c>
      <c r="K63" s="9" t="s">
        <v>3785</v>
      </c>
      <c r="L63" s="9" t="s">
        <v>874</v>
      </c>
      <c r="M63" s="9"/>
      <c r="N63" s="9" t="s">
        <v>3786</v>
      </c>
    </row>
    <row r="64" customFormat="false" ht="15.75" hidden="false" customHeight="true" outlineLevel="0" collapsed="false">
      <c r="A64" s="9" t="s">
        <v>694</v>
      </c>
      <c r="B64" s="9" t="s">
        <v>2962</v>
      </c>
      <c r="C64" s="9" t="s">
        <v>1222</v>
      </c>
      <c r="D64" s="9" t="s">
        <v>1224</v>
      </c>
      <c r="E64" s="9" t="s">
        <v>1223</v>
      </c>
      <c r="F64" s="9" t="s">
        <v>1227</v>
      </c>
      <c r="G64" s="9" t="n">
        <v>9</v>
      </c>
      <c r="H64" s="9" t="s">
        <v>77</v>
      </c>
      <c r="I64" s="9" t="s">
        <v>3783</v>
      </c>
      <c r="J64" s="9" t="s">
        <v>3784</v>
      </c>
      <c r="K64" s="9" t="s">
        <v>3785</v>
      </c>
      <c r="L64" s="9" t="s">
        <v>3792</v>
      </c>
      <c r="M64" s="9"/>
      <c r="N64" s="9" t="s">
        <v>3786</v>
      </c>
    </row>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24"/>
    <col collapsed="false" customWidth="true" hidden="false" outlineLevel="0" max="4" min="4" style="0" width="34"/>
    <col collapsed="false" customWidth="true" hidden="false" outlineLevel="0" max="5" min="5" style="0" width="25"/>
    <col collapsed="false" customWidth="true" hidden="false" outlineLevel="0" max="6" min="6" style="0" width="46"/>
    <col collapsed="false" customWidth="true" hidden="false" outlineLevel="0" max="7" min="7" style="0" width="40"/>
    <col collapsed="false" customWidth="true" hidden="false" outlineLevel="0" max="8" min="8" style="0" width="88"/>
    <col collapsed="false" customWidth="true" hidden="false" outlineLevel="0" max="9" min="9" style="0" width="58"/>
    <col collapsed="false" customWidth="true" hidden="false" outlineLevel="0" max="10" min="10" style="0" width="17"/>
    <col collapsed="false" customWidth="true" hidden="false" outlineLevel="0" max="11" min="11" style="0" width="34"/>
    <col collapsed="false" customWidth="true" hidden="false" outlineLevel="0" max="12" min="12" style="0" width="18"/>
    <col collapsed="false" customWidth="true" hidden="false" outlineLevel="0" max="13" min="13" style="0" width="76"/>
    <col collapsed="false" customWidth="true" hidden="false" outlineLevel="0" max="14" min="14" style="0" width="72"/>
    <col collapsed="false" customWidth="true" hidden="false" outlineLevel="0" max="15" min="15" style="0" width="64"/>
    <col collapsed="false" customWidth="true" hidden="false" outlineLevel="0" max="16" min="16" style="0" width="54"/>
    <col collapsed="false" customWidth="true" hidden="false" outlineLevel="0" max="26" min="17" style="0" width="8.63"/>
  </cols>
  <sheetData>
    <row r="1" customFormat="false" ht="15" hidden="false" customHeight="false" outlineLevel="0" collapsed="false">
      <c r="A1" s="3" t="s">
        <v>1310</v>
      </c>
      <c r="B1" s="3" t="s">
        <v>1311</v>
      </c>
      <c r="C1" s="3" t="s">
        <v>1314</v>
      </c>
      <c r="D1" s="3" t="s">
        <v>372</v>
      </c>
      <c r="E1" s="3" t="s">
        <v>3798</v>
      </c>
      <c r="F1" s="3" t="s">
        <v>1321</v>
      </c>
      <c r="G1" s="3" t="s">
        <v>1234</v>
      </c>
      <c r="H1" s="3" t="s">
        <v>3799</v>
      </c>
      <c r="I1" s="3" t="s">
        <v>3755</v>
      </c>
      <c r="J1" s="3" t="s">
        <v>3756</v>
      </c>
      <c r="K1" s="3" t="s">
        <v>3800</v>
      </c>
      <c r="L1" s="3" t="s">
        <v>3801</v>
      </c>
      <c r="M1" s="3" t="s">
        <v>3758</v>
      </c>
      <c r="N1" s="3" t="s">
        <v>3802</v>
      </c>
      <c r="O1" s="3" t="s">
        <v>3760</v>
      </c>
      <c r="P1" s="3" t="s">
        <v>268</v>
      </c>
    </row>
    <row r="2" customFormat="false" ht="41.75" hidden="false" customHeight="false" outlineLevel="0" collapsed="false">
      <c r="A2" s="9" t="s">
        <v>1439</v>
      </c>
      <c r="B2" s="9" t="s">
        <v>477</v>
      </c>
      <c r="C2" s="9" t="s">
        <v>1021</v>
      </c>
      <c r="D2" s="9" t="s">
        <v>377</v>
      </c>
      <c r="E2" s="9" t="s">
        <v>3803</v>
      </c>
      <c r="F2" s="9" t="s">
        <v>1142</v>
      </c>
      <c r="G2" s="9" t="s">
        <v>1441</v>
      </c>
      <c r="H2" s="9" t="s">
        <v>1144</v>
      </c>
      <c r="I2" s="9" t="s">
        <v>3804</v>
      </c>
      <c r="J2" s="9" t="n">
        <v>8</v>
      </c>
      <c r="K2" s="9" t="s">
        <v>3805</v>
      </c>
      <c r="L2" s="9" t="s">
        <v>3767</v>
      </c>
      <c r="M2" s="9" t="s">
        <v>3806</v>
      </c>
      <c r="N2" s="9" t="s">
        <v>3807</v>
      </c>
      <c r="O2" s="9" t="s">
        <v>3808</v>
      </c>
      <c r="P2" s="9" t="s">
        <v>3809</v>
      </c>
    </row>
    <row r="3" customFormat="false" ht="28.35" hidden="false" customHeight="false" outlineLevel="0" collapsed="false">
      <c r="A3" s="9" t="s">
        <v>1444</v>
      </c>
      <c r="B3" s="9" t="s">
        <v>477</v>
      </c>
      <c r="C3" s="9" t="s">
        <v>1350</v>
      </c>
      <c r="D3" s="9" t="s">
        <v>377</v>
      </c>
      <c r="E3" s="9" t="s">
        <v>3803</v>
      </c>
      <c r="F3" s="9" t="s">
        <v>1445</v>
      </c>
      <c r="G3" s="9" t="s">
        <v>3810</v>
      </c>
      <c r="H3" s="9" t="s">
        <v>1448</v>
      </c>
      <c r="I3" s="9" t="s">
        <v>3811</v>
      </c>
      <c r="J3" s="9" t="n">
        <v>8</v>
      </c>
      <c r="K3" s="9" t="s">
        <v>3812</v>
      </c>
      <c r="L3" s="9" t="s">
        <v>3767</v>
      </c>
      <c r="M3" s="9" t="s">
        <v>3806</v>
      </c>
      <c r="N3" s="9" t="s">
        <v>3807</v>
      </c>
      <c r="O3" s="9" t="s">
        <v>3808</v>
      </c>
      <c r="P3" s="9" t="s">
        <v>3813</v>
      </c>
    </row>
    <row r="4" customFormat="false" ht="28.35" hidden="false" customHeight="false" outlineLevel="0" collapsed="false">
      <c r="A4" s="9" t="s">
        <v>1452</v>
      </c>
      <c r="B4" s="9" t="s">
        <v>477</v>
      </c>
      <c r="C4" s="9" t="s">
        <v>1355</v>
      </c>
      <c r="D4" s="9" t="s">
        <v>377</v>
      </c>
      <c r="E4" s="9" t="s">
        <v>3803</v>
      </c>
      <c r="F4" s="9" t="s">
        <v>924</v>
      </c>
      <c r="G4" s="9" t="s">
        <v>1125</v>
      </c>
      <c r="H4" s="9" t="s">
        <v>1392</v>
      </c>
      <c r="I4" s="9" t="s">
        <v>3814</v>
      </c>
      <c r="J4" s="9" t="n">
        <v>5</v>
      </c>
      <c r="K4" s="9" t="s">
        <v>3805</v>
      </c>
      <c r="L4" s="9" t="s">
        <v>3767</v>
      </c>
      <c r="M4" s="9" t="s">
        <v>3806</v>
      </c>
      <c r="N4" s="9" t="s">
        <v>3807</v>
      </c>
      <c r="O4" s="9" t="s">
        <v>3808</v>
      </c>
      <c r="P4" s="9" t="s">
        <v>3813</v>
      </c>
    </row>
    <row r="5" customFormat="false" ht="28.35" hidden="false" customHeight="false" outlineLevel="0" collapsed="false">
      <c r="A5" s="9" t="s">
        <v>1455</v>
      </c>
      <c r="B5" s="9" t="s">
        <v>477</v>
      </c>
      <c r="C5" s="9" t="s">
        <v>886</v>
      </c>
      <c r="D5" s="9" t="s">
        <v>377</v>
      </c>
      <c r="E5" s="9" t="s">
        <v>3803</v>
      </c>
      <c r="F5" s="9" t="s">
        <v>959</v>
      </c>
      <c r="G5" s="9" t="s">
        <v>1098</v>
      </c>
      <c r="H5" s="9" t="s">
        <v>961</v>
      </c>
      <c r="I5" s="9" t="s">
        <v>3815</v>
      </c>
      <c r="J5" s="9" t="n">
        <v>5</v>
      </c>
      <c r="K5" s="9" t="s">
        <v>3805</v>
      </c>
      <c r="L5" s="9" t="s">
        <v>3767</v>
      </c>
      <c r="M5" s="9" t="s">
        <v>3806</v>
      </c>
      <c r="N5" s="9" t="s">
        <v>3807</v>
      </c>
      <c r="O5" s="9" t="s">
        <v>3808</v>
      </c>
      <c r="P5" s="9" t="s">
        <v>3813</v>
      </c>
    </row>
    <row r="6" customFormat="false" ht="28.35" hidden="false" customHeight="false" outlineLevel="0" collapsed="false">
      <c r="A6" s="9" t="s">
        <v>1459</v>
      </c>
      <c r="B6" s="9" t="s">
        <v>477</v>
      </c>
      <c r="C6" s="9" t="s">
        <v>866</v>
      </c>
      <c r="D6" s="9" t="s">
        <v>377</v>
      </c>
      <c r="E6" s="9" t="s">
        <v>3803</v>
      </c>
      <c r="F6" s="9" t="s">
        <v>868</v>
      </c>
      <c r="G6" s="9" t="s">
        <v>3816</v>
      </c>
      <c r="H6" s="9" t="s">
        <v>870</v>
      </c>
      <c r="I6" s="9" t="s">
        <v>3817</v>
      </c>
      <c r="J6" s="9" t="n">
        <v>9</v>
      </c>
      <c r="K6" s="9" t="s">
        <v>3805</v>
      </c>
      <c r="L6" s="9" t="s">
        <v>3767</v>
      </c>
      <c r="M6" s="9" t="s">
        <v>3806</v>
      </c>
      <c r="N6" s="9" t="s">
        <v>3807</v>
      </c>
      <c r="O6" s="9" t="s">
        <v>3808</v>
      </c>
      <c r="P6" s="9" t="s">
        <v>3813</v>
      </c>
    </row>
    <row r="7" customFormat="false" ht="28.35" hidden="false" customHeight="false" outlineLevel="0" collapsed="false">
      <c r="A7" s="9" t="s">
        <v>1461</v>
      </c>
      <c r="B7" s="9" t="s">
        <v>477</v>
      </c>
      <c r="C7" s="9" t="s">
        <v>912</v>
      </c>
      <c r="D7" s="9" t="s">
        <v>377</v>
      </c>
      <c r="E7" s="9" t="s">
        <v>3803</v>
      </c>
      <c r="F7" s="9" t="s">
        <v>914</v>
      </c>
      <c r="G7" s="9" t="s">
        <v>915</v>
      </c>
      <c r="H7" s="9" t="s">
        <v>916</v>
      </c>
      <c r="I7" s="9" t="s">
        <v>921</v>
      </c>
      <c r="J7" s="9" t="n">
        <v>7</v>
      </c>
      <c r="K7" s="9" t="s">
        <v>3805</v>
      </c>
      <c r="L7" s="9" t="s">
        <v>3767</v>
      </c>
      <c r="M7" s="9" t="s">
        <v>3806</v>
      </c>
      <c r="N7" s="9" t="s">
        <v>3807</v>
      </c>
      <c r="O7" s="9" t="s">
        <v>3808</v>
      </c>
      <c r="P7" s="9" t="s">
        <v>3813</v>
      </c>
    </row>
    <row r="8" customFormat="false" ht="28.35" hidden="false" customHeight="false" outlineLevel="0" collapsed="false">
      <c r="A8" s="9" t="s">
        <v>1463</v>
      </c>
      <c r="B8" s="9" t="s">
        <v>477</v>
      </c>
      <c r="C8" s="9" t="s">
        <v>966</v>
      </c>
      <c r="D8" s="9" t="s">
        <v>377</v>
      </c>
      <c r="E8" s="9" t="s">
        <v>3803</v>
      </c>
      <c r="F8" s="9" t="s">
        <v>1152</v>
      </c>
      <c r="G8" s="9" t="s">
        <v>1370</v>
      </c>
      <c r="H8" s="9" t="s">
        <v>1153</v>
      </c>
      <c r="I8" s="9" t="s">
        <v>3818</v>
      </c>
      <c r="J8" s="9" t="n">
        <v>8</v>
      </c>
      <c r="K8" s="9" t="s">
        <v>3805</v>
      </c>
      <c r="L8" s="9" t="s">
        <v>3767</v>
      </c>
      <c r="M8" s="9" t="s">
        <v>3806</v>
      </c>
      <c r="N8" s="9" t="s">
        <v>3807</v>
      </c>
      <c r="O8" s="9" t="s">
        <v>3808</v>
      </c>
      <c r="P8" s="9" t="s">
        <v>3813</v>
      </c>
    </row>
    <row r="9" customFormat="false" ht="28.35" hidden="false" customHeight="false" outlineLevel="0" collapsed="false">
      <c r="A9" s="9" t="s">
        <v>1465</v>
      </c>
      <c r="B9" s="9" t="s">
        <v>477</v>
      </c>
      <c r="C9" s="9" t="s">
        <v>947</v>
      </c>
      <c r="D9" s="9" t="s">
        <v>377</v>
      </c>
      <c r="E9" s="9" t="s">
        <v>3803</v>
      </c>
      <c r="F9" s="9" t="s">
        <v>3819</v>
      </c>
      <c r="G9" s="9" t="s">
        <v>1996</v>
      </c>
      <c r="H9" s="9" t="s">
        <v>1076</v>
      </c>
      <c r="I9" s="9" t="s">
        <v>3820</v>
      </c>
      <c r="J9" s="9" t="n">
        <v>8</v>
      </c>
      <c r="K9" s="9" t="s">
        <v>3805</v>
      </c>
      <c r="L9" s="9" t="s">
        <v>3767</v>
      </c>
      <c r="M9" s="9" t="s">
        <v>3806</v>
      </c>
      <c r="N9" s="9" t="s">
        <v>3807</v>
      </c>
      <c r="O9" s="9" t="s">
        <v>3808</v>
      </c>
      <c r="P9" s="9" t="s">
        <v>3813</v>
      </c>
    </row>
    <row r="10" customFormat="false" ht="28.35" hidden="false" customHeight="false" outlineLevel="0" collapsed="false">
      <c r="A10" s="9" t="s">
        <v>1732</v>
      </c>
      <c r="B10" s="9" t="s">
        <v>546</v>
      </c>
      <c r="C10" s="9" t="s">
        <v>1021</v>
      </c>
      <c r="D10" s="9" t="s">
        <v>384</v>
      </c>
      <c r="E10" s="9" t="s">
        <v>3803</v>
      </c>
      <c r="F10" s="9" t="s">
        <v>924</v>
      </c>
      <c r="G10" s="9" t="s">
        <v>1031</v>
      </c>
      <c r="H10" s="9" t="s">
        <v>1032</v>
      </c>
      <c r="I10" s="9" t="s">
        <v>1036</v>
      </c>
      <c r="J10" s="9" t="n">
        <v>5</v>
      </c>
      <c r="K10" s="9" t="s">
        <v>3812</v>
      </c>
      <c r="L10" s="9" t="s">
        <v>3767</v>
      </c>
      <c r="M10" s="9" t="s">
        <v>3806</v>
      </c>
      <c r="N10" s="9" t="s">
        <v>3807</v>
      </c>
      <c r="O10" s="9" t="s">
        <v>3808</v>
      </c>
      <c r="P10" s="9" t="s">
        <v>3813</v>
      </c>
    </row>
    <row r="11" customFormat="false" ht="28.35" hidden="false" customHeight="false" outlineLevel="0" collapsed="false">
      <c r="A11" s="9" t="s">
        <v>1739</v>
      </c>
      <c r="B11" s="9" t="s">
        <v>546</v>
      </c>
      <c r="C11" s="9" t="s">
        <v>1350</v>
      </c>
      <c r="D11" s="9" t="s">
        <v>384</v>
      </c>
      <c r="E11" s="9" t="s">
        <v>3803</v>
      </c>
      <c r="F11" s="9" t="s">
        <v>1503</v>
      </c>
      <c r="G11" s="9" t="s">
        <v>1031</v>
      </c>
      <c r="H11" s="9" t="s">
        <v>3596</v>
      </c>
      <c r="I11" s="9" t="s">
        <v>1740</v>
      </c>
      <c r="J11" s="9" t="n">
        <v>5</v>
      </c>
      <c r="K11" s="9" t="s">
        <v>3805</v>
      </c>
      <c r="L11" s="9" t="s">
        <v>3767</v>
      </c>
      <c r="M11" s="9" t="s">
        <v>3806</v>
      </c>
      <c r="N11" s="9" t="s">
        <v>3807</v>
      </c>
      <c r="O11" s="9" t="s">
        <v>3808</v>
      </c>
      <c r="P11" s="9" t="s">
        <v>3813</v>
      </c>
    </row>
    <row r="12" customFormat="false" ht="28.35" hidden="false" customHeight="false" outlineLevel="0" collapsed="false">
      <c r="A12" s="9" t="s">
        <v>1742</v>
      </c>
      <c r="B12" s="9" t="s">
        <v>546</v>
      </c>
      <c r="C12" s="9" t="s">
        <v>1355</v>
      </c>
      <c r="D12" s="9" t="s">
        <v>384</v>
      </c>
      <c r="E12" s="9" t="s">
        <v>3803</v>
      </c>
      <c r="F12" s="9" t="s">
        <v>1508</v>
      </c>
      <c r="G12" s="9" t="s">
        <v>1509</v>
      </c>
      <c r="H12" s="9" t="s">
        <v>1510</v>
      </c>
      <c r="I12" s="9" t="s">
        <v>3821</v>
      </c>
      <c r="J12" s="9" t="n">
        <v>10</v>
      </c>
      <c r="K12" s="9" t="s">
        <v>3805</v>
      </c>
      <c r="L12" s="9" t="s">
        <v>3767</v>
      </c>
      <c r="M12" s="9" t="s">
        <v>3806</v>
      </c>
      <c r="N12" s="9" t="s">
        <v>3807</v>
      </c>
      <c r="O12" s="9" t="s">
        <v>3808</v>
      </c>
      <c r="P12" s="9" t="s">
        <v>3813</v>
      </c>
    </row>
    <row r="13" customFormat="false" ht="28.35" hidden="false" customHeight="false" outlineLevel="0" collapsed="false">
      <c r="A13" s="9" t="s">
        <v>1743</v>
      </c>
      <c r="B13" s="9" t="s">
        <v>546</v>
      </c>
      <c r="C13" s="9" t="s">
        <v>886</v>
      </c>
      <c r="D13" s="9" t="s">
        <v>384</v>
      </c>
      <c r="E13" s="9" t="s">
        <v>3803</v>
      </c>
      <c r="F13" s="9" t="s">
        <v>888</v>
      </c>
      <c r="G13" s="9" t="s">
        <v>3822</v>
      </c>
      <c r="H13" s="9" t="s">
        <v>890</v>
      </c>
      <c r="I13" s="9" t="s">
        <v>3823</v>
      </c>
      <c r="J13" s="9" t="n">
        <v>8</v>
      </c>
      <c r="K13" s="9" t="s">
        <v>3805</v>
      </c>
      <c r="L13" s="9" t="s">
        <v>3767</v>
      </c>
      <c r="M13" s="9" t="s">
        <v>3806</v>
      </c>
      <c r="N13" s="9" t="s">
        <v>3807</v>
      </c>
      <c r="O13" s="9" t="s">
        <v>3808</v>
      </c>
      <c r="P13" s="9" t="s">
        <v>3813</v>
      </c>
    </row>
    <row r="14" customFormat="false" ht="41.75" hidden="false" customHeight="false" outlineLevel="0" collapsed="false">
      <c r="A14" s="9" t="s">
        <v>1745</v>
      </c>
      <c r="B14" s="9" t="s">
        <v>546</v>
      </c>
      <c r="C14" s="9" t="s">
        <v>866</v>
      </c>
      <c r="D14" s="9" t="s">
        <v>384</v>
      </c>
      <c r="E14" s="9" t="s">
        <v>3803</v>
      </c>
      <c r="F14" s="9" t="s">
        <v>868</v>
      </c>
      <c r="G14" s="9" t="s">
        <v>1370</v>
      </c>
      <c r="H14" s="9" t="s">
        <v>870</v>
      </c>
      <c r="I14" s="9" t="s">
        <v>3824</v>
      </c>
      <c r="J14" s="9" t="n">
        <v>7</v>
      </c>
      <c r="K14" s="9" t="s">
        <v>3805</v>
      </c>
      <c r="L14" s="9" t="s">
        <v>3767</v>
      </c>
      <c r="M14" s="9" t="s">
        <v>3806</v>
      </c>
      <c r="N14" s="9" t="s">
        <v>3807</v>
      </c>
      <c r="O14" s="9" t="s">
        <v>3808</v>
      </c>
      <c r="P14" s="9" t="s">
        <v>3809</v>
      </c>
    </row>
    <row r="15" customFormat="false" ht="41.75" hidden="false" customHeight="false" outlineLevel="0" collapsed="false">
      <c r="A15" s="9" t="s">
        <v>1746</v>
      </c>
      <c r="B15" s="9" t="s">
        <v>546</v>
      </c>
      <c r="C15" s="9" t="s">
        <v>912</v>
      </c>
      <c r="D15" s="9" t="s">
        <v>384</v>
      </c>
      <c r="E15" s="9" t="s">
        <v>3803</v>
      </c>
      <c r="F15" s="9" t="s">
        <v>914</v>
      </c>
      <c r="G15" s="9" t="s">
        <v>978</v>
      </c>
      <c r="H15" s="9" t="s">
        <v>916</v>
      </c>
      <c r="I15" s="9" t="s">
        <v>3825</v>
      </c>
      <c r="J15" s="9" t="n">
        <v>9</v>
      </c>
      <c r="K15" s="9" t="s">
        <v>3805</v>
      </c>
      <c r="L15" s="9" t="s">
        <v>3767</v>
      </c>
      <c r="M15" s="9" t="s">
        <v>3806</v>
      </c>
      <c r="N15" s="9" t="s">
        <v>3807</v>
      </c>
      <c r="O15" s="9" t="s">
        <v>3808</v>
      </c>
      <c r="P15" s="9" t="s">
        <v>3809</v>
      </c>
    </row>
    <row r="16" customFormat="false" ht="28.35" hidden="false" customHeight="false" outlineLevel="0" collapsed="false">
      <c r="A16" s="9" t="s">
        <v>1749</v>
      </c>
      <c r="B16" s="9" t="s">
        <v>546</v>
      </c>
      <c r="C16" s="9" t="s">
        <v>966</v>
      </c>
      <c r="D16" s="9" t="s">
        <v>384</v>
      </c>
      <c r="E16" s="9" t="s">
        <v>3803</v>
      </c>
      <c r="F16" s="9" t="s">
        <v>1152</v>
      </c>
      <c r="G16" s="9" t="s">
        <v>1370</v>
      </c>
      <c r="H16" s="9" t="s">
        <v>1153</v>
      </c>
      <c r="I16" s="9" t="s">
        <v>3826</v>
      </c>
      <c r="J16" s="9" t="n">
        <v>11</v>
      </c>
      <c r="K16" s="9" t="s">
        <v>3805</v>
      </c>
      <c r="L16" s="9" t="s">
        <v>3767</v>
      </c>
      <c r="M16" s="9" t="s">
        <v>3806</v>
      </c>
      <c r="N16" s="9" t="s">
        <v>3807</v>
      </c>
      <c r="O16" s="9" t="s">
        <v>3808</v>
      </c>
      <c r="P16" s="9" t="s">
        <v>3813</v>
      </c>
    </row>
    <row r="17" customFormat="false" ht="28.35" hidden="false" customHeight="false" outlineLevel="0" collapsed="false">
      <c r="A17" s="9" t="s">
        <v>1750</v>
      </c>
      <c r="B17" s="9" t="s">
        <v>546</v>
      </c>
      <c r="C17" s="9" t="s">
        <v>947</v>
      </c>
      <c r="D17" s="9" t="s">
        <v>384</v>
      </c>
      <c r="E17" s="9" t="s">
        <v>3803</v>
      </c>
      <c r="F17" s="9" t="s">
        <v>3819</v>
      </c>
      <c r="G17" s="9" t="s">
        <v>3827</v>
      </c>
      <c r="H17" s="9" t="s">
        <v>951</v>
      </c>
      <c r="I17" s="9" t="s">
        <v>3828</v>
      </c>
      <c r="J17" s="9" t="n">
        <v>8</v>
      </c>
      <c r="K17" s="9" t="s">
        <v>3805</v>
      </c>
      <c r="L17" s="9" t="s">
        <v>3767</v>
      </c>
      <c r="M17" s="9" t="s">
        <v>3806</v>
      </c>
      <c r="N17" s="9" t="s">
        <v>3807</v>
      </c>
      <c r="O17" s="9" t="s">
        <v>3808</v>
      </c>
      <c r="P17" s="9" t="s">
        <v>3813</v>
      </c>
    </row>
    <row r="18" customFormat="false" ht="28.35" hidden="false" customHeight="false" outlineLevel="0" collapsed="false">
      <c r="A18" s="9" t="s">
        <v>2069</v>
      </c>
      <c r="B18" s="9" t="s">
        <v>636</v>
      </c>
      <c r="C18" s="9" t="s">
        <v>1021</v>
      </c>
      <c r="D18" s="9" t="s">
        <v>387</v>
      </c>
      <c r="E18" s="9" t="s">
        <v>3803</v>
      </c>
      <c r="F18" s="9" t="s">
        <v>1340</v>
      </c>
      <c r="G18" s="9" t="s">
        <v>1497</v>
      </c>
      <c r="H18" s="9" t="s">
        <v>68</v>
      </c>
      <c r="I18" s="9" t="s">
        <v>3829</v>
      </c>
      <c r="J18" s="9" t="n">
        <v>8</v>
      </c>
      <c r="K18" s="9" t="s">
        <v>3805</v>
      </c>
      <c r="L18" s="9" t="s">
        <v>3767</v>
      </c>
      <c r="M18" s="9" t="s">
        <v>3806</v>
      </c>
      <c r="N18" s="9" t="s">
        <v>3807</v>
      </c>
      <c r="O18" s="9" t="s">
        <v>3808</v>
      </c>
      <c r="P18" s="9" t="s">
        <v>3813</v>
      </c>
    </row>
    <row r="19" customFormat="false" ht="15" hidden="false" customHeight="false" outlineLevel="0" collapsed="false">
      <c r="A19" s="9" t="s">
        <v>2074</v>
      </c>
      <c r="B19" s="9" t="s">
        <v>636</v>
      </c>
      <c r="C19" s="9" t="s">
        <v>1350</v>
      </c>
      <c r="D19" s="9" t="s">
        <v>399</v>
      </c>
      <c r="E19" s="9" t="s">
        <v>3830</v>
      </c>
      <c r="F19" s="9" t="s">
        <v>2075</v>
      </c>
      <c r="G19" s="9" t="s">
        <v>2076</v>
      </c>
      <c r="H19" s="9" t="s">
        <v>2077</v>
      </c>
      <c r="I19" s="9"/>
      <c r="J19" s="9" t="n">
        <v>0</v>
      </c>
      <c r="K19" s="9" t="s">
        <v>3831</v>
      </c>
      <c r="L19" s="9" t="s">
        <v>3832</v>
      </c>
      <c r="M19" s="9" t="s">
        <v>2499</v>
      </c>
      <c r="N19" s="9" t="s">
        <v>2499</v>
      </c>
      <c r="O19" s="9" t="s">
        <v>3833</v>
      </c>
      <c r="P19" s="9" t="s">
        <v>3834</v>
      </c>
    </row>
    <row r="20" customFormat="false" ht="28.35" hidden="false" customHeight="false" outlineLevel="0" collapsed="false">
      <c r="A20" s="9" t="s">
        <v>2082</v>
      </c>
      <c r="B20" s="9" t="s">
        <v>636</v>
      </c>
      <c r="C20" s="9" t="s">
        <v>1355</v>
      </c>
      <c r="D20" s="9" t="s">
        <v>387</v>
      </c>
      <c r="E20" s="9" t="s">
        <v>3803</v>
      </c>
      <c r="F20" s="9" t="s">
        <v>1508</v>
      </c>
      <c r="G20" s="9" t="s">
        <v>1509</v>
      </c>
      <c r="H20" s="9" t="s">
        <v>1510</v>
      </c>
      <c r="I20" s="9" t="s">
        <v>3835</v>
      </c>
      <c r="J20" s="9" t="n">
        <v>4</v>
      </c>
      <c r="K20" s="9" t="s">
        <v>3805</v>
      </c>
      <c r="L20" s="9" t="s">
        <v>3767</v>
      </c>
      <c r="M20" s="9" t="s">
        <v>3806</v>
      </c>
      <c r="N20" s="9" t="s">
        <v>3807</v>
      </c>
      <c r="O20" s="9" t="s">
        <v>3808</v>
      </c>
      <c r="P20" s="9" t="s">
        <v>3813</v>
      </c>
    </row>
    <row r="21" customFormat="false" ht="15.75" hidden="false" customHeight="true" outlineLevel="0" collapsed="false">
      <c r="A21" s="9" t="s">
        <v>2084</v>
      </c>
      <c r="B21" s="9" t="s">
        <v>636</v>
      </c>
      <c r="C21" s="9" t="s">
        <v>886</v>
      </c>
      <c r="D21" s="9" t="s">
        <v>387</v>
      </c>
      <c r="E21" s="9" t="s">
        <v>3803</v>
      </c>
      <c r="F21" s="9" t="s">
        <v>888</v>
      </c>
      <c r="G21" s="9" t="s">
        <v>984</v>
      </c>
      <c r="H21" s="9" t="s">
        <v>890</v>
      </c>
      <c r="I21" s="9" t="s">
        <v>1156</v>
      </c>
      <c r="J21" s="9" t="n">
        <v>5</v>
      </c>
      <c r="K21" s="9" t="s">
        <v>3805</v>
      </c>
      <c r="L21" s="9" t="s">
        <v>3767</v>
      </c>
      <c r="M21" s="9" t="s">
        <v>3806</v>
      </c>
      <c r="N21" s="9" t="s">
        <v>3807</v>
      </c>
      <c r="O21" s="9" t="s">
        <v>3808</v>
      </c>
      <c r="P21" s="9" t="s">
        <v>3813</v>
      </c>
    </row>
    <row r="22" customFormat="false" ht="15.75" hidden="false" customHeight="true" outlineLevel="0" collapsed="false">
      <c r="A22" s="9" t="s">
        <v>2085</v>
      </c>
      <c r="B22" s="9" t="s">
        <v>636</v>
      </c>
      <c r="C22" s="9" t="s">
        <v>866</v>
      </c>
      <c r="D22" s="9" t="s">
        <v>387</v>
      </c>
      <c r="E22" s="9" t="s">
        <v>3803</v>
      </c>
      <c r="F22" s="9" t="s">
        <v>868</v>
      </c>
      <c r="G22" s="9" t="s">
        <v>1370</v>
      </c>
      <c r="H22" s="9" t="s">
        <v>870</v>
      </c>
      <c r="I22" s="9" t="s">
        <v>1156</v>
      </c>
      <c r="J22" s="9" t="n">
        <v>5</v>
      </c>
      <c r="K22" s="9" t="s">
        <v>3805</v>
      </c>
      <c r="L22" s="9" t="s">
        <v>3767</v>
      </c>
      <c r="M22" s="9" t="s">
        <v>3806</v>
      </c>
      <c r="N22" s="9" t="s">
        <v>3807</v>
      </c>
      <c r="O22" s="9" t="s">
        <v>3808</v>
      </c>
      <c r="P22" s="9" t="s">
        <v>3813</v>
      </c>
    </row>
    <row r="23" customFormat="false" ht="15.75" hidden="false" customHeight="true" outlineLevel="0" collapsed="false">
      <c r="A23" s="9" t="s">
        <v>2086</v>
      </c>
      <c r="B23" s="9" t="s">
        <v>636</v>
      </c>
      <c r="C23" s="9" t="s">
        <v>912</v>
      </c>
      <c r="D23" s="9" t="s">
        <v>408</v>
      </c>
      <c r="E23" s="9" t="s">
        <v>3830</v>
      </c>
      <c r="F23" s="9" t="s">
        <v>3836</v>
      </c>
      <c r="G23" s="9" t="s">
        <v>2089</v>
      </c>
      <c r="H23" s="9" t="s">
        <v>2090</v>
      </c>
      <c r="I23" s="9"/>
      <c r="J23" s="9" t="n">
        <v>0</v>
      </c>
      <c r="K23" s="9" t="s">
        <v>3837</v>
      </c>
      <c r="L23" s="9" t="s">
        <v>3832</v>
      </c>
      <c r="M23" s="9" t="s">
        <v>2499</v>
      </c>
      <c r="N23" s="9" t="s">
        <v>2499</v>
      </c>
      <c r="O23" s="9" t="s">
        <v>3833</v>
      </c>
      <c r="P23" s="9" t="s">
        <v>3834</v>
      </c>
    </row>
    <row r="24" customFormat="false" ht="15.75" hidden="false" customHeight="true" outlineLevel="0" collapsed="false">
      <c r="A24" s="9" t="s">
        <v>2093</v>
      </c>
      <c r="B24" s="9" t="s">
        <v>636</v>
      </c>
      <c r="C24" s="9" t="s">
        <v>966</v>
      </c>
      <c r="D24" s="9" t="s">
        <v>387</v>
      </c>
      <c r="E24" s="9" t="s">
        <v>3803</v>
      </c>
      <c r="F24" s="9" t="s">
        <v>1152</v>
      </c>
      <c r="G24" s="9" t="s">
        <v>1370</v>
      </c>
      <c r="H24" s="9" t="s">
        <v>1153</v>
      </c>
      <c r="I24" s="9" t="s">
        <v>1154</v>
      </c>
      <c r="J24" s="9" t="n">
        <v>4</v>
      </c>
      <c r="K24" s="9" t="s">
        <v>3805</v>
      </c>
      <c r="L24" s="9" t="s">
        <v>3767</v>
      </c>
      <c r="M24" s="9" t="s">
        <v>3806</v>
      </c>
      <c r="N24" s="9" t="s">
        <v>3807</v>
      </c>
      <c r="O24" s="9" t="s">
        <v>3808</v>
      </c>
      <c r="P24" s="9" t="s">
        <v>3813</v>
      </c>
    </row>
    <row r="25" customFormat="false" ht="15.75" hidden="false" customHeight="true" outlineLevel="0" collapsed="false">
      <c r="A25" s="9" t="s">
        <v>2094</v>
      </c>
      <c r="B25" s="9" t="s">
        <v>636</v>
      </c>
      <c r="C25" s="9" t="s">
        <v>947</v>
      </c>
      <c r="D25" s="9" t="s">
        <v>408</v>
      </c>
      <c r="E25" s="9" t="s">
        <v>3830</v>
      </c>
      <c r="F25" s="9" t="s">
        <v>3838</v>
      </c>
      <c r="G25" s="9" t="s">
        <v>1370</v>
      </c>
      <c r="H25" s="9" t="s">
        <v>1522</v>
      </c>
      <c r="I25" s="9"/>
      <c r="J25" s="9" t="n">
        <v>0</v>
      </c>
      <c r="K25" s="9" t="s">
        <v>3837</v>
      </c>
      <c r="L25" s="9" t="s">
        <v>3832</v>
      </c>
      <c r="M25" s="9" t="s">
        <v>2499</v>
      </c>
      <c r="N25" s="9" t="s">
        <v>2499</v>
      </c>
      <c r="O25" s="9" t="s">
        <v>3833</v>
      </c>
      <c r="P25" s="9" t="s">
        <v>3834</v>
      </c>
    </row>
    <row r="26" customFormat="false" ht="15.75" hidden="false" customHeight="true" outlineLevel="0" collapsed="false">
      <c r="A26" s="6" t="s">
        <v>1956</v>
      </c>
      <c r="B26" s="6" t="s">
        <v>609</v>
      </c>
      <c r="C26" s="6" t="s">
        <v>1350</v>
      </c>
      <c r="D26" s="6" t="s">
        <v>384</v>
      </c>
      <c r="E26" s="6" t="s">
        <v>3803</v>
      </c>
      <c r="F26" s="6" t="s">
        <v>3839</v>
      </c>
      <c r="G26" s="6" t="s">
        <v>3840</v>
      </c>
      <c r="H26" s="6" t="s">
        <v>1960</v>
      </c>
      <c r="I26" s="6" t="s">
        <v>3841</v>
      </c>
      <c r="J26" s="6" t="n">
        <v>11</v>
      </c>
      <c r="K26" s="6" t="s">
        <v>3842</v>
      </c>
      <c r="L26" s="6" t="s">
        <v>3767</v>
      </c>
      <c r="M26" s="6" t="s">
        <v>3806</v>
      </c>
      <c r="N26" s="6" t="s">
        <v>3807</v>
      </c>
      <c r="O26" s="6" t="s">
        <v>3808</v>
      </c>
      <c r="P26" s="6" t="s">
        <v>3843</v>
      </c>
    </row>
    <row r="27" customFormat="false" ht="15.75" hidden="false" customHeight="true" outlineLevel="0" collapsed="false">
      <c r="A27" s="6" t="s">
        <v>1956</v>
      </c>
      <c r="B27" s="6" t="s">
        <v>609</v>
      </c>
      <c r="C27" s="6" t="s">
        <v>1350</v>
      </c>
      <c r="D27" s="6" t="s">
        <v>384</v>
      </c>
      <c r="E27" s="6" t="s">
        <v>3803</v>
      </c>
      <c r="F27" s="6" t="s">
        <v>3844</v>
      </c>
      <c r="G27" s="6" t="s">
        <v>3845</v>
      </c>
      <c r="H27" s="6" t="s">
        <v>3606</v>
      </c>
      <c r="I27" s="6" t="s">
        <v>3846</v>
      </c>
      <c r="J27" s="6" t="n">
        <v>7</v>
      </c>
      <c r="K27" s="6" t="s">
        <v>3842</v>
      </c>
      <c r="L27" s="6" t="s">
        <v>3767</v>
      </c>
      <c r="M27" s="6" t="s">
        <v>3806</v>
      </c>
      <c r="N27" s="6" t="s">
        <v>3807</v>
      </c>
      <c r="O27" s="6" t="s">
        <v>3808</v>
      </c>
      <c r="P27" s="6" t="s">
        <v>3847</v>
      </c>
    </row>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0" width="13"/>
    <col collapsed="false" customWidth="true" hidden="false" outlineLevel="0" max="2" min="2" style="0" width="30"/>
    <col collapsed="false" customWidth="true" hidden="false" outlineLevel="0" max="3" min="3" style="0" width="18"/>
    <col collapsed="false" customWidth="true" hidden="false" outlineLevel="0" max="4" min="4" style="0" width="14"/>
    <col collapsed="false" customWidth="true" hidden="false" outlineLevel="0" max="5" min="5" style="0" width="64"/>
    <col collapsed="false" customWidth="true" hidden="false" outlineLevel="0" max="6" min="6" style="0" width="72"/>
    <col collapsed="false" customWidth="true" hidden="false" outlineLevel="0" max="7" min="7" style="0" width="64"/>
    <col collapsed="false" customWidth="true" hidden="false" outlineLevel="0" max="8" min="8" style="0" width="52"/>
    <col collapsed="false" customWidth="true" hidden="false" outlineLevel="0" max="26" min="9" style="0" width="8.63"/>
  </cols>
  <sheetData>
    <row r="1" customFormat="false" ht="15" hidden="false" customHeight="false" outlineLevel="0" collapsed="false">
      <c r="A1" s="3" t="s">
        <v>1311</v>
      </c>
      <c r="B1" s="3" t="s">
        <v>1312</v>
      </c>
      <c r="C1" s="3" t="s">
        <v>3848</v>
      </c>
      <c r="D1" s="3" t="s">
        <v>3849</v>
      </c>
      <c r="E1" s="3" t="s">
        <v>3850</v>
      </c>
      <c r="F1" s="3" t="s">
        <v>3851</v>
      </c>
      <c r="G1" s="3" t="s">
        <v>3852</v>
      </c>
      <c r="H1" s="3" t="s">
        <v>3585</v>
      </c>
    </row>
    <row r="2" customFormat="false" ht="28.35" hidden="false" customHeight="false" outlineLevel="0" collapsed="false">
      <c r="A2" s="9" t="s">
        <v>485</v>
      </c>
      <c r="B2" s="9" t="s">
        <v>487</v>
      </c>
      <c r="C2" s="9" t="s">
        <v>377</v>
      </c>
      <c r="D2" s="9" t="s">
        <v>89</v>
      </c>
      <c r="E2" s="9" t="s">
        <v>3853</v>
      </c>
      <c r="F2" s="9" t="s">
        <v>3854</v>
      </c>
      <c r="G2" s="9" t="s">
        <v>3855</v>
      </c>
      <c r="H2" s="9" t="s">
        <v>3856</v>
      </c>
    </row>
    <row r="3" customFormat="false" ht="28.35" hidden="false" customHeight="false" outlineLevel="0" collapsed="false">
      <c r="A3" s="9" t="s">
        <v>587</v>
      </c>
      <c r="B3" s="9" t="s">
        <v>588</v>
      </c>
      <c r="C3" s="9" t="s">
        <v>377</v>
      </c>
      <c r="D3" s="9" t="s">
        <v>89</v>
      </c>
      <c r="E3" s="9" t="s">
        <v>3857</v>
      </c>
      <c r="F3" s="9" t="s">
        <v>3858</v>
      </c>
      <c r="G3" s="9" t="s">
        <v>3859</v>
      </c>
      <c r="H3" s="9" t="s">
        <v>3856</v>
      </c>
    </row>
    <row r="4" customFormat="false" ht="28.35" hidden="false" customHeight="false" outlineLevel="0" collapsed="false">
      <c r="A4" s="9" t="s">
        <v>688</v>
      </c>
      <c r="B4" s="9" t="s">
        <v>691</v>
      </c>
      <c r="C4" s="9" t="s">
        <v>384</v>
      </c>
      <c r="D4" s="9" t="s">
        <v>89</v>
      </c>
      <c r="E4" s="9" t="s">
        <v>3860</v>
      </c>
      <c r="F4" s="9" t="s">
        <v>3861</v>
      </c>
      <c r="G4" s="9" t="s">
        <v>3862</v>
      </c>
      <c r="H4" s="9" t="s">
        <v>3856</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0" width="22"/>
    <col collapsed="false" customWidth="true" hidden="false" outlineLevel="0" max="2" min="2" style="0" width="38"/>
    <col collapsed="false" customWidth="true" hidden="false" outlineLevel="0" max="3" min="3" style="0" width="70"/>
    <col collapsed="false" customWidth="true" hidden="false" outlineLevel="0" max="4" min="4" style="0" width="64"/>
    <col collapsed="false" customWidth="true" hidden="false" outlineLevel="0" max="26" min="5" style="0" width="8.63"/>
  </cols>
  <sheetData>
    <row r="1" customFormat="false" ht="15" hidden="false" customHeight="false" outlineLevel="0" collapsed="false">
      <c r="A1" s="3" t="s">
        <v>3863</v>
      </c>
      <c r="B1" s="3" t="s">
        <v>3864</v>
      </c>
      <c r="C1" s="3" t="s">
        <v>2312</v>
      </c>
      <c r="D1" s="3" t="s">
        <v>3865</v>
      </c>
    </row>
    <row r="2" customFormat="false" ht="15" hidden="false" customHeight="false" outlineLevel="0" collapsed="false">
      <c r="A2" s="9" t="s">
        <v>3866</v>
      </c>
      <c r="B2" s="9" t="s">
        <v>3867</v>
      </c>
      <c r="C2" s="9" t="s">
        <v>3868</v>
      </c>
      <c r="D2" s="9" t="s">
        <v>3869</v>
      </c>
    </row>
    <row r="3" customFormat="false" ht="15" hidden="false" customHeight="false" outlineLevel="0" collapsed="false">
      <c r="A3" s="9" t="s">
        <v>3866</v>
      </c>
      <c r="B3" s="9" t="s">
        <v>3870</v>
      </c>
      <c r="C3" s="9" t="s">
        <v>3871</v>
      </c>
      <c r="D3" s="9" t="s">
        <v>3869</v>
      </c>
    </row>
    <row r="4" customFormat="false" ht="15" hidden="false" customHeight="false" outlineLevel="0" collapsed="false">
      <c r="A4" s="9" t="s">
        <v>3866</v>
      </c>
      <c r="B4" s="9" t="s">
        <v>3872</v>
      </c>
      <c r="C4" s="9" t="s">
        <v>3873</v>
      </c>
      <c r="D4" s="9" t="s">
        <v>3869</v>
      </c>
    </row>
    <row r="5" customFormat="false" ht="15" hidden="false" customHeight="false" outlineLevel="0" collapsed="false">
      <c r="A5" s="9" t="s">
        <v>3866</v>
      </c>
      <c r="B5" s="9" t="s">
        <v>3874</v>
      </c>
      <c r="C5" s="9" t="s">
        <v>3875</v>
      </c>
      <c r="D5" s="9" t="s">
        <v>3869</v>
      </c>
    </row>
    <row r="6" customFormat="false" ht="15" hidden="false" customHeight="false" outlineLevel="0" collapsed="false">
      <c r="A6" s="9" t="s">
        <v>3876</v>
      </c>
      <c r="B6" s="9" t="s">
        <v>3877</v>
      </c>
      <c r="C6" s="9" t="s">
        <v>3878</v>
      </c>
      <c r="D6" s="9" t="s">
        <v>3879</v>
      </c>
    </row>
    <row r="7" customFormat="false" ht="15" hidden="false" customHeight="false" outlineLevel="0" collapsed="false">
      <c r="A7" s="9" t="s">
        <v>3876</v>
      </c>
      <c r="B7" s="9" t="s">
        <v>3880</v>
      </c>
      <c r="C7" s="9" t="s">
        <v>3881</v>
      </c>
      <c r="D7" s="9" t="s">
        <v>3879</v>
      </c>
    </row>
    <row r="8" customFormat="false" ht="15" hidden="false" customHeight="false" outlineLevel="0" collapsed="false">
      <c r="A8" s="9" t="s">
        <v>3876</v>
      </c>
      <c r="B8" s="9" t="s">
        <v>3882</v>
      </c>
      <c r="C8" s="9" t="s">
        <v>3883</v>
      </c>
      <c r="D8" s="9" t="s">
        <v>3879</v>
      </c>
    </row>
    <row r="9" customFormat="false" ht="15" hidden="false" customHeight="false" outlineLevel="0" collapsed="false">
      <c r="A9" s="9" t="s">
        <v>3876</v>
      </c>
      <c r="B9" s="9" t="s">
        <v>3884</v>
      </c>
      <c r="C9" s="9" t="s">
        <v>3885</v>
      </c>
      <c r="D9" s="9" t="s">
        <v>3879</v>
      </c>
    </row>
    <row r="10" customFormat="false" ht="15" hidden="false" customHeight="false" outlineLevel="0" collapsed="false">
      <c r="A10" s="9" t="s">
        <v>3876</v>
      </c>
      <c r="B10" s="9" t="s">
        <v>3886</v>
      </c>
      <c r="C10" s="9" t="s">
        <v>3887</v>
      </c>
      <c r="D10" s="9" t="s">
        <v>3888</v>
      </c>
    </row>
    <row r="11" customFormat="false" ht="28.35" hidden="false" customHeight="false" outlineLevel="0" collapsed="false">
      <c r="A11" s="9" t="s">
        <v>3876</v>
      </c>
      <c r="B11" s="9" t="s">
        <v>3889</v>
      </c>
      <c r="C11" s="9" t="s">
        <v>3890</v>
      </c>
      <c r="D11" s="9" t="s">
        <v>3891</v>
      </c>
    </row>
    <row r="12" customFormat="false" ht="15" hidden="false" customHeight="false" outlineLevel="0" collapsed="false">
      <c r="A12" s="9" t="s">
        <v>3876</v>
      </c>
      <c r="B12" s="9" t="s">
        <v>3892</v>
      </c>
      <c r="C12" s="9" t="s">
        <v>3893</v>
      </c>
      <c r="D12" s="9" t="s">
        <v>3879</v>
      </c>
    </row>
    <row r="13" customFormat="false" ht="15" hidden="false" customHeight="false" outlineLevel="0" collapsed="false">
      <c r="A13" s="9" t="s">
        <v>3876</v>
      </c>
      <c r="B13" s="9" t="s">
        <v>3872</v>
      </c>
      <c r="C13" s="9" t="s">
        <v>3894</v>
      </c>
      <c r="D13" s="9" t="s">
        <v>3895</v>
      </c>
    </row>
    <row r="14" customFormat="false" ht="15" hidden="false" customHeight="false" outlineLevel="0" collapsed="false">
      <c r="A14" s="9" t="s">
        <v>3876</v>
      </c>
      <c r="B14" s="9" t="s">
        <v>3896</v>
      </c>
      <c r="C14" s="9" t="s">
        <v>3897</v>
      </c>
      <c r="D14" s="9" t="s">
        <v>3898</v>
      </c>
    </row>
    <row r="15" customFormat="false" ht="15" hidden="false" customHeight="false" outlineLevel="0" collapsed="false">
      <c r="A15" s="9" t="s">
        <v>3876</v>
      </c>
      <c r="B15" s="9" t="s">
        <v>3899</v>
      </c>
      <c r="C15" s="9" t="s">
        <v>3900</v>
      </c>
      <c r="D15" s="9" t="s">
        <v>3898</v>
      </c>
    </row>
    <row r="16" customFormat="false" ht="15" hidden="false" customHeight="false" outlineLevel="0" collapsed="false">
      <c r="A16" s="9" t="s">
        <v>3901</v>
      </c>
      <c r="B16" s="9" t="s">
        <v>113</v>
      </c>
      <c r="C16" s="9" t="s">
        <v>3902</v>
      </c>
      <c r="D16" s="9" t="s">
        <v>3903</v>
      </c>
    </row>
    <row r="17" customFormat="false" ht="15" hidden="false" customHeight="false" outlineLevel="0" collapsed="false">
      <c r="A17" s="9" t="s">
        <v>3901</v>
      </c>
      <c r="B17" s="9" t="s">
        <v>1857</v>
      </c>
      <c r="C17" s="9" t="s">
        <v>3904</v>
      </c>
      <c r="D17" s="9" t="s">
        <v>3905</v>
      </c>
    </row>
    <row r="18" customFormat="false" ht="15" hidden="false" customHeight="false" outlineLevel="0" collapsed="false">
      <c r="A18" s="9" t="s">
        <v>3901</v>
      </c>
      <c r="B18" s="9" t="s">
        <v>3906</v>
      </c>
      <c r="C18" s="9" t="s">
        <v>3907</v>
      </c>
      <c r="D18" s="9" t="s">
        <v>3908</v>
      </c>
    </row>
    <row r="19" customFormat="false" ht="15" hidden="false" customHeight="false" outlineLevel="0" collapsed="false">
      <c r="A19" s="9" t="s">
        <v>3901</v>
      </c>
      <c r="B19" s="9" t="s">
        <v>342</v>
      </c>
      <c r="C19" s="9" t="s">
        <v>3909</v>
      </c>
      <c r="D19" s="9" t="s">
        <v>3910</v>
      </c>
    </row>
    <row r="20" customFormat="false" ht="15" hidden="false" customHeight="false" outlineLevel="0" collapsed="false">
      <c r="A20" s="9" t="s">
        <v>3911</v>
      </c>
      <c r="B20" s="9" t="s">
        <v>110</v>
      </c>
      <c r="C20" s="9" t="s">
        <v>3912</v>
      </c>
      <c r="D20" s="9" t="s">
        <v>3913</v>
      </c>
    </row>
    <row r="21" customFormat="false" ht="15.75" hidden="false" customHeight="true" outlineLevel="0" collapsed="false">
      <c r="A21" s="9" t="s">
        <v>3911</v>
      </c>
      <c r="B21" s="9" t="s">
        <v>3914</v>
      </c>
      <c r="C21" s="9" t="s">
        <v>3915</v>
      </c>
      <c r="D21" s="9" t="s">
        <v>3916</v>
      </c>
    </row>
    <row r="22" customFormat="false" ht="15.75" hidden="false" customHeight="true" outlineLevel="0" collapsed="false">
      <c r="A22" s="9" t="s">
        <v>3911</v>
      </c>
      <c r="B22" s="9" t="s">
        <v>3917</v>
      </c>
      <c r="C22" s="9" t="s">
        <v>3918</v>
      </c>
      <c r="D22" s="9" t="s">
        <v>3919</v>
      </c>
    </row>
    <row r="23" customFormat="false" ht="15.75" hidden="false" customHeight="true" outlineLevel="0" collapsed="false">
      <c r="A23" s="9" t="s">
        <v>3920</v>
      </c>
      <c r="B23" s="9" t="s">
        <v>3921</v>
      </c>
      <c r="C23" s="9" t="s">
        <v>3922</v>
      </c>
      <c r="D23" s="9" t="s">
        <v>3923</v>
      </c>
    </row>
    <row r="24" customFormat="false" ht="15.75" hidden="false" customHeight="true" outlineLevel="0" collapsed="false">
      <c r="A24" s="9" t="s">
        <v>3920</v>
      </c>
      <c r="B24" s="9" t="s">
        <v>3924</v>
      </c>
      <c r="C24" s="9" t="s">
        <v>3925</v>
      </c>
      <c r="D24" s="9" t="s">
        <v>3926</v>
      </c>
    </row>
    <row r="25" customFormat="false" ht="15.75" hidden="false" customHeight="true" outlineLevel="0" collapsed="false">
      <c r="A25" s="9" t="s">
        <v>3920</v>
      </c>
      <c r="B25" s="9" t="s">
        <v>3927</v>
      </c>
      <c r="C25" s="9" t="s">
        <v>3928</v>
      </c>
      <c r="D25" s="9" t="s">
        <v>3929</v>
      </c>
    </row>
    <row r="26" customFormat="false" ht="15.75" hidden="false" customHeight="true" outlineLevel="0" collapsed="false">
      <c r="A26" s="9" t="s">
        <v>3920</v>
      </c>
      <c r="B26" s="9" t="s">
        <v>1527</v>
      </c>
      <c r="C26" s="9" t="s">
        <v>3930</v>
      </c>
      <c r="D26" s="9" t="s">
        <v>3931</v>
      </c>
    </row>
    <row r="27" customFormat="false" ht="15.75" hidden="false" customHeight="true" outlineLevel="0" collapsed="false">
      <c r="A27" s="9" t="s">
        <v>3920</v>
      </c>
      <c r="B27" s="9" t="s">
        <v>3932</v>
      </c>
      <c r="C27" s="9" t="s">
        <v>3933</v>
      </c>
      <c r="D27" s="9" t="s">
        <v>3934</v>
      </c>
    </row>
    <row r="28" customFormat="false" ht="15.75" hidden="false" customHeight="true" outlineLevel="0" collapsed="false">
      <c r="A28" s="9" t="s">
        <v>3935</v>
      </c>
      <c r="B28" s="9" t="s">
        <v>3936</v>
      </c>
      <c r="C28" s="9" t="s">
        <v>3937</v>
      </c>
      <c r="D28" s="9" t="s">
        <v>3938</v>
      </c>
    </row>
    <row r="29" customFormat="false" ht="15.75" hidden="false" customHeight="true" outlineLevel="0" collapsed="false">
      <c r="A29" s="9" t="s">
        <v>3935</v>
      </c>
      <c r="B29" s="9" t="s">
        <v>3939</v>
      </c>
      <c r="C29" s="9" t="s">
        <v>3940</v>
      </c>
      <c r="D29" s="9" t="s">
        <v>3941</v>
      </c>
    </row>
    <row r="30" customFormat="false" ht="15.75" hidden="false" customHeight="true" outlineLevel="0" collapsed="false">
      <c r="A30" s="9" t="s">
        <v>3935</v>
      </c>
      <c r="B30" s="9" t="s">
        <v>3942</v>
      </c>
      <c r="C30" s="9" t="s">
        <v>3943</v>
      </c>
      <c r="D30" s="9" t="s">
        <v>3944</v>
      </c>
    </row>
    <row r="31" customFormat="false" ht="15.75" hidden="false" customHeight="true" outlineLevel="0" collapsed="false">
      <c r="A31" s="9" t="s">
        <v>3935</v>
      </c>
      <c r="B31" s="9" t="s">
        <v>3945</v>
      </c>
      <c r="C31" s="9" t="s">
        <v>3946</v>
      </c>
      <c r="D31" s="9" t="s">
        <v>3947</v>
      </c>
    </row>
    <row r="32" customFormat="false" ht="15.75" hidden="false" customHeight="true" outlineLevel="0" collapsed="false">
      <c r="A32" s="9" t="s">
        <v>3935</v>
      </c>
      <c r="B32" s="9" t="s">
        <v>3948</v>
      </c>
      <c r="C32" s="9" t="s">
        <v>3949</v>
      </c>
      <c r="D32" s="9" t="s">
        <v>3950</v>
      </c>
    </row>
    <row r="33" customFormat="false" ht="15.75" hidden="false" customHeight="true" outlineLevel="0" collapsed="false">
      <c r="A33" s="9" t="s">
        <v>3935</v>
      </c>
      <c r="B33" s="9" t="s">
        <v>3951</v>
      </c>
      <c r="C33" s="9" t="s">
        <v>3952</v>
      </c>
      <c r="D33" s="9" t="s">
        <v>3953</v>
      </c>
    </row>
    <row r="34" customFormat="false" ht="15.75" hidden="false" customHeight="true" outlineLevel="0" collapsed="false">
      <c r="A34" s="9" t="s">
        <v>3954</v>
      </c>
      <c r="B34" s="9" t="s">
        <v>3955</v>
      </c>
      <c r="C34" s="9" t="s">
        <v>3956</v>
      </c>
      <c r="D34" s="9" t="s">
        <v>3957</v>
      </c>
    </row>
    <row r="35" customFormat="false" ht="15.75" hidden="false" customHeight="true" outlineLevel="0" collapsed="false">
      <c r="A35" s="9" t="s">
        <v>3954</v>
      </c>
      <c r="B35" s="9" t="s">
        <v>3958</v>
      </c>
      <c r="C35" s="9" t="s">
        <v>3959</v>
      </c>
      <c r="D35" s="9" t="s">
        <v>3957</v>
      </c>
    </row>
    <row r="36" customFormat="false" ht="15.75" hidden="false" customHeight="true" outlineLevel="0" collapsed="false">
      <c r="A36" s="9" t="s">
        <v>3954</v>
      </c>
      <c r="B36" s="9" t="s">
        <v>3960</v>
      </c>
      <c r="C36" s="9" t="s">
        <v>3961</v>
      </c>
      <c r="D36" s="9" t="s">
        <v>3962</v>
      </c>
    </row>
    <row r="37" customFormat="false" ht="15.75" hidden="false" customHeight="true" outlineLevel="0" collapsed="false">
      <c r="A37" s="9" t="s">
        <v>3954</v>
      </c>
      <c r="B37" s="9" t="s">
        <v>3963</v>
      </c>
      <c r="C37" s="9" t="s">
        <v>3964</v>
      </c>
      <c r="D37" s="9" t="s">
        <v>3965</v>
      </c>
    </row>
    <row r="38" customFormat="false" ht="15.75" hidden="false" customHeight="true" outlineLevel="0" collapsed="false">
      <c r="A38" s="9" t="s">
        <v>3966</v>
      </c>
      <c r="B38" s="9" t="s">
        <v>3967</v>
      </c>
      <c r="C38" s="9" t="s">
        <v>3968</v>
      </c>
      <c r="D38" s="9" t="s">
        <v>3969</v>
      </c>
    </row>
    <row r="39" customFormat="false" ht="15.75" hidden="false" customHeight="true" outlineLevel="0" collapsed="false">
      <c r="A39" s="9" t="s">
        <v>3966</v>
      </c>
      <c r="B39" s="9" t="s">
        <v>3970</v>
      </c>
      <c r="C39" s="9" t="s">
        <v>3971</v>
      </c>
      <c r="D39" s="9" t="s">
        <v>3972</v>
      </c>
    </row>
    <row r="40" customFormat="false" ht="15.75" hidden="false" customHeight="true" outlineLevel="0" collapsed="false">
      <c r="A40" s="9" t="s">
        <v>3966</v>
      </c>
      <c r="B40" s="9" t="s">
        <v>3973</v>
      </c>
      <c r="C40" s="9" t="s">
        <v>3974</v>
      </c>
      <c r="D40" s="9" t="s">
        <v>3975</v>
      </c>
    </row>
    <row r="41" customFormat="false" ht="15.75" hidden="false" customHeight="true" outlineLevel="0" collapsed="false">
      <c r="A41" s="9" t="s">
        <v>3966</v>
      </c>
      <c r="B41" s="9" t="s">
        <v>3976</v>
      </c>
      <c r="C41" s="9" t="s">
        <v>3977</v>
      </c>
      <c r="D41" s="9" t="s">
        <v>3978</v>
      </c>
    </row>
    <row r="42" customFormat="false" ht="15.75" hidden="false" customHeight="true" outlineLevel="0" collapsed="false">
      <c r="A42" s="9" t="s">
        <v>3979</v>
      </c>
      <c r="B42" s="9" t="s">
        <v>3980</v>
      </c>
      <c r="C42" s="9" t="s">
        <v>3981</v>
      </c>
      <c r="D42" s="9" t="s">
        <v>3982</v>
      </c>
    </row>
    <row r="43" customFormat="false" ht="15.75" hidden="false" customHeight="true" outlineLevel="0" collapsed="false">
      <c r="A43" s="9" t="s">
        <v>3979</v>
      </c>
      <c r="B43" s="9" t="s">
        <v>3983</v>
      </c>
      <c r="C43" s="9" t="s">
        <v>3984</v>
      </c>
      <c r="D43" s="9" t="s">
        <v>3985</v>
      </c>
    </row>
    <row r="44" customFormat="false" ht="15.75" hidden="false" customHeight="true" outlineLevel="0" collapsed="false">
      <c r="A44" s="6" t="s">
        <v>3966</v>
      </c>
      <c r="B44" s="6" t="s">
        <v>3986</v>
      </c>
      <c r="C44" s="6" t="s">
        <v>3987</v>
      </c>
      <c r="D44" s="6" t="s">
        <v>3988</v>
      </c>
    </row>
    <row r="45" customFormat="false" ht="15.75" hidden="false" customHeight="true" outlineLevel="0" collapsed="false">
      <c r="A45" s="6" t="s">
        <v>3966</v>
      </c>
      <c r="B45" s="6" t="s">
        <v>3989</v>
      </c>
      <c r="C45" s="6" t="s">
        <v>3990</v>
      </c>
      <c r="D45" s="6" t="s">
        <v>3991</v>
      </c>
    </row>
    <row r="46" customFormat="false" ht="15.75" hidden="false" customHeight="true" outlineLevel="0" collapsed="false">
      <c r="A46" s="6" t="s">
        <v>440</v>
      </c>
      <c r="B46" s="6" t="s">
        <v>3992</v>
      </c>
      <c r="C46" s="6" t="s">
        <v>3993</v>
      </c>
      <c r="D46" s="6" t="s">
        <v>3994</v>
      </c>
    </row>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0" width="12"/>
    <col collapsed="false" customWidth="true" hidden="false" outlineLevel="0" max="2" min="2" style="0" width="44"/>
    <col collapsed="false" customWidth="true" hidden="false" outlineLevel="0" max="4" min="3" style="0" width="34"/>
    <col collapsed="false" customWidth="true" hidden="false" outlineLevel="0" max="5" min="5" style="0" width="22"/>
    <col collapsed="false" customWidth="true" hidden="false" outlineLevel="0" max="6" min="6" style="0" width="58"/>
    <col collapsed="false" customWidth="true" hidden="false" outlineLevel="0" max="7" min="7" style="0" width="12"/>
    <col collapsed="false" customWidth="true" hidden="false" outlineLevel="0" max="8" min="8" style="0" width="24"/>
    <col collapsed="false" customWidth="true" hidden="false" outlineLevel="0" max="9" min="9" style="0" width="30"/>
    <col collapsed="false" customWidth="true" hidden="false" outlineLevel="0" max="10" min="10" style="0" width="62"/>
    <col collapsed="false" customWidth="true" hidden="false" outlineLevel="0" max="11" min="11" style="0" width="16"/>
    <col collapsed="false" customWidth="true" hidden="false" outlineLevel="0" max="12" min="12" style="0" width="32"/>
    <col collapsed="false" customWidth="true" hidden="false" outlineLevel="0" max="13" min="13" style="0" width="14"/>
    <col collapsed="false" customWidth="true" hidden="false" outlineLevel="0" max="14" min="14" style="0" width="18"/>
    <col collapsed="false" customWidth="true" hidden="false" outlineLevel="0" max="15" min="15" style="0" width="30"/>
    <col collapsed="false" customWidth="true" hidden="false" outlineLevel="0" max="16" min="16" style="0" width="18"/>
    <col collapsed="false" customWidth="true" hidden="false" outlineLevel="0" max="17" min="17" style="0" width="68"/>
    <col collapsed="false" customWidth="true" hidden="false" outlineLevel="0" max="18" min="18" style="0" width="72"/>
    <col collapsed="false" customWidth="true" hidden="false" outlineLevel="0" max="19" min="19" style="0" width="90"/>
    <col collapsed="false" customWidth="true" hidden="false" outlineLevel="0" max="20" min="20" style="0" width="88"/>
    <col collapsed="false" customWidth="true" hidden="false" outlineLevel="0" max="22" min="21" style="0" width="82"/>
    <col collapsed="false" customWidth="true" hidden="false" outlineLevel="0" max="23" min="23" style="0" width="78"/>
    <col collapsed="false" customWidth="true" hidden="false" outlineLevel="0" max="24" min="24" style="0" width="30"/>
    <col collapsed="false" customWidth="true" hidden="false" outlineLevel="0" max="25" min="25" style="0" width="34"/>
    <col collapsed="false" customWidth="true" hidden="false" outlineLevel="0" max="26" min="26" style="0" width="18"/>
    <col collapsed="false" customWidth="true" hidden="false" outlineLevel="0" max="27" min="27" style="0" width="58"/>
    <col collapsed="false" customWidth="true" hidden="false" outlineLevel="0" max="28" min="28" style="0" width="20"/>
    <col collapsed="false" customWidth="true" hidden="false" outlineLevel="0" max="29" min="29" style="0" width="64"/>
    <col collapsed="false" customWidth="true" hidden="false" outlineLevel="0" max="30" min="30" style="0" width="20"/>
    <col collapsed="false" customWidth="true" hidden="false" outlineLevel="0" max="31" min="31" style="0" width="72"/>
  </cols>
  <sheetData>
    <row r="1" customFormat="false" ht="15" hidden="false" customHeight="false" outlineLevel="0" collapsed="false">
      <c r="A1" s="3" t="s">
        <v>3995</v>
      </c>
      <c r="B1" s="3" t="s">
        <v>3996</v>
      </c>
      <c r="C1" s="3" t="s">
        <v>3997</v>
      </c>
      <c r="D1" s="3" t="s">
        <v>3998</v>
      </c>
      <c r="E1" s="3" t="s">
        <v>3999</v>
      </c>
      <c r="F1" s="3" t="s">
        <v>4000</v>
      </c>
      <c r="G1" s="3" t="s">
        <v>4001</v>
      </c>
      <c r="H1" s="3" t="s">
        <v>4002</v>
      </c>
      <c r="I1" s="3" t="s">
        <v>4003</v>
      </c>
      <c r="J1" s="3" t="s">
        <v>4004</v>
      </c>
      <c r="K1" s="3" t="s">
        <v>4005</v>
      </c>
      <c r="L1" s="3" t="s">
        <v>4006</v>
      </c>
      <c r="M1" s="3" t="s">
        <v>4007</v>
      </c>
      <c r="N1" s="3" t="s">
        <v>4008</v>
      </c>
      <c r="O1" s="3" t="s">
        <v>4009</v>
      </c>
      <c r="P1" s="3" t="s">
        <v>4010</v>
      </c>
      <c r="Q1" s="3" t="s">
        <v>4011</v>
      </c>
      <c r="R1" s="3" t="s">
        <v>4012</v>
      </c>
      <c r="S1" s="3" t="s">
        <v>4013</v>
      </c>
      <c r="T1" s="3" t="s">
        <v>4014</v>
      </c>
      <c r="U1" s="3" t="s">
        <v>4015</v>
      </c>
      <c r="V1" s="3" t="s">
        <v>4016</v>
      </c>
      <c r="W1" s="3" t="s">
        <v>4017</v>
      </c>
      <c r="X1" s="3" t="s">
        <v>4018</v>
      </c>
      <c r="Y1" s="3" t="s">
        <v>4019</v>
      </c>
      <c r="Z1" s="3" t="s">
        <v>2612</v>
      </c>
      <c r="AA1" s="3" t="s">
        <v>4020</v>
      </c>
      <c r="AB1" s="3" t="s">
        <v>4021</v>
      </c>
      <c r="AC1" s="3" t="s">
        <v>4022</v>
      </c>
      <c r="AD1" s="3" t="s">
        <v>4023</v>
      </c>
      <c r="AE1" s="3" t="s">
        <v>4024</v>
      </c>
    </row>
    <row r="2" customFormat="false" ht="68.65" hidden="false" customHeight="false" outlineLevel="0" collapsed="false">
      <c r="A2" s="9" t="s">
        <v>4025</v>
      </c>
      <c r="B2" s="9" t="s">
        <v>4026</v>
      </c>
      <c r="C2" s="9" t="s">
        <v>4027</v>
      </c>
      <c r="D2" s="9" t="s">
        <v>3870</v>
      </c>
      <c r="E2" s="9" t="s">
        <v>912</v>
      </c>
      <c r="F2" s="9" t="s">
        <v>4028</v>
      </c>
      <c r="G2" s="18" t="b">
        <f aca="false">FALSE()</f>
        <v>0</v>
      </c>
      <c r="H2" s="9" t="s">
        <v>4029</v>
      </c>
      <c r="I2" s="9" t="s">
        <v>3877</v>
      </c>
      <c r="J2" s="9" t="s">
        <v>4030</v>
      </c>
      <c r="K2" s="9" t="s">
        <v>113</v>
      </c>
      <c r="L2" s="9" t="s">
        <v>110</v>
      </c>
      <c r="M2" s="9" t="n">
        <v>1</v>
      </c>
      <c r="N2" s="9" t="s">
        <v>3927</v>
      </c>
      <c r="O2" s="9" t="s">
        <v>4031</v>
      </c>
      <c r="P2" s="9" t="s">
        <v>3983</v>
      </c>
      <c r="Q2" s="9" t="s">
        <v>4032</v>
      </c>
      <c r="R2" s="9" t="s">
        <v>4033</v>
      </c>
      <c r="S2" s="9" t="s">
        <v>4034</v>
      </c>
      <c r="T2" s="9" t="s">
        <v>4035</v>
      </c>
      <c r="U2" s="9" t="s">
        <v>4036</v>
      </c>
      <c r="V2" s="9" t="s">
        <v>4037</v>
      </c>
      <c r="W2" s="9" t="s">
        <v>4038</v>
      </c>
      <c r="X2" s="9" t="s">
        <v>4039</v>
      </c>
      <c r="Y2" s="9"/>
      <c r="Z2" s="9" t="s">
        <v>3927</v>
      </c>
      <c r="AA2" s="9" t="s">
        <v>4040</v>
      </c>
      <c r="AB2" s="8" t="str">
        <f aca="false">IF('Author Decision Queue'!$Z$8="RESOLVED","APPROVED/REVISED",IF('Author Decision Queue'!$Z$8="HOLD","HOLD","PENDING"))</f>
        <v>APPROVED/REVISED</v>
      </c>
      <c r="AC2" s="8" t="str">
        <f aca="false">IF(AB2="PENDING","",IF('Author Decision Queue'!$U$8&lt;&gt;"",'Author Decision Queue'!$U$8,'Author Decision Queue'!$Y$8))</f>
        <v>“How can faith alone and church discipline both fit Baptist theology? See the distinction.”</v>
      </c>
      <c r="AD2" s="8" t="str">
        <f aca="false">IF('Author Decision Queue'!$Z$9="RESOLVED","APPROVED/REVISED",IF('Author Decision Queue'!$Z$9="HOLD","HOLD","PENDING"))</f>
        <v>APPROVED/REVISED</v>
      </c>
      <c r="AE2" s="8" t="str">
        <f aca="false">IF(AD2="PENDING","",IF('Author Decision Queue'!$U$9&lt;&gt;"",'Author Decision Queue'!$U$9,'Author Decision Queue'!$Y$9))</f>
        <v>APPROVE CONTENT — keep public release held until the lens-balance policy is satisfied</v>
      </c>
    </row>
    <row r="3" customFormat="false" ht="15" hidden="false" customHeight="false" outlineLevel="0" collapsed="false">
      <c r="A3" s="6" t="s">
        <v>4041</v>
      </c>
      <c r="B3" s="6" t="s">
        <v>4042</v>
      </c>
      <c r="C3" s="6" t="s">
        <v>4043</v>
      </c>
      <c r="D3" s="6" t="s">
        <v>3870</v>
      </c>
      <c r="E3" s="6" t="s">
        <v>4044</v>
      </c>
      <c r="F3" s="6" t="s">
        <v>4045</v>
      </c>
      <c r="G3" s="20" t="b">
        <f aca="false">FALSE()</f>
        <v>0</v>
      </c>
      <c r="H3" s="6" t="s">
        <v>4029</v>
      </c>
      <c r="I3" s="6" t="s">
        <v>3877</v>
      </c>
      <c r="J3" s="6" t="s">
        <v>4046</v>
      </c>
      <c r="K3" s="6" t="s">
        <v>113</v>
      </c>
      <c r="L3" s="6" t="s">
        <v>110</v>
      </c>
      <c r="M3" s="6" t="n">
        <v>1</v>
      </c>
      <c r="N3" s="8" t="s">
        <v>3927</v>
      </c>
      <c r="O3" s="6" t="s">
        <v>4047</v>
      </c>
      <c r="P3" s="6" t="s">
        <v>3983</v>
      </c>
      <c r="Q3" s="6" t="s">
        <v>4048</v>
      </c>
      <c r="R3" s="6" t="s">
        <v>4049</v>
      </c>
      <c r="S3" s="6" t="s">
        <v>4050</v>
      </c>
      <c r="T3" s="6" t="s">
        <v>4051</v>
      </c>
      <c r="U3" s="6" t="s">
        <v>4052</v>
      </c>
      <c r="V3" s="6" t="s">
        <v>4053</v>
      </c>
      <c r="W3" s="6" t="s">
        <v>4054</v>
      </c>
      <c r="X3" s="6" t="s">
        <v>4039</v>
      </c>
      <c r="Y3" s="6" t="s">
        <v>4055</v>
      </c>
      <c r="Z3" s="8" t="s">
        <v>3927</v>
      </c>
      <c r="AA3" s="6" t="s">
        <v>4056</v>
      </c>
      <c r="AB3" s="6" t="s">
        <v>3927</v>
      </c>
      <c r="AC3" s="6" t="s">
        <v>4057</v>
      </c>
      <c r="AD3" s="6" t="s">
        <v>3927</v>
      </c>
      <c r="AE3" s="6" t="s">
        <v>4057</v>
      </c>
    </row>
    <row r="4" customFormat="false" ht="15" hidden="false" customHeight="false" outlineLevel="0" collapsed="false">
      <c r="N4" s="8"/>
      <c r="Z4" s="8"/>
    </row>
    <row r="5" customFormat="false" ht="15" hidden="false" customHeight="false" outlineLevel="0" collapsed="false">
      <c r="N5" s="8"/>
      <c r="Z5" s="8"/>
    </row>
    <row r="6" customFormat="false" ht="15" hidden="false" customHeight="false" outlineLevel="0" collapsed="false">
      <c r="N6" s="8"/>
      <c r="Z6" s="8"/>
    </row>
    <row r="7" customFormat="false" ht="15" hidden="false" customHeight="false" outlineLevel="0" collapsed="false">
      <c r="N7" s="8"/>
      <c r="Z7" s="8"/>
    </row>
    <row r="8" customFormat="false" ht="15" hidden="false" customHeight="false" outlineLevel="0" collapsed="false">
      <c r="N8" s="8"/>
      <c r="Z8" s="8"/>
    </row>
    <row r="9" customFormat="false" ht="15" hidden="false" customHeight="false" outlineLevel="0" collapsed="false">
      <c r="N9" s="8"/>
      <c r="Z9" s="8"/>
    </row>
    <row r="10" customFormat="false" ht="15" hidden="false" customHeight="false" outlineLevel="0" collapsed="false">
      <c r="N10" s="8"/>
      <c r="Z10" s="8"/>
    </row>
    <row r="11" customFormat="false" ht="15" hidden="false" customHeight="false" outlineLevel="0" collapsed="false">
      <c r="N11" s="8"/>
      <c r="Z11" s="8"/>
    </row>
    <row r="12" customFormat="false" ht="15" hidden="false" customHeight="false" outlineLevel="0" collapsed="false">
      <c r="N12" s="8"/>
      <c r="Z12" s="8"/>
    </row>
    <row r="13" customFormat="false" ht="15" hidden="false" customHeight="false" outlineLevel="0" collapsed="false">
      <c r="N13" s="8"/>
      <c r="Z13" s="8"/>
    </row>
    <row r="14" customFormat="false" ht="15" hidden="false" customHeight="false" outlineLevel="0" collapsed="false">
      <c r="N14" s="8"/>
      <c r="Z14" s="8"/>
    </row>
    <row r="15" customFormat="false" ht="15" hidden="false" customHeight="false" outlineLevel="0" collapsed="false">
      <c r="N15" s="8"/>
      <c r="Z15" s="8"/>
    </row>
    <row r="16" customFormat="false" ht="15" hidden="false" customHeight="false" outlineLevel="0" collapsed="false">
      <c r="N16" s="8"/>
      <c r="Z16" s="8"/>
    </row>
    <row r="17" customFormat="false" ht="15" hidden="false" customHeight="false" outlineLevel="0" collapsed="false">
      <c r="N17" s="8"/>
      <c r="Z17" s="8"/>
    </row>
    <row r="18" customFormat="false" ht="15" hidden="false" customHeight="false" outlineLevel="0" collapsed="false">
      <c r="N18" s="8"/>
      <c r="Z18" s="8"/>
    </row>
    <row r="19" customFormat="false" ht="15" hidden="false" customHeight="false" outlineLevel="0" collapsed="false">
      <c r="N19" s="8"/>
      <c r="Z19" s="8"/>
    </row>
    <row r="20" customFormat="false" ht="15" hidden="false" customHeight="false" outlineLevel="0" collapsed="false">
      <c r="N20" s="8"/>
      <c r="Z20" s="8"/>
    </row>
    <row r="21" customFormat="false" ht="15.75" hidden="false" customHeight="true" outlineLevel="0" collapsed="false">
      <c r="N21" s="8"/>
      <c r="Z21" s="8"/>
    </row>
    <row r="22" customFormat="false" ht="15.75" hidden="false" customHeight="true" outlineLevel="0" collapsed="false">
      <c r="N22" s="8"/>
      <c r="Z22" s="8"/>
    </row>
    <row r="23" customFormat="false" ht="15.75" hidden="false" customHeight="true" outlineLevel="0" collapsed="false">
      <c r="N23" s="8"/>
      <c r="Z23" s="8"/>
    </row>
    <row r="24" customFormat="false" ht="15.75" hidden="false" customHeight="true" outlineLevel="0" collapsed="false">
      <c r="N24" s="8"/>
      <c r="Z24" s="8"/>
    </row>
    <row r="25" customFormat="false" ht="15.75" hidden="false" customHeight="true" outlineLevel="0" collapsed="false">
      <c r="N25" s="8"/>
      <c r="Z25" s="8"/>
    </row>
    <row r="26" customFormat="false" ht="15.75" hidden="false" customHeight="true" outlineLevel="0" collapsed="false">
      <c r="N26" s="8"/>
      <c r="Z26" s="8"/>
    </row>
    <row r="27" customFormat="false" ht="15.75" hidden="false" customHeight="true" outlineLevel="0" collapsed="false">
      <c r="N27" s="8"/>
      <c r="Z27" s="8"/>
    </row>
    <row r="28" customFormat="false" ht="15.75" hidden="false" customHeight="true" outlineLevel="0" collapsed="false">
      <c r="N28" s="8"/>
      <c r="Z28" s="8"/>
    </row>
    <row r="29" customFormat="false" ht="15.75" hidden="false" customHeight="true" outlineLevel="0" collapsed="false">
      <c r="N29" s="8"/>
      <c r="Z29" s="8"/>
    </row>
    <row r="30" customFormat="false" ht="15.75" hidden="false" customHeight="true" outlineLevel="0" collapsed="false">
      <c r="N30" s="8"/>
      <c r="Z30" s="8"/>
    </row>
    <row r="31" customFormat="false" ht="15.75" hidden="false" customHeight="true" outlineLevel="0" collapsed="false">
      <c r="N31" s="8"/>
      <c r="Z31" s="8"/>
    </row>
    <row r="32" customFormat="false" ht="15.75" hidden="false" customHeight="true" outlineLevel="0" collapsed="false">
      <c r="N32" s="8"/>
      <c r="Z32" s="8"/>
    </row>
    <row r="33" customFormat="false" ht="15.75" hidden="false" customHeight="true" outlineLevel="0" collapsed="false">
      <c r="N33" s="8"/>
      <c r="Z33" s="8"/>
    </row>
    <row r="34" customFormat="false" ht="15.75" hidden="false" customHeight="true" outlineLevel="0" collapsed="false">
      <c r="N34" s="8"/>
      <c r="Z34" s="8"/>
    </row>
    <row r="35" customFormat="false" ht="15.75" hidden="false" customHeight="true" outlineLevel="0" collapsed="false">
      <c r="N35" s="8"/>
      <c r="Z35" s="8"/>
    </row>
    <row r="36" customFormat="false" ht="15.75" hidden="false" customHeight="true" outlineLevel="0" collapsed="false">
      <c r="N36" s="8"/>
      <c r="Z36" s="8"/>
    </row>
    <row r="37" customFormat="false" ht="15.75" hidden="false" customHeight="true" outlineLevel="0" collapsed="false">
      <c r="N37" s="8"/>
      <c r="Z37" s="8"/>
    </row>
    <row r="38" customFormat="false" ht="15.75" hidden="false" customHeight="true" outlineLevel="0" collapsed="false">
      <c r="N38" s="8"/>
      <c r="Z38" s="8"/>
    </row>
    <row r="39" customFormat="false" ht="15.75" hidden="false" customHeight="true" outlineLevel="0" collapsed="false">
      <c r="N39" s="8"/>
      <c r="Z39" s="8"/>
    </row>
    <row r="40" customFormat="false" ht="15.75" hidden="false" customHeight="true" outlineLevel="0" collapsed="false">
      <c r="N40" s="8"/>
      <c r="Z40" s="8"/>
    </row>
    <row r="41" customFormat="false" ht="15.75" hidden="false" customHeight="true" outlineLevel="0" collapsed="false">
      <c r="N41" s="8"/>
      <c r="Z41" s="8"/>
    </row>
    <row r="42" customFormat="false" ht="15.75" hidden="false" customHeight="true" outlineLevel="0" collapsed="false">
      <c r="N42" s="8"/>
      <c r="Z42" s="8"/>
    </row>
    <row r="43" customFormat="false" ht="15.75" hidden="false" customHeight="true" outlineLevel="0" collapsed="false">
      <c r="N43" s="8"/>
      <c r="Z43" s="8"/>
    </row>
    <row r="44" customFormat="false" ht="15.75" hidden="false" customHeight="true" outlineLevel="0" collapsed="false">
      <c r="N44" s="8"/>
      <c r="Z44" s="8"/>
    </row>
    <row r="45" customFormat="false" ht="15.75" hidden="false" customHeight="true" outlineLevel="0" collapsed="false">
      <c r="N45" s="8"/>
      <c r="Z45" s="8"/>
    </row>
    <row r="46" customFormat="false" ht="15.75" hidden="false" customHeight="true" outlineLevel="0" collapsed="false">
      <c r="N46" s="8"/>
      <c r="Z46" s="8"/>
    </row>
    <row r="47" customFormat="false" ht="15.75" hidden="false" customHeight="true" outlineLevel="0" collapsed="false">
      <c r="N47" s="8"/>
      <c r="Z47" s="8"/>
    </row>
    <row r="48" customFormat="false" ht="15.75" hidden="false" customHeight="true" outlineLevel="0" collapsed="false">
      <c r="N48" s="8"/>
      <c r="Z48" s="8"/>
    </row>
    <row r="49" customFormat="false" ht="15.75" hidden="false" customHeight="true" outlineLevel="0" collapsed="false">
      <c r="N49" s="8"/>
      <c r="Z49" s="8"/>
    </row>
    <row r="50" customFormat="false" ht="15.75" hidden="false" customHeight="true" outlineLevel="0" collapsed="false">
      <c r="N50" s="8"/>
      <c r="Z50" s="8"/>
    </row>
    <row r="51" customFormat="false" ht="15.75" hidden="false" customHeight="true" outlineLevel="0" collapsed="false">
      <c r="A51" s="6"/>
      <c r="B51" s="6"/>
      <c r="C51" s="6"/>
      <c r="D51" s="6"/>
      <c r="E51" s="6"/>
      <c r="F51" s="6"/>
      <c r="G51" s="6"/>
      <c r="H51" s="6"/>
      <c r="I51" s="6"/>
      <c r="J51" s="6"/>
      <c r="K51" s="6"/>
      <c r="L51" s="6"/>
      <c r="M51" s="6"/>
      <c r="N51" s="21"/>
      <c r="O51" s="6"/>
      <c r="P51" s="6"/>
      <c r="Q51" s="6"/>
      <c r="R51" s="6"/>
      <c r="S51" s="6"/>
      <c r="T51" s="6"/>
      <c r="U51" s="6"/>
      <c r="V51" s="6"/>
      <c r="W51" s="6"/>
      <c r="X51" s="6"/>
      <c r="Y51" s="6"/>
      <c r="Z51" s="6"/>
      <c r="AA51" s="6"/>
      <c r="AB51" s="6"/>
      <c r="AC51" s="6"/>
      <c r="AD51" s="6"/>
      <c r="AE51" s="6"/>
    </row>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conditionalFormatting sqref="N2:N1000">
    <cfRule type="expression" priority="2" aboveAverage="0" equalAverage="0" bottom="0" percent="0" rank="0" text="" dxfId="13">
      <formula>N2="APPROVED"</formula>
    </cfRule>
    <cfRule type="expression" priority="3" aboveAverage="0" equalAverage="0" bottom="0" percent="0" rank="0" text="" dxfId="15">
      <formula>N2="AUTHOR_REVIEW"</formula>
    </cfRule>
    <cfRule type="expression" priority="4" aboveAverage="0" equalAverage="0" bottom="0" percent="0" rank="0" text="" dxfId="16">
      <formula>N2="HOLD"</formula>
    </cfRule>
  </conditionalFormatting>
  <dataValidations count="2">
    <dataValidation allowBlank="true" errorStyle="stop" operator="between" showDropDown="false" showErrorMessage="false" showInputMessage="false" sqref="N2:N50" type="list">
      <formula1>"DRAFT,AUTHOR_REVIEW,APPROVED,HOLD,RETIRED"</formula1>
      <formula2>0</formula2>
    </dataValidation>
    <dataValidation allowBlank="true" errorStyle="stop" operator="between" showDropDown="false" showErrorMessage="false" showInputMessage="false" sqref="Z2:Z50" type="list">
      <formula1>"PENDING,APPROVE,REVISE,HOLD"</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2" min="1" style="0" width="12"/>
    <col collapsed="false" customWidth="true" hidden="false" outlineLevel="0" max="3" min="3" style="0" width="22"/>
    <col collapsed="false" customWidth="true" hidden="false" outlineLevel="0" max="4" min="4" style="0" width="52"/>
    <col collapsed="false" customWidth="true" hidden="false" outlineLevel="0" max="5" min="5" style="0" width="22"/>
    <col collapsed="false" customWidth="true" hidden="false" outlineLevel="0" max="7" min="6" style="0" width="28"/>
    <col collapsed="false" customWidth="true" hidden="false" outlineLevel="0" max="8" min="8" style="0" width="20"/>
    <col collapsed="false" customWidth="true" hidden="false" outlineLevel="0" max="9" min="9" style="0" width="12"/>
    <col collapsed="false" customWidth="true" hidden="false" outlineLevel="0" max="10" min="10" style="0" width="16"/>
    <col collapsed="false" customWidth="true" hidden="false" outlineLevel="0" max="11" min="11" style="0" width="18"/>
    <col collapsed="false" customWidth="true" hidden="false" outlineLevel="0" max="12" min="12" style="0" width="62"/>
    <col collapsed="false" customWidth="true" hidden="false" outlineLevel="0" max="13" min="13" style="0" width="12"/>
    <col collapsed="false" customWidth="true" hidden="false" outlineLevel="0" max="26" min="14" style="0" width="8.63"/>
  </cols>
  <sheetData>
    <row r="1" customFormat="false" ht="15" hidden="false" customHeight="false" outlineLevel="0" collapsed="false">
      <c r="A1" s="3" t="s">
        <v>4058</v>
      </c>
      <c r="B1" s="3" t="s">
        <v>3995</v>
      </c>
      <c r="C1" s="3" t="s">
        <v>4059</v>
      </c>
      <c r="D1" s="3" t="s">
        <v>4060</v>
      </c>
      <c r="E1" s="3" t="s">
        <v>4061</v>
      </c>
      <c r="F1" s="3" t="s">
        <v>4062</v>
      </c>
      <c r="G1" s="3" t="s">
        <v>4063</v>
      </c>
      <c r="H1" s="3" t="s">
        <v>4064</v>
      </c>
      <c r="I1" s="3" t="s">
        <v>3508</v>
      </c>
      <c r="J1" s="3" t="s">
        <v>4065</v>
      </c>
      <c r="K1" s="3" t="s">
        <v>4066</v>
      </c>
      <c r="L1" s="3" t="s">
        <v>4067</v>
      </c>
      <c r="M1" s="3" t="s">
        <v>4068</v>
      </c>
    </row>
    <row r="2" customFormat="false" ht="15" hidden="false" customHeight="false" outlineLevel="0" collapsed="false">
      <c r="A2" s="9" t="s">
        <v>4069</v>
      </c>
      <c r="B2" s="9" t="s">
        <v>4025</v>
      </c>
      <c r="C2" s="9" t="s">
        <v>3936</v>
      </c>
      <c r="D2" s="9" t="s">
        <v>4070</v>
      </c>
      <c r="E2" s="9" t="s">
        <v>3963</v>
      </c>
      <c r="F2" s="9" t="s">
        <v>912</v>
      </c>
      <c r="G2" s="9"/>
      <c r="H2" s="9" t="s">
        <v>380</v>
      </c>
      <c r="I2" s="9" t="s">
        <v>113</v>
      </c>
      <c r="J2" s="9" t="n">
        <v>100</v>
      </c>
      <c r="K2" s="9" t="s">
        <v>380</v>
      </c>
      <c r="L2" s="9" t="s">
        <v>4071</v>
      </c>
      <c r="M2" s="9" t="s">
        <v>380</v>
      </c>
    </row>
    <row r="3" customFormat="false" ht="15" hidden="false" customHeight="false" outlineLevel="0" collapsed="false">
      <c r="A3" s="9" t="s">
        <v>4072</v>
      </c>
      <c r="B3" s="9" t="s">
        <v>4025</v>
      </c>
      <c r="C3" s="9" t="s">
        <v>3936</v>
      </c>
      <c r="D3" s="9" t="s">
        <v>4073</v>
      </c>
      <c r="E3" s="9" t="s">
        <v>3963</v>
      </c>
      <c r="F3" s="9" t="s">
        <v>912</v>
      </c>
      <c r="G3" s="9"/>
      <c r="H3" s="9" t="s">
        <v>380</v>
      </c>
      <c r="I3" s="9" t="s">
        <v>113</v>
      </c>
      <c r="J3" s="9" t="n">
        <v>100</v>
      </c>
      <c r="K3" s="9" t="s">
        <v>380</v>
      </c>
      <c r="L3" s="9" t="s">
        <v>4071</v>
      </c>
      <c r="M3" s="9" t="s">
        <v>380</v>
      </c>
    </row>
    <row r="4" customFormat="false" ht="15" hidden="false" customHeight="false" outlineLevel="0" collapsed="false">
      <c r="A4" s="9" t="s">
        <v>4074</v>
      </c>
      <c r="B4" s="9" t="s">
        <v>4025</v>
      </c>
      <c r="C4" s="9" t="s">
        <v>3936</v>
      </c>
      <c r="D4" s="9" t="s">
        <v>4075</v>
      </c>
      <c r="E4" s="9" t="s">
        <v>3963</v>
      </c>
      <c r="F4" s="9" t="s">
        <v>912</v>
      </c>
      <c r="G4" s="9"/>
      <c r="H4" s="9" t="s">
        <v>380</v>
      </c>
      <c r="I4" s="9" t="s">
        <v>113</v>
      </c>
      <c r="J4" s="9" t="n">
        <v>95</v>
      </c>
      <c r="K4" s="9" t="s">
        <v>380</v>
      </c>
      <c r="L4" s="9" t="s">
        <v>4076</v>
      </c>
      <c r="M4" s="9" t="s">
        <v>380</v>
      </c>
    </row>
    <row r="5" customFormat="false" ht="15" hidden="false" customHeight="false" outlineLevel="0" collapsed="false">
      <c r="A5" s="9" t="s">
        <v>4077</v>
      </c>
      <c r="B5" s="9" t="s">
        <v>4025</v>
      </c>
      <c r="C5" s="9" t="s">
        <v>3936</v>
      </c>
      <c r="D5" s="9" t="s">
        <v>4078</v>
      </c>
      <c r="E5" s="9" t="s">
        <v>3963</v>
      </c>
      <c r="F5" s="9" t="s">
        <v>912</v>
      </c>
      <c r="G5" s="9"/>
      <c r="H5" s="9" t="s">
        <v>380</v>
      </c>
      <c r="I5" s="9" t="s">
        <v>113</v>
      </c>
      <c r="J5" s="9" t="n">
        <v>95</v>
      </c>
      <c r="K5" s="9" t="s">
        <v>380</v>
      </c>
      <c r="L5" s="9" t="s">
        <v>4076</v>
      </c>
      <c r="M5" s="9" t="s">
        <v>380</v>
      </c>
    </row>
    <row r="6" customFormat="false" ht="15" hidden="false" customHeight="false" outlineLevel="0" collapsed="false">
      <c r="A6" s="9" t="s">
        <v>4079</v>
      </c>
      <c r="B6" s="9" t="s">
        <v>4025</v>
      </c>
      <c r="C6" s="9" t="s">
        <v>3936</v>
      </c>
      <c r="D6" s="9" t="s">
        <v>4080</v>
      </c>
      <c r="E6" s="9" t="s">
        <v>3963</v>
      </c>
      <c r="F6" s="9" t="s">
        <v>912</v>
      </c>
      <c r="G6" s="9"/>
      <c r="H6" s="9" t="s">
        <v>380</v>
      </c>
      <c r="I6" s="9" t="s">
        <v>113</v>
      </c>
      <c r="J6" s="9" t="n">
        <v>90</v>
      </c>
      <c r="K6" s="9" t="s">
        <v>380</v>
      </c>
      <c r="L6" s="9" t="s">
        <v>4081</v>
      </c>
      <c r="M6" s="9" t="s">
        <v>380</v>
      </c>
    </row>
    <row r="7" customFormat="false" ht="15" hidden="false" customHeight="false" outlineLevel="0" collapsed="false">
      <c r="A7" s="9" t="s">
        <v>4082</v>
      </c>
      <c r="B7" s="9" t="s">
        <v>4025</v>
      </c>
      <c r="C7" s="9" t="s">
        <v>3936</v>
      </c>
      <c r="D7" s="9" t="s">
        <v>4083</v>
      </c>
      <c r="E7" s="9" t="s">
        <v>3963</v>
      </c>
      <c r="F7" s="9" t="s">
        <v>912</v>
      </c>
      <c r="G7" s="9"/>
      <c r="H7" s="9" t="s">
        <v>380</v>
      </c>
      <c r="I7" s="9" t="s">
        <v>113</v>
      </c>
      <c r="J7" s="9" t="n">
        <v>90</v>
      </c>
      <c r="K7" s="9" t="s">
        <v>380</v>
      </c>
      <c r="L7" s="9" t="s">
        <v>4084</v>
      </c>
      <c r="M7" s="9" t="s">
        <v>380</v>
      </c>
    </row>
    <row r="8" customFormat="false" ht="15" hidden="false" customHeight="false" outlineLevel="0" collapsed="false">
      <c r="A8" s="9" t="s">
        <v>4085</v>
      </c>
      <c r="B8" s="9" t="s">
        <v>4025</v>
      </c>
      <c r="C8" s="9" t="s">
        <v>3936</v>
      </c>
      <c r="D8" s="9" t="s">
        <v>4086</v>
      </c>
      <c r="E8" s="9" t="s">
        <v>3963</v>
      </c>
      <c r="F8" s="9" t="s">
        <v>912</v>
      </c>
      <c r="G8" s="9" t="s">
        <v>4087</v>
      </c>
      <c r="H8" s="9" t="s">
        <v>380</v>
      </c>
      <c r="I8" s="9" t="s">
        <v>113</v>
      </c>
      <c r="J8" s="9" t="n">
        <v>85</v>
      </c>
      <c r="K8" s="9" t="s">
        <v>380</v>
      </c>
      <c r="L8" s="9" t="s">
        <v>4088</v>
      </c>
      <c r="M8" s="9" t="s">
        <v>380</v>
      </c>
    </row>
    <row r="9" customFormat="false" ht="15" hidden="false" customHeight="false" outlineLevel="0" collapsed="false">
      <c r="A9" s="9" t="s">
        <v>4089</v>
      </c>
      <c r="B9" s="9" t="s">
        <v>4025</v>
      </c>
      <c r="C9" s="9" t="s">
        <v>3936</v>
      </c>
      <c r="D9" s="9" t="s">
        <v>4090</v>
      </c>
      <c r="E9" s="9" t="s">
        <v>3963</v>
      </c>
      <c r="F9" s="9" t="s">
        <v>912</v>
      </c>
      <c r="G9" s="9" t="s">
        <v>4087</v>
      </c>
      <c r="H9" s="9" t="s">
        <v>380</v>
      </c>
      <c r="I9" s="9" t="s">
        <v>113</v>
      </c>
      <c r="J9" s="9" t="n">
        <v>85</v>
      </c>
      <c r="K9" s="9" t="s">
        <v>380</v>
      </c>
      <c r="L9" s="9" t="s">
        <v>4091</v>
      </c>
      <c r="M9" s="9" t="s">
        <v>380</v>
      </c>
    </row>
    <row r="10" customFormat="false" ht="15" hidden="false" customHeight="false" outlineLevel="0" collapsed="false">
      <c r="A10" s="9" t="s">
        <v>4092</v>
      </c>
      <c r="B10" s="9" t="s">
        <v>4025</v>
      </c>
      <c r="C10" s="9" t="s">
        <v>3936</v>
      </c>
      <c r="D10" s="9" t="s">
        <v>4093</v>
      </c>
      <c r="E10" s="9" t="s">
        <v>3963</v>
      </c>
      <c r="F10" s="9" t="s">
        <v>912</v>
      </c>
      <c r="G10" s="9" t="s">
        <v>4087</v>
      </c>
      <c r="H10" s="9" t="s">
        <v>380</v>
      </c>
      <c r="I10" s="9" t="s">
        <v>113</v>
      </c>
      <c r="J10" s="9" t="n">
        <v>80</v>
      </c>
      <c r="K10" s="9" t="s">
        <v>380</v>
      </c>
      <c r="L10" s="9" t="s">
        <v>4094</v>
      </c>
      <c r="M10" s="9" t="s">
        <v>380</v>
      </c>
    </row>
    <row r="11" customFormat="false" ht="15" hidden="false" customHeight="false" outlineLevel="0" collapsed="false">
      <c r="A11" s="9" t="s">
        <v>4095</v>
      </c>
      <c r="B11" s="9" t="s">
        <v>4025</v>
      </c>
      <c r="C11" s="9" t="s">
        <v>3939</v>
      </c>
      <c r="D11" s="9" t="s">
        <v>4096</v>
      </c>
      <c r="E11" s="9" t="s">
        <v>3963</v>
      </c>
      <c r="F11" s="9" t="s">
        <v>912</v>
      </c>
      <c r="G11" s="9"/>
      <c r="H11" s="9" t="s">
        <v>380</v>
      </c>
      <c r="I11" s="9" t="s">
        <v>113</v>
      </c>
      <c r="J11" s="9" t="n">
        <v>90</v>
      </c>
      <c r="K11" s="9" t="s">
        <v>380</v>
      </c>
      <c r="L11" s="9" t="s">
        <v>4097</v>
      </c>
      <c r="M11" s="9" t="s">
        <v>380</v>
      </c>
    </row>
    <row r="12" customFormat="false" ht="15" hidden="false" customHeight="false" outlineLevel="0" collapsed="false">
      <c r="A12" s="9" t="s">
        <v>4098</v>
      </c>
      <c r="B12" s="9" t="s">
        <v>4025</v>
      </c>
      <c r="C12" s="9" t="s">
        <v>3939</v>
      </c>
      <c r="D12" s="9" t="s">
        <v>4099</v>
      </c>
      <c r="E12" s="9" t="s">
        <v>3963</v>
      </c>
      <c r="F12" s="9" t="s">
        <v>912</v>
      </c>
      <c r="G12" s="9"/>
      <c r="H12" s="9" t="s">
        <v>380</v>
      </c>
      <c r="I12" s="9" t="s">
        <v>113</v>
      </c>
      <c r="J12" s="9" t="n">
        <v>95</v>
      </c>
      <c r="K12" s="9" t="s">
        <v>380</v>
      </c>
      <c r="L12" s="9" t="s">
        <v>4097</v>
      </c>
      <c r="M12" s="9" t="s">
        <v>380</v>
      </c>
    </row>
    <row r="13" customFormat="false" ht="15" hidden="false" customHeight="false" outlineLevel="0" collapsed="false">
      <c r="A13" s="9" t="s">
        <v>4100</v>
      </c>
      <c r="B13" s="9" t="s">
        <v>4025</v>
      </c>
      <c r="C13" s="9" t="s">
        <v>3942</v>
      </c>
      <c r="D13" s="9" t="s">
        <v>4101</v>
      </c>
      <c r="E13" s="9" t="s">
        <v>3955</v>
      </c>
      <c r="F13" s="9"/>
      <c r="G13" s="9" t="s">
        <v>4102</v>
      </c>
      <c r="H13" s="9" t="s">
        <v>398</v>
      </c>
      <c r="I13" s="9" t="s">
        <v>1857</v>
      </c>
      <c r="J13" s="9" t="n">
        <v>60</v>
      </c>
      <c r="K13" s="9" t="s">
        <v>380</v>
      </c>
      <c r="L13" s="9" t="s">
        <v>4103</v>
      </c>
      <c r="M13" s="9" t="s">
        <v>380</v>
      </c>
    </row>
    <row r="14" customFormat="false" ht="15" hidden="false" customHeight="false" outlineLevel="0" collapsed="false">
      <c r="A14" s="9" t="s">
        <v>4104</v>
      </c>
      <c r="B14" s="9" t="s">
        <v>4025</v>
      </c>
      <c r="C14" s="9" t="s">
        <v>3942</v>
      </c>
      <c r="D14" s="9" t="s">
        <v>4105</v>
      </c>
      <c r="E14" s="9" t="s">
        <v>3955</v>
      </c>
      <c r="F14" s="9"/>
      <c r="G14" s="9" t="s">
        <v>4102</v>
      </c>
      <c r="H14" s="9" t="s">
        <v>398</v>
      </c>
      <c r="I14" s="9" t="s">
        <v>1857</v>
      </c>
      <c r="J14" s="9" t="n">
        <v>60</v>
      </c>
      <c r="K14" s="9" t="s">
        <v>380</v>
      </c>
      <c r="L14" s="9" t="s">
        <v>4103</v>
      </c>
      <c r="M14" s="9" t="s">
        <v>380</v>
      </c>
    </row>
    <row r="15" customFormat="false" ht="28.35" hidden="false" customHeight="false" outlineLevel="0" collapsed="false">
      <c r="A15" s="9" t="s">
        <v>4106</v>
      </c>
      <c r="B15" s="9" t="s">
        <v>4025</v>
      </c>
      <c r="C15" s="9" t="s">
        <v>3942</v>
      </c>
      <c r="D15" s="9" t="s">
        <v>4107</v>
      </c>
      <c r="E15" s="9" t="s">
        <v>3955</v>
      </c>
      <c r="F15" s="9"/>
      <c r="G15" s="9" t="s">
        <v>4108</v>
      </c>
      <c r="H15" s="9" t="s">
        <v>398</v>
      </c>
      <c r="I15" s="9" t="s">
        <v>1857</v>
      </c>
      <c r="J15" s="9" t="n">
        <v>60</v>
      </c>
      <c r="K15" s="9" t="s">
        <v>380</v>
      </c>
      <c r="L15" s="9" t="s">
        <v>4109</v>
      </c>
      <c r="M15" s="9" t="s">
        <v>380</v>
      </c>
    </row>
    <row r="16" customFormat="false" ht="15" hidden="false" customHeight="false" outlineLevel="0" collapsed="false">
      <c r="A16" s="9" t="s">
        <v>4110</v>
      </c>
      <c r="B16" s="9" t="s">
        <v>4025</v>
      </c>
      <c r="C16" s="9" t="s">
        <v>3945</v>
      </c>
      <c r="D16" s="9" t="s">
        <v>4111</v>
      </c>
      <c r="E16" s="9" t="s">
        <v>3960</v>
      </c>
      <c r="F16" s="9" t="s">
        <v>912</v>
      </c>
      <c r="G16" s="9"/>
      <c r="H16" s="9" t="s">
        <v>380</v>
      </c>
      <c r="I16" s="9" t="s">
        <v>113</v>
      </c>
      <c r="J16" s="9" t="n">
        <v>100</v>
      </c>
      <c r="K16" s="9" t="s">
        <v>380</v>
      </c>
      <c r="L16" s="9" t="s">
        <v>4112</v>
      </c>
      <c r="M16" s="9" t="s">
        <v>4113</v>
      </c>
    </row>
    <row r="17" customFormat="false" ht="15" hidden="false" customHeight="false" outlineLevel="0" collapsed="false">
      <c r="A17" s="9" t="s">
        <v>4114</v>
      </c>
      <c r="B17" s="9" t="s">
        <v>4025</v>
      </c>
      <c r="C17" s="9" t="s">
        <v>3945</v>
      </c>
      <c r="D17" s="9" t="s">
        <v>4115</v>
      </c>
      <c r="E17" s="9" t="s">
        <v>3960</v>
      </c>
      <c r="F17" s="9" t="s">
        <v>912</v>
      </c>
      <c r="G17" s="9"/>
      <c r="H17" s="9" t="s">
        <v>380</v>
      </c>
      <c r="I17" s="9" t="s">
        <v>113</v>
      </c>
      <c r="J17" s="9" t="n">
        <v>100</v>
      </c>
      <c r="K17" s="9" t="s">
        <v>380</v>
      </c>
      <c r="L17" s="9" t="s">
        <v>4112</v>
      </c>
      <c r="M17" s="9" t="s">
        <v>4113</v>
      </c>
    </row>
    <row r="18" customFormat="false" ht="15" hidden="false" customHeight="false" outlineLevel="0" collapsed="false">
      <c r="A18" s="9" t="s">
        <v>4116</v>
      </c>
      <c r="B18" s="9" t="s">
        <v>4025</v>
      </c>
      <c r="C18" s="9" t="s">
        <v>3945</v>
      </c>
      <c r="D18" s="9" t="s">
        <v>4117</v>
      </c>
      <c r="E18" s="9" t="s">
        <v>3960</v>
      </c>
      <c r="F18" s="9" t="s">
        <v>912</v>
      </c>
      <c r="G18" s="9"/>
      <c r="H18" s="9" t="s">
        <v>380</v>
      </c>
      <c r="I18" s="9" t="s">
        <v>113</v>
      </c>
      <c r="J18" s="9" t="n">
        <v>100</v>
      </c>
      <c r="K18" s="9" t="s">
        <v>380</v>
      </c>
      <c r="L18" s="9" t="s">
        <v>4112</v>
      </c>
      <c r="M18" s="9" t="s">
        <v>4113</v>
      </c>
    </row>
    <row r="19" customFormat="false" ht="15" hidden="false" customHeight="false" outlineLevel="0" collapsed="false">
      <c r="A19" s="9" t="s">
        <v>4118</v>
      </c>
      <c r="B19" s="9" t="s">
        <v>4025</v>
      </c>
      <c r="C19" s="9" t="s">
        <v>3951</v>
      </c>
      <c r="D19" s="9" t="s">
        <v>3884</v>
      </c>
      <c r="E19" s="9" t="s">
        <v>3955</v>
      </c>
      <c r="F19" s="9"/>
      <c r="G19" s="9"/>
      <c r="H19" s="9" t="s">
        <v>398</v>
      </c>
      <c r="I19" s="9" t="s">
        <v>1857</v>
      </c>
      <c r="J19" s="9" t="n">
        <v>70</v>
      </c>
      <c r="K19" s="9" t="s">
        <v>380</v>
      </c>
      <c r="L19" s="9" t="s">
        <v>4119</v>
      </c>
      <c r="M19" s="9" t="s">
        <v>380</v>
      </c>
    </row>
    <row r="20" customFormat="false" ht="15" hidden="false" customHeight="false" outlineLevel="0" collapsed="false">
      <c r="A20" s="6" t="s">
        <v>4120</v>
      </c>
      <c r="B20" s="6" t="s">
        <v>4041</v>
      </c>
      <c r="C20" s="6" t="s">
        <v>3936</v>
      </c>
      <c r="D20" s="6" t="s">
        <v>4121</v>
      </c>
      <c r="E20" s="6" t="s">
        <v>3963</v>
      </c>
      <c r="F20" s="6" t="s">
        <v>4044</v>
      </c>
      <c r="H20" s="6" t="s">
        <v>380</v>
      </c>
      <c r="I20" s="6" t="s">
        <v>113</v>
      </c>
      <c r="J20" s="6" t="n">
        <v>100</v>
      </c>
      <c r="K20" s="6" t="s">
        <v>380</v>
      </c>
      <c r="L20" s="6" t="s">
        <v>4122</v>
      </c>
      <c r="M20" s="6" t="s">
        <v>380</v>
      </c>
    </row>
    <row r="21" customFormat="false" ht="15.75" hidden="false" customHeight="true" outlineLevel="0" collapsed="false">
      <c r="A21" s="6" t="s">
        <v>4123</v>
      </c>
      <c r="B21" s="6" t="s">
        <v>4041</v>
      </c>
      <c r="C21" s="6" t="s">
        <v>3936</v>
      </c>
      <c r="D21" s="6" t="s">
        <v>4124</v>
      </c>
      <c r="E21" s="6" t="s">
        <v>3963</v>
      </c>
      <c r="F21" s="6" t="s">
        <v>4044</v>
      </c>
      <c r="G21" s="6" t="s">
        <v>4087</v>
      </c>
      <c r="H21" s="6" t="s">
        <v>380</v>
      </c>
      <c r="I21" s="6" t="s">
        <v>113</v>
      </c>
      <c r="J21" s="6" t="n">
        <v>95</v>
      </c>
      <c r="K21" s="6" t="s">
        <v>380</v>
      </c>
      <c r="L21" s="6" t="s">
        <v>4125</v>
      </c>
      <c r="M21" s="6" t="s">
        <v>380</v>
      </c>
    </row>
    <row r="22" customFormat="false" ht="15.75" hidden="false" customHeight="true" outlineLevel="0" collapsed="false">
      <c r="A22" s="6" t="s">
        <v>4126</v>
      </c>
      <c r="B22" s="6" t="s">
        <v>4041</v>
      </c>
      <c r="C22" s="6" t="s">
        <v>3936</v>
      </c>
      <c r="D22" s="6" t="s">
        <v>4127</v>
      </c>
      <c r="E22" s="6" t="s">
        <v>3963</v>
      </c>
      <c r="F22" s="6" t="s">
        <v>4044</v>
      </c>
      <c r="H22" s="6" t="s">
        <v>380</v>
      </c>
      <c r="I22" s="6" t="s">
        <v>113</v>
      </c>
      <c r="J22" s="6" t="n">
        <v>95</v>
      </c>
      <c r="K22" s="6" t="s">
        <v>380</v>
      </c>
      <c r="L22" s="6" t="s">
        <v>4128</v>
      </c>
      <c r="M22" s="6" t="s">
        <v>380</v>
      </c>
    </row>
    <row r="23" customFormat="false" ht="15.75" hidden="false" customHeight="true" outlineLevel="0" collapsed="false">
      <c r="A23" s="6" t="s">
        <v>4129</v>
      </c>
      <c r="B23" s="6" t="s">
        <v>4041</v>
      </c>
      <c r="C23" s="6" t="s">
        <v>3936</v>
      </c>
      <c r="D23" s="6" t="s">
        <v>4093</v>
      </c>
      <c r="E23" s="6" t="s">
        <v>3963</v>
      </c>
      <c r="F23" s="6" t="s">
        <v>4044</v>
      </c>
      <c r="G23" s="6" t="s">
        <v>4087</v>
      </c>
      <c r="H23" s="6" t="s">
        <v>380</v>
      </c>
      <c r="I23" s="6" t="s">
        <v>113</v>
      </c>
      <c r="J23" s="6" t="n">
        <v>80</v>
      </c>
      <c r="K23" s="6" t="s">
        <v>380</v>
      </c>
      <c r="L23" s="6" t="s">
        <v>4130</v>
      </c>
      <c r="M23" s="6" t="s">
        <v>380</v>
      </c>
    </row>
    <row r="24" customFormat="false" ht="15.75" hidden="false" customHeight="true" outlineLevel="0" collapsed="false">
      <c r="A24" s="6" t="s">
        <v>4131</v>
      </c>
      <c r="B24" s="6" t="s">
        <v>4041</v>
      </c>
      <c r="C24" s="6" t="s">
        <v>3936</v>
      </c>
      <c r="D24" s="6" t="s">
        <v>4132</v>
      </c>
      <c r="E24" s="6" t="s">
        <v>3963</v>
      </c>
      <c r="F24" s="6" t="s">
        <v>4044</v>
      </c>
      <c r="G24" s="6" t="s">
        <v>4087</v>
      </c>
      <c r="H24" s="6" t="s">
        <v>380</v>
      </c>
      <c r="I24" s="6" t="s">
        <v>113</v>
      </c>
      <c r="J24" s="6" t="n">
        <v>85</v>
      </c>
      <c r="K24" s="6" t="s">
        <v>380</v>
      </c>
      <c r="L24" s="6" t="s">
        <v>4133</v>
      </c>
      <c r="M24" s="6" t="s">
        <v>380</v>
      </c>
    </row>
    <row r="25" customFormat="false" ht="15.75" hidden="false" customHeight="true" outlineLevel="0" collapsed="false">
      <c r="A25" s="6" t="s">
        <v>4134</v>
      </c>
      <c r="B25" s="6" t="s">
        <v>4041</v>
      </c>
      <c r="C25" s="6" t="s">
        <v>3936</v>
      </c>
      <c r="D25" s="6" t="s">
        <v>4135</v>
      </c>
      <c r="E25" s="6" t="s">
        <v>3963</v>
      </c>
      <c r="F25" s="6" t="s">
        <v>4044</v>
      </c>
      <c r="G25" s="6" t="s">
        <v>4087</v>
      </c>
      <c r="H25" s="6" t="s">
        <v>380</v>
      </c>
      <c r="I25" s="6" t="s">
        <v>113</v>
      </c>
      <c r="J25" s="6" t="n">
        <v>85</v>
      </c>
      <c r="K25" s="6" t="s">
        <v>380</v>
      </c>
      <c r="L25" s="6" t="s">
        <v>4136</v>
      </c>
      <c r="M25" s="6" t="s">
        <v>380</v>
      </c>
    </row>
    <row r="26" customFormat="false" ht="15.75" hidden="false" customHeight="true" outlineLevel="0" collapsed="false">
      <c r="A26" s="6" t="s">
        <v>4137</v>
      </c>
      <c r="B26" s="6" t="s">
        <v>4041</v>
      </c>
      <c r="C26" s="6" t="s">
        <v>3936</v>
      </c>
      <c r="D26" s="6" t="s">
        <v>4138</v>
      </c>
      <c r="E26" s="6" t="s">
        <v>3963</v>
      </c>
      <c r="F26" s="6" t="s">
        <v>4044</v>
      </c>
      <c r="H26" s="6" t="s">
        <v>380</v>
      </c>
      <c r="I26" s="6" t="s">
        <v>113</v>
      </c>
      <c r="J26" s="6" t="n">
        <v>90</v>
      </c>
      <c r="K26" s="6" t="s">
        <v>380</v>
      </c>
      <c r="L26" s="6" t="s">
        <v>4139</v>
      </c>
      <c r="M26" s="6" t="s">
        <v>380</v>
      </c>
    </row>
    <row r="27" customFormat="false" ht="15.75" hidden="false" customHeight="true" outlineLevel="0" collapsed="false">
      <c r="A27" s="6" t="s">
        <v>4140</v>
      </c>
      <c r="B27" s="6" t="s">
        <v>4041</v>
      </c>
      <c r="C27" s="6" t="s">
        <v>3939</v>
      </c>
      <c r="D27" s="6" t="s">
        <v>4141</v>
      </c>
      <c r="E27" s="6" t="s">
        <v>3963</v>
      </c>
      <c r="F27" s="6" t="s">
        <v>4044</v>
      </c>
      <c r="H27" s="6" t="s">
        <v>380</v>
      </c>
      <c r="I27" s="6" t="s">
        <v>113</v>
      </c>
      <c r="J27" s="6" t="n">
        <v>90</v>
      </c>
      <c r="K27" s="6" t="s">
        <v>380</v>
      </c>
      <c r="L27" s="6" t="s">
        <v>4142</v>
      </c>
      <c r="M27" s="6" t="s">
        <v>380</v>
      </c>
    </row>
    <row r="28" customFormat="false" ht="15.75" hidden="false" customHeight="true" outlineLevel="0" collapsed="false">
      <c r="A28" s="6" t="s">
        <v>4143</v>
      </c>
      <c r="B28" s="6" t="s">
        <v>4041</v>
      </c>
      <c r="C28" s="6" t="s">
        <v>3939</v>
      </c>
      <c r="D28" s="6" t="s">
        <v>4144</v>
      </c>
      <c r="E28" s="6" t="s">
        <v>3963</v>
      </c>
      <c r="F28" s="6" t="s">
        <v>4044</v>
      </c>
      <c r="H28" s="6" t="s">
        <v>380</v>
      </c>
      <c r="I28" s="6" t="s">
        <v>113</v>
      </c>
      <c r="J28" s="6" t="n">
        <v>90</v>
      </c>
      <c r="K28" s="6" t="s">
        <v>380</v>
      </c>
      <c r="L28" s="6" t="s">
        <v>4142</v>
      </c>
      <c r="M28" s="6" t="s">
        <v>380</v>
      </c>
    </row>
    <row r="29" customFormat="false" ht="15.75" hidden="false" customHeight="true" outlineLevel="0" collapsed="false">
      <c r="A29" s="6" t="s">
        <v>4145</v>
      </c>
      <c r="B29" s="6" t="s">
        <v>4041</v>
      </c>
      <c r="C29" s="6" t="s">
        <v>3942</v>
      </c>
      <c r="D29" s="6" t="s">
        <v>4044</v>
      </c>
      <c r="E29" s="6" t="s">
        <v>3955</v>
      </c>
      <c r="G29" s="6" t="s">
        <v>4146</v>
      </c>
      <c r="H29" s="6" t="s">
        <v>398</v>
      </c>
      <c r="I29" s="6" t="s">
        <v>1857</v>
      </c>
      <c r="J29" s="6" t="n">
        <v>60</v>
      </c>
      <c r="K29" s="6" t="s">
        <v>380</v>
      </c>
      <c r="L29" s="6" t="s">
        <v>4103</v>
      </c>
      <c r="M29" s="6" t="s">
        <v>380</v>
      </c>
    </row>
    <row r="30" customFormat="false" ht="15.75" hidden="false" customHeight="true" outlineLevel="0" collapsed="false">
      <c r="A30" s="6" t="s">
        <v>4147</v>
      </c>
      <c r="B30" s="6" t="s">
        <v>4041</v>
      </c>
      <c r="C30" s="6" t="s">
        <v>3948</v>
      </c>
      <c r="D30" s="6" t="s">
        <v>522</v>
      </c>
      <c r="E30" s="6" t="s">
        <v>3955</v>
      </c>
      <c r="H30" s="6" t="s">
        <v>398</v>
      </c>
      <c r="I30" s="6" t="s">
        <v>1857</v>
      </c>
      <c r="J30" s="6" t="n">
        <v>70</v>
      </c>
      <c r="K30" s="6" t="s">
        <v>380</v>
      </c>
      <c r="L30" s="6" t="s">
        <v>4148</v>
      </c>
      <c r="M30" s="6" t="s">
        <v>380</v>
      </c>
    </row>
    <row r="31" customFormat="false" ht="15.75" hidden="false" customHeight="true" outlineLevel="0" collapsed="false">
      <c r="A31" s="6" t="s">
        <v>4149</v>
      </c>
      <c r="B31" s="6" t="s">
        <v>4041</v>
      </c>
      <c r="C31" s="6" t="s">
        <v>3948</v>
      </c>
      <c r="D31" s="6" t="s">
        <v>566</v>
      </c>
      <c r="E31" s="6" t="s">
        <v>3955</v>
      </c>
      <c r="H31" s="6" t="s">
        <v>398</v>
      </c>
      <c r="I31" s="6" t="s">
        <v>1857</v>
      </c>
      <c r="J31" s="6" t="n">
        <v>70</v>
      </c>
      <c r="K31" s="6" t="s">
        <v>380</v>
      </c>
      <c r="L31" s="6" t="s">
        <v>4150</v>
      </c>
      <c r="M31" s="6" t="s">
        <v>380</v>
      </c>
    </row>
    <row r="32" customFormat="false" ht="15.75" hidden="false" customHeight="true" outlineLevel="0" collapsed="false">
      <c r="A32" s="6" t="s">
        <v>4151</v>
      </c>
      <c r="B32" s="6" t="s">
        <v>4041</v>
      </c>
      <c r="C32" s="6" t="s">
        <v>3948</v>
      </c>
      <c r="D32" s="6" t="s">
        <v>757</v>
      </c>
      <c r="E32" s="6" t="s">
        <v>3955</v>
      </c>
      <c r="H32" s="6" t="s">
        <v>398</v>
      </c>
      <c r="I32" s="6" t="s">
        <v>1857</v>
      </c>
      <c r="J32" s="6" t="n">
        <v>75</v>
      </c>
      <c r="K32" s="6" t="s">
        <v>380</v>
      </c>
      <c r="L32" s="6" t="s">
        <v>4152</v>
      </c>
      <c r="M32" s="6" t="s">
        <v>380</v>
      </c>
    </row>
    <row r="33" customFormat="false" ht="15.75" hidden="false" customHeight="true" outlineLevel="0" collapsed="false">
      <c r="A33" s="6" t="s">
        <v>4153</v>
      </c>
      <c r="B33" s="6" t="s">
        <v>4041</v>
      </c>
      <c r="C33" s="6" t="s">
        <v>3945</v>
      </c>
      <c r="D33" s="6" t="s">
        <v>4154</v>
      </c>
      <c r="E33" s="6" t="s">
        <v>3960</v>
      </c>
      <c r="F33" s="6" t="s">
        <v>4044</v>
      </c>
      <c r="H33" s="6" t="s">
        <v>380</v>
      </c>
      <c r="I33" s="6" t="s">
        <v>113</v>
      </c>
      <c r="J33" s="6" t="n">
        <v>100</v>
      </c>
      <c r="K33" s="6" t="s">
        <v>380</v>
      </c>
      <c r="L33" s="6" t="s">
        <v>4112</v>
      </c>
      <c r="M33" s="6" t="s">
        <v>4113</v>
      </c>
    </row>
    <row r="34" customFormat="false" ht="15.75" hidden="false" customHeight="true" outlineLevel="0" collapsed="false">
      <c r="A34" s="6" t="s">
        <v>4155</v>
      </c>
      <c r="B34" s="6" t="s">
        <v>4041</v>
      </c>
      <c r="C34" s="6" t="s">
        <v>3945</v>
      </c>
      <c r="D34" s="6" t="s">
        <v>4156</v>
      </c>
      <c r="E34" s="6" t="s">
        <v>3960</v>
      </c>
      <c r="F34" s="6" t="s">
        <v>4044</v>
      </c>
      <c r="H34" s="6" t="s">
        <v>380</v>
      </c>
      <c r="I34" s="6" t="s">
        <v>113</v>
      </c>
      <c r="J34" s="6" t="n">
        <v>100</v>
      </c>
      <c r="K34" s="6" t="s">
        <v>380</v>
      </c>
      <c r="L34" s="6" t="s">
        <v>4112</v>
      </c>
      <c r="M34" s="6" t="s">
        <v>4113</v>
      </c>
    </row>
    <row r="35" customFormat="false" ht="15.75" hidden="false" customHeight="true" outlineLevel="0" collapsed="false">
      <c r="A35" s="6" t="s">
        <v>4157</v>
      </c>
      <c r="B35" s="6" t="s">
        <v>4041</v>
      </c>
      <c r="C35" s="6" t="s">
        <v>3945</v>
      </c>
      <c r="D35" s="6" t="s">
        <v>4158</v>
      </c>
      <c r="E35" s="6" t="s">
        <v>3960</v>
      </c>
      <c r="F35" s="6" t="s">
        <v>4044</v>
      </c>
      <c r="H35" s="6" t="s">
        <v>380</v>
      </c>
      <c r="I35" s="6" t="s">
        <v>113</v>
      </c>
      <c r="J35" s="6" t="n">
        <v>100</v>
      </c>
      <c r="K35" s="6" t="s">
        <v>380</v>
      </c>
      <c r="L35" s="6" t="s">
        <v>4159</v>
      </c>
      <c r="M35" s="6" t="s">
        <v>4113</v>
      </c>
    </row>
    <row r="36" customFormat="false" ht="15.75" hidden="false" customHeight="true" outlineLevel="0" collapsed="false">
      <c r="A36" s="6" t="s">
        <v>4160</v>
      </c>
      <c r="B36" s="6" t="s">
        <v>4041</v>
      </c>
      <c r="C36" s="6" t="s">
        <v>3951</v>
      </c>
      <c r="D36" s="6" t="s">
        <v>3877</v>
      </c>
      <c r="E36" s="6" t="s">
        <v>3955</v>
      </c>
      <c r="H36" s="6" t="s">
        <v>398</v>
      </c>
      <c r="I36" s="6" t="s">
        <v>1857</v>
      </c>
      <c r="J36" s="6" t="n">
        <v>70</v>
      </c>
      <c r="K36" s="6" t="s">
        <v>380</v>
      </c>
      <c r="L36" s="6" t="s">
        <v>4119</v>
      </c>
      <c r="M36" s="6" t="s">
        <v>380</v>
      </c>
    </row>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2" min="1" style="0" width="12"/>
    <col collapsed="false" customWidth="true" hidden="false" outlineLevel="0" max="3" min="3" style="0" width="26"/>
    <col collapsed="false" customWidth="true" hidden="false" outlineLevel="0" max="4" min="4" style="0" width="34"/>
    <col collapsed="false" customWidth="true" hidden="false" outlineLevel="0" max="5" min="5" style="0" width="28"/>
    <col collapsed="false" customWidth="true" hidden="false" outlineLevel="0" max="6" min="6" style="0" width="50"/>
    <col collapsed="false" customWidth="true" hidden="false" outlineLevel="0" max="7" min="7" style="0" width="36"/>
    <col collapsed="false" customWidth="true" hidden="false" outlineLevel="0" max="8" min="8" style="0" width="82"/>
    <col collapsed="false" customWidth="true" hidden="false" outlineLevel="0" max="9" min="9" style="0" width="50"/>
    <col collapsed="false" customWidth="true" hidden="false" outlineLevel="0" max="10" min="10" style="0" width="16"/>
    <col collapsed="false" customWidth="true" hidden="false" outlineLevel="0" max="11" min="11" style="0" width="72"/>
    <col collapsed="false" customWidth="true" hidden="false" outlineLevel="0" max="12" min="12" style="0" width="62"/>
    <col collapsed="false" customWidth="true" hidden="false" outlineLevel="0" max="13" min="13" style="0" width="38"/>
    <col collapsed="false" customWidth="true" hidden="false" outlineLevel="0" max="14" min="14" style="0" width="18"/>
    <col collapsed="false" customWidth="true" hidden="false" outlineLevel="0" max="15" min="15" style="0" width="12"/>
    <col collapsed="false" customWidth="true" hidden="false" outlineLevel="0" max="16" min="16" style="0" width="24"/>
    <col collapsed="false" customWidth="true" hidden="false" outlineLevel="0" max="17" min="17" style="0" width="14"/>
    <col collapsed="false" customWidth="true" hidden="false" outlineLevel="0" max="18" min="18" style="0" width="60"/>
    <col collapsed="false" customWidth="true" hidden="false" outlineLevel="0" max="26" min="19" style="0" width="8.63"/>
  </cols>
  <sheetData>
    <row r="1" customFormat="false" ht="28.35" hidden="false" customHeight="false" outlineLevel="0" collapsed="false">
      <c r="A1" s="3" t="s">
        <v>4161</v>
      </c>
      <c r="B1" s="3" t="s">
        <v>3995</v>
      </c>
      <c r="C1" s="3" t="s">
        <v>2687</v>
      </c>
      <c r="D1" s="3" t="s">
        <v>4162</v>
      </c>
      <c r="E1" s="3" t="s">
        <v>4000</v>
      </c>
      <c r="F1" s="3" t="s">
        <v>4163</v>
      </c>
      <c r="G1" s="3" t="s">
        <v>1234</v>
      </c>
      <c r="H1" s="3" t="s">
        <v>3576</v>
      </c>
      <c r="I1" s="3" t="s">
        <v>4164</v>
      </c>
      <c r="J1" s="3" t="s">
        <v>3756</v>
      </c>
      <c r="K1" s="3" t="s">
        <v>4165</v>
      </c>
      <c r="L1" s="3" t="s">
        <v>4166</v>
      </c>
      <c r="M1" s="3" t="s">
        <v>4167</v>
      </c>
      <c r="N1" s="3" t="s">
        <v>4168</v>
      </c>
      <c r="O1" s="3" t="s">
        <v>4001</v>
      </c>
      <c r="P1" s="3" t="s">
        <v>4169</v>
      </c>
      <c r="Q1" s="3" t="s">
        <v>4170</v>
      </c>
      <c r="R1" s="3" t="s">
        <v>268</v>
      </c>
    </row>
    <row r="2" customFormat="false" ht="28.35" hidden="false" customHeight="false" outlineLevel="0" collapsed="false">
      <c r="A2" s="9" t="s">
        <v>4171</v>
      </c>
      <c r="B2" s="9" t="s">
        <v>4025</v>
      </c>
      <c r="C2" s="9" t="s">
        <v>3967</v>
      </c>
      <c r="D2" s="9" t="s">
        <v>913</v>
      </c>
      <c r="E2" s="9" t="s">
        <v>4101</v>
      </c>
      <c r="F2" s="9" t="s">
        <v>914</v>
      </c>
      <c r="G2" s="9" t="s">
        <v>4172</v>
      </c>
      <c r="H2" s="9" t="s">
        <v>916</v>
      </c>
      <c r="I2" s="9" t="s">
        <v>4173</v>
      </c>
      <c r="J2" s="9" t="n">
        <v>8</v>
      </c>
      <c r="K2" s="9" t="s">
        <v>4174</v>
      </c>
      <c r="L2" s="9" t="s">
        <v>4175</v>
      </c>
      <c r="M2" s="9" t="s">
        <v>4176</v>
      </c>
      <c r="N2" s="9" t="s">
        <v>4177</v>
      </c>
      <c r="O2" s="18" t="b">
        <f aca="false">FALSE()</f>
        <v>0</v>
      </c>
      <c r="P2" s="9" t="s">
        <v>4178</v>
      </c>
      <c r="Q2" s="9" t="s">
        <v>380</v>
      </c>
      <c r="R2" s="9" t="s">
        <v>4179</v>
      </c>
    </row>
    <row r="3" customFormat="false" ht="15" hidden="false" customHeight="false" outlineLevel="0" collapsed="false">
      <c r="A3" s="9" t="s">
        <v>4180</v>
      </c>
      <c r="B3" s="9" t="s">
        <v>4025</v>
      </c>
      <c r="C3" s="9" t="s">
        <v>3967</v>
      </c>
      <c r="D3" s="9" t="s">
        <v>913</v>
      </c>
      <c r="E3" s="9" t="s">
        <v>4101</v>
      </c>
      <c r="F3" s="9" t="s">
        <v>914</v>
      </c>
      <c r="G3" s="9" t="s">
        <v>4181</v>
      </c>
      <c r="H3" s="9" t="s">
        <v>916</v>
      </c>
      <c r="I3" s="9" t="s">
        <v>4182</v>
      </c>
      <c r="J3" s="9" t="n">
        <v>7</v>
      </c>
      <c r="K3" s="9" t="s">
        <v>4183</v>
      </c>
      <c r="L3" s="9" t="s">
        <v>4175</v>
      </c>
      <c r="M3" s="9" t="s">
        <v>4176</v>
      </c>
      <c r="N3" s="9" t="s">
        <v>4177</v>
      </c>
      <c r="O3" s="18" t="b">
        <f aca="false">FALSE()</f>
        <v>0</v>
      </c>
      <c r="P3" s="9" t="s">
        <v>4178</v>
      </c>
      <c r="Q3" s="9" t="s">
        <v>380</v>
      </c>
      <c r="R3" s="9" t="s">
        <v>4184</v>
      </c>
    </row>
    <row r="4" customFormat="false" ht="28.35" hidden="false" customHeight="false" outlineLevel="0" collapsed="false">
      <c r="A4" s="9" t="s">
        <v>4185</v>
      </c>
      <c r="B4" s="9" t="s">
        <v>4025</v>
      </c>
      <c r="C4" s="9" t="s">
        <v>3967</v>
      </c>
      <c r="D4" s="9" t="s">
        <v>913</v>
      </c>
      <c r="E4" s="9" t="s">
        <v>4101</v>
      </c>
      <c r="F4" s="9" t="s">
        <v>4186</v>
      </c>
      <c r="G4" s="9" t="s">
        <v>4187</v>
      </c>
      <c r="H4" s="9" t="s">
        <v>3599</v>
      </c>
      <c r="I4" s="9" t="s">
        <v>4188</v>
      </c>
      <c r="J4" s="9" t="n">
        <v>9</v>
      </c>
      <c r="K4" s="9" t="s">
        <v>4189</v>
      </c>
      <c r="L4" s="9" t="s">
        <v>4190</v>
      </c>
      <c r="M4" s="9" t="s">
        <v>4176</v>
      </c>
      <c r="N4" s="9" t="s">
        <v>4177</v>
      </c>
      <c r="O4" s="18" t="b">
        <f aca="false">FALSE()</f>
        <v>0</v>
      </c>
      <c r="P4" s="9" t="s">
        <v>4191</v>
      </c>
      <c r="Q4" s="9" t="s">
        <v>380</v>
      </c>
      <c r="R4" s="9" t="s">
        <v>4192</v>
      </c>
    </row>
    <row r="5" customFormat="false" ht="28.35" hidden="false" customHeight="false" outlineLevel="0" collapsed="false">
      <c r="A5" s="9" t="s">
        <v>4193</v>
      </c>
      <c r="B5" s="9" t="s">
        <v>4025</v>
      </c>
      <c r="C5" s="9" t="s">
        <v>3973</v>
      </c>
      <c r="D5" s="9" t="s">
        <v>913</v>
      </c>
      <c r="E5" s="9" t="s">
        <v>4101</v>
      </c>
      <c r="F5" s="9" t="s">
        <v>4194</v>
      </c>
      <c r="G5" s="9" t="s">
        <v>4195</v>
      </c>
      <c r="H5" s="9" t="s">
        <v>3598</v>
      </c>
      <c r="I5" s="9" t="s">
        <v>4196</v>
      </c>
      <c r="J5" s="9" t="n">
        <v>8</v>
      </c>
      <c r="K5" s="9" t="s">
        <v>4197</v>
      </c>
      <c r="L5" s="9" t="s">
        <v>4198</v>
      </c>
      <c r="M5" s="9" t="s">
        <v>4176</v>
      </c>
      <c r="N5" s="9" t="s">
        <v>4177</v>
      </c>
      <c r="O5" s="18" t="b">
        <f aca="false">FALSE()</f>
        <v>0</v>
      </c>
      <c r="P5" s="9" t="s">
        <v>4199</v>
      </c>
      <c r="Q5" s="9" t="s">
        <v>380</v>
      </c>
      <c r="R5" s="9" t="s">
        <v>4200</v>
      </c>
    </row>
    <row r="6" customFormat="false" ht="15" hidden="false" customHeight="false" outlineLevel="0" collapsed="false">
      <c r="A6" s="9" t="s">
        <v>4201</v>
      </c>
      <c r="B6" s="9" t="s">
        <v>4025</v>
      </c>
      <c r="C6" s="9" t="s">
        <v>3970</v>
      </c>
      <c r="D6" s="9" t="s">
        <v>4202</v>
      </c>
      <c r="E6" s="9" t="s">
        <v>4203</v>
      </c>
      <c r="F6" s="9" t="s">
        <v>2088</v>
      </c>
      <c r="G6" s="9" t="s">
        <v>4204</v>
      </c>
      <c r="H6" s="9" t="s">
        <v>3600</v>
      </c>
      <c r="I6" s="9" t="s">
        <v>4205</v>
      </c>
      <c r="J6" s="9" t="n">
        <v>5</v>
      </c>
      <c r="K6" s="9" t="s">
        <v>4206</v>
      </c>
      <c r="L6" s="9" t="s">
        <v>4207</v>
      </c>
      <c r="M6" s="9" t="s">
        <v>4176</v>
      </c>
      <c r="N6" s="9" t="s">
        <v>4177</v>
      </c>
      <c r="O6" s="18" t="b">
        <f aca="false">FALSE()</f>
        <v>0</v>
      </c>
      <c r="P6" s="9" t="s">
        <v>4208</v>
      </c>
      <c r="Q6" s="9" t="s">
        <v>4209</v>
      </c>
      <c r="R6" s="9" t="s">
        <v>4210</v>
      </c>
    </row>
    <row r="7" customFormat="false" ht="28.35" hidden="false" customHeight="false" outlineLevel="0" collapsed="false">
      <c r="A7" s="9" t="s">
        <v>4211</v>
      </c>
      <c r="B7" s="9" t="s">
        <v>4025</v>
      </c>
      <c r="C7" s="9" t="s">
        <v>3970</v>
      </c>
      <c r="D7" s="9" t="s">
        <v>4202</v>
      </c>
      <c r="E7" s="9" t="s">
        <v>4203</v>
      </c>
      <c r="F7" s="9" t="s">
        <v>2088</v>
      </c>
      <c r="G7" s="9" t="s">
        <v>4204</v>
      </c>
      <c r="H7" s="9" t="s">
        <v>3600</v>
      </c>
      <c r="I7" s="9" t="s">
        <v>4212</v>
      </c>
      <c r="J7" s="9" t="n">
        <v>8</v>
      </c>
      <c r="K7" s="9" t="s">
        <v>4213</v>
      </c>
      <c r="L7" s="9" t="s">
        <v>4214</v>
      </c>
      <c r="M7" s="9" t="s">
        <v>4176</v>
      </c>
      <c r="N7" s="9" t="s">
        <v>4177</v>
      </c>
      <c r="O7" s="18" t="b">
        <f aca="false">FALSE()</f>
        <v>0</v>
      </c>
      <c r="P7" s="9" t="s">
        <v>4208</v>
      </c>
      <c r="Q7" s="9" t="s">
        <v>4209</v>
      </c>
      <c r="R7" s="9" t="s">
        <v>4215</v>
      </c>
    </row>
    <row r="8" customFormat="false" ht="28.35" hidden="false" customHeight="false" outlineLevel="0" collapsed="false">
      <c r="A8" s="9" t="s">
        <v>4216</v>
      </c>
      <c r="B8" s="9" t="s">
        <v>4025</v>
      </c>
      <c r="C8" s="9" t="s">
        <v>3970</v>
      </c>
      <c r="D8" s="9" t="s">
        <v>4202</v>
      </c>
      <c r="E8" s="9" t="s">
        <v>4203</v>
      </c>
      <c r="F8" s="9" t="s">
        <v>2088</v>
      </c>
      <c r="G8" s="9" t="s">
        <v>4217</v>
      </c>
      <c r="H8" s="9" t="s">
        <v>3601</v>
      </c>
      <c r="I8" s="9" t="s">
        <v>4218</v>
      </c>
      <c r="J8" s="9" t="n">
        <v>5</v>
      </c>
      <c r="K8" s="9" t="s">
        <v>4219</v>
      </c>
      <c r="L8" s="9" t="s">
        <v>4220</v>
      </c>
      <c r="M8" s="9" t="s">
        <v>4176</v>
      </c>
      <c r="N8" s="9" t="s">
        <v>4177</v>
      </c>
      <c r="O8" s="18" t="b">
        <f aca="false">FALSE()</f>
        <v>0</v>
      </c>
      <c r="P8" s="9" t="s">
        <v>4208</v>
      </c>
      <c r="Q8" s="9" t="s">
        <v>4209</v>
      </c>
      <c r="R8" s="9" t="s">
        <v>4221</v>
      </c>
    </row>
    <row r="9" customFormat="false" ht="15" hidden="false" customHeight="false" outlineLevel="0" collapsed="false">
      <c r="A9" s="9" t="s">
        <v>4222</v>
      </c>
      <c r="B9" s="9" t="s">
        <v>4025</v>
      </c>
      <c r="C9" s="9" t="s">
        <v>3970</v>
      </c>
      <c r="D9" s="9" t="s">
        <v>4202</v>
      </c>
      <c r="E9" s="9" t="s">
        <v>4203</v>
      </c>
      <c r="F9" s="9" t="s">
        <v>2088</v>
      </c>
      <c r="G9" s="9" t="s">
        <v>4223</v>
      </c>
      <c r="H9" s="9" t="s">
        <v>3601</v>
      </c>
      <c r="I9" s="9" t="s">
        <v>4224</v>
      </c>
      <c r="J9" s="9" t="n">
        <v>5</v>
      </c>
      <c r="K9" s="9" t="s">
        <v>4225</v>
      </c>
      <c r="L9" s="9" t="s">
        <v>4220</v>
      </c>
      <c r="M9" s="9" t="s">
        <v>4176</v>
      </c>
      <c r="N9" s="9" t="s">
        <v>4177</v>
      </c>
      <c r="O9" s="18" t="b">
        <f aca="false">FALSE()</f>
        <v>0</v>
      </c>
      <c r="P9" s="9" t="s">
        <v>4208</v>
      </c>
      <c r="Q9" s="9" t="s">
        <v>4209</v>
      </c>
      <c r="R9" s="9" t="s">
        <v>4226</v>
      </c>
    </row>
    <row r="10" customFormat="false" ht="28.35" hidden="false" customHeight="false" outlineLevel="0" collapsed="false">
      <c r="A10" s="9" t="s">
        <v>4227</v>
      </c>
      <c r="B10" s="9" t="s">
        <v>4025</v>
      </c>
      <c r="C10" s="9" t="s">
        <v>3976</v>
      </c>
      <c r="D10" s="9" t="s">
        <v>4228</v>
      </c>
      <c r="E10" s="9" t="s">
        <v>4107</v>
      </c>
      <c r="F10" s="9" t="s">
        <v>4229</v>
      </c>
      <c r="G10" s="9" t="s">
        <v>4087</v>
      </c>
      <c r="H10" s="9" t="s">
        <v>3592</v>
      </c>
      <c r="I10" s="9" t="s">
        <v>4230</v>
      </c>
      <c r="J10" s="9" t="n">
        <v>9</v>
      </c>
      <c r="K10" s="9" t="s">
        <v>4231</v>
      </c>
      <c r="L10" s="9" t="s">
        <v>4232</v>
      </c>
      <c r="M10" s="9" t="s">
        <v>4176</v>
      </c>
      <c r="N10" s="9" t="s">
        <v>4177</v>
      </c>
      <c r="O10" s="18" t="b">
        <f aca="false">FALSE()</f>
        <v>0</v>
      </c>
      <c r="P10" s="9" t="s">
        <v>4233</v>
      </c>
      <c r="Q10" s="9" t="s">
        <v>380</v>
      </c>
      <c r="R10" s="9" t="s">
        <v>4234</v>
      </c>
    </row>
    <row r="11" customFormat="false" ht="28.35" hidden="false" customHeight="false" outlineLevel="0" collapsed="false">
      <c r="A11" s="9" t="s">
        <v>4235</v>
      </c>
      <c r="B11" s="9" t="s">
        <v>4025</v>
      </c>
      <c r="C11" s="9" t="s">
        <v>3976</v>
      </c>
      <c r="D11" s="9" t="s">
        <v>4228</v>
      </c>
      <c r="E11" s="9" t="s">
        <v>4107</v>
      </c>
      <c r="F11" s="9" t="s">
        <v>4229</v>
      </c>
      <c r="G11" s="9" t="s">
        <v>4236</v>
      </c>
      <c r="H11" s="9" t="s">
        <v>3592</v>
      </c>
      <c r="I11" s="9" t="s">
        <v>4237</v>
      </c>
      <c r="J11" s="9" t="n">
        <v>8</v>
      </c>
      <c r="K11" s="9" t="s">
        <v>4238</v>
      </c>
      <c r="L11" s="9" t="s">
        <v>4232</v>
      </c>
      <c r="M11" s="9" t="s">
        <v>4176</v>
      </c>
      <c r="N11" s="9" t="s">
        <v>4177</v>
      </c>
      <c r="O11" s="18" t="b">
        <f aca="false">FALSE()</f>
        <v>0</v>
      </c>
      <c r="P11" s="9" t="s">
        <v>4233</v>
      </c>
      <c r="Q11" s="9" t="s">
        <v>380</v>
      </c>
      <c r="R11" s="9" t="s">
        <v>4239</v>
      </c>
    </row>
    <row r="12" customFormat="false" ht="15" hidden="false" customHeight="false" outlineLevel="0" collapsed="false">
      <c r="A12" s="6" t="s">
        <v>4240</v>
      </c>
      <c r="B12" s="6" t="s">
        <v>4041</v>
      </c>
      <c r="C12" s="6" t="s">
        <v>3986</v>
      </c>
      <c r="D12" s="6" t="s">
        <v>4241</v>
      </c>
      <c r="E12" s="6" t="s">
        <v>4242</v>
      </c>
      <c r="F12" s="6" t="s">
        <v>936</v>
      </c>
      <c r="G12" s="6" t="s">
        <v>4243</v>
      </c>
      <c r="H12" s="6" t="s">
        <v>4244</v>
      </c>
      <c r="I12" s="6" t="s">
        <v>4245</v>
      </c>
      <c r="J12" s="6" t="n">
        <v>13</v>
      </c>
      <c r="K12" s="6" t="s">
        <v>4246</v>
      </c>
      <c r="L12" s="6" t="s">
        <v>4247</v>
      </c>
      <c r="M12" s="6" t="s">
        <v>4248</v>
      </c>
      <c r="N12" s="6" t="s">
        <v>4177</v>
      </c>
      <c r="O12" s="20" t="b">
        <f aca="false">FALSE()</f>
        <v>0</v>
      </c>
      <c r="P12" s="6" t="s">
        <v>4249</v>
      </c>
      <c r="Q12" s="6" t="s">
        <v>380</v>
      </c>
      <c r="R12" s="6" t="s">
        <v>4250</v>
      </c>
    </row>
    <row r="13" customFormat="false" ht="15" hidden="false" customHeight="false" outlineLevel="0" collapsed="false">
      <c r="A13" s="6" t="s">
        <v>4251</v>
      </c>
      <c r="B13" s="6" t="s">
        <v>4041</v>
      </c>
      <c r="C13" s="6" t="s">
        <v>3986</v>
      </c>
      <c r="D13" s="6" t="s">
        <v>4241</v>
      </c>
      <c r="E13" s="6" t="s">
        <v>4242</v>
      </c>
      <c r="F13" s="6" t="s">
        <v>936</v>
      </c>
      <c r="G13" s="6" t="s">
        <v>4252</v>
      </c>
      <c r="H13" s="6" t="s">
        <v>4253</v>
      </c>
      <c r="I13" s="6" t="s">
        <v>4254</v>
      </c>
      <c r="J13" s="6" t="n">
        <v>12</v>
      </c>
      <c r="K13" s="6" t="s">
        <v>4255</v>
      </c>
      <c r="L13" s="6" t="s">
        <v>4247</v>
      </c>
      <c r="M13" s="6" t="s">
        <v>4248</v>
      </c>
      <c r="N13" s="6" t="s">
        <v>4177</v>
      </c>
      <c r="O13" s="20" t="b">
        <f aca="false">FALSE()</f>
        <v>0</v>
      </c>
      <c r="P13" s="6" t="s">
        <v>4256</v>
      </c>
      <c r="Q13" s="6" t="s">
        <v>380</v>
      </c>
      <c r="R13" s="6" t="s">
        <v>4257</v>
      </c>
    </row>
    <row r="14" customFormat="false" ht="15" hidden="false" customHeight="false" outlineLevel="0" collapsed="false">
      <c r="A14" s="6" t="s">
        <v>4258</v>
      </c>
      <c r="B14" s="6" t="s">
        <v>4041</v>
      </c>
      <c r="C14" s="6" t="s">
        <v>3986</v>
      </c>
      <c r="D14" s="6" t="s">
        <v>4241</v>
      </c>
      <c r="E14" s="6" t="s">
        <v>4242</v>
      </c>
      <c r="F14" s="6" t="s">
        <v>936</v>
      </c>
      <c r="G14" s="6" t="s">
        <v>4259</v>
      </c>
      <c r="H14" s="6" t="s">
        <v>4260</v>
      </c>
      <c r="I14" s="6" t="s">
        <v>4261</v>
      </c>
      <c r="J14" s="6" t="n">
        <v>11</v>
      </c>
      <c r="K14" s="6" t="s">
        <v>4262</v>
      </c>
      <c r="L14" s="6" t="s">
        <v>4247</v>
      </c>
      <c r="M14" s="6" t="s">
        <v>4248</v>
      </c>
      <c r="N14" s="6" t="s">
        <v>4177</v>
      </c>
      <c r="O14" s="20" t="b">
        <f aca="false">FALSE()</f>
        <v>0</v>
      </c>
      <c r="P14" s="6" t="s">
        <v>4263</v>
      </c>
      <c r="Q14" s="6" t="s">
        <v>380</v>
      </c>
      <c r="R14" s="6" t="s">
        <v>4264</v>
      </c>
    </row>
    <row r="15" customFormat="false" ht="15" hidden="false" customHeight="false" outlineLevel="0" collapsed="false">
      <c r="A15" s="6" t="s">
        <v>4265</v>
      </c>
      <c r="B15" s="6" t="s">
        <v>4041</v>
      </c>
      <c r="C15" s="6" t="s">
        <v>3986</v>
      </c>
      <c r="D15" s="6" t="s">
        <v>4241</v>
      </c>
      <c r="E15" s="6" t="s">
        <v>4242</v>
      </c>
      <c r="F15" s="6" t="s">
        <v>936</v>
      </c>
      <c r="G15" s="6" t="s">
        <v>4266</v>
      </c>
      <c r="H15" s="6" t="s">
        <v>4267</v>
      </c>
      <c r="I15" s="6" t="s">
        <v>4268</v>
      </c>
      <c r="J15" s="6" t="n">
        <v>7</v>
      </c>
      <c r="K15" s="6" t="s">
        <v>4269</v>
      </c>
      <c r="L15" s="6" t="s">
        <v>4247</v>
      </c>
      <c r="M15" s="6" t="s">
        <v>4248</v>
      </c>
      <c r="N15" s="6" t="s">
        <v>4177</v>
      </c>
      <c r="O15" s="20" t="b">
        <f aca="false">FALSE()</f>
        <v>0</v>
      </c>
      <c r="P15" s="6" t="s">
        <v>4270</v>
      </c>
      <c r="Q15" s="6" t="s">
        <v>380</v>
      </c>
      <c r="R15" s="6" t="s">
        <v>4271</v>
      </c>
    </row>
    <row r="16" customFormat="false" ht="15" hidden="false" customHeight="false" outlineLevel="0" collapsed="false">
      <c r="A16" s="6" t="s">
        <v>4272</v>
      </c>
      <c r="B16" s="6" t="s">
        <v>4041</v>
      </c>
      <c r="C16" s="6" t="s">
        <v>3986</v>
      </c>
      <c r="D16" s="6" t="s">
        <v>4241</v>
      </c>
      <c r="E16" s="6" t="s">
        <v>4242</v>
      </c>
      <c r="F16" s="6" t="s">
        <v>1034</v>
      </c>
      <c r="G16" s="6" t="s">
        <v>4273</v>
      </c>
      <c r="H16" s="6" t="s">
        <v>4274</v>
      </c>
      <c r="I16" s="6" t="s">
        <v>4275</v>
      </c>
      <c r="J16" s="6" t="n">
        <v>10</v>
      </c>
      <c r="K16" s="6" t="s">
        <v>4276</v>
      </c>
      <c r="L16" s="6" t="s">
        <v>4277</v>
      </c>
      <c r="M16" s="6" t="s">
        <v>4248</v>
      </c>
      <c r="N16" s="6" t="s">
        <v>4177</v>
      </c>
      <c r="O16" s="20" t="b">
        <f aca="false">FALSE()</f>
        <v>0</v>
      </c>
      <c r="P16" s="6" t="s">
        <v>4278</v>
      </c>
      <c r="Q16" s="6" t="s">
        <v>380</v>
      </c>
      <c r="R16" s="6" t="s">
        <v>4279</v>
      </c>
    </row>
    <row r="17" customFormat="false" ht="15" hidden="false" customHeight="false" outlineLevel="0" collapsed="false">
      <c r="A17" s="6" t="s">
        <v>4280</v>
      </c>
      <c r="B17" s="6" t="s">
        <v>4041</v>
      </c>
      <c r="C17" s="6" t="s">
        <v>3967</v>
      </c>
      <c r="D17" s="6" t="s">
        <v>4241</v>
      </c>
      <c r="E17" s="6" t="s">
        <v>4242</v>
      </c>
      <c r="F17" s="6" t="s">
        <v>4281</v>
      </c>
      <c r="G17" s="6" t="s">
        <v>4282</v>
      </c>
      <c r="H17" s="6" t="s">
        <v>4283</v>
      </c>
      <c r="I17" s="6" t="s">
        <v>4284</v>
      </c>
      <c r="J17" s="6" t="n">
        <v>11</v>
      </c>
      <c r="K17" s="6" t="s">
        <v>4285</v>
      </c>
      <c r="L17" s="6" t="s">
        <v>4286</v>
      </c>
      <c r="M17" s="6" t="s">
        <v>4248</v>
      </c>
      <c r="N17" s="6" t="s">
        <v>4177</v>
      </c>
      <c r="O17" s="20" t="b">
        <f aca="false">FALSE()</f>
        <v>0</v>
      </c>
      <c r="P17" s="6" t="s">
        <v>4233</v>
      </c>
      <c r="Q17" s="6" t="s">
        <v>380</v>
      </c>
      <c r="R17" s="6" t="s">
        <v>4287</v>
      </c>
    </row>
    <row r="18" customFormat="false" ht="15" hidden="false" customHeight="false" outlineLevel="0" collapsed="false">
      <c r="A18" s="6" t="s">
        <v>4288</v>
      </c>
      <c r="B18" s="6" t="s">
        <v>4041</v>
      </c>
      <c r="C18" s="6" t="s">
        <v>3989</v>
      </c>
      <c r="D18" s="6" t="s">
        <v>4241</v>
      </c>
      <c r="E18" s="6" t="s">
        <v>4242</v>
      </c>
      <c r="F18" s="6" t="s">
        <v>4289</v>
      </c>
      <c r="G18" s="6" t="s">
        <v>4290</v>
      </c>
      <c r="H18" s="6" t="s">
        <v>4291</v>
      </c>
      <c r="I18" s="6" t="s">
        <v>4292</v>
      </c>
      <c r="J18" s="6" t="n">
        <v>7</v>
      </c>
      <c r="K18" s="6" t="s">
        <v>4293</v>
      </c>
      <c r="L18" s="6" t="s">
        <v>4294</v>
      </c>
      <c r="M18" s="6" t="s">
        <v>4248</v>
      </c>
      <c r="N18" s="6" t="s">
        <v>4177</v>
      </c>
      <c r="O18" s="20" t="b">
        <f aca="false">FALSE()</f>
        <v>0</v>
      </c>
      <c r="P18" s="6" t="s">
        <v>4295</v>
      </c>
      <c r="Q18" s="6" t="s">
        <v>380</v>
      </c>
      <c r="R18" s="6" t="s">
        <v>4296</v>
      </c>
    </row>
    <row r="19" customFormat="false" ht="15" hidden="false" customHeight="false" outlineLevel="0" collapsed="false">
      <c r="A19" s="6" t="s">
        <v>4297</v>
      </c>
      <c r="B19" s="6" t="s">
        <v>4041</v>
      </c>
      <c r="C19" s="6" t="s">
        <v>3989</v>
      </c>
      <c r="D19" s="6" t="s">
        <v>4241</v>
      </c>
      <c r="E19" s="6" t="s">
        <v>4242</v>
      </c>
      <c r="F19" s="6" t="s">
        <v>4289</v>
      </c>
      <c r="G19" s="6" t="s">
        <v>4290</v>
      </c>
      <c r="H19" s="6" t="s">
        <v>4291</v>
      </c>
      <c r="I19" s="6" t="s">
        <v>4298</v>
      </c>
      <c r="J19" s="6" t="n">
        <v>9</v>
      </c>
      <c r="K19" s="6" t="s">
        <v>4299</v>
      </c>
      <c r="L19" s="6" t="s">
        <v>4300</v>
      </c>
      <c r="M19" s="6" t="s">
        <v>4248</v>
      </c>
      <c r="N19" s="6" t="s">
        <v>4177</v>
      </c>
      <c r="O19" s="20" t="b">
        <f aca="false">FALSE()</f>
        <v>0</v>
      </c>
      <c r="P19" s="6" t="s">
        <v>4295</v>
      </c>
      <c r="Q19" s="6" t="s">
        <v>380</v>
      </c>
      <c r="R19" s="6" t="s">
        <v>4301</v>
      </c>
    </row>
    <row r="20" customFormat="false" ht="15" hidden="false" customHeight="false" outlineLevel="0" collapsed="false">
      <c r="A20" s="6" t="s">
        <v>4302</v>
      </c>
      <c r="B20" s="6" t="s">
        <v>4041</v>
      </c>
      <c r="C20" s="6" t="s">
        <v>3989</v>
      </c>
      <c r="D20" s="6" t="s">
        <v>4241</v>
      </c>
      <c r="E20" s="6" t="s">
        <v>4242</v>
      </c>
      <c r="F20" s="6" t="s">
        <v>4289</v>
      </c>
      <c r="G20" s="6" t="s">
        <v>4303</v>
      </c>
      <c r="H20" s="6" t="s">
        <v>4291</v>
      </c>
      <c r="I20" s="6" t="s">
        <v>4304</v>
      </c>
      <c r="J20" s="6" t="n">
        <v>12</v>
      </c>
      <c r="K20" s="6" t="s">
        <v>4305</v>
      </c>
      <c r="L20" s="6" t="s">
        <v>4300</v>
      </c>
      <c r="M20" s="6" t="s">
        <v>4248</v>
      </c>
      <c r="N20" s="6" t="s">
        <v>4177</v>
      </c>
      <c r="O20" s="20" t="b">
        <f aca="false">FALSE()</f>
        <v>0</v>
      </c>
      <c r="P20" s="6" t="s">
        <v>4295</v>
      </c>
      <c r="Q20" s="6" t="s">
        <v>380</v>
      </c>
      <c r="R20" s="6" t="s">
        <v>4306</v>
      </c>
    </row>
    <row r="21" customFormat="false" ht="15.75" hidden="false" customHeight="true" outlineLevel="0" collapsed="false">
      <c r="A21" s="6" t="s">
        <v>198</v>
      </c>
      <c r="B21" s="6" t="s">
        <v>4041</v>
      </c>
      <c r="C21" s="6" t="s">
        <v>3967</v>
      </c>
      <c r="D21" s="6" t="s">
        <v>4241</v>
      </c>
      <c r="E21" s="6" t="s">
        <v>4242</v>
      </c>
      <c r="F21" s="6" t="s">
        <v>4307</v>
      </c>
      <c r="G21" s="6" t="s">
        <v>4308</v>
      </c>
      <c r="H21" s="6" t="s">
        <v>4309</v>
      </c>
      <c r="I21" s="6" t="s">
        <v>4310</v>
      </c>
      <c r="J21" s="6" t="n">
        <v>8</v>
      </c>
      <c r="K21" s="6" t="s">
        <v>4311</v>
      </c>
      <c r="L21" s="6" t="s">
        <v>4312</v>
      </c>
      <c r="M21" s="6" t="s">
        <v>4248</v>
      </c>
      <c r="N21" s="6" t="s">
        <v>4313</v>
      </c>
      <c r="O21" s="20" t="b">
        <f aca="false">FALSE()</f>
        <v>0</v>
      </c>
      <c r="P21" s="6" t="s">
        <v>4314</v>
      </c>
      <c r="Q21" s="6" t="s">
        <v>380</v>
      </c>
      <c r="R21" s="6" t="s">
        <v>4315</v>
      </c>
    </row>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34"/>
    <col collapsed="false" customWidth="true" hidden="false" outlineLevel="0" max="4" min="4" style="0" width="26"/>
    <col collapsed="false" customWidth="true" hidden="false" outlineLevel="0" max="5" min="5" style="0" width="12"/>
    <col collapsed="false" customWidth="true" hidden="false" outlineLevel="0" max="6" min="6" style="0" width="16"/>
    <col collapsed="false" customWidth="true" hidden="false" outlineLevel="0" max="7" min="7" style="0" width="28"/>
    <col collapsed="false" customWidth="true" hidden="false" outlineLevel="0" max="8" min="8" style="0" width="30"/>
    <col collapsed="false" customWidth="true" hidden="false" outlineLevel="0" max="9" min="9" style="0" width="18"/>
    <col collapsed="false" customWidth="true" hidden="false" outlineLevel="0" max="10" min="10" style="0" width="46"/>
    <col collapsed="false" customWidth="true" hidden="false" outlineLevel="0" max="11" min="11" style="0" width="68"/>
    <col collapsed="false" customWidth="true" hidden="false" outlineLevel="0" max="12" min="12" style="0" width="86"/>
    <col collapsed="false" customWidth="true" hidden="false" outlineLevel="0" max="13" min="13" style="0" width="68"/>
    <col collapsed="false" customWidth="true" hidden="false" outlineLevel="0" max="14" min="14" style="0" width="58"/>
    <col collapsed="false" customWidth="true" hidden="false" outlineLevel="0" max="18" min="15" style="0" width="54"/>
    <col collapsed="false" customWidth="true" hidden="false" outlineLevel="0" max="20" min="19" style="0" width="24"/>
    <col collapsed="false" customWidth="true" hidden="false" outlineLevel="0" max="21" min="21" style="0" width="70"/>
    <col collapsed="false" customWidth="true" hidden="false" outlineLevel="0" max="22" min="22" style="0" width="52"/>
    <col collapsed="false" customWidth="true" hidden="false" outlineLevel="0" max="24" min="23" style="0" width="16"/>
    <col collapsed="false" customWidth="true" hidden="false" outlineLevel="0" max="25" min="25" style="0" width="72"/>
    <col collapsed="false" customWidth="true" hidden="false" outlineLevel="0" max="26" min="26" style="0" width="32"/>
    <col collapsed="false" customWidth="true" hidden="false" outlineLevel="0" max="27" min="27" style="0" width="14"/>
    <col collapsed="false" customWidth="true" hidden="false" outlineLevel="0" max="28" min="28" style="0" width="66"/>
    <col collapsed="false" customWidth="true" hidden="false" outlineLevel="0" max="29" min="29" style="0" width="42"/>
    <col collapsed="false" customWidth="true" hidden="false" outlineLevel="0" max="30" min="30" style="0" width="70"/>
    <col collapsed="false" customWidth="true" hidden="false" outlineLevel="0" max="31" min="31" style="0" width="64"/>
    <col collapsed="false" customWidth="true" hidden="false" outlineLevel="0" max="32" min="32" style="0" width="20"/>
    <col collapsed="false" customWidth="true" hidden="false" outlineLevel="0" max="33" min="33" style="0" width="16"/>
    <col collapsed="false" customWidth="true" hidden="false" outlineLevel="0" max="34" min="34" style="0" width="20"/>
  </cols>
  <sheetData>
    <row r="1" customFormat="false" ht="28.35" hidden="false" customHeight="false" outlineLevel="0" collapsed="false">
      <c r="A1" s="3" t="s">
        <v>4316</v>
      </c>
      <c r="B1" s="3" t="s">
        <v>4317</v>
      </c>
      <c r="C1" s="3" t="s">
        <v>2883</v>
      </c>
      <c r="D1" s="3" t="s">
        <v>4318</v>
      </c>
      <c r="E1" s="3" t="s">
        <v>3508</v>
      </c>
      <c r="F1" s="3" t="s">
        <v>4319</v>
      </c>
      <c r="G1" s="3" t="s">
        <v>4320</v>
      </c>
      <c r="H1" s="3" t="s">
        <v>4321</v>
      </c>
      <c r="I1" s="3" t="s">
        <v>4322</v>
      </c>
      <c r="J1" s="3" t="s">
        <v>4323</v>
      </c>
      <c r="K1" s="3" t="s">
        <v>4324</v>
      </c>
      <c r="L1" s="3" t="s">
        <v>4325</v>
      </c>
      <c r="M1" s="3" t="s">
        <v>4326</v>
      </c>
      <c r="N1" s="3" t="s">
        <v>4327</v>
      </c>
      <c r="O1" s="3" t="s">
        <v>4328</v>
      </c>
      <c r="P1" s="3" t="s">
        <v>4329</v>
      </c>
      <c r="Q1" s="3" t="s">
        <v>4330</v>
      </c>
      <c r="R1" s="3" t="s">
        <v>4331</v>
      </c>
      <c r="S1" s="3" t="s">
        <v>4332</v>
      </c>
      <c r="T1" s="3" t="s">
        <v>4333</v>
      </c>
      <c r="U1" s="3" t="s">
        <v>4334</v>
      </c>
      <c r="V1" s="3" t="s">
        <v>4335</v>
      </c>
      <c r="W1" s="3" t="s">
        <v>4336</v>
      </c>
      <c r="X1" s="3" t="s">
        <v>4337</v>
      </c>
      <c r="Y1" s="3" t="s">
        <v>4338</v>
      </c>
      <c r="Z1" s="3" t="s">
        <v>4339</v>
      </c>
      <c r="AA1" s="3" t="s">
        <v>4340</v>
      </c>
      <c r="AB1" s="3" t="s">
        <v>4341</v>
      </c>
      <c r="AC1" s="3" t="s">
        <v>4342</v>
      </c>
      <c r="AD1" s="3" t="s">
        <v>3779</v>
      </c>
      <c r="AE1" s="3" t="s">
        <v>4343</v>
      </c>
      <c r="AF1" s="3" t="s">
        <v>4344</v>
      </c>
      <c r="AG1" s="3" t="s">
        <v>4345</v>
      </c>
      <c r="AH1" s="3" t="s">
        <v>4346</v>
      </c>
    </row>
    <row r="2" customFormat="false" ht="41.75" hidden="false" customHeight="false" outlineLevel="0" collapsed="false">
      <c r="A2" s="9" t="n">
        <v>1</v>
      </c>
      <c r="B2" s="9" t="s">
        <v>334</v>
      </c>
      <c r="C2" s="9" t="s">
        <v>4347</v>
      </c>
      <c r="D2" s="9" t="s">
        <v>4348</v>
      </c>
      <c r="E2" s="9" t="s">
        <v>113</v>
      </c>
      <c r="F2" s="9" t="s">
        <v>874</v>
      </c>
      <c r="G2" s="9" t="s">
        <v>3183</v>
      </c>
      <c r="H2" s="9" t="s">
        <v>4349</v>
      </c>
      <c r="I2" s="9" t="s">
        <v>4350</v>
      </c>
      <c r="J2" s="9" t="s">
        <v>4351</v>
      </c>
      <c r="K2" s="9" t="s">
        <v>4352</v>
      </c>
      <c r="L2" s="9" t="s">
        <v>4353</v>
      </c>
      <c r="M2" s="9" t="s">
        <v>4354</v>
      </c>
      <c r="N2" s="9" t="s">
        <v>4355</v>
      </c>
      <c r="O2" s="9" t="s">
        <v>4356</v>
      </c>
      <c r="P2" s="9" t="s">
        <v>4357</v>
      </c>
      <c r="Q2" s="9" t="s">
        <v>4358</v>
      </c>
      <c r="R2" s="9" t="s">
        <v>4359</v>
      </c>
      <c r="S2" s="9"/>
      <c r="T2" s="22" t="str">
        <f aca="false">'Author Response Entry'!$D$2</f>
        <v>OPTION 2</v>
      </c>
      <c r="U2" s="23" t="n">
        <f aca="false">'Author Response Entry'!$E$2</f>
        <v>0</v>
      </c>
      <c r="V2" s="23" t="str">
        <f aca="false">'Author Response Entry'!$F$2</f>
        <v>Workbook canonical; v1 static JSON only. Pre-filled Option 1 in v2.14 superseded by explicit author choice.</v>
      </c>
      <c r="W2" s="23" t="str">
        <f aca="false">'Author Response Entry'!$G$2</f>
        <v>AJP</v>
      </c>
      <c r="X2" s="24" t="n">
        <f aca="false">'Author Response Entry'!$H$2</f>
        <v>46274</v>
      </c>
      <c r="Y2" s="23" t="str">
        <f aca="false">IF(T2="","",IF(T2="CUSTOM RESPONSE",U2,IF(T2="HOLD — NEEDS RESEARCH",IF(U2&lt;&gt;"",U2,"HOLD — NEEDS RESEARCH"),IF(T2="DEFER — NOT YET",IF(U2&lt;&gt;"",U2,"DEFER — NOT YET"),IF(T2="OPTION 1",O2,IF(T2="OPTION 2",P2,IF(T2="OPTION 3",Q2,IF(T2="OPTION 4",R2,""))))))))</f>
        <v>APPROVE — workbook canonical and v1 uses static JSON only; no database</v>
      </c>
      <c r="Z2" s="23" t="str">
        <f aca="false">IF(T2="","OPEN",IF(T2="CUSTOM RESPONSE",IF(U2="","OPEN — CUSTOM TEXT REQUIRED",IF(W2="","RESOLVED — ADD INITIALS/DATE",IF(X2="","RESOLVED — ADD INITIALS/DATE","RESOLVED"))),IF(T2="HOLD — NEEDS RESEARCH",IF(W2="","HOLD — ADD INITIALS/DATE",IF(X2="","HOLD — ADD INITIALS/DATE","HOLD")),IF(T2="DEFER — NOT YET",IF(W2="","DEFERRED — ADD INITIALS/DATE",IF(X2="","DEFERRED — ADD INITIALS/DATE","DEFERRED")),IF(T2="OPTION 1",IF(W2="","RESOLVED — ADD INITIALS/DATE",IF(X2="","RESOLVED — ADD INITIALS/DATE","RESOLVED")),IF(T2="OPTION 2",IF(W2="","RESOLVED — ADD INITIALS/DATE",IF(X2="","RESOLVED — ADD INITIALS/DATE","RESOLVED")),IF(T2="OPTION 3",IF(W2="","RESOLVED — ADD INITIALS/DATE",IF(X2="","RESOLVED — ADD INITIALS/DATE","RESOLVED")),IF(T2="OPTION 4",IF(W2="","DEFERRED — ADD INITIALS/DATE",IF(X2="","DEFERRED — ADD INITIALS/DATE","DEFERRED")),IF(W2="","RESOLVED — ADD INITIALS/DATE",IF(X2="","RESOLVED — ADD INITIALS/DATE","RESOLVED"))))))))))</f>
        <v>RESOLVED</v>
      </c>
      <c r="AA2" s="23" t="s">
        <v>380</v>
      </c>
      <c r="AB2" s="23" t="s">
        <v>4360</v>
      </c>
      <c r="AC2" s="23" t="s">
        <v>4361</v>
      </c>
      <c r="AD2" s="23"/>
      <c r="AE2" s="23" t="s">
        <v>4362</v>
      </c>
      <c r="AF2" s="23" t="str">
        <f aca="false">IF(F2&lt;&gt;"READY","NO",IF(Z2="OPEN","YES",IF(Z2="OPEN — CUSTOM TEXT REQUIRED","YES",IF(Z2="RESOLVED — ADD INITIALS/DATE","YES",IF(Z2="HOLD — ADD INITIALS/DATE","YES",IF(Z2="DEFERRED — ADD INITIALS/DATE","YES","NO"))))))</f>
        <v>NO</v>
      </c>
      <c r="AG2" s="23" t="str">
        <f aca="false">IF(AF2&lt;&gt;"YES","",IF(A2=IFERROR(MATCH("YES",$AF$2:$AF$105,0),0),"CURRENT",""))</f>
        <v/>
      </c>
      <c r="AH2" s="25" t="str">
        <f aca="false">IF(COUNTIF($B$2:$B$105,B2)&gt;1,"DUPLICATE","")</f>
        <v/>
      </c>
    </row>
    <row r="3" customFormat="false" ht="41.75" hidden="false" customHeight="false" outlineLevel="0" collapsed="false">
      <c r="A3" s="9" t="n">
        <v>2</v>
      </c>
      <c r="B3" s="9" t="s">
        <v>4363</v>
      </c>
      <c r="C3" s="9" t="s">
        <v>4347</v>
      </c>
      <c r="D3" s="9" t="s">
        <v>4364</v>
      </c>
      <c r="E3" s="9" t="s">
        <v>113</v>
      </c>
      <c r="F3" s="9" t="s">
        <v>874</v>
      </c>
      <c r="G3" s="9" t="s">
        <v>99</v>
      </c>
      <c r="H3" s="9" t="s">
        <v>4365</v>
      </c>
      <c r="I3" s="9" t="s">
        <v>4366</v>
      </c>
      <c r="J3" s="9" t="s">
        <v>4367</v>
      </c>
      <c r="K3" s="9" t="s">
        <v>4368</v>
      </c>
      <c r="L3" s="9" t="s">
        <v>4369</v>
      </c>
      <c r="M3" s="9" t="s">
        <v>4370</v>
      </c>
      <c r="N3" s="9" t="s">
        <v>4371</v>
      </c>
      <c r="O3" s="9" t="s">
        <v>4372</v>
      </c>
      <c r="P3" s="9" t="s">
        <v>4373</v>
      </c>
      <c r="Q3" s="9" t="s">
        <v>4374</v>
      </c>
      <c r="R3" s="9" t="s">
        <v>4375</v>
      </c>
      <c r="S3" s="9" t="s">
        <v>4376</v>
      </c>
      <c r="T3" s="22" t="str">
        <f aca="false">'Author Response Entry'!$D$3</f>
        <v>OPTION 1</v>
      </c>
      <c r="U3" s="23" t="n">
        <f aca="false">'Author Response Entry'!$E$3</f>
        <v>0</v>
      </c>
      <c r="V3" s="23" t="str">
        <f aca="false">'Author Response Entry'!$F$3</f>
        <v>SEMANTIC/QUESTION_PATTERN triggers marked DEFERRED.</v>
      </c>
      <c r="W3" s="23" t="str">
        <f aca="false">'Author Response Entry'!$G$3</f>
        <v>AJP</v>
      </c>
      <c r="X3" s="24" t="n">
        <f aca="false">'Author Response Entry'!$H$3</f>
        <v>46274</v>
      </c>
      <c r="Y3" s="23" t="str">
        <f aca="false">IF(T3="","",IF(T3="CUSTOM RESPONSE",U3,IF(T3="HOLD — NEEDS RESEARCH",IF(U3&lt;&gt;"",U3,"HOLD — NEEDS RESEARCH"),IF(T3="DEFER — NOT YET",IF(U3&lt;&gt;"",U3,"DEFER — NOT YET"),IF(T3="OPTION 1",O3,IF(T3="OPTION 2",P3,IF(T3="OPTION 3",Q3,IF(T3="OPTION 4",U3,""))))))))</f>
        <v>V1 DETERMINISTIC ONLY — keep semantic/question-pattern rows inactive until later RAG</v>
      </c>
      <c r="Z3" s="23" t="str">
        <f aca="false">IF(T3="","OPEN",IF(T3="CUSTOM RESPONSE",IF(U3="","OPEN — CUSTOM TEXT REQUIRED",IF(W3="","RESOLVED — ADD INITIALS/DATE",IF(X3="","RESOLVED — ADD INITIALS/DATE","RESOLVED"))),IF(T3="HOLD — NEEDS RESEARCH",IF(W3="","HOLD — ADD INITIALS/DATE",IF(X3="","HOLD — ADD INITIALS/DATE","HOLD")),IF(T3="DEFER — NOT YET",IF(W3="","DEFERRED — ADD INITIALS/DATE",IF(X3="","DEFERRED — ADD INITIALS/DATE","DEFERRED")),IF(T3="OPTION 1",IF(W3="","RESOLVED — ADD INITIALS/DATE",IF(X3="","RESOLVED — ADD INITIALS/DATE","RESOLVED")),IF(T3="OPTION 2",IF(W3="","RESOLVED — ADD INITIALS/DATE",IF(X3="","RESOLVED — ADD INITIALS/DATE","RESOLVED")),IF(T3="OPTION 3",IF(W3="","RESOLVED — ADD INITIALS/DATE",IF(X3="","RESOLVED — ADD INITIALS/DATE","RESOLVED")),IF(T3="OPTION 4",IF(U3="","OPEN — CUSTOM TEXT REQUIRED",IF(W3="","RESOLVED — ADD INITIALS/DATE",IF(X3="","RESOLVED — ADD INITIALS/DATE","RESOLVED"))),IF(W3="","RESOLVED — ADD INITIALS/DATE",IF(X3="","RESOLVED — ADD INITIALS/DATE","RESOLVED"))))))))))</f>
        <v>RESOLVED</v>
      </c>
      <c r="AA3" s="23" t="s">
        <v>380</v>
      </c>
      <c r="AB3" s="23" t="s">
        <v>4377</v>
      </c>
      <c r="AC3" s="23" t="s">
        <v>4361</v>
      </c>
      <c r="AD3" s="23"/>
      <c r="AE3" s="23" t="s">
        <v>4378</v>
      </c>
      <c r="AF3" s="23" t="str">
        <f aca="false">IF(F3&lt;&gt;"READY","NO",IF(Z3="OPEN","YES",IF(Z3="OPEN — CUSTOM TEXT REQUIRED","YES",IF(Z3="RESOLVED — ADD INITIALS/DATE","YES",IF(Z3="HOLD — ADD INITIALS/DATE","YES",IF(Z3="DEFERRED — ADD INITIALS/DATE","YES","NO"))))))</f>
        <v>NO</v>
      </c>
      <c r="AG3" s="23" t="str">
        <f aca="false">IF(AF3&lt;&gt;"YES","",IF(A3=IFERROR(MATCH("YES",$AF$2:$AF$105,0),0),"CURRENT",""))</f>
        <v/>
      </c>
      <c r="AH3" s="25" t="str">
        <f aca="false">IF(COUNTIF($B$2:$B$105,B3)&gt;1,"DUPLICATE","")</f>
        <v/>
      </c>
    </row>
    <row r="4" customFormat="false" ht="55.2" hidden="false" customHeight="false" outlineLevel="0" collapsed="false">
      <c r="A4" s="9" t="n">
        <v>3</v>
      </c>
      <c r="B4" s="9" t="s">
        <v>4379</v>
      </c>
      <c r="C4" s="9" t="s">
        <v>4347</v>
      </c>
      <c r="D4" s="9" t="s">
        <v>4380</v>
      </c>
      <c r="E4" s="9" t="s">
        <v>113</v>
      </c>
      <c r="F4" s="9" t="s">
        <v>874</v>
      </c>
      <c r="G4" s="9" t="s">
        <v>96</v>
      </c>
      <c r="H4" s="9" t="s">
        <v>4381</v>
      </c>
      <c r="I4" s="9" t="s">
        <v>4382</v>
      </c>
      <c r="J4" s="9" t="s">
        <v>4383</v>
      </c>
      <c r="K4" s="9" t="s">
        <v>4384</v>
      </c>
      <c r="L4" s="9" t="s">
        <v>4385</v>
      </c>
      <c r="M4" s="9" t="s">
        <v>4386</v>
      </c>
      <c r="N4" s="9" t="s">
        <v>4387</v>
      </c>
      <c r="O4" s="9" t="s">
        <v>4388</v>
      </c>
      <c r="P4" s="9" t="s">
        <v>4389</v>
      </c>
      <c r="Q4" s="9" t="s">
        <v>4390</v>
      </c>
      <c r="R4" s="9" t="s">
        <v>4391</v>
      </c>
      <c r="S4" s="9" t="s">
        <v>4376</v>
      </c>
      <c r="T4" s="22" t="str">
        <f aca="false">'Author Response Entry'!$D$4</f>
        <v>OPTION 1</v>
      </c>
      <c r="U4" s="23" t="n">
        <f aca="false">'Author Response Entry'!$E$4</f>
        <v>0</v>
      </c>
      <c r="V4" s="23" t="str">
        <f aca="false">'Author Response Entry'!$F$4</f>
        <v>Three-way anchor; ICC-001 explorer-only under Salvation &amp; discipleship.</v>
      </c>
      <c r="W4" s="23" t="str">
        <f aca="false">'Author Response Entry'!$G$4</f>
        <v>AJP</v>
      </c>
      <c r="X4" s="24" t="n">
        <f aca="false">'Author Response Entry'!$H$4</f>
        <v>46274</v>
      </c>
      <c r="Y4" s="23" t="str">
        <f aca="false">IF(T4="","",IF(T4="CUSTOM RESPONSE",U4,IF(T4="HOLD — NEEDS RESEARCH",IF(U4&lt;&gt;"",U4,"HOLD — NEEDS RESEARCH"),IF(T4="DEFER — NOT YET",IF(U4&lt;&gt;"",U4,"DEFER — NOT YET"),IF(T4="OPTION 1",O4,IF(T4="OPTION 2",P4,IF(T4="OPTION 3",Q4,IF(T4="OPTION 4",U4,""))))))))</f>
        <v>REQUIRE predicate/Godhead/explorer anchor; ICC-001 = explorer-only 'Salvation &amp; discipleship'</v>
      </c>
      <c r="Z4" s="23" t="str">
        <f aca="false">IF(T4="","OPEN",IF(T4="CUSTOM RESPONSE",IF(U4="","OPEN — CUSTOM TEXT REQUIRED",IF(W4="","RESOLVED — ADD INITIALS/DATE",IF(X4="","RESOLVED — ADD INITIALS/DATE","RESOLVED"))),IF(T4="HOLD — NEEDS RESEARCH",IF(W4="","HOLD — ADD INITIALS/DATE",IF(X4="","HOLD — ADD INITIALS/DATE","HOLD")),IF(T4="DEFER — NOT YET",IF(W4="","DEFERRED — ADD INITIALS/DATE",IF(X4="","DEFERRED — ADD INITIALS/DATE","DEFERRED")),IF(T4="OPTION 1",IF(W4="","RESOLVED — ADD INITIALS/DATE",IF(X4="","RESOLVED — ADD INITIALS/DATE","RESOLVED")),IF(T4="OPTION 2",IF(W4="","RESOLVED — ADD INITIALS/DATE",IF(X4="","RESOLVED — ADD INITIALS/DATE","RESOLVED")),IF(T4="OPTION 3",IF(W4="","RESOLVED — ADD INITIALS/DATE",IF(X4="","RESOLVED — ADD INITIALS/DATE","RESOLVED")),IF(T4="OPTION 4",IF(U4="","OPEN — CUSTOM TEXT REQUIRED",IF(W4="","RESOLVED — ADD INITIALS/DATE",IF(X4="","RESOLVED — ADD INITIALS/DATE","RESOLVED"))),IF(W4="","RESOLVED — ADD INITIALS/DATE",IF(X4="","RESOLVED — ADD INITIALS/DATE","RESOLVED"))))))))))</f>
        <v>RESOLVED</v>
      </c>
      <c r="AA4" s="23" t="s">
        <v>380</v>
      </c>
      <c r="AB4" s="23" t="s">
        <v>4392</v>
      </c>
      <c r="AC4" s="23" t="s">
        <v>4361</v>
      </c>
      <c r="AD4" s="23"/>
      <c r="AE4" s="23" t="s">
        <v>4393</v>
      </c>
      <c r="AF4" s="23" t="str">
        <f aca="false">IF(F4&lt;&gt;"READY","NO",IF(Z4="OPEN","YES",IF(Z4="OPEN — CUSTOM TEXT REQUIRED","YES",IF(Z4="RESOLVED — ADD INITIALS/DATE","YES",IF(Z4="HOLD — ADD INITIALS/DATE","YES",IF(Z4="DEFERRED — ADD INITIALS/DATE","YES","NO"))))))</f>
        <v>NO</v>
      </c>
      <c r="AG4" s="23" t="str">
        <f aca="false">IF(AF4&lt;&gt;"YES","",IF(A4=IFERROR(MATCH("YES",$AF$2:$AF$105,0),0),"CURRENT",""))</f>
        <v/>
      </c>
      <c r="AH4" s="25" t="str">
        <f aca="false">IF(COUNTIF($B$2:$B$105,B4)&gt;1,"DUPLICATE","")</f>
        <v/>
      </c>
    </row>
    <row r="5" customFormat="false" ht="55.2" hidden="false" customHeight="false" outlineLevel="0" collapsed="false">
      <c r="A5" s="9" t="n">
        <v>4</v>
      </c>
      <c r="B5" s="9" t="s">
        <v>4394</v>
      </c>
      <c r="C5" s="9" t="s">
        <v>4347</v>
      </c>
      <c r="D5" s="9" t="s">
        <v>4395</v>
      </c>
      <c r="E5" s="9" t="s">
        <v>1857</v>
      </c>
      <c r="F5" s="9" t="s">
        <v>874</v>
      </c>
      <c r="G5" s="9" t="s">
        <v>102</v>
      </c>
      <c r="H5" s="9" t="s">
        <v>4396</v>
      </c>
      <c r="I5" s="9" t="s">
        <v>4397</v>
      </c>
      <c r="J5" s="9" t="s">
        <v>4398</v>
      </c>
      <c r="K5" s="9" t="s">
        <v>4399</v>
      </c>
      <c r="L5" s="9" t="s">
        <v>4400</v>
      </c>
      <c r="M5" s="9" t="s">
        <v>4401</v>
      </c>
      <c r="N5" s="9" t="s">
        <v>4402</v>
      </c>
      <c r="O5" s="9" t="s">
        <v>4403</v>
      </c>
      <c r="P5" s="9" t="s">
        <v>4404</v>
      </c>
      <c r="Q5" s="9" t="s">
        <v>4405</v>
      </c>
      <c r="R5" s="9" t="s">
        <v>4406</v>
      </c>
      <c r="S5" s="9" t="s">
        <v>4407</v>
      </c>
      <c r="T5" s="22" t="str">
        <f aca="false">'Author Response Entry'!$D$5</f>
        <v>OPTION 1</v>
      </c>
      <c r="U5" s="23" t="n">
        <f aca="false">'Author Response Entry'!$E$5</f>
        <v>0</v>
      </c>
      <c r="V5" s="23" t="str">
        <f aca="false">'Author Response Entry'!$F$5</f>
        <v>All ten hazards taught in Orientation in plain language.</v>
      </c>
      <c r="W5" s="23" t="str">
        <f aca="false">'Author Response Entry'!$G$5</f>
        <v>AJP</v>
      </c>
      <c r="X5" s="24" t="n">
        <f aca="false">'Author Response Entry'!$H$5</f>
        <v>46274</v>
      </c>
      <c r="Y5" s="23" t="str">
        <f aca="false">IF(T5="","",IF(T5="CUSTOM RESPONSE",U5,IF(T5="HOLD — NEEDS RESEARCH",IF(U5&lt;&gt;"",U5,"HOLD — NEEDS RESEARCH"),IF(T5="DEFER — NOT YET",IF(U5&lt;&gt;"",U5,"DEFER — NOT YET"),IF(T5="OPTION 1",O5,IF(T5="OPTION 2",U5,IF(T5="OPTION 3",Q5,IF(T5="OPTION 4",U5,""))))))))</f>
        <v>APPROVE all ten hazards as Orientation teaching content</v>
      </c>
      <c r="Z5" s="23" t="str">
        <f aca="false">IF(T5="","OPEN",IF(T5="CUSTOM RESPONSE",IF(U5="","OPEN — CUSTOM TEXT REQUIRED",IF(W5="","RESOLVED — ADD INITIALS/DATE",IF(X5="","RESOLVED — ADD INITIALS/DATE","RESOLVED"))),IF(T5="HOLD — NEEDS RESEARCH",IF(W5="","HOLD — ADD INITIALS/DATE",IF(X5="","HOLD — ADD INITIALS/DATE","HOLD")),IF(T5="DEFER — NOT YET",IF(W5="","DEFERRED — ADD INITIALS/DATE",IF(X5="","DEFERRED — ADD INITIALS/DATE","DEFERRED")),IF(T5="OPTION 1",IF(W5="","RESOLVED — ADD INITIALS/DATE",IF(X5="","RESOLVED — ADD INITIALS/DATE","RESOLVED")),IF(T5="OPTION 2",IF(U5="","OPEN — CUSTOM TEXT REQUIRED",IF(W5="","RESOLVED — ADD INITIALS/DATE",IF(X5="","RESOLVED — ADD INITIALS/DATE","RESOLVED"))),IF(T5="OPTION 3",IF(W5="","RESOLVED — ADD INITIALS/DATE",IF(X5="","RESOLVED — ADD INITIALS/DATE","RESOLVED")),IF(T5="OPTION 4",IF(U5="","OPEN — CUSTOM TEXT REQUIRED",IF(W5="","RESOLVED — ADD INITIALS/DATE",IF(X5="","RESOLVED — ADD INITIALS/DATE","RESOLVED"))),IF(W5="","RESOLVED — ADD INITIALS/DATE",IF(X5="","RESOLVED — ADD INITIALS/DATE","RESOLVED"))))))))))</f>
        <v>RESOLVED</v>
      </c>
      <c r="AA5" s="23" t="s">
        <v>380</v>
      </c>
      <c r="AB5" s="23" t="s">
        <v>4408</v>
      </c>
      <c r="AC5" s="23" t="s">
        <v>4361</v>
      </c>
      <c r="AD5" s="23"/>
      <c r="AE5" s="23" t="s">
        <v>4409</v>
      </c>
      <c r="AF5" s="23" t="str">
        <f aca="false">IF(F5&lt;&gt;"READY","NO",IF(Z5="OPEN","YES",IF(Z5="OPEN — CUSTOM TEXT REQUIRED","YES",IF(Z5="RESOLVED — ADD INITIALS/DATE","YES",IF(Z5="HOLD — ADD INITIALS/DATE","YES",IF(Z5="DEFERRED — ADD INITIALS/DATE","YES","NO"))))))</f>
        <v>NO</v>
      </c>
      <c r="AG5" s="23" t="str">
        <f aca="false">IF(AF5&lt;&gt;"YES","",IF(A5=IFERROR(MATCH("YES",$AF$2:$AF$105,0),0),"CURRENT",""))</f>
        <v/>
      </c>
      <c r="AH5" s="25" t="str">
        <f aca="false">IF(COUNTIF($B$2:$B$105,B5)&gt;1,"DUPLICATE","")</f>
        <v/>
      </c>
    </row>
    <row r="6" customFormat="false" ht="41.75" hidden="false" customHeight="false" outlineLevel="0" collapsed="false">
      <c r="A6" s="9" t="n">
        <v>5</v>
      </c>
      <c r="B6" s="9" t="s">
        <v>4410</v>
      </c>
      <c r="C6" s="9" t="s">
        <v>4347</v>
      </c>
      <c r="D6" s="9" t="s">
        <v>4411</v>
      </c>
      <c r="E6" s="9" t="s">
        <v>113</v>
      </c>
      <c r="F6" s="9" t="s">
        <v>874</v>
      </c>
      <c r="G6" s="9" t="s">
        <v>96</v>
      </c>
      <c r="H6" s="9" t="s">
        <v>4412</v>
      </c>
      <c r="I6" s="9" t="s">
        <v>4413</v>
      </c>
      <c r="J6" s="9" t="s">
        <v>4414</v>
      </c>
      <c r="K6" s="9" t="s">
        <v>4415</v>
      </c>
      <c r="L6" s="9" t="s">
        <v>4416</v>
      </c>
      <c r="M6" s="9" t="s">
        <v>4417</v>
      </c>
      <c r="N6" s="9" t="s">
        <v>4418</v>
      </c>
      <c r="O6" s="9" t="s">
        <v>4419</v>
      </c>
      <c r="P6" s="9" t="s">
        <v>4420</v>
      </c>
      <c r="Q6" s="9" t="s">
        <v>4421</v>
      </c>
      <c r="R6" s="9" t="s">
        <v>4422</v>
      </c>
      <c r="S6" s="9" t="s">
        <v>4376</v>
      </c>
      <c r="T6" s="22" t="str">
        <f aca="false">'Author Response Entry'!$D$6</f>
        <v>OPTION 1</v>
      </c>
      <c r="U6" s="23" t="n">
        <f aca="false">'Author Response Entry'!$E$6</f>
        <v>0</v>
      </c>
      <c r="V6" s="23" t="str">
        <f aca="false">'Author Response Entry'!$F$6</f>
        <v>ICC-002 (2 Nephi 25:23 “after all we can do”) required before ICC-001 public release.</v>
      </c>
      <c r="W6" s="23" t="str">
        <f aca="false">'Author Response Entry'!$G$6</f>
        <v>AJP</v>
      </c>
      <c r="X6" s="24" t="n">
        <f aca="false">'Author Response Entry'!$H$6</f>
        <v>46274</v>
      </c>
      <c r="Y6" s="23" t="str">
        <f aca="false">IF(T6="","",IF(T6="CUSTOM RESPONSE",U6,IF(T6="HOLD — NEEDS RESEARCH",IF(U6&lt;&gt;"",U6,"HOLD — NEEDS RESEARCH"),IF(T6="DEFER — NOT YET",IF(U6&lt;&gt;"",U6,"DEFER — NOT YET"),IF(T6="OPTION 1",O6,IF(T6="OPTION 2",P6,IF(T6="OPTION 3",Q6,IF(T6="OPTION 4",U6,""))))))))</f>
        <v>REQUIRE balanced pair for v1 — create ICC-002 LDS grace/'after all we can do' before ICC-001 public release</v>
      </c>
      <c r="Z6" s="23" t="str">
        <f aca="false">IF(T6="","OPEN",IF(T6="CUSTOM RESPONSE",IF(U6="","OPEN — CUSTOM TEXT REQUIRED",IF(W6="","RESOLVED — ADD INITIALS/DATE",IF(X6="","RESOLVED — ADD INITIALS/DATE","RESOLVED"))),IF(T6="HOLD — NEEDS RESEARCH",IF(W6="","HOLD — ADD INITIALS/DATE",IF(X6="","HOLD — ADD INITIALS/DATE","HOLD")),IF(T6="DEFER — NOT YET",IF(W6="","DEFERRED — ADD INITIALS/DATE",IF(X6="","DEFERRED — ADD INITIALS/DATE","DEFERRED")),IF(T6="OPTION 1",IF(W6="","RESOLVED — ADD INITIALS/DATE",IF(X6="","RESOLVED — ADD INITIALS/DATE","RESOLVED")),IF(T6="OPTION 2",IF(W6="","RESOLVED — ADD INITIALS/DATE",IF(X6="","RESOLVED — ADD INITIALS/DATE","RESOLVED")),IF(T6="OPTION 3",IF(W6="","RESOLVED — ADD INITIALS/DATE",IF(X6="","RESOLVED — ADD INITIALS/DATE","RESOLVED")),IF(T6="OPTION 4",IF(U6="","OPEN — CUSTOM TEXT REQUIRED",IF(W6="","RESOLVED — ADD INITIALS/DATE",IF(X6="","RESOLVED — ADD INITIALS/DATE","RESOLVED"))),IF(W6="","RESOLVED — ADD INITIALS/DATE",IF(X6="","RESOLVED — ADD INITIALS/DATE","RESOLVED"))))))))))</f>
        <v>RESOLVED</v>
      </c>
      <c r="AA6" s="23" t="s">
        <v>380</v>
      </c>
      <c r="AB6" s="23" t="s">
        <v>4423</v>
      </c>
      <c r="AC6" s="23" t="s">
        <v>4361</v>
      </c>
      <c r="AD6" s="23"/>
      <c r="AE6" s="23" t="s">
        <v>4424</v>
      </c>
      <c r="AF6" s="23" t="str">
        <f aca="false">IF(F6&lt;&gt;"READY","NO",IF(Z6="OPEN","YES",IF(Z6="OPEN — CUSTOM TEXT REQUIRED","YES",IF(Z6="RESOLVED — ADD INITIALS/DATE","YES",IF(Z6="HOLD — ADD INITIALS/DATE","YES",IF(Z6="DEFERRED — ADD INITIALS/DATE","YES","NO"))))))</f>
        <v>NO</v>
      </c>
      <c r="AG6" s="23" t="str">
        <f aca="false">IF(AF6&lt;&gt;"YES","",IF(A6=IFERROR(MATCH("YES",$AF$2:$AF$105,0),0),"CURRENT",""))</f>
        <v/>
      </c>
      <c r="AH6" s="25" t="str">
        <f aca="false">IF(COUNTIF($B$2:$B$105,B6)&gt;1,"DUPLICATE","")</f>
        <v/>
      </c>
    </row>
    <row r="7" customFormat="false" ht="28.35" hidden="false" customHeight="false" outlineLevel="0" collapsed="false">
      <c r="A7" s="9" t="n">
        <v>6</v>
      </c>
      <c r="B7" s="9" t="s">
        <v>4425</v>
      </c>
      <c r="C7" s="9" t="s">
        <v>4347</v>
      </c>
      <c r="D7" s="9" t="s">
        <v>4426</v>
      </c>
      <c r="E7" s="9" t="s">
        <v>1857</v>
      </c>
      <c r="F7" s="9" t="s">
        <v>874</v>
      </c>
      <c r="G7" s="9" t="s">
        <v>96</v>
      </c>
      <c r="H7" s="9" t="s">
        <v>4427</v>
      </c>
      <c r="I7" s="9" t="s">
        <v>4413</v>
      </c>
      <c r="J7" s="9" t="s">
        <v>4428</v>
      </c>
      <c r="K7" s="9" t="s">
        <v>4429</v>
      </c>
      <c r="L7" s="9" t="s">
        <v>4430</v>
      </c>
      <c r="M7" s="9" t="s">
        <v>4431</v>
      </c>
      <c r="N7" s="9" t="s">
        <v>4432</v>
      </c>
      <c r="O7" s="9" t="s">
        <v>4433</v>
      </c>
      <c r="P7" s="9" t="s">
        <v>4434</v>
      </c>
      <c r="Q7" s="9" t="s">
        <v>4435</v>
      </c>
      <c r="R7" s="9" t="s">
        <v>4436</v>
      </c>
      <c r="S7" s="9"/>
      <c r="T7" s="22" t="str">
        <f aca="false">'Author Response Entry'!$D$7</f>
        <v>OPTION 1</v>
      </c>
      <c r="U7" s="23" t="n">
        <f aca="false">'Author Response Entry'!$E$7</f>
        <v>0</v>
      </c>
      <c r="V7" s="23" t="str">
        <f aca="false">'Author Response Entry'!$F$7</f>
        <v>Cap 6; observed misunderstanding required.</v>
      </c>
      <c r="W7" s="23" t="str">
        <f aca="false">'Author Response Entry'!$G$7</f>
        <v>AJP</v>
      </c>
      <c r="X7" s="24" t="n">
        <f aca="false">'Author Response Entry'!$H$7</f>
        <v>46274</v>
      </c>
      <c r="Y7" s="23" t="str">
        <f aca="false">IF(T7="","",IF(T7="CUSTOM RESPONSE",U7,IF(T7="HOLD — NEEDS RESEARCH",IF(U7&lt;&gt;"",U7,"HOLD — NEEDS RESEARCH"),IF(T7="DEFER — NOT YET",IF(U7&lt;&gt;"",U7,"DEFER — NOT YET"),IF(T7="OPTION 1",O7,IF(T7="OPTION 2",P7,IF(T7="OPTION 3",Q7,IF(T7="OPTION 4",R7,""))))))))</f>
        <v>CAP v1 at 6 APPROVED cases; require observed/recurrent misunderstanding</v>
      </c>
      <c r="Z7" s="23" t="str">
        <f aca="false">IF(T7="","OPEN",IF(T7="CUSTOM RESPONSE",IF(U7="","OPEN — CUSTOM TEXT REQUIRED",IF(W7="","RESOLVED — ADD INITIALS/DATE",IF(X7="","RESOLVED — ADD INITIALS/DATE","RESOLVED"))),IF(T7="HOLD — NEEDS RESEARCH",IF(W7="","HOLD — ADD INITIALS/DATE",IF(X7="","HOLD — ADD INITIALS/DATE","HOLD")),IF(T7="DEFER — NOT YET",IF(W7="","DEFERRED — ADD INITIALS/DATE",IF(X7="","DEFERRED — ADD INITIALS/DATE","DEFERRED")),IF(T7="OPTION 1",IF(W7="","RESOLVED — ADD INITIALS/DATE",IF(X7="","RESOLVED — ADD INITIALS/DATE","RESOLVED")),IF(T7="OPTION 2",IF(W7="","RESOLVED — ADD INITIALS/DATE",IF(X7="","RESOLVED — ADD INITIALS/DATE","RESOLVED")),IF(T7="OPTION 3",IF(W7="","RESOLVED — ADD INITIALS/DATE",IF(X7="","RESOLVED — ADD INITIALS/DATE","RESOLVED")),IF(T7="OPTION 4",IF(W7="","RESOLVED — ADD INITIALS/DATE",IF(X7="","RESOLVED — ADD INITIALS/DATE","RESOLVED")),IF(W7="","RESOLVED — ADD INITIALS/DATE",IF(X7="","RESOLVED — ADD INITIALS/DATE","RESOLVED"))))))))))</f>
        <v>RESOLVED</v>
      </c>
      <c r="AA7" s="23" t="s">
        <v>380</v>
      </c>
      <c r="AB7" s="23" t="s">
        <v>4437</v>
      </c>
      <c r="AC7" s="23" t="s">
        <v>4361</v>
      </c>
      <c r="AD7" s="23"/>
      <c r="AE7" s="23" t="s">
        <v>4438</v>
      </c>
      <c r="AF7" s="23" t="str">
        <f aca="false">IF(F7&lt;&gt;"READY","NO",IF(Z7="OPEN","YES",IF(Z7="OPEN — CUSTOM TEXT REQUIRED","YES",IF(Z7="RESOLVED — ADD INITIALS/DATE","YES",IF(Z7="HOLD — ADD INITIALS/DATE","YES",IF(Z7="DEFERRED — ADD INITIALS/DATE","YES","NO"))))))</f>
        <v>NO</v>
      </c>
      <c r="AG7" s="23" t="str">
        <f aca="false">IF(AF7&lt;&gt;"YES","",IF(A7=IFERROR(MATCH("YES",$AF$2:$AF$105,0),0),"CURRENT",""))</f>
        <v/>
      </c>
      <c r="AH7" s="25" t="str">
        <f aca="false">IF(COUNTIF($B$2:$B$105,B7)&gt;1,"DUPLICATE","")</f>
        <v/>
      </c>
    </row>
    <row r="8" customFormat="false" ht="41.75" hidden="false" customHeight="false" outlineLevel="0" collapsed="false">
      <c r="A8" s="9" t="n">
        <v>7</v>
      </c>
      <c r="B8" s="9" t="s">
        <v>4439</v>
      </c>
      <c r="C8" s="9" t="s">
        <v>4440</v>
      </c>
      <c r="D8" s="9" t="s">
        <v>4441</v>
      </c>
      <c r="E8" s="9" t="s">
        <v>113</v>
      </c>
      <c r="F8" s="9" t="s">
        <v>874</v>
      </c>
      <c r="G8" s="9" t="s">
        <v>96</v>
      </c>
      <c r="H8" s="9" t="s">
        <v>4442</v>
      </c>
      <c r="I8" s="9" t="s">
        <v>4443</v>
      </c>
      <c r="J8" s="9" t="s">
        <v>4444</v>
      </c>
      <c r="K8" s="9" t="s">
        <v>4445</v>
      </c>
      <c r="L8" s="9" t="s">
        <v>4446</v>
      </c>
      <c r="M8" s="9" t="s">
        <v>4447</v>
      </c>
      <c r="N8" s="9" t="s">
        <v>4448</v>
      </c>
      <c r="O8" s="9" t="s">
        <v>4449</v>
      </c>
      <c r="P8" s="9" t="s">
        <v>4450</v>
      </c>
      <c r="Q8" s="9" t="s">
        <v>4451</v>
      </c>
      <c r="R8" s="9" t="s">
        <v>4452</v>
      </c>
      <c r="S8" s="9" t="s">
        <v>4376</v>
      </c>
      <c r="T8" s="22" t="str">
        <f aca="false">'Author Response Entry'!$D$8</f>
        <v>OPTION 1</v>
      </c>
      <c r="U8" s="23" t="n">
        <f aca="false">'Author Response Entry'!$E$8</f>
        <v>0</v>
      </c>
      <c r="V8" s="23" t="str">
        <f aca="false">'Author Response Entry'!$F$8</f>
        <v>Question form adopted as learner cue copy.</v>
      </c>
      <c r="W8" s="23" t="str">
        <f aca="false">'Author Response Entry'!$G$8</f>
        <v>AJP</v>
      </c>
      <c r="X8" s="24" t="n">
        <f aca="false">'Author Response Entry'!$H$8</f>
        <v>46274</v>
      </c>
      <c r="Y8" s="23" t="str">
        <f aca="false">IF(T8="","",IF(T8="CUSTOM RESPONSE",U8,IF(T8="HOLD — NEEDS RESEARCH",IF(U8&lt;&gt;"",U8,"HOLD — NEEDS RESEARCH"),IF(T8="DEFER — NOT YET",IF(U8&lt;&gt;"",U8,"DEFER — NOT YET"),IF(T8="OPTION 1",O8,IF(T8="OPTION 2",P8,IF(T8="OPTION 3",Q8,IF(T8="OPTION 4",U8,""))))))))</f>
        <v>“How can faith alone and church discipline both fit Baptist theology? See the distinction.”</v>
      </c>
      <c r="Z8" s="23" t="str">
        <f aca="false">IF(T8="","OPEN",IF(T8="CUSTOM RESPONSE",IF(U8="","OPEN — CUSTOM TEXT REQUIRED",IF(W8="","RESOLVED — ADD INITIALS/DATE",IF(X8="","RESOLVED — ADD INITIALS/DATE","RESOLVED"))),IF(T8="HOLD — NEEDS RESEARCH",IF(W8="","HOLD — ADD INITIALS/DATE",IF(X8="","HOLD — ADD INITIALS/DATE","HOLD")),IF(T8="DEFER — NOT YET",IF(W8="","DEFERRED — ADD INITIALS/DATE",IF(X8="","DEFERRED — ADD INITIALS/DATE","DEFERRED")),IF(T8="OPTION 1",IF(W8="","RESOLVED — ADD INITIALS/DATE",IF(X8="","RESOLVED — ADD INITIALS/DATE","RESOLVED")),IF(T8="OPTION 2",IF(W8="","RESOLVED — ADD INITIALS/DATE",IF(X8="","RESOLVED — ADD INITIALS/DATE","RESOLVED")),IF(T8="OPTION 3",IF(W8="","RESOLVED — ADD INITIALS/DATE",IF(X8="","RESOLVED — ADD INITIALS/DATE","RESOLVED")),IF(T8="OPTION 4",IF(U8="","OPEN — CUSTOM TEXT REQUIRED",IF(W8="","RESOLVED — ADD INITIALS/DATE",IF(X8="","RESOLVED — ADD INITIALS/DATE","RESOLVED"))),IF(W8="","RESOLVED — ADD INITIALS/DATE",IF(X8="","RESOLVED — ADD INITIALS/DATE","RESOLVED"))))))))))</f>
        <v>RESOLVED</v>
      </c>
      <c r="AA8" s="23" t="s">
        <v>380</v>
      </c>
      <c r="AB8" s="23" t="s">
        <v>4453</v>
      </c>
      <c r="AC8" s="23" t="s">
        <v>4454</v>
      </c>
      <c r="AD8" s="23"/>
      <c r="AE8" s="23" t="s">
        <v>4455</v>
      </c>
      <c r="AF8" s="23" t="str">
        <f aca="false">IF(F8&lt;&gt;"READY","NO",IF(Z8="OPEN","YES",IF(Z8="OPEN — CUSTOM TEXT REQUIRED","YES",IF(Z8="RESOLVED — ADD INITIALS/DATE","YES",IF(Z8="HOLD — ADD INITIALS/DATE","YES",IF(Z8="DEFERRED — ADD INITIALS/DATE","YES","NO"))))))</f>
        <v>NO</v>
      </c>
      <c r="AG8" s="23" t="str">
        <f aca="false">IF(AF8&lt;&gt;"YES","",IF(A8=IFERROR(MATCH("YES",$AF$2:$AF$105,0),0),"CURRENT",""))</f>
        <v/>
      </c>
      <c r="AH8" s="25" t="str">
        <f aca="false">IF(COUNTIF($B$2:$B$105,B8)&gt;1,"DUPLICATE","")</f>
        <v/>
      </c>
    </row>
    <row r="9" customFormat="false" ht="41.75" hidden="false" customHeight="false" outlineLevel="0" collapsed="false">
      <c r="A9" s="9" t="n">
        <v>8</v>
      </c>
      <c r="B9" s="9" t="s">
        <v>4456</v>
      </c>
      <c r="C9" s="9" t="s">
        <v>4440</v>
      </c>
      <c r="D9" s="9" t="s">
        <v>4457</v>
      </c>
      <c r="E9" s="9" t="s">
        <v>113</v>
      </c>
      <c r="F9" s="9" t="s">
        <v>874</v>
      </c>
      <c r="G9" s="9" t="s">
        <v>96</v>
      </c>
      <c r="H9" s="9" t="s">
        <v>4025</v>
      </c>
      <c r="I9" s="9" t="s">
        <v>4458</v>
      </c>
      <c r="J9" s="9" t="s">
        <v>4459</v>
      </c>
      <c r="K9" s="9" t="s">
        <v>4460</v>
      </c>
      <c r="L9" s="9" t="s">
        <v>4461</v>
      </c>
      <c r="M9" s="9" t="s">
        <v>4462</v>
      </c>
      <c r="N9" s="9" t="s">
        <v>4463</v>
      </c>
      <c r="O9" s="9" t="s">
        <v>4464</v>
      </c>
      <c r="P9" s="9" t="s">
        <v>4465</v>
      </c>
      <c r="Q9" s="9" t="s">
        <v>4466</v>
      </c>
      <c r="R9" s="9" t="s">
        <v>4467</v>
      </c>
      <c r="S9" s="9" t="s">
        <v>4468</v>
      </c>
      <c r="T9" s="22" t="str">
        <f aca="false">'Author Response Entry'!$D$9</f>
        <v>OPTION 1</v>
      </c>
      <c r="U9" s="23" t="n">
        <f aca="false">'Author Response Entry'!$E$9</f>
        <v>0</v>
      </c>
      <c r="V9" s="23" t="str">
        <f aca="false">'Author Response Entry'!$F$9</f>
        <v>Content approved; release held for lens balance.</v>
      </c>
      <c r="W9" s="23" t="str">
        <f aca="false">'Author Response Entry'!$G$9</f>
        <v>AJP</v>
      </c>
      <c r="X9" s="24" t="n">
        <f aca="false">'Author Response Entry'!$H$9</f>
        <v>46274</v>
      </c>
      <c r="Y9" s="23" t="str">
        <f aca="false">IF(T9="","",IF(T9="CUSTOM RESPONSE",U9,IF(T9="HOLD — NEEDS RESEARCH",IF(U9&lt;&gt;"",U9,"HOLD — NEEDS RESEARCH"),IF(T9="DEFER — NOT YET",IF(U9&lt;&gt;"",U9,"DEFER — NOT YET"),IF(T9="OPTION 1",O9,IF(T9="OPTION 2",P9,IF(T9="OPTION 3",U9,IF(T9="OPTION 4",R9,""))))))))</f>
        <v>APPROVE CONTENT — keep public release held until the lens-balance policy is satisfied</v>
      </c>
      <c r="Z9" s="23" t="str">
        <f aca="false">IF(T9="","OPEN",IF(T9="CUSTOM RESPONSE",IF(U9="","OPEN — CUSTOM TEXT REQUIRED",IF(W9="","RESOLVED — ADD INITIALS/DATE",IF(X9="","RESOLVED — ADD INITIALS/DATE","RESOLVED"))),IF(T9="HOLD — NEEDS RESEARCH",IF(W9="","HOLD — ADD INITIALS/DATE",IF(X9="","HOLD — ADD INITIALS/DATE","HOLD")),IF(T9="DEFER — NOT YET",IF(W9="","DEFERRED — ADD INITIALS/DATE",IF(X9="","DEFERRED — ADD INITIALS/DATE","DEFERRED")),IF(T9="OPTION 1",IF(W9="","RESOLVED — ADD INITIALS/DATE",IF(X9="","RESOLVED — ADD INITIALS/DATE","RESOLVED")),IF(T9="OPTION 2",IF(W9="","RESOLVED — ADD INITIALS/DATE",IF(X9="","RESOLVED — ADD INITIALS/DATE","RESOLVED")),IF(T9="OPTION 3",IF(U9="","OPEN — CUSTOM TEXT REQUIRED",IF(W9="","RESOLVED — ADD INITIALS/DATE",IF(X9="","RESOLVED — ADD INITIALS/DATE","RESOLVED"))),IF(T9="OPTION 4",IF(W9="","HOLD — ADD INITIALS/DATE",IF(X9="","HOLD — ADD INITIALS/DATE","HOLD")),IF(W9="","RESOLVED — ADD INITIALS/DATE",IF(X9="","RESOLVED — ADD INITIALS/DATE","RESOLVED"))))))))))</f>
        <v>RESOLVED</v>
      </c>
      <c r="AA9" s="23" t="s">
        <v>380</v>
      </c>
      <c r="AB9" s="23" t="s">
        <v>4469</v>
      </c>
      <c r="AC9" s="23" t="s">
        <v>4454</v>
      </c>
      <c r="AD9" s="23"/>
      <c r="AE9" s="23" t="s">
        <v>4470</v>
      </c>
      <c r="AF9" s="23" t="str">
        <f aca="false">IF(F9&lt;&gt;"READY","NO",IF(Z9="OPEN","YES",IF(Z9="OPEN — CUSTOM TEXT REQUIRED","YES",IF(Z9="RESOLVED — ADD INITIALS/DATE","YES",IF(Z9="HOLD — ADD INITIALS/DATE","YES",IF(Z9="DEFERRED — ADD INITIALS/DATE","YES","NO"))))))</f>
        <v>NO</v>
      </c>
      <c r="AG9" s="23" t="str">
        <f aca="false">IF(AF9&lt;&gt;"YES","",IF(A9=IFERROR(MATCH("YES",$AF$2:$AF$105,0),0),"CURRENT",""))</f>
        <v/>
      </c>
      <c r="AH9" s="25" t="str">
        <f aca="false">IF(COUNTIF($B$2:$B$105,B9)&gt;1,"DUPLICATE","")</f>
        <v/>
      </c>
    </row>
    <row r="10" customFormat="false" ht="28.35" hidden="false" customHeight="false" outlineLevel="0" collapsed="false">
      <c r="A10" s="9" t="n">
        <v>9</v>
      </c>
      <c r="B10" s="9" t="s">
        <v>4471</v>
      </c>
      <c r="C10" s="9" t="s">
        <v>4472</v>
      </c>
      <c r="D10" s="9" t="s">
        <v>4473</v>
      </c>
      <c r="E10" s="9" t="s">
        <v>113</v>
      </c>
      <c r="F10" s="9" t="s">
        <v>874</v>
      </c>
      <c r="G10" s="9" t="s">
        <v>3031</v>
      </c>
      <c r="H10" s="9" t="s">
        <v>481</v>
      </c>
      <c r="I10" s="9" t="s">
        <v>4474</v>
      </c>
      <c r="J10" s="9" t="s">
        <v>4475</v>
      </c>
      <c r="K10" s="9" t="s">
        <v>4476</v>
      </c>
      <c r="L10" s="9" t="s">
        <v>4477</v>
      </c>
      <c r="M10" s="9" t="s">
        <v>4478</v>
      </c>
      <c r="N10" s="9" t="s">
        <v>4479</v>
      </c>
      <c r="O10" s="9" t="s">
        <v>4480</v>
      </c>
      <c r="P10" s="9" t="s">
        <v>4481</v>
      </c>
      <c r="Q10" s="9" t="s">
        <v>4482</v>
      </c>
      <c r="R10" s="9" t="s">
        <v>4483</v>
      </c>
      <c r="S10" s="9" t="s">
        <v>4376</v>
      </c>
      <c r="T10" s="22" t="str">
        <f aca="false">'Author Response Entry'!$D$10</f>
        <v>OPTION 2</v>
      </c>
      <c r="U10" s="23" t="n">
        <f aca="false">'Author Response Entry'!$E$10</f>
        <v>0</v>
      </c>
      <c r="V10" s="23" t="str">
        <f aca="false">'Author Response Entry'!$F$10</f>
        <v>D&amp;C 20:24 — “to reign with almighty power according to the will of the Father”.</v>
      </c>
      <c r="W10" s="23" t="str">
        <f aca="false">'Author Response Entry'!$G$10</f>
        <v>AJP</v>
      </c>
      <c r="X10" s="24" t="n">
        <f aca="false">'Author Response Entry'!$H$10</f>
        <v>46274</v>
      </c>
      <c r="Y10" s="23" t="str">
        <f aca="false">IF(T10="","",IF(T10="CUSTOM RESPONSE",U10,IF(T10="HOLD — NEEDS RESEARCH",IF(U10&lt;&gt;"",U10,"HOLD — NEEDS RESEARCH"),IF(T10="DEFER — NOT YET",IF(U10&lt;&gt;"",U10,"DEFER — NOT YET"),IF(T10="OPTION 1",O10,IF(T10="OPTION 2",P10,IF(T10="OPTION 3",Q10,IF(T10="OPTION 4",U10,""))))))))</f>
        <v>REPLACE with D&amp;C 20:24</v>
      </c>
      <c r="Z10" s="23" t="str">
        <f aca="false">IF(T10="","OPEN",IF(T10="CUSTOM RESPONSE",IF(U10="","OPEN — CUSTOM TEXT REQUIRED",IF(W10="","RESOLVED — ADD INITIALS/DATE",IF(X10="","RESOLVED — ADD INITIALS/DATE","RESOLVED"))),IF(T10="HOLD — NEEDS RESEARCH",IF(W10="","HOLD — ADD INITIALS/DATE",IF(X10="","HOLD — ADD INITIALS/DATE","HOLD")),IF(T10="DEFER — NOT YET",IF(W10="","DEFERRED — ADD INITIALS/DATE",IF(X10="","DEFERRED — ADD INITIALS/DATE","DEFERRED")),IF(T10="OPTION 1",IF(W10="","RESOLVED — ADD INITIALS/DATE",IF(X10="","RESOLVED — ADD INITIALS/DATE","RESOLVED")),IF(T10="OPTION 2",IF(W10="","RESOLVED — ADD INITIALS/DATE",IF(X10="","RESOLVED — ADD INITIALS/DATE","RESOLVED")),IF(T10="OPTION 3",IF(W10="","RESOLVED — ADD INITIALS/DATE",IF(X10="","RESOLVED — ADD INITIALS/DATE","RESOLVED")),IF(T10="OPTION 4",IF(U10="","OPEN — CUSTOM TEXT REQUIRED",IF(W10="","RESOLVED — ADD INITIALS/DATE",IF(X10="","RESOLVED — ADD INITIALS/DATE","RESOLVED"))),IF(W10="","RESOLVED — ADD INITIALS/DATE",IF(X10="","RESOLVED — ADD INITIALS/DATE","RESOLVED"))))))))))</f>
        <v>RESOLVED</v>
      </c>
      <c r="AA10" s="23" t="s">
        <v>380</v>
      </c>
      <c r="AB10" s="23" t="s">
        <v>4484</v>
      </c>
      <c r="AC10" s="23" t="s">
        <v>4485</v>
      </c>
      <c r="AD10" s="23" t="s">
        <v>1062</v>
      </c>
      <c r="AE10" s="23" t="s">
        <v>4478</v>
      </c>
      <c r="AF10" s="23" t="str">
        <f aca="false">IF(F10&lt;&gt;"READY","NO",IF(Z10="OPEN","YES",IF(Z10="OPEN — CUSTOM TEXT REQUIRED","YES",IF(Z10="RESOLVED — ADD INITIALS/DATE","YES",IF(Z10="HOLD — ADD INITIALS/DATE","YES",IF(Z10="DEFERRED — ADD INITIALS/DATE","YES","NO"))))))</f>
        <v>NO</v>
      </c>
      <c r="AG10" s="23" t="str">
        <f aca="false">IF(AF10&lt;&gt;"YES","",IF(A10=IFERROR(MATCH("YES",$AF$2:$AF$105,0),0),"CURRENT",""))</f>
        <v/>
      </c>
      <c r="AH10" s="25" t="str">
        <f aca="false">IF(COUNTIF($B$2:$B$105,B10)&gt;1,"DUPLICATE","")</f>
        <v/>
      </c>
    </row>
    <row r="11" customFormat="false" ht="28.35" hidden="false" customHeight="false" outlineLevel="0" collapsed="false">
      <c r="A11" s="9" t="n">
        <v>10</v>
      </c>
      <c r="B11" s="9" t="s">
        <v>4486</v>
      </c>
      <c r="C11" s="9" t="s">
        <v>4472</v>
      </c>
      <c r="D11" s="9" t="s">
        <v>4473</v>
      </c>
      <c r="E11" s="9" t="s">
        <v>113</v>
      </c>
      <c r="F11" s="9" t="s">
        <v>874</v>
      </c>
      <c r="G11" s="9" t="s">
        <v>3031</v>
      </c>
      <c r="H11" s="9" t="s">
        <v>494</v>
      </c>
      <c r="I11" s="9" t="s">
        <v>4487</v>
      </c>
      <c r="J11" s="9" t="s">
        <v>4488</v>
      </c>
      <c r="K11" s="9" t="s">
        <v>4489</v>
      </c>
      <c r="L11" s="9" t="s">
        <v>4490</v>
      </c>
      <c r="M11" s="9" t="s">
        <v>4491</v>
      </c>
      <c r="N11" s="9" t="s">
        <v>4479</v>
      </c>
      <c r="O11" s="9" t="s">
        <v>4492</v>
      </c>
      <c r="P11" s="9" t="s">
        <v>4493</v>
      </c>
      <c r="Q11" s="9" t="s">
        <v>4494</v>
      </c>
      <c r="R11" s="9" t="s">
        <v>4483</v>
      </c>
      <c r="S11" s="9" t="s">
        <v>4376</v>
      </c>
      <c r="T11" s="22" t="str">
        <f aca="false">'Author Response Entry'!$D$11</f>
        <v>OPTION 2</v>
      </c>
      <c r="U11" s="23" t="n">
        <f aca="false">'Author Response Entry'!$E$11</f>
        <v>0</v>
      </c>
      <c r="V11" s="23" t="str">
        <f aca="false">'Author Response Entry'!$F$11</f>
        <v>Moroni 7:12 — “all things which are good cometh of God”.</v>
      </c>
      <c r="W11" s="23" t="str">
        <f aca="false">'Author Response Entry'!$G$11</f>
        <v>AJP</v>
      </c>
      <c r="X11" s="24" t="n">
        <f aca="false">'Author Response Entry'!$H$11</f>
        <v>46274</v>
      </c>
      <c r="Y11" s="23" t="str">
        <f aca="false">IF(T11="","",IF(T11="CUSTOM RESPONSE",U11,IF(T11="HOLD — NEEDS RESEARCH",IF(U11&lt;&gt;"",U11,"HOLD — NEEDS RESEARCH"),IF(T11="DEFER — NOT YET",IF(U11&lt;&gt;"",U11,"DEFER — NOT YET"),IF(T11="OPTION 1",O11,IF(T11="OPTION 2",P11,IF(T11="OPTION 3",Q11,IF(T11="OPTION 4",U11,""))))))))</f>
        <v>REPLACE with Moroni 7:12</v>
      </c>
      <c r="Z11" s="23" t="str">
        <f aca="false">IF(T11="","OPEN",IF(T11="CUSTOM RESPONSE",IF(U11="","OPEN — CUSTOM TEXT REQUIRED",IF(W11="","RESOLVED — ADD INITIALS/DATE",IF(X11="","RESOLVED — ADD INITIALS/DATE","RESOLVED"))),IF(T11="HOLD — NEEDS RESEARCH",IF(W11="","HOLD — ADD INITIALS/DATE",IF(X11="","HOLD — ADD INITIALS/DATE","HOLD")),IF(T11="DEFER — NOT YET",IF(W11="","DEFERRED — ADD INITIALS/DATE",IF(X11="","DEFERRED — ADD INITIALS/DATE","DEFERRED")),IF(T11="OPTION 1",IF(W11="","RESOLVED — ADD INITIALS/DATE",IF(X11="","RESOLVED — ADD INITIALS/DATE","RESOLVED")),IF(T11="OPTION 2",IF(W11="","RESOLVED — ADD INITIALS/DATE",IF(X11="","RESOLVED — ADD INITIALS/DATE","RESOLVED")),IF(T11="OPTION 3",IF(W11="","RESOLVED — ADD INITIALS/DATE",IF(X11="","RESOLVED — ADD INITIALS/DATE","RESOLVED")),IF(T11="OPTION 4",IF(U11="","OPEN — CUSTOM TEXT REQUIRED",IF(W11="","RESOLVED — ADD INITIALS/DATE",IF(X11="","RESOLVED — ADD INITIALS/DATE","RESOLVED"))),IF(W11="","RESOLVED — ADD INITIALS/DATE",IF(X11="","RESOLVED — ADD INITIALS/DATE","RESOLVED"))))))))))</f>
        <v>RESOLVED</v>
      </c>
      <c r="AA11" s="23" t="s">
        <v>380</v>
      </c>
      <c r="AB11" s="23" t="s">
        <v>4484</v>
      </c>
      <c r="AC11" s="23" t="s">
        <v>4485</v>
      </c>
      <c r="AD11" s="23" t="s">
        <v>3595</v>
      </c>
      <c r="AE11" s="23" t="s">
        <v>4491</v>
      </c>
      <c r="AF11" s="23" t="str">
        <f aca="false">IF(F11&lt;&gt;"READY","NO",IF(Z11="OPEN","YES",IF(Z11="OPEN — CUSTOM TEXT REQUIRED","YES",IF(Z11="RESOLVED — ADD INITIALS/DATE","YES",IF(Z11="HOLD — ADD INITIALS/DATE","YES",IF(Z11="DEFERRED — ADD INITIALS/DATE","YES","NO"))))))</f>
        <v>NO</v>
      </c>
      <c r="AG11" s="23" t="str">
        <f aca="false">IF(AF11&lt;&gt;"YES","",IF(A11=IFERROR(MATCH("YES",$AF$2:$AF$105,0),0),"CURRENT",""))</f>
        <v/>
      </c>
      <c r="AH11" s="25" t="str">
        <f aca="false">IF(COUNTIF($B$2:$B$105,B11)&gt;1,"DUPLICATE","")</f>
        <v/>
      </c>
    </row>
    <row r="12" customFormat="false" ht="28.35" hidden="false" customHeight="false" outlineLevel="0" collapsed="false">
      <c r="A12" s="9" t="n">
        <v>11</v>
      </c>
      <c r="B12" s="9" t="s">
        <v>4495</v>
      </c>
      <c r="C12" s="9" t="s">
        <v>4472</v>
      </c>
      <c r="D12" s="9" t="s">
        <v>4473</v>
      </c>
      <c r="E12" s="9" t="s">
        <v>113</v>
      </c>
      <c r="F12" s="9" t="s">
        <v>874</v>
      </c>
      <c r="G12" s="9" t="s">
        <v>3031</v>
      </c>
      <c r="H12" s="9" t="s">
        <v>534</v>
      </c>
      <c r="I12" s="9" t="s">
        <v>4496</v>
      </c>
      <c r="J12" s="9" t="s">
        <v>4497</v>
      </c>
      <c r="K12" s="9" t="s">
        <v>4498</v>
      </c>
      <c r="L12" s="9" t="s">
        <v>4499</v>
      </c>
      <c r="M12" s="9" t="s">
        <v>4500</v>
      </c>
      <c r="N12" s="9" t="s">
        <v>4479</v>
      </c>
      <c r="O12" s="9" t="s">
        <v>4501</v>
      </c>
      <c r="P12" s="9" t="s">
        <v>4502</v>
      </c>
      <c r="Q12" s="9" t="s">
        <v>4503</v>
      </c>
      <c r="R12" s="9" t="s">
        <v>4504</v>
      </c>
      <c r="S12" s="9" t="s">
        <v>4505</v>
      </c>
      <c r="T12" s="22" t="str">
        <f aca="false">'Author Response Entry'!$D$12</f>
        <v>OPTION 2</v>
      </c>
      <c r="U12" s="23" t="str">
        <f aca="false">'Author Response Entry'!$E$12</f>
        <v>REPLACE with Alma 26:8 — “Blessed be the name of our God” (doxological sense of blessed; scope note to say so).</v>
      </c>
      <c r="V12" s="23" t="str">
        <f aca="false">'Author Response Entry'!$F$12</f>
        <v>Author chose Alma 26:8 over suggested 1 Timothy 6:15.</v>
      </c>
      <c r="W12" s="23" t="str">
        <f aca="false">'Author Response Entry'!$G$12</f>
        <v>AJP</v>
      </c>
      <c r="X12" s="24" t="n">
        <f aca="false">'Author Response Entry'!$H$12</f>
        <v>46274</v>
      </c>
      <c r="Y12" s="23" t="str">
        <f aca="false">IF(T12="","",IF(T12="CUSTOM RESPONSE",U12,IF(T12="HOLD — NEEDS RESEARCH",IF(U12&lt;&gt;"",U12,"HOLD — NEEDS RESEARCH"),IF(T12="DEFER — NOT YET",IF(U12&lt;&gt;"",U12,"DEFER — NOT YET"),IF(T12="OPTION 1",O12,IF(T12="OPTION 2",U12,IF(T12="OPTION 3",Q12,IF(T12="OPTION 4",R12,""))))))))</f>
        <v>REPLACE with Alma 26:8 — “Blessed be the name of our God” (doxological sense of blessed; scope note to say so).</v>
      </c>
      <c r="Z12" s="23" t="str">
        <f aca="false">IF(T12="","OPEN",IF(T12="CUSTOM RESPONSE",IF(U12="","OPEN — CUSTOM TEXT REQUIRED",IF(W12="","RESOLVED — ADD INITIALS/DATE",IF(X12="","RESOLVED — ADD INITIALS/DATE","RESOLVED"))),IF(T12="HOLD — NEEDS RESEARCH",IF(W12="","HOLD — ADD INITIALS/DATE",IF(X12="","HOLD — ADD INITIALS/DATE","HOLD")),IF(T12="DEFER — NOT YET",IF(W12="","DEFERRED — ADD INITIALS/DATE",IF(X12="","DEFERRED — ADD INITIALS/DATE","DEFERRED")),IF(T12="OPTION 1",IF(W12="","RESOLVED — ADD INITIALS/DATE",IF(X12="","RESOLVED — ADD INITIALS/DATE","RESOLVED")),IF(T12="OPTION 2",IF(U12="","OPEN — CUSTOM TEXT REQUIRED",IF(W12="","RESOLVED — ADD INITIALS/DATE",IF(X12="","RESOLVED — ADD INITIALS/DATE","RESOLVED"))),IF(T12="OPTION 3",IF(W12="","HOLD — ADD INITIALS/DATE",IF(X12="","HOLD — ADD INITIALS/DATE","HOLD")),IF(T12="OPTION 4",IF(W12="","RESOLVED — ADD INITIALS/DATE",IF(X12="","RESOLVED — ADD INITIALS/DATE","RESOLVED")),IF(W12="","RESOLVED — ADD INITIALS/DATE",IF(X12="","RESOLVED — ADD INITIALS/DATE","RESOLVED"))))))))))</f>
        <v>RESOLVED</v>
      </c>
      <c r="AA12" s="23" t="s">
        <v>380</v>
      </c>
      <c r="AB12" s="23" t="s">
        <v>4484</v>
      </c>
      <c r="AC12" s="23" t="s">
        <v>4485</v>
      </c>
      <c r="AD12" s="23" t="s">
        <v>3594</v>
      </c>
      <c r="AE12" s="23" t="s">
        <v>4500</v>
      </c>
      <c r="AF12" s="23" t="str">
        <f aca="false">IF(F12&lt;&gt;"READY","NO",IF(Z12="OPEN","YES",IF(Z12="OPEN — CUSTOM TEXT REQUIRED","YES",IF(Z12="RESOLVED — ADD INITIALS/DATE","YES",IF(Z12="HOLD — ADD INITIALS/DATE","YES",IF(Z12="DEFERRED — ADD INITIALS/DATE","YES","NO"))))))</f>
        <v>NO</v>
      </c>
      <c r="AG12" s="23" t="str">
        <f aca="false">IF(AF12&lt;&gt;"YES","",IF(A12=IFERROR(MATCH("YES",$AF$2:$AF$105,0),0),"CURRENT",""))</f>
        <v/>
      </c>
      <c r="AH12" s="25" t="str">
        <f aca="false">IF(COUNTIF($B$2:$B$105,B12)&gt;1,"DUPLICATE","")</f>
        <v/>
      </c>
    </row>
    <row r="13" customFormat="false" ht="28.35" hidden="false" customHeight="false" outlineLevel="0" collapsed="false">
      <c r="A13" s="9" t="n">
        <v>12</v>
      </c>
      <c r="B13" s="9" t="s">
        <v>4506</v>
      </c>
      <c r="C13" s="9" t="s">
        <v>4472</v>
      </c>
      <c r="D13" s="9" t="s">
        <v>4473</v>
      </c>
      <c r="E13" s="9" t="s">
        <v>113</v>
      </c>
      <c r="F13" s="9" t="s">
        <v>874</v>
      </c>
      <c r="G13" s="9" t="s">
        <v>3031</v>
      </c>
      <c r="H13" s="9" t="s">
        <v>537</v>
      </c>
      <c r="I13" s="9" t="s">
        <v>4507</v>
      </c>
      <c r="J13" s="9" t="s">
        <v>4508</v>
      </c>
      <c r="K13" s="9" t="s">
        <v>4509</v>
      </c>
      <c r="L13" s="9" t="s">
        <v>4510</v>
      </c>
      <c r="M13" s="9" t="s">
        <v>4511</v>
      </c>
      <c r="N13" s="9" t="s">
        <v>4479</v>
      </c>
      <c r="O13" s="9" t="s">
        <v>4512</v>
      </c>
      <c r="P13" s="9" t="s">
        <v>4513</v>
      </c>
      <c r="Q13" s="9" t="s">
        <v>4514</v>
      </c>
      <c r="R13" s="9" t="s">
        <v>4483</v>
      </c>
      <c r="S13" s="9" t="s">
        <v>4376</v>
      </c>
      <c r="T13" s="22" t="str">
        <f aca="false">'Author Response Entry'!$D$13</f>
        <v>OPTION 3</v>
      </c>
      <c r="U13" s="23" t="n">
        <f aca="false">'Author Response Entry'!$E$13</f>
        <v>0</v>
      </c>
      <c r="V13" s="23" t="str">
        <f aca="false">'Author Response Entry'!$F$13</f>
        <v>D&amp;C 76:19–20 — “we beheld the glory of the Son”.</v>
      </c>
      <c r="W13" s="23" t="str">
        <f aca="false">'Author Response Entry'!$G$13</f>
        <v>AJP</v>
      </c>
      <c r="X13" s="24" t="n">
        <f aca="false">'Author Response Entry'!$H$13</f>
        <v>46274</v>
      </c>
      <c r="Y13" s="23" t="str">
        <f aca="false">IF(T13="","",IF(T13="CUSTOM RESPONSE",U13,IF(T13="HOLD — NEEDS RESEARCH",IF(U13&lt;&gt;"",U13,"HOLD — NEEDS RESEARCH"),IF(T13="DEFER — NOT YET",IF(U13&lt;&gt;"",U13,"DEFER — NOT YET"),IF(T13="OPTION 1",O13,IF(T13="OPTION 2",P13,IF(T13="OPTION 3",Q13,IF(T13="OPTION 4",U13,""))))))))</f>
        <v>REPLACE with D&amp;C 76:19–20</v>
      </c>
      <c r="Z13" s="23" t="str">
        <f aca="false">IF(T13="","OPEN",IF(T13="CUSTOM RESPONSE",IF(U13="","OPEN — CUSTOM TEXT REQUIRED",IF(W13="","RESOLVED — ADD INITIALS/DATE",IF(X13="","RESOLVED — ADD INITIALS/DATE","RESOLVED"))),IF(T13="HOLD — NEEDS RESEARCH",IF(W13="","HOLD — ADD INITIALS/DATE",IF(X13="","HOLD — ADD INITIALS/DATE","HOLD")),IF(T13="DEFER — NOT YET",IF(W13="","DEFERRED — ADD INITIALS/DATE",IF(X13="","DEFERRED — ADD INITIALS/DATE","DEFERRED")),IF(T13="OPTION 1",IF(W13="","RESOLVED — ADD INITIALS/DATE",IF(X13="","RESOLVED — ADD INITIALS/DATE","RESOLVED")),IF(T13="OPTION 2",IF(W13="","RESOLVED — ADD INITIALS/DATE",IF(X13="","RESOLVED — ADD INITIALS/DATE","RESOLVED")),IF(T13="OPTION 3",IF(W13="","RESOLVED — ADD INITIALS/DATE",IF(X13="","RESOLVED — ADD INITIALS/DATE","RESOLVED")),IF(T13="OPTION 4",IF(U13="","OPEN — CUSTOM TEXT REQUIRED",IF(W13="","RESOLVED — ADD INITIALS/DATE",IF(X13="","RESOLVED — ADD INITIALS/DATE","RESOLVED"))),IF(W13="","RESOLVED — ADD INITIALS/DATE",IF(X13="","RESOLVED — ADD INITIALS/DATE","RESOLVED"))))))))))</f>
        <v>RESOLVED</v>
      </c>
      <c r="AA13" s="23" t="s">
        <v>380</v>
      </c>
      <c r="AB13" s="23" t="s">
        <v>4484</v>
      </c>
      <c r="AC13" s="23" t="s">
        <v>4485</v>
      </c>
      <c r="AD13" s="23" t="s">
        <v>3593</v>
      </c>
      <c r="AE13" s="23" t="s">
        <v>4511</v>
      </c>
      <c r="AF13" s="23" t="str">
        <f aca="false">IF(F13&lt;&gt;"READY","NO",IF(Z13="OPEN","YES",IF(Z13="OPEN — CUSTOM TEXT REQUIRED","YES",IF(Z13="RESOLVED — ADD INITIALS/DATE","YES",IF(Z13="HOLD — ADD INITIALS/DATE","YES",IF(Z13="DEFERRED — ADD INITIALS/DATE","YES","NO"))))))</f>
        <v>NO</v>
      </c>
      <c r="AG13" s="23" t="str">
        <f aca="false">IF(AF13&lt;&gt;"YES","",IF(A13=IFERROR(MATCH("YES",$AF$2:$AF$105,0),0),"CURRENT",""))</f>
        <v/>
      </c>
      <c r="AH13" s="25" t="str">
        <f aca="false">IF(COUNTIF($B$2:$B$105,B13)&gt;1,"DUPLICATE","")</f>
        <v/>
      </c>
    </row>
    <row r="14" customFormat="false" ht="41.75" hidden="false" customHeight="false" outlineLevel="0" collapsed="false">
      <c r="A14" s="9" t="n">
        <v>13</v>
      </c>
      <c r="B14" s="9" t="s">
        <v>4515</v>
      </c>
      <c r="C14" s="9" t="s">
        <v>4516</v>
      </c>
      <c r="D14" s="9" t="s">
        <v>4517</v>
      </c>
      <c r="E14" s="9" t="s">
        <v>113</v>
      </c>
      <c r="F14" s="9" t="s">
        <v>874</v>
      </c>
      <c r="G14" s="9" t="s">
        <v>4518</v>
      </c>
      <c r="H14" s="9" t="s">
        <v>4519</v>
      </c>
      <c r="I14" s="9" t="s">
        <v>4520</v>
      </c>
      <c r="J14" s="9" t="s">
        <v>4521</v>
      </c>
      <c r="K14" s="9" t="s">
        <v>4522</v>
      </c>
      <c r="L14" s="9" t="s">
        <v>4523</v>
      </c>
      <c r="M14" s="9" t="s">
        <v>4524</v>
      </c>
      <c r="N14" s="9" t="s">
        <v>4525</v>
      </c>
      <c r="O14" s="9" t="s">
        <v>4526</v>
      </c>
      <c r="P14" s="9" t="s">
        <v>4527</v>
      </c>
      <c r="Q14" s="9" t="s">
        <v>4528</v>
      </c>
      <c r="R14" s="9" t="s">
        <v>4529</v>
      </c>
      <c r="S14" s="9" t="s">
        <v>4376</v>
      </c>
      <c r="T14" s="22" t="str">
        <f aca="false">'Author Response Entry'!$D$14</f>
        <v>OPTION 1</v>
      </c>
      <c r="U14" s="23" t="n">
        <f aca="false">'Author Response Entry'!$E$14</f>
        <v>0</v>
      </c>
      <c r="V14" s="23" t="str">
        <f aca="false">'Author Response Entry'!$F$14</f>
        <v>Approved over reviewer recommendation to hold; OCA jurisdictional scope; seek catechetical source before scholarly use.</v>
      </c>
      <c r="W14" s="23" t="str">
        <f aca="false">'Author Response Entry'!$G$14</f>
        <v>AJP</v>
      </c>
      <c r="X14" s="24" t="n">
        <f aca="false">'Author Response Entry'!$H$14</f>
        <v>46274</v>
      </c>
      <c r="Y14" s="23" t="str">
        <f aca="false">IF(T14="","",IF(T14="CUSTOM RESPONSE",U14,IF(T14="HOLD — NEEDS RESEARCH",IF(U14&lt;&gt;"",U14,"HOLD — NEEDS RESEARCH"),IF(T14="DEFER — NOT YET",IF(U14&lt;&gt;"",U14,"DEFER — NOT YET"),IF(T14="OPTION 1",O14,IF(T14="OPTION 2",P14,IF(T14="OPTION 3",Q14,IF(T14="OPTION 4",U14,""))))))))</f>
        <v>APPROVE source role — resolve Eastern Orthodox H37 to Q with explicit OCA/jurisdictional scope</v>
      </c>
      <c r="Z14" s="23" t="str">
        <f aca="false">IF(T14="","OPEN",IF(T14="CUSTOM RESPONSE",IF(U14="","OPEN — CUSTOM TEXT REQUIRED",IF(W14="","RESOLVED — ADD INITIALS/DATE",IF(X14="","RESOLVED — ADD INITIALS/DATE","RESOLVED"))),IF(T14="HOLD — NEEDS RESEARCH",IF(W14="","HOLD — ADD INITIALS/DATE",IF(X14="","HOLD — ADD INITIALS/DATE","HOLD")),IF(T14="DEFER — NOT YET",IF(W14="","DEFERRED — ADD INITIALS/DATE",IF(X14="","DEFERRED — ADD INITIALS/DATE","DEFERRED")),IF(T14="OPTION 1",IF(W14="","RESOLVED — ADD INITIALS/DATE",IF(X14="","RESOLVED — ADD INITIALS/DATE","RESOLVED")),IF(T14="OPTION 2",IF(W14="","HOLD — ADD INITIALS/DATE",IF(X14="","HOLD — ADD INITIALS/DATE","HOLD")),IF(T14="OPTION 3",IF(W14="","HOLD — ADD INITIALS/DATE",IF(X14="","HOLD — ADD INITIALS/DATE","HOLD")),IF(T14="OPTION 4",IF(U14="","OPEN — CUSTOM TEXT REQUIRED",IF(W14="","RESOLVED — ADD INITIALS/DATE",IF(X14="","RESOLVED — ADD INITIALS/DATE","RESOLVED"))),IF(W14="","RESOLVED — ADD INITIALS/DATE",IF(X14="","RESOLVED — ADD INITIALS/DATE","RESOLVED"))))))))))</f>
        <v>RESOLVED</v>
      </c>
      <c r="AA14" s="23" t="s">
        <v>380</v>
      </c>
      <c r="AB14" s="23" t="s">
        <v>4530</v>
      </c>
      <c r="AC14" s="23" t="s">
        <v>4531</v>
      </c>
      <c r="AD14" s="23"/>
      <c r="AE14" s="23" t="s">
        <v>4532</v>
      </c>
      <c r="AF14" s="23" t="str">
        <f aca="false">IF(F14&lt;&gt;"READY","NO",IF(Z14="OPEN","YES",IF(Z14="OPEN — CUSTOM TEXT REQUIRED","YES",IF(Z14="RESOLVED — ADD INITIALS/DATE","YES",IF(Z14="HOLD — ADD INITIALS/DATE","YES",IF(Z14="DEFERRED — ADD INITIALS/DATE","YES","NO"))))))</f>
        <v>NO</v>
      </c>
      <c r="AG14" s="23" t="str">
        <f aca="false">IF(AF14&lt;&gt;"YES","",IF(A14=IFERROR(MATCH("YES",$AF$2:$AF$105,0),0),"CURRENT",""))</f>
        <v/>
      </c>
      <c r="AH14" s="25" t="str">
        <f aca="false">IF(COUNTIF($B$2:$B$105,B14)&gt;1,"DUPLICATE","")</f>
        <v/>
      </c>
    </row>
    <row r="15" customFormat="false" ht="28.35" hidden="false" customHeight="false" outlineLevel="0" collapsed="false">
      <c r="A15" s="9" t="n">
        <v>14</v>
      </c>
      <c r="B15" s="9" t="s">
        <v>4533</v>
      </c>
      <c r="C15" s="9" t="s">
        <v>4516</v>
      </c>
      <c r="D15" s="9" t="s">
        <v>4534</v>
      </c>
      <c r="E15" s="9" t="s">
        <v>113</v>
      </c>
      <c r="F15" s="9" t="s">
        <v>874</v>
      </c>
      <c r="G15" s="9" t="s">
        <v>2382</v>
      </c>
      <c r="H15" s="9" t="s">
        <v>4535</v>
      </c>
      <c r="I15" s="9" t="s">
        <v>4536</v>
      </c>
      <c r="J15" s="9" t="s">
        <v>4537</v>
      </c>
      <c r="K15" s="9" t="s">
        <v>4538</v>
      </c>
      <c r="L15" s="9" t="s">
        <v>4539</v>
      </c>
      <c r="M15" s="9" t="s">
        <v>4540</v>
      </c>
      <c r="N15" s="9" t="s">
        <v>4541</v>
      </c>
      <c r="O15" s="9" t="s">
        <v>4542</v>
      </c>
      <c r="P15" s="9" t="s">
        <v>4543</v>
      </c>
      <c r="Q15" s="9" t="s">
        <v>4544</v>
      </c>
      <c r="R15" s="9" t="s">
        <v>4545</v>
      </c>
      <c r="S15" s="9" t="s">
        <v>4468</v>
      </c>
      <c r="T15" s="22" t="str">
        <f aca="false">'Author Response Entry'!$D$15</f>
        <v>OPTION 2</v>
      </c>
      <c r="U15" s="23" t="n">
        <f aca="false">'Author Response Entry'!$E$15</f>
        <v>0</v>
      </c>
      <c r="V15" s="23" t="str">
        <f aca="false">'Author Response Entry'!$F$15</f>
        <v>Keep PENDING; add essence–energies learner note.</v>
      </c>
      <c r="W15" s="23" t="str">
        <f aca="false">'Author Response Entry'!$G$15</f>
        <v>AJP</v>
      </c>
      <c r="X15" s="24" t="n">
        <f aca="false">'Author Response Entry'!$H$15</f>
        <v>46274</v>
      </c>
      <c r="Y15" s="23" t="str">
        <f aca="false">IF(T15="","",IF(T15="CUSTOM RESPONSE",U15,IF(T15="HOLD — NEEDS RESEARCH",IF(U15&lt;&gt;"",U15,"HOLD — NEEDS RESEARCH"),IF(T15="DEFER — NOT YET",IF(U15&lt;&gt;"",U15,"DEFER — NOT YET"),IF(T15="OPTION 1",O15,IF(T15="OPTION 2",P15,IF(T15="OPTION 3",U15,IF(T15="OPTION 4",R15,""))))))))</f>
        <v>KEEP PENDING — source does not establish exact 'without parts' equivalence</v>
      </c>
      <c r="Z15" s="23" t="str">
        <f aca="false">IF(T15="","OPEN",IF(T15="CUSTOM RESPONSE",IF(U15="","OPEN — CUSTOM TEXT REQUIRED",IF(W15="","RESOLVED — ADD INITIALS/DATE",IF(X15="","RESOLVED — ADD INITIALS/DATE","RESOLVED"))),IF(T15="HOLD — NEEDS RESEARCH",IF(W15="","HOLD — ADD INITIALS/DATE",IF(X15="","HOLD — ADD INITIALS/DATE","HOLD")),IF(T15="DEFER — NOT YET",IF(W15="","DEFERRED — ADD INITIALS/DATE",IF(X15="","DEFERRED — ADD INITIALS/DATE","DEFERRED")),IF(T15="OPTION 1",IF(W15="","RESOLVED — ADD INITIALS/DATE",IF(X15="","RESOLVED — ADD INITIALS/DATE","RESOLVED")),IF(T15="OPTION 2",IF(W15="","HOLD — ADD INITIALS/DATE",IF(X15="","HOLD — ADD INITIALS/DATE","HOLD")),IF(T15="OPTION 3",IF(U15="","OPEN — CUSTOM TEXT REQUIRED",IF(W15="","RESOLVED — ADD INITIALS/DATE",IF(X15="","RESOLVED — ADD INITIALS/DATE","RESOLVED"))),IF(T15="OPTION 4",IF(W15="","HOLD — ADD INITIALS/DATE",IF(X15="","HOLD — ADD INITIALS/DATE","HOLD")),IF(W15="","RESOLVED — ADD INITIALS/DATE",IF(X15="","RESOLVED — ADD INITIALS/DATE","RESOLVED"))))))))))</f>
        <v>HOLD</v>
      </c>
      <c r="AA15" s="23" t="s">
        <v>380</v>
      </c>
      <c r="AB15" s="23" t="s">
        <v>4546</v>
      </c>
      <c r="AC15" s="23" t="s">
        <v>4531</v>
      </c>
      <c r="AD15" s="23" t="s">
        <v>2077</v>
      </c>
      <c r="AE15" s="23" t="s">
        <v>2072</v>
      </c>
      <c r="AF15" s="23" t="str">
        <f aca="false">IF(F15&lt;&gt;"READY","NO",IF(Z15="OPEN","YES",IF(Z15="OPEN — CUSTOM TEXT REQUIRED","YES",IF(Z15="RESOLVED — ADD INITIALS/DATE","YES",IF(Z15="HOLD — ADD INITIALS/DATE","YES",IF(Z15="DEFERRED — ADD INITIALS/DATE","YES","NO"))))))</f>
        <v>NO</v>
      </c>
      <c r="AG15" s="23" t="str">
        <f aca="false">IF(AF15&lt;&gt;"YES","",IF(A15=IFERROR(MATCH("YES",$AF$2:$AF$105,0),0),"CURRENT",""))</f>
        <v/>
      </c>
      <c r="AH15" s="25" t="str">
        <f aca="false">IF(COUNTIF($B$2:$B$105,B15)&gt;1,"DUPLICATE","")</f>
        <v/>
      </c>
    </row>
    <row r="16" customFormat="false" ht="82.05" hidden="false" customHeight="false" outlineLevel="0" collapsed="false">
      <c r="A16" s="9" t="n">
        <v>15</v>
      </c>
      <c r="B16" s="9" t="s">
        <v>4547</v>
      </c>
      <c r="C16" s="9" t="s">
        <v>4548</v>
      </c>
      <c r="D16" s="9" t="s">
        <v>4549</v>
      </c>
      <c r="E16" s="9" t="s">
        <v>1857</v>
      </c>
      <c r="F16" s="9" t="s">
        <v>874</v>
      </c>
      <c r="G16" s="9" t="s">
        <v>4549</v>
      </c>
      <c r="H16" s="9" t="s">
        <v>2632</v>
      </c>
      <c r="I16" s="9" t="s">
        <v>4550</v>
      </c>
      <c r="J16" s="9" t="s">
        <v>4551</v>
      </c>
      <c r="K16" s="9" t="s">
        <v>4552</v>
      </c>
      <c r="L16" s="9" t="s">
        <v>4553</v>
      </c>
      <c r="M16" s="9" t="s">
        <v>4554</v>
      </c>
      <c r="N16" s="9" t="s">
        <v>4555</v>
      </c>
      <c r="O16" s="9" t="s">
        <v>4556</v>
      </c>
      <c r="P16" s="9" t="s">
        <v>4557</v>
      </c>
      <c r="Q16" s="9" t="s">
        <v>4558</v>
      </c>
      <c r="R16" s="9" t="s">
        <v>4559</v>
      </c>
      <c r="S16" s="9" t="s">
        <v>4560</v>
      </c>
      <c r="T16" s="22" t="str">
        <f aca="false">'Author Response Entry'!$D$16</f>
        <v>OPTION 1</v>
      </c>
      <c r="U16" s="23" t="n">
        <f aca="false">'Author Response Entry'!$E$16</f>
        <v>0</v>
      </c>
      <c r="V16" s="23" t="n">
        <f aca="false">'Author Response Entry'!$F$16</f>
        <v>0</v>
      </c>
      <c r="W16" s="23" t="str">
        <f aca="false">'Author Response Entry'!$G$16</f>
        <v>AJP</v>
      </c>
      <c r="X16" s="24" t="n">
        <f aca="false">'Author Response Entry'!$H$16</f>
        <v>46274</v>
      </c>
      <c r="Y16" s="23" t="str">
        <f aca="false">IF(T16="","",IF(T16="CUSTOM RESPONSE",U16,IF(T16="HOLD — NEEDS RESEARCH",IF(U16&lt;&gt;"",U16,"HOLD — NEEDS RESEARCH"),IF(T16="DEFER — NOT YET",IF(U16&lt;&gt;"",U16,"DEFER — NOT YET"),IF(T16="OPTION 1",O16,IF(T16="OPTION 2",U16,IF(T16="OPTION 3",U16,IF(T16="OPTION 4",R16,""))))))))</f>
        <v>APPROVE AS WRITTEN</v>
      </c>
      <c r="Z16" s="23" t="str">
        <f aca="false">IF(T16="","OPEN",IF(T16="CUSTOM RESPONSE",IF(U16="","OPEN — CUSTOM TEXT REQUIRED",IF(W16="","RESOLVED — ADD INITIALS/DATE",IF(X16="","RESOLVED — ADD INITIALS/DATE","RESOLVED"))),IF(T16="HOLD — NEEDS RESEARCH",IF(W16="","HOLD — ADD INITIALS/DATE",IF(X16="","HOLD — ADD INITIALS/DATE","HOLD")),IF(T16="DEFER — NOT YET",IF(W16="","DEFERRED — ADD INITIALS/DATE",IF(X16="","DEFERRED — ADD INITIALS/DATE","DEFERRED")),IF(T16="OPTION 1",IF(W16="","RESOLVED — ADD INITIALS/DATE",IF(X16="","RESOLVED — ADD INITIALS/DATE","RESOLVED")),IF(T16="OPTION 2",IF(U16="","OPEN — CUSTOM TEXT REQUIRED",IF(W16="","RESOLVED — ADD INITIALS/DATE",IF(X16="","RESOLVED — ADD INITIALS/DATE","RESOLVED"))),IF(T16="OPTION 3",IF(U16="","OPEN — CUSTOM TEXT REQUIRED",IF(W16="","RESOLVED — ADD INITIALS/DATE",IF(X16="","RESOLVED — ADD INITIALS/DATE","RESOLVED"))),IF(T16="OPTION 4",IF(W16="","HOLD — ADD INITIALS/DATE",IF(X16="","HOLD — ADD INITIALS/DATE","HOLD")),IF(W16="","RESOLVED — ADD INITIALS/DATE",IF(X16="","RESOLVED — ADD INITIALS/DATE","RESOLVED"))))))))))</f>
        <v>RESOLVED</v>
      </c>
      <c r="AA16" s="23" t="s">
        <v>380</v>
      </c>
      <c r="AB16" s="23" t="s">
        <v>4561</v>
      </c>
      <c r="AC16" s="23" t="s">
        <v>4549</v>
      </c>
      <c r="AD16" s="23" t="s">
        <v>908</v>
      </c>
      <c r="AE16" s="23" t="s">
        <v>2638</v>
      </c>
      <c r="AF16" s="23" t="str">
        <f aca="false">IF(F16&lt;&gt;"READY","NO",IF(Z16="OPEN","YES",IF(Z16="OPEN — CUSTOM TEXT REQUIRED","YES",IF(Z16="RESOLVED — ADD INITIALS/DATE","YES",IF(Z16="HOLD — ADD INITIALS/DATE","YES",IF(Z16="DEFERRED — ADD INITIALS/DATE","YES","NO"))))))</f>
        <v>NO</v>
      </c>
      <c r="AG16" s="23" t="str">
        <f aca="false">IF(AF16&lt;&gt;"YES","",IF(A16=IFERROR(MATCH("YES",$AF$2:$AF$105,0),0),"CURRENT",""))</f>
        <v/>
      </c>
      <c r="AH16" s="25" t="str">
        <f aca="false">IF(COUNTIF($B$2:$B$105,B16)&gt;1,"DUPLICATE","")</f>
        <v/>
      </c>
    </row>
    <row r="17" customFormat="false" ht="95.5" hidden="false" customHeight="false" outlineLevel="0" collapsed="false">
      <c r="A17" s="9" t="n">
        <v>16</v>
      </c>
      <c r="B17" s="9" t="s">
        <v>4562</v>
      </c>
      <c r="C17" s="9" t="s">
        <v>4548</v>
      </c>
      <c r="D17" s="9" t="s">
        <v>4549</v>
      </c>
      <c r="E17" s="9" t="s">
        <v>1857</v>
      </c>
      <c r="F17" s="9" t="s">
        <v>874</v>
      </c>
      <c r="G17" s="9" t="s">
        <v>4549</v>
      </c>
      <c r="H17" s="9" t="s">
        <v>2639</v>
      </c>
      <c r="I17" s="9" t="s">
        <v>4563</v>
      </c>
      <c r="J17" s="9" t="s">
        <v>4564</v>
      </c>
      <c r="K17" s="9" t="s">
        <v>4565</v>
      </c>
      <c r="L17" s="9" t="s">
        <v>4566</v>
      </c>
      <c r="M17" s="9" t="s">
        <v>4554</v>
      </c>
      <c r="N17" s="9" t="s">
        <v>4555</v>
      </c>
      <c r="O17" s="9" t="s">
        <v>4556</v>
      </c>
      <c r="P17" s="9" t="s">
        <v>4557</v>
      </c>
      <c r="Q17" s="9" t="s">
        <v>4558</v>
      </c>
      <c r="R17" s="9" t="s">
        <v>4559</v>
      </c>
      <c r="S17" s="9" t="s">
        <v>4560</v>
      </c>
      <c r="T17" s="22" t="str">
        <f aca="false">'Author Response Entry'!$D$17</f>
        <v>OPTION 1</v>
      </c>
      <c r="U17" s="23" t="n">
        <f aca="false">'Author Response Entry'!$E$17</f>
        <v>0</v>
      </c>
      <c r="V17" s="23" t="n">
        <f aca="false">'Author Response Entry'!$F$17</f>
        <v>0</v>
      </c>
      <c r="W17" s="23" t="str">
        <f aca="false">'Author Response Entry'!$G$17</f>
        <v>AJP</v>
      </c>
      <c r="X17" s="24" t="n">
        <f aca="false">'Author Response Entry'!$H$17</f>
        <v>46274</v>
      </c>
      <c r="Y17" s="23" t="str">
        <f aca="false">IF(T17="","",IF(T17="CUSTOM RESPONSE",U17,IF(T17="HOLD — NEEDS RESEARCH",IF(U17&lt;&gt;"",U17,"HOLD — NEEDS RESEARCH"),IF(T17="DEFER — NOT YET",IF(U17&lt;&gt;"",U17,"DEFER — NOT YET"),IF(T17="OPTION 1",O17,IF(T17="OPTION 2",U17,IF(T17="OPTION 3",U17,IF(T17="OPTION 4",R17,""))))))))</f>
        <v>APPROVE AS WRITTEN</v>
      </c>
      <c r="Z17" s="23" t="str">
        <f aca="false">IF(T17="","OPEN",IF(T17="CUSTOM RESPONSE",IF(U17="","OPEN — CUSTOM TEXT REQUIRED",IF(W17="","RESOLVED — ADD INITIALS/DATE",IF(X17="","RESOLVED — ADD INITIALS/DATE","RESOLVED"))),IF(T17="HOLD — NEEDS RESEARCH",IF(W17="","HOLD — ADD INITIALS/DATE",IF(X17="","HOLD — ADD INITIALS/DATE","HOLD")),IF(T17="DEFER — NOT YET",IF(W17="","DEFERRED — ADD INITIALS/DATE",IF(X17="","DEFERRED — ADD INITIALS/DATE","DEFERRED")),IF(T17="OPTION 1",IF(W17="","RESOLVED — ADD INITIALS/DATE",IF(X17="","RESOLVED — ADD INITIALS/DATE","RESOLVED")),IF(T17="OPTION 2",IF(U17="","OPEN — CUSTOM TEXT REQUIRED",IF(W17="","RESOLVED — ADD INITIALS/DATE",IF(X17="","RESOLVED — ADD INITIALS/DATE","RESOLVED"))),IF(T17="OPTION 3",IF(U17="","OPEN — CUSTOM TEXT REQUIRED",IF(W17="","RESOLVED — ADD INITIALS/DATE",IF(X17="","RESOLVED — ADD INITIALS/DATE","RESOLVED"))),IF(T17="OPTION 4",IF(W17="","HOLD — ADD INITIALS/DATE",IF(X17="","HOLD — ADD INITIALS/DATE","HOLD")),IF(W17="","RESOLVED — ADD INITIALS/DATE",IF(X17="","RESOLVED — ADD INITIALS/DATE","RESOLVED"))))))))))</f>
        <v>RESOLVED</v>
      </c>
      <c r="AA17" s="23" t="s">
        <v>380</v>
      </c>
      <c r="AB17" s="23" t="s">
        <v>4561</v>
      </c>
      <c r="AC17" s="23" t="s">
        <v>4549</v>
      </c>
      <c r="AD17" s="23" t="s">
        <v>710</v>
      </c>
      <c r="AE17" s="23" t="s">
        <v>2644</v>
      </c>
      <c r="AF17" s="23" t="str">
        <f aca="false">IF(F17&lt;&gt;"READY","NO",IF(Z17="OPEN","YES",IF(Z17="OPEN — CUSTOM TEXT REQUIRED","YES",IF(Z17="RESOLVED — ADD INITIALS/DATE","YES",IF(Z17="HOLD — ADD INITIALS/DATE","YES",IF(Z17="DEFERRED — ADD INITIALS/DATE","YES","NO"))))))</f>
        <v>NO</v>
      </c>
      <c r="AG17" s="23" t="str">
        <f aca="false">IF(AF17&lt;&gt;"YES","",IF(A17=IFERROR(MATCH("YES",$AF$2:$AF$105,0),0),"CURRENT",""))</f>
        <v/>
      </c>
      <c r="AH17" s="25" t="str">
        <f aca="false">IF(COUNTIF($B$2:$B$105,B17)&gt;1,"DUPLICATE","")</f>
        <v/>
      </c>
    </row>
    <row r="18" customFormat="false" ht="95.5" hidden="false" customHeight="false" outlineLevel="0" collapsed="false">
      <c r="A18" s="9" t="n">
        <v>17</v>
      </c>
      <c r="B18" s="9" t="s">
        <v>4567</v>
      </c>
      <c r="C18" s="9" t="s">
        <v>4548</v>
      </c>
      <c r="D18" s="9" t="s">
        <v>4549</v>
      </c>
      <c r="E18" s="9" t="s">
        <v>1857</v>
      </c>
      <c r="F18" s="9" t="s">
        <v>874</v>
      </c>
      <c r="G18" s="9" t="s">
        <v>4549</v>
      </c>
      <c r="H18" s="9" t="s">
        <v>2645</v>
      </c>
      <c r="I18" s="9" t="s">
        <v>4568</v>
      </c>
      <c r="J18" s="9" t="s">
        <v>4569</v>
      </c>
      <c r="K18" s="9" t="s">
        <v>4570</v>
      </c>
      <c r="L18" s="9" t="s">
        <v>4571</v>
      </c>
      <c r="M18" s="9" t="s">
        <v>4554</v>
      </c>
      <c r="N18" s="9" t="s">
        <v>4555</v>
      </c>
      <c r="O18" s="9" t="s">
        <v>4556</v>
      </c>
      <c r="P18" s="9" t="s">
        <v>4557</v>
      </c>
      <c r="Q18" s="9" t="s">
        <v>4558</v>
      </c>
      <c r="R18" s="9" t="s">
        <v>4559</v>
      </c>
      <c r="S18" s="9" t="s">
        <v>4560</v>
      </c>
      <c r="T18" s="22" t="str">
        <f aca="false">'Author Response Entry'!$D$18</f>
        <v>OPTION 1</v>
      </c>
      <c r="U18" s="23" t="n">
        <f aca="false">'Author Response Entry'!$E$18</f>
        <v>0</v>
      </c>
      <c r="V18" s="23" t="n">
        <f aca="false">'Author Response Entry'!$F$18</f>
        <v>0</v>
      </c>
      <c r="W18" s="23" t="str">
        <f aca="false">'Author Response Entry'!$G$18</f>
        <v>AJP</v>
      </c>
      <c r="X18" s="24" t="n">
        <f aca="false">'Author Response Entry'!$H$18</f>
        <v>46274</v>
      </c>
      <c r="Y18" s="23" t="str">
        <f aca="false">IF(T18="","",IF(T18="CUSTOM RESPONSE",U18,IF(T18="HOLD — NEEDS RESEARCH",IF(U18&lt;&gt;"",U18,"HOLD — NEEDS RESEARCH"),IF(T18="DEFER — NOT YET",IF(U18&lt;&gt;"",U18,"DEFER — NOT YET"),IF(T18="OPTION 1",O18,IF(T18="OPTION 2",U18,IF(T18="OPTION 3",U18,IF(T18="OPTION 4",R18,""))))))))</f>
        <v>APPROVE AS WRITTEN</v>
      </c>
      <c r="Z18" s="23" t="str">
        <f aca="false">IF(T18="","OPEN",IF(T18="CUSTOM RESPONSE",IF(U18="","OPEN — CUSTOM TEXT REQUIRED",IF(W18="","RESOLVED — ADD INITIALS/DATE",IF(X18="","RESOLVED — ADD INITIALS/DATE","RESOLVED"))),IF(T18="HOLD — NEEDS RESEARCH",IF(W18="","HOLD — ADD INITIALS/DATE",IF(X18="","HOLD — ADD INITIALS/DATE","HOLD")),IF(T18="DEFER — NOT YET",IF(W18="","DEFERRED — ADD INITIALS/DATE",IF(X18="","DEFERRED — ADD INITIALS/DATE","DEFERRED")),IF(T18="OPTION 1",IF(W18="","RESOLVED — ADD INITIALS/DATE",IF(X18="","RESOLVED — ADD INITIALS/DATE","RESOLVED")),IF(T18="OPTION 2",IF(U18="","OPEN — CUSTOM TEXT REQUIRED",IF(W18="","RESOLVED — ADD INITIALS/DATE",IF(X18="","RESOLVED — ADD INITIALS/DATE","RESOLVED"))),IF(T18="OPTION 3",IF(U18="","OPEN — CUSTOM TEXT REQUIRED",IF(W18="","RESOLVED — ADD INITIALS/DATE",IF(X18="","RESOLVED — ADD INITIALS/DATE","RESOLVED"))),IF(T18="OPTION 4",IF(W18="","HOLD — ADD INITIALS/DATE",IF(X18="","HOLD — ADD INITIALS/DATE","HOLD")),IF(W18="","RESOLVED — ADD INITIALS/DATE",IF(X18="","RESOLVED — ADD INITIALS/DATE","RESOLVED"))))))))))</f>
        <v>RESOLVED</v>
      </c>
      <c r="AA18" s="23" t="s">
        <v>380</v>
      </c>
      <c r="AB18" s="23" t="s">
        <v>4561</v>
      </c>
      <c r="AC18" s="23" t="s">
        <v>4549</v>
      </c>
      <c r="AD18" s="23" t="s">
        <v>1137</v>
      </c>
      <c r="AE18" s="23" t="s">
        <v>2651</v>
      </c>
      <c r="AF18" s="23" t="str">
        <f aca="false">IF(F18&lt;&gt;"READY","NO",IF(Z18="OPEN","YES",IF(Z18="OPEN — CUSTOM TEXT REQUIRED","YES",IF(Z18="RESOLVED — ADD INITIALS/DATE","YES",IF(Z18="HOLD — ADD INITIALS/DATE","YES",IF(Z18="DEFERRED — ADD INITIALS/DATE","YES","NO"))))))</f>
        <v>NO</v>
      </c>
      <c r="AG18" s="23" t="str">
        <f aca="false">IF(AF18&lt;&gt;"YES","",IF(A18=IFERROR(MATCH("YES",$AF$2:$AF$105,0),0),"CURRENT",""))</f>
        <v/>
      </c>
      <c r="AH18" s="25" t="str">
        <f aca="false">IF(COUNTIF($B$2:$B$105,B18)&gt;1,"DUPLICATE","")</f>
        <v/>
      </c>
    </row>
    <row r="19" customFormat="false" ht="82.05" hidden="false" customHeight="false" outlineLevel="0" collapsed="false">
      <c r="A19" s="9" t="n">
        <v>18</v>
      </c>
      <c r="B19" s="9" t="s">
        <v>4572</v>
      </c>
      <c r="C19" s="9" t="s">
        <v>4548</v>
      </c>
      <c r="D19" s="9" t="s">
        <v>4549</v>
      </c>
      <c r="E19" s="9" t="s">
        <v>1857</v>
      </c>
      <c r="F19" s="9" t="s">
        <v>874</v>
      </c>
      <c r="G19" s="9" t="s">
        <v>4549</v>
      </c>
      <c r="H19" s="9" t="s">
        <v>2652</v>
      </c>
      <c r="I19" s="9" t="s">
        <v>4573</v>
      </c>
      <c r="J19" s="9" t="s">
        <v>4574</v>
      </c>
      <c r="K19" s="9" t="s">
        <v>4575</v>
      </c>
      <c r="L19" s="9" t="s">
        <v>4576</v>
      </c>
      <c r="M19" s="9" t="s">
        <v>4554</v>
      </c>
      <c r="N19" s="9" t="s">
        <v>4555</v>
      </c>
      <c r="O19" s="9" t="s">
        <v>4556</v>
      </c>
      <c r="P19" s="9" t="s">
        <v>4557</v>
      </c>
      <c r="Q19" s="9" t="s">
        <v>4558</v>
      </c>
      <c r="R19" s="9" t="s">
        <v>4559</v>
      </c>
      <c r="S19" s="9" t="s">
        <v>4560</v>
      </c>
      <c r="T19" s="22" t="str">
        <f aca="false">'Author Response Entry'!$D$19</f>
        <v>OPTION 1</v>
      </c>
      <c r="U19" s="23" t="n">
        <f aca="false">'Author Response Entry'!$E$19</f>
        <v>0</v>
      </c>
      <c r="V19" s="23" t="n">
        <f aca="false">'Author Response Entry'!$F$19</f>
        <v>0</v>
      </c>
      <c r="W19" s="23" t="str">
        <f aca="false">'Author Response Entry'!$G$19</f>
        <v>AJP</v>
      </c>
      <c r="X19" s="24" t="n">
        <f aca="false">'Author Response Entry'!$H$19</f>
        <v>46274</v>
      </c>
      <c r="Y19" s="23" t="str">
        <f aca="false">IF(T19="","",IF(T19="CUSTOM RESPONSE",U19,IF(T19="HOLD — NEEDS RESEARCH",IF(U19&lt;&gt;"",U19,"HOLD — NEEDS RESEARCH"),IF(T19="DEFER — NOT YET",IF(U19&lt;&gt;"",U19,"DEFER — NOT YET"),IF(T19="OPTION 1",O19,IF(T19="OPTION 2",U19,IF(T19="OPTION 3",U19,IF(T19="OPTION 4",R19,""))))))))</f>
        <v>APPROVE AS WRITTEN</v>
      </c>
      <c r="Z19" s="23" t="str">
        <f aca="false">IF(T19="","OPEN",IF(T19="CUSTOM RESPONSE",IF(U19="","OPEN — CUSTOM TEXT REQUIRED",IF(W19="","RESOLVED — ADD INITIALS/DATE",IF(X19="","RESOLVED — ADD INITIALS/DATE","RESOLVED"))),IF(T19="HOLD — NEEDS RESEARCH",IF(W19="","HOLD — ADD INITIALS/DATE",IF(X19="","HOLD — ADD INITIALS/DATE","HOLD")),IF(T19="DEFER — NOT YET",IF(W19="","DEFERRED — ADD INITIALS/DATE",IF(X19="","DEFERRED — ADD INITIALS/DATE","DEFERRED")),IF(T19="OPTION 1",IF(W19="","RESOLVED — ADD INITIALS/DATE",IF(X19="","RESOLVED — ADD INITIALS/DATE","RESOLVED")),IF(T19="OPTION 2",IF(U19="","OPEN — CUSTOM TEXT REQUIRED",IF(W19="","RESOLVED — ADD INITIALS/DATE",IF(X19="","RESOLVED — ADD INITIALS/DATE","RESOLVED"))),IF(T19="OPTION 3",IF(U19="","OPEN — CUSTOM TEXT REQUIRED",IF(W19="","RESOLVED — ADD INITIALS/DATE",IF(X19="","RESOLVED — ADD INITIALS/DATE","RESOLVED"))),IF(T19="OPTION 4",IF(W19="","HOLD — ADD INITIALS/DATE",IF(X19="","HOLD — ADD INITIALS/DATE","HOLD")),IF(W19="","RESOLVED — ADD INITIALS/DATE",IF(X19="","RESOLVED — ADD INITIALS/DATE","RESOLVED"))))))))))</f>
        <v>RESOLVED</v>
      </c>
      <c r="AA19" s="23" t="s">
        <v>380</v>
      </c>
      <c r="AB19" s="23" t="s">
        <v>4561</v>
      </c>
      <c r="AC19" s="23" t="s">
        <v>4549</v>
      </c>
      <c r="AD19" s="23" t="s">
        <v>710</v>
      </c>
      <c r="AE19" s="23" t="s">
        <v>2657</v>
      </c>
      <c r="AF19" s="23" t="str">
        <f aca="false">IF(F19&lt;&gt;"READY","NO",IF(Z19="OPEN","YES",IF(Z19="OPEN — CUSTOM TEXT REQUIRED","YES",IF(Z19="RESOLVED — ADD INITIALS/DATE","YES",IF(Z19="HOLD — ADD INITIALS/DATE","YES",IF(Z19="DEFERRED — ADD INITIALS/DATE","YES","NO"))))))</f>
        <v>NO</v>
      </c>
      <c r="AG19" s="23" t="str">
        <f aca="false">IF(AF19&lt;&gt;"YES","",IF(A19=IFERROR(MATCH("YES",$AF$2:$AF$105,0),0),"CURRENT",""))</f>
        <v/>
      </c>
      <c r="AH19" s="25" t="str">
        <f aca="false">IF(COUNTIF($B$2:$B$105,B19)&gt;1,"DUPLICATE","")</f>
        <v/>
      </c>
    </row>
    <row r="20" customFormat="false" ht="135.8" hidden="false" customHeight="false" outlineLevel="0" collapsed="false">
      <c r="A20" s="9" t="n">
        <v>19</v>
      </c>
      <c r="B20" s="9" t="s">
        <v>4577</v>
      </c>
      <c r="C20" s="9" t="s">
        <v>4578</v>
      </c>
      <c r="D20" s="9" t="s">
        <v>4579</v>
      </c>
      <c r="E20" s="9" t="s">
        <v>113</v>
      </c>
      <c r="F20" s="9" t="s">
        <v>874</v>
      </c>
      <c r="G20" s="9" t="s">
        <v>2899</v>
      </c>
      <c r="H20" s="9" t="s">
        <v>457</v>
      </c>
      <c r="I20" s="9" t="s">
        <v>4580</v>
      </c>
      <c r="J20" s="9" t="s">
        <v>4581</v>
      </c>
      <c r="K20" s="9" t="s">
        <v>4582</v>
      </c>
      <c r="L20" s="9" t="s">
        <v>4583</v>
      </c>
      <c r="M20" s="9" t="s">
        <v>4584</v>
      </c>
      <c r="N20" s="9" t="s">
        <v>4585</v>
      </c>
      <c r="O20" s="9" t="s">
        <v>4556</v>
      </c>
      <c r="P20" s="9" t="s">
        <v>4586</v>
      </c>
      <c r="Q20" s="9" t="s">
        <v>4587</v>
      </c>
      <c r="R20" s="9" t="s">
        <v>4588</v>
      </c>
      <c r="S20" s="9" t="s">
        <v>4505</v>
      </c>
      <c r="T20" s="22" t="str">
        <f aca="false">'Author Response Entry'!$D$20</f>
        <v>OPTION 2</v>
      </c>
      <c r="U20" s="23" t="str">
        <f aca="false">'Author Response Entry'!$E$20</f>
        <v>summary → God is the living God. | caution → Shared. Both traditions affirm this of God in the same sense.</v>
      </c>
      <c r="V20" s="23" t="str">
        <f aca="false">'Author Response Entry'!$F$20</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20" s="23" t="str">
        <f aca="false">'Author Response Entry'!$G$20</f>
        <v>AJP</v>
      </c>
      <c r="X20" s="24" t="n">
        <f aca="false">'Author Response Entry'!$H$20</f>
        <v>46274</v>
      </c>
      <c r="Y20" s="23" t="str">
        <f aca="false">IF(T20="","",IF(T20="CUSTOM RESPONSE",U20,IF(T20="HOLD — NEEDS RESEARCH",IF(U20&lt;&gt;"",U20,"HOLD — NEEDS RESEARCH"),IF(T20="DEFER — NOT YET",IF(U20&lt;&gt;"",U20,"DEFER — NOT YET"),IF(T20="OPTION 1",O20,IF(T20="OPTION 2",U20,IF(T20="OPTION 3",Q20,IF(T20="OPTION 4",R20,""))))))))</f>
        <v>summary → God is the living God. | caution → Shared. Both traditions affirm this of God in the same sense.</v>
      </c>
      <c r="Z20" s="23" t="str">
        <f aca="false">IF(T20="","OPEN",IF(T20="CUSTOM RESPONSE",IF(U20="","OPEN — CUSTOM TEXT REQUIRED",IF(W20="","RESOLVED — ADD INITIALS/DATE",IF(X20="","RESOLVED — ADD INITIALS/DATE","RESOLVED"))),IF(T20="HOLD — NEEDS RESEARCH",IF(W20="","HOLD — ADD INITIALS/DATE",IF(X20="","HOLD — ADD INITIALS/DATE","HOLD")),IF(T20="DEFER — NOT YET",IF(W20="","DEFERRED — ADD INITIALS/DATE",IF(X20="","DEFERRED — ADD INITIALS/DATE","DEFERRED")),IF(T20="OPTION 1",IF(W20="","RESOLVED — ADD INITIALS/DATE",IF(X20="","RESOLVED — ADD INITIALS/DATE","RESOLVED")),IF(T20="OPTION 2",IF(U20="","OPEN — CUSTOM TEXT REQUIRED",IF(W20="","RESOLVED — ADD INITIALS/DATE",IF(X20="","RESOLVED — ADD INITIALS/DATE","RESOLVED"))),IF(T20="OPTION 3",IF(W20="","HOLD — ADD INITIALS/DATE",IF(X20="","HOLD — ADD INITIALS/DATE","HOLD")),IF(T20="OPTION 4",IF(W20="","HOLD — ADD INITIALS/DATE",IF(X20="","HOLD — ADD INITIALS/DATE","HOLD")),IF(W20="","RESOLVED — ADD INITIALS/DATE",IF(X20="","RESOLVED — ADD INITIALS/DATE","RESOLVED"))))))))))</f>
        <v>RESOLVED</v>
      </c>
      <c r="AA20" s="23" t="s">
        <v>380</v>
      </c>
      <c r="AB20" s="23" t="s">
        <v>4589</v>
      </c>
      <c r="AC20" s="23" t="s">
        <v>4590</v>
      </c>
      <c r="AD20" s="23"/>
      <c r="AE20" s="23" t="s">
        <v>864</v>
      </c>
      <c r="AF20" s="23" t="str">
        <f aca="false">IF(F20&lt;&gt;"READY","NO",IF(Z20="OPEN","YES",IF(Z20="OPEN — CUSTOM TEXT REQUIRED","YES",IF(Z20="RESOLVED — ADD INITIALS/DATE","YES",IF(Z20="HOLD — ADD INITIALS/DATE","YES",IF(Z20="DEFERRED — ADD INITIALS/DATE","YES","NO"))))))</f>
        <v>NO</v>
      </c>
      <c r="AG20" s="23" t="str">
        <f aca="false">IF(AF20&lt;&gt;"YES","",IF(A20=IFERROR(MATCH("YES",$AF$2:$AF$105,0),0),"CURRENT",""))</f>
        <v/>
      </c>
      <c r="AH20" s="25" t="str">
        <f aca="false">IF(COUNTIF($B$2:$B$105,B20)&gt;1,"DUPLICATE","")</f>
        <v/>
      </c>
    </row>
    <row r="21" customFormat="false" ht="15.75" hidden="false" customHeight="true" outlineLevel="0" collapsed="false">
      <c r="A21" s="9" t="n">
        <v>20</v>
      </c>
      <c r="B21" s="9" t="s">
        <v>4591</v>
      </c>
      <c r="C21" s="9" t="s">
        <v>4578</v>
      </c>
      <c r="D21" s="9" t="s">
        <v>4579</v>
      </c>
      <c r="E21" s="9" t="s">
        <v>113</v>
      </c>
      <c r="F21" s="9" t="s">
        <v>874</v>
      </c>
      <c r="G21" s="9" t="s">
        <v>2899</v>
      </c>
      <c r="H21" s="9" t="s">
        <v>465</v>
      </c>
      <c r="I21" s="9" t="s">
        <v>4592</v>
      </c>
      <c r="J21" s="9" t="s">
        <v>4593</v>
      </c>
      <c r="K21" s="9" t="s">
        <v>4582</v>
      </c>
      <c r="L21" s="9" t="s">
        <v>4594</v>
      </c>
      <c r="M21" s="9" t="s">
        <v>4584</v>
      </c>
      <c r="N21" s="9" t="s">
        <v>4585</v>
      </c>
      <c r="O21" s="9" t="s">
        <v>4556</v>
      </c>
      <c r="P21" s="9" t="s">
        <v>4586</v>
      </c>
      <c r="Q21" s="9" t="s">
        <v>4587</v>
      </c>
      <c r="R21" s="9" t="s">
        <v>4588</v>
      </c>
      <c r="S21" s="9" t="s">
        <v>4505</v>
      </c>
      <c r="T21" s="22" t="str">
        <f aca="false">'Author Response Entry'!$D$21</f>
        <v>OPTION 2</v>
      </c>
      <c r="U21" s="23" t="str">
        <f aca="false">'Author Response Entry'!$E$21</f>
        <v>summary → God is true — authentic, faithful, and real. | caution → Shared. Both traditions affirm this of God in the same sense.</v>
      </c>
      <c r="V21" s="23" t="str">
        <f aca="false">'Author Response Entry'!$F$21</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21" s="23" t="str">
        <f aca="false">'Author Response Entry'!$G$21</f>
        <v>AJP</v>
      </c>
      <c r="X21" s="24" t="n">
        <f aca="false">'Author Response Entry'!$H$21</f>
        <v>46274</v>
      </c>
      <c r="Y21" s="23" t="str">
        <f aca="false">IF(T21="","",IF(T21="CUSTOM RESPONSE",U21,IF(T21="HOLD — NEEDS RESEARCH",IF(U21&lt;&gt;"",U21,"HOLD — NEEDS RESEARCH"),IF(T21="DEFER — NOT YET",IF(U21&lt;&gt;"",U21,"DEFER — NOT YET"),IF(T21="OPTION 1",O21,IF(T21="OPTION 2",U21,IF(T21="OPTION 3",Q21,IF(T21="OPTION 4",R21,""))))))))</f>
        <v>summary → God is true — authentic, faithful, and real. | caution → Shared. Both traditions affirm this of God in the same sense.</v>
      </c>
      <c r="Z21" s="23" t="str">
        <f aca="false">IF(T21="","OPEN",IF(T21="CUSTOM RESPONSE",IF(U21="","OPEN — CUSTOM TEXT REQUIRED",IF(W21="","RESOLVED — ADD INITIALS/DATE",IF(X21="","RESOLVED — ADD INITIALS/DATE","RESOLVED"))),IF(T21="HOLD — NEEDS RESEARCH",IF(W21="","HOLD — ADD INITIALS/DATE",IF(X21="","HOLD — ADD INITIALS/DATE","HOLD")),IF(T21="DEFER — NOT YET",IF(W21="","DEFERRED — ADD INITIALS/DATE",IF(X21="","DEFERRED — ADD INITIALS/DATE","DEFERRED")),IF(T21="OPTION 1",IF(W21="","RESOLVED — ADD INITIALS/DATE",IF(X21="","RESOLVED — ADD INITIALS/DATE","RESOLVED")),IF(T21="OPTION 2",IF(U21="","OPEN — CUSTOM TEXT REQUIRED",IF(W21="","RESOLVED — ADD INITIALS/DATE",IF(X21="","RESOLVED — ADD INITIALS/DATE","RESOLVED"))),IF(T21="OPTION 3",IF(W21="","HOLD — ADD INITIALS/DATE",IF(X21="","HOLD — ADD INITIALS/DATE","HOLD")),IF(T21="OPTION 4",IF(W21="","HOLD — ADD INITIALS/DATE",IF(X21="","HOLD — ADD INITIALS/DATE","HOLD")),IF(W21="","RESOLVED — ADD INITIALS/DATE",IF(X21="","RESOLVED — ADD INITIALS/DATE","RESOLVED"))))))))))</f>
        <v>RESOLVED</v>
      </c>
      <c r="AA21" s="23" t="s">
        <v>380</v>
      </c>
      <c r="AB21" s="23" t="s">
        <v>4589</v>
      </c>
      <c r="AC21" s="23" t="s">
        <v>4590</v>
      </c>
      <c r="AD21" s="23"/>
      <c r="AE21" s="23" t="s">
        <v>864</v>
      </c>
      <c r="AF21" s="23" t="str">
        <f aca="false">IF(F21&lt;&gt;"READY","NO",IF(Z21="OPEN","YES",IF(Z21="OPEN — CUSTOM TEXT REQUIRED","YES",IF(Z21="RESOLVED — ADD INITIALS/DATE","YES",IF(Z21="HOLD — ADD INITIALS/DATE","YES",IF(Z21="DEFERRED — ADD INITIALS/DATE","YES","NO"))))))</f>
        <v>NO</v>
      </c>
      <c r="AG21" s="23" t="str">
        <f aca="false">IF(AF21&lt;&gt;"YES","",IF(A21=IFERROR(MATCH("YES",$AF$2:$AF$105,0),0),"CURRENT",""))</f>
        <v/>
      </c>
      <c r="AH21" s="25" t="str">
        <f aca="false">IF(COUNTIF($B$2:$B$105,B21)&gt;1,"DUPLICATE","")</f>
        <v/>
      </c>
    </row>
    <row r="22" customFormat="false" ht="15.75" hidden="false" customHeight="true" outlineLevel="0" collapsed="false">
      <c r="A22" s="9" t="n">
        <v>21</v>
      </c>
      <c r="B22" s="9" t="s">
        <v>4595</v>
      </c>
      <c r="C22" s="9" t="s">
        <v>4578</v>
      </c>
      <c r="D22" s="9" t="s">
        <v>4579</v>
      </c>
      <c r="E22" s="9" t="s">
        <v>113</v>
      </c>
      <c r="F22" s="9" t="s">
        <v>874</v>
      </c>
      <c r="G22" s="9" t="s">
        <v>2899</v>
      </c>
      <c r="H22" s="9" t="s">
        <v>468</v>
      </c>
      <c r="I22" s="9" t="s">
        <v>4596</v>
      </c>
      <c r="J22" s="9" t="s">
        <v>4597</v>
      </c>
      <c r="K22" s="9" t="s">
        <v>4582</v>
      </c>
      <c r="L22" s="9" t="s">
        <v>4598</v>
      </c>
      <c r="M22" s="9" t="s">
        <v>4584</v>
      </c>
      <c r="N22" s="9" t="s">
        <v>4585</v>
      </c>
      <c r="O22" s="9" t="s">
        <v>4556</v>
      </c>
      <c r="P22" s="9" t="s">
        <v>4586</v>
      </c>
      <c r="Q22" s="9" t="s">
        <v>4587</v>
      </c>
      <c r="R22" s="9" t="s">
        <v>4588</v>
      </c>
      <c r="S22" s="9" t="s">
        <v>4505</v>
      </c>
      <c r="T22" s="22" t="str">
        <f aca="false">'Author Response Entry'!$D$22</f>
        <v>OPTION 1</v>
      </c>
      <c r="U22" s="23" t="n">
        <f aca="false">'Author Response Entry'!$E$22</f>
        <v>0</v>
      </c>
      <c r="V22" s="23" t="str">
        <f aca="false">'Author Response Entry'!$F$22</f>
        <v>Approved as written (batch sign-off 2026-09-09).</v>
      </c>
      <c r="W22" s="23" t="str">
        <f aca="false">'Author Response Entry'!$G$22</f>
        <v>AJP</v>
      </c>
      <c r="X22" s="24" t="n">
        <f aca="false">'Author Response Entry'!$H$22</f>
        <v>46274</v>
      </c>
      <c r="Y22" s="23" t="str">
        <f aca="false">IF(T22="","",IF(T22="CUSTOM RESPONSE",U22,IF(T22="HOLD — NEEDS RESEARCH",IF(U22&lt;&gt;"",U22,"HOLD — NEEDS RESEARCH"),IF(T22="DEFER — NOT YET",IF(U22&lt;&gt;"",U22,"DEFER — NOT YET"),IF(T22="OPTION 1",O22,IF(T22="OPTION 2",U22,IF(T22="OPTION 3",Q22,IF(T22="OPTION 4",R22,""))))))))</f>
        <v>APPROVE AS WRITTEN</v>
      </c>
      <c r="Z22" s="23" t="str">
        <f aca="false">IF(T22="","OPEN",IF(T22="CUSTOM RESPONSE",IF(U22="","OPEN — CUSTOM TEXT REQUIRED",IF(W22="","RESOLVED — ADD INITIALS/DATE",IF(X22="","RESOLVED — ADD INITIALS/DATE","RESOLVED"))),IF(T22="HOLD — NEEDS RESEARCH",IF(W22="","HOLD — ADD INITIALS/DATE",IF(X22="","HOLD — ADD INITIALS/DATE","HOLD")),IF(T22="DEFER — NOT YET",IF(W22="","DEFERRED — ADD INITIALS/DATE",IF(X22="","DEFERRED — ADD INITIALS/DATE","DEFERRED")),IF(T22="OPTION 1",IF(W22="","RESOLVED — ADD INITIALS/DATE",IF(X22="","RESOLVED — ADD INITIALS/DATE","RESOLVED")),IF(T22="OPTION 2",IF(U22="","OPEN — CUSTOM TEXT REQUIRED",IF(W22="","RESOLVED — ADD INITIALS/DATE",IF(X22="","RESOLVED — ADD INITIALS/DATE","RESOLVED"))),IF(T22="OPTION 3",IF(W22="","HOLD — ADD INITIALS/DATE",IF(X22="","HOLD — ADD INITIALS/DATE","HOLD")),IF(T22="OPTION 4",IF(W22="","HOLD — ADD INITIALS/DATE",IF(X22="","HOLD — ADD INITIALS/DATE","HOLD")),IF(W22="","RESOLVED — ADD INITIALS/DATE",IF(X22="","RESOLVED — ADD INITIALS/DATE","RESOLVED"))))))))))</f>
        <v>RESOLVED</v>
      </c>
      <c r="AA22" s="23" t="s">
        <v>380</v>
      </c>
      <c r="AB22" s="23" t="s">
        <v>4589</v>
      </c>
      <c r="AC22" s="23" t="s">
        <v>4590</v>
      </c>
      <c r="AD22" s="23"/>
      <c r="AE22" s="23" t="s">
        <v>472</v>
      </c>
      <c r="AF22" s="23" t="str">
        <f aca="false">IF(F22&lt;&gt;"READY","NO",IF(Z22="OPEN","YES",IF(Z22="OPEN — CUSTOM TEXT REQUIRED","YES",IF(Z22="RESOLVED — ADD INITIALS/DATE","YES",IF(Z22="HOLD — ADD INITIALS/DATE","YES",IF(Z22="DEFERRED — ADD INITIALS/DATE","YES","NO"))))))</f>
        <v>NO</v>
      </c>
      <c r="AG22" s="23" t="str">
        <f aca="false">IF(AF22&lt;&gt;"YES","",IF(A22=IFERROR(MATCH("YES",$AF$2:$AF$105,0),0),"CURRENT",""))</f>
        <v/>
      </c>
      <c r="AH22" s="25" t="str">
        <f aca="false">IF(COUNTIF($B$2:$B$105,B22)&gt;1,"DUPLICATE","")</f>
        <v/>
      </c>
    </row>
    <row r="23" customFormat="false" ht="15.75" hidden="false" customHeight="true" outlineLevel="0" collapsed="false">
      <c r="A23" s="9" t="n">
        <v>22</v>
      </c>
      <c r="B23" s="9" t="s">
        <v>4599</v>
      </c>
      <c r="C23" s="9" t="s">
        <v>4578</v>
      </c>
      <c r="D23" s="9" t="s">
        <v>4579</v>
      </c>
      <c r="E23" s="9" t="s">
        <v>113</v>
      </c>
      <c r="F23" s="9" t="s">
        <v>874</v>
      </c>
      <c r="G23" s="9" t="s">
        <v>2899</v>
      </c>
      <c r="H23" s="9" t="s">
        <v>473</v>
      </c>
      <c r="I23" s="9" t="s">
        <v>4600</v>
      </c>
      <c r="J23" s="9" t="s">
        <v>4601</v>
      </c>
      <c r="K23" s="9" t="s">
        <v>4582</v>
      </c>
      <c r="L23" s="9" t="s">
        <v>4602</v>
      </c>
      <c r="M23" s="9" t="s">
        <v>4584</v>
      </c>
      <c r="N23" s="9" t="s">
        <v>4585</v>
      </c>
      <c r="O23" s="9" t="s">
        <v>4556</v>
      </c>
      <c r="P23" s="9" t="s">
        <v>4586</v>
      </c>
      <c r="Q23" s="9" t="s">
        <v>4587</v>
      </c>
      <c r="R23" s="9" t="s">
        <v>4588</v>
      </c>
      <c r="S23" s="9" t="s">
        <v>4505</v>
      </c>
      <c r="T23" s="22" t="str">
        <f aca="false">'Author Response Entry'!$D$23</f>
        <v>OPTION 2</v>
      </c>
      <c r="U23" s="23" t="str">
        <f aca="false">'Author Response Entry'!$E$23</f>
        <v>summary → God is Father.</v>
      </c>
      <c r="V23" s="23" t="str">
        <f aca="false">'Author Response Entry'!$F$23</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23" s="23" t="str">
        <f aca="false">'Author Response Entry'!$G$23</f>
        <v>AJP</v>
      </c>
      <c r="X23" s="24" t="n">
        <f aca="false">'Author Response Entry'!$H$23</f>
        <v>46274</v>
      </c>
      <c r="Y23" s="23" t="str">
        <f aca="false">IF(T23="","",IF(T23="CUSTOM RESPONSE",U23,IF(T23="HOLD — NEEDS RESEARCH",IF(U23&lt;&gt;"",U23,"HOLD — NEEDS RESEARCH"),IF(T23="DEFER — NOT YET",IF(U23&lt;&gt;"",U23,"DEFER — NOT YET"),IF(T23="OPTION 1",O23,IF(T23="OPTION 2",U23,IF(T23="OPTION 3",Q23,IF(T23="OPTION 4",R23,""))))))))</f>
        <v>summary → God is Father.</v>
      </c>
      <c r="Z23" s="23" t="str">
        <f aca="false">IF(T23="","OPEN",IF(T23="CUSTOM RESPONSE",IF(U23="","OPEN — CUSTOM TEXT REQUIRED",IF(W23="","RESOLVED — ADD INITIALS/DATE",IF(X23="","RESOLVED — ADD INITIALS/DATE","RESOLVED"))),IF(T23="HOLD — NEEDS RESEARCH",IF(W23="","HOLD — ADD INITIALS/DATE",IF(X23="","HOLD — ADD INITIALS/DATE","HOLD")),IF(T23="DEFER — NOT YET",IF(W23="","DEFERRED — ADD INITIALS/DATE",IF(X23="","DEFERRED — ADD INITIALS/DATE","DEFERRED")),IF(T23="OPTION 1",IF(W23="","RESOLVED — ADD INITIALS/DATE",IF(X23="","RESOLVED — ADD INITIALS/DATE","RESOLVED")),IF(T23="OPTION 2",IF(U23="","OPEN — CUSTOM TEXT REQUIRED",IF(W23="","RESOLVED — ADD INITIALS/DATE",IF(X23="","RESOLVED — ADD INITIALS/DATE","RESOLVED"))),IF(T23="OPTION 3",IF(W23="","HOLD — ADD INITIALS/DATE",IF(X23="","HOLD — ADD INITIALS/DATE","HOLD")),IF(T23="OPTION 4",IF(W23="","HOLD — ADD INITIALS/DATE",IF(X23="","HOLD — ADD INITIALS/DATE","HOLD")),IF(W23="","RESOLVED — ADD INITIALS/DATE",IF(X23="","RESOLVED — ADD INITIALS/DATE","RESOLVED"))))))))))</f>
        <v>RESOLVED</v>
      </c>
      <c r="AA23" s="23" t="s">
        <v>380</v>
      </c>
      <c r="AB23" s="23" t="s">
        <v>4589</v>
      </c>
      <c r="AC23" s="23" t="s">
        <v>4590</v>
      </c>
      <c r="AD23" s="23"/>
      <c r="AE23" s="23" t="s">
        <v>476</v>
      </c>
      <c r="AF23" s="23" t="str">
        <f aca="false">IF(F23&lt;&gt;"READY","NO",IF(Z23="OPEN","YES",IF(Z23="OPEN — CUSTOM TEXT REQUIRED","YES",IF(Z23="RESOLVED — ADD INITIALS/DATE","YES",IF(Z23="HOLD — ADD INITIALS/DATE","YES",IF(Z23="DEFERRED — ADD INITIALS/DATE","YES","NO"))))))</f>
        <v>NO</v>
      </c>
      <c r="AG23" s="23" t="str">
        <f aca="false">IF(AF23&lt;&gt;"YES","",IF(A23=IFERROR(MATCH("YES",$AF$2:$AF$105,0),0),"CURRENT",""))</f>
        <v/>
      </c>
      <c r="AH23" s="25" t="str">
        <f aca="false">IF(COUNTIF($B$2:$B$105,B23)&gt;1,"DUPLICATE","")</f>
        <v/>
      </c>
    </row>
    <row r="24" customFormat="false" ht="15.75" hidden="false" customHeight="true" outlineLevel="0" collapsed="false">
      <c r="A24" s="9" t="n">
        <v>23</v>
      </c>
      <c r="B24" s="9" t="s">
        <v>4603</v>
      </c>
      <c r="C24" s="9" t="s">
        <v>4578</v>
      </c>
      <c r="D24" s="9" t="s">
        <v>4579</v>
      </c>
      <c r="E24" s="9" t="s">
        <v>113</v>
      </c>
      <c r="F24" s="9" t="s">
        <v>874</v>
      </c>
      <c r="G24" s="9" t="s">
        <v>2899</v>
      </c>
      <c r="H24" s="9" t="s">
        <v>477</v>
      </c>
      <c r="I24" s="9" t="s">
        <v>4604</v>
      </c>
      <c r="J24" s="9" t="s">
        <v>4605</v>
      </c>
      <c r="K24" s="9" t="s">
        <v>4582</v>
      </c>
      <c r="L24" s="9" t="s">
        <v>4606</v>
      </c>
      <c r="M24" s="9" t="s">
        <v>4584</v>
      </c>
      <c r="N24" s="9" t="s">
        <v>4585</v>
      </c>
      <c r="O24" s="9" t="s">
        <v>4556</v>
      </c>
      <c r="P24" s="9" t="s">
        <v>4586</v>
      </c>
      <c r="Q24" s="9" t="s">
        <v>4587</v>
      </c>
      <c r="R24" s="9" t="s">
        <v>4588</v>
      </c>
      <c r="S24" s="9" t="s">
        <v>4505</v>
      </c>
      <c r="T24" s="22" t="str">
        <f aca="false">'Author Response Entry'!$D$24</f>
        <v>OPTION 2</v>
      </c>
      <c r="U24" s="23" t="str">
        <f aca="false">'Author Response Entry'!$E$24</f>
        <v>summary → Names Jesus Christ as the eternal Son of God.</v>
      </c>
      <c r="V24" s="23" t="str">
        <f aca="false">'Author Response Entry'!$F$24</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24" s="23" t="str">
        <f aca="false">'Author Response Entry'!$G$24</f>
        <v>AJP</v>
      </c>
      <c r="X24" s="24" t="n">
        <f aca="false">'Author Response Entry'!$H$24</f>
        <v>46274</v>
      </c>
      <c r="Y24" s="23" t="str">
        <f aca="false">IF(T24="","",IF(T24="CUSTOM RESPONSE",U24,IF(T24="HOLD — NEEDS RESEARCH",IF(U24&lt;&gt;"",U24,"HOLD — NEEDS RESEARCH"),IF(T24="DEFER — NOT YET",IF(U24&lt;&gt;"",U24,"DEFER — NOT YET"),IF(T24="OPTION 1",O24,IF(T24="OPTION 2",U24,IF(T24="OPTION 3",Q24,IF(T24="OPTION 4",R24,""))))))))</f>
        <v>summary → Names Jesus Christ as the eternal Son of God.</v>
      </c>
      <c r="Z24" s="23" t="str">
        <f aca="false">IF(T24="","OPEN",IF(T24="CUSTOM RESPONSE",IF(U24="","OPEN — CUSTOM TEXT REQUIRED",IF(W24="","RESOLVED — ADD INITIALS/DATE",IF(X24="","RESOLVED — ADD INITIALS/DATE","RESOLVED"))),IF(T24="HOLD — NEEDS RESEARCH",IF(W24="","HOLD — ADD INITIALS/DATE",IF(X24="","HOLD — ADD INITIALS/DATE","HOLD")),IF(T24="DEFER — NOT YET",IF(W24="","DEFERRED — ADD INITIALS/DATE",IF(X24="","DEFERRED — ADD INITIALS/DATE","DEFERRED")),IF(T24="OPTION 1",IF(W24="","RESOLVED — ADD INITIALS/DATE",IF(X24="","RESOLVED — ADD INITIALS/DATE","RESOLVED")),IF(T24="OPTION 2",IF(U24="","OPEN — CUSTOM TEXT REQUIRED",IF(W24="","RESOLVED — ADD INITIALS/DATE",IF(X24="","RESOLVED — ADD INITIALS/DATE","RESOLVED"))),IF(T24="OPTION 3",IF(W24="","HOLD — ADD INITIALS/DATE",IF(X24="","HOLD — ADD INITIALS/DATE","HOLD")),IF(T24="OPTION 4",IF(W24="","HOLD — ADD INITIALS/DATE",IF(X24="","HOLD — ADD INITIALS/DATE","HOLD")),IF(W24="","RESOLVED — ADD INITIALS/DATE",IF(X24="","RESOLVED — ADD INITIALS/DATE","RESOLVED"))))))))))</f>
        <v>RESOLVED</v>
      </c>
      <c r="AA24" s="23" t="s">
        <v>380</v>
      </c>
      <c r="AB24" s="23" t="s">
        <v>4589</v>
      </c>
      <c r="AC24" s="23" t="s">
        <v>4590</v>
      </c>
      <c r="AD24" s="23"/>
      <c r="AE24" s="23" t="s">
        <v>480</v>
      </c>
      <c r="AF24" s="23" t="str">
        <f aca="false">IF(F24&lt;&gt;"READY","NO",IF(Z24="OPEN","YES",IF(Z24="OPEN — CUSTOM TEXT REQUIRED","YES",IF(Z24="RESOLVED — ADD INITIALS/DATE","YES",IF(Z24="HOLD — ADD INITIALS/DATE","YES",IF(Z24="DEFERRED — ADD INITIALS/DATE","YES","NO"))))))</f>
        <v>NO</v>
      </c>
      <c r="AG24" s="23" t="str">
        <f aca="false">IF(AF24&lt;&gt;"YES","",IF(A24=IFERROR(MATCH("YES",$AF$2:$AF$105,0),0),"CURRENT",""))</f>
        <v/>
      </c>
      <c r="AH24" s="25" t="str">
        <f aca="false">IF(COUNTIF($B$2:$B$105,B24)&gt;1,"DUPLICATE","")</f>
        <v/>
      </c>
    </row>
    <row r="25" customFormat="false" ht="15.75" hidden="false" customHeight="true" outlineLevel="0" collapsed="false">
      <c r="A25" s="9" t="n">
        <v>24</v>
      </c>
      <c r="B25" s="9" t="s">
        <v>4607</v>
      </c>
      <c r="C25" s="9" t="s">
        <v>4578</v>
      </c>
      <c r="D25" s="9" t="s">
        <v>4579</v>
      </c>
      <c r="E25" s="9" t="s">
        <v>113</v>
      </c>
      <c r="F25" s="9" t="s">
        <v>874</v>
      </c>
      <c r="G25" s="9" t="s">
        <v>2899</v>
      </c>
      <c r="H25" s="9" t="s">
        <v>481</v>
      </c>
      <c r="I25" s="9" t="s">
        <v>4608</v>
      </c>
      <c r="J25" s="9" t="s">
        <v>4609</v>
      </c>
      <c r="K25" s="9" t="s">
        <v>4582</v>
      </c>
      <c r="L25" s="9" t="s">
        <v>4610</v>
      </c>
      <c r="M25" s="9" t="s">
        <v>4584</v>
      </c>
      <c r="N25" s="9" t="s">
        <v>4585</v>
      </c>
      <c r="O25" s="9" t="s">
        <v>4556</v>
      </c>
      <c r="P25" s="9" t="s">
        <v>4586</v>
      </c>
      <c r="Q25" s="9" t="s">
        <v>4587</v>
      </c>
      <c r="R25" s="9" t="s">
        <v>4588</v>
      </c>
      <c r="S25" s="9" t="s">
        <v>4505</v>
      </c>
      <c r="T25" s="22" t="str">
        <f aca="false">'Author Response Entry'!$D$25</f>
        <v>OPTION 2</v>
      </c>
      <c r="U25" s="23" t="str">
        <f aca="false">'Author Response Entry'!$E$25</f>
        <v>summary → Jesus Christ is Lord. | Restoration comparator → D&amp;C 20:24 “to reign with almighty power according to the will of the Father”</v>
      </c>
      <c r="V25" s="23" t="str">
        <f aca="false">'Author Response Entry'!$F$25</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25" s="23" t="str">
        <f aca="false">'Author Response Entry'!$G$25</f>
        <v>AJP</v>
      </c>
      <c r="X25" s="24" t="n">
        <f aca="false">'Author Response Entry'!$H$25</f>
        <v>46274</v>
      </c>
      <c r="Y25" s="23" t="str">
        <f aca="false">IF(T25="","",IF(T25="CUSTOM RESPONSE",U25,IF(T25="HOLD — NEEDS RESEARCH",IF(U25&lt;&gt;"",U25,"HOLD — NEEDS RESEARCH"),IF(T25="DEFER — NOT YET",IF(U25&lt;&gt;"",U25,"DEFER — NOT YET"),IF(T25="OPTION 1",O25,IF(T25="OPTION 2",U25,IF(T25="OPTION 3",Q25,IF(T25="OPTION 4",R25,""))))))))</f>
        <v>summary → Jesus Christ is Lord. | Restoration comparator → D&amp;C 20:24 “to reign with almighty power according to the will of the Father”</v>
      </c>
      <c r="Z25" s="23" t="str">
        <f aca="false">IF(T25="","OPEN",IF(T25="CUSTOM RESPONSE",IF(U25="","OPEN — CUSTOM TEXT REQUIRED",IF(W25="","RESOLVED — ADD INITIALS/DATE",IF(X25="","RESOLVED — ADD INITIALS/DATE","RESOLVED"))),IF(T25="HOLD — NEEDS RESEARCH",IF(W25="","HOLD — ADD INITIALS/DATE",IF(X25="","HOLD — ADD INITIALS/DATE","HOLD")),IF(T25="DEFER — NOT YET",IF(W25="","DEFERRED — ADD INITIALS/DATE",IF(X25="","DEFERRED — ADD INITIALS/DATE","DEFERRED")),IF(T25="OPTION 1",IF(W25="","RESOLVED — ADD INITIALS/DATE",IF(X25="","RESOLVED — ADD INITIALS/DATE","RESOLVED")),IF(T25="OPTION 2",IF(U25="","OPEN — CUSTOM TEXT REQUIRED",IF(W25="","RESOLVED — ADD INITIALS/DATE",IF(X25="","RESOLVED — ADD INITIALS/DATE","RESOLVED"))),IF(T25="OPTION 3",IF(W25="","HOLD — ADD INITIALS/DATE",IF(X25="","HOLD — ADD INITIALS/DATE","HOLD")),IF(T25="OPTION 4",IF(W25="","HOLD — ADD INITIALS/DATE",IF(X25="","HOLD — ADD INITIALS/DATE","HOLD")),IF(W25="","RESOLVED — ADD INITIALS/DATE",IF(X25="","RESOLVED — ADD INITIALS/DATE","RESOLVED"))))))))))</f>
        <v>RESOLVED</v>
      </c>
      <c r="AA25" s="23" t="s">
        <v>380</v>
      </c>
      <c r="AB25" s="23" t="s">
        <v>4589</v>
      </c>
      <c r="AC25" s="23" t="s">
        <v>4590</v>
      </c>
      <c r="AD25" s="23"/>
      <c r="AE25" s="23" t="s">
        <v>484</v>
      </c>
      <c r="AF25" s="23" t="str">
        <f aca="false">IF(F25&lt;&gt;"READY","NO",IF(Z25="OPEN","YES",IF(Z25="OPEN — CUSTOM TEXT REQUIRED","YES",IF(Z25="RESOLVED — ADD INITIALS/DATE","YES",IF(Z25="HOLD — ADD INITIALS/DATE","YES",IF(Z25="DEFERRED — ADD INITIALS/DATE","YES","NO"))))))</f>
        <v>NO</v>
      </c>
      <c r="AG25" s="23" t="str">
        <f aca="false">IF(AF25&lt;&gt;"YES","",IF(A25=IFERROR(MATCH("YES",$AF$2:$AF$105,0),0),"CURRENT",""))</f>
        <v/>
      </c>
      <c r="AH25" s="25" t="str">
        <f aca="false">IF(COUNTIF($B$2:$B$105,B25)&gt;1,"DUPLICATE","")</f>
        <v/>
      </c>
    </row>
    <row r="26" customFormat="false" ht="15.75" hidden="false" customHeight="true" outlineLevel="0" collapsed="false">
      <c r="A26" s="9" t="n">
        <v>25</v>
      </c>
      <c r="B26" s="9" t="s">
        <v>4611</v>
      </c>
      <c r="C26" s="9" t="s">
        <v>4578</v>
      </c>
      <c r="D26" s="9" t="s">
        <v>4579</v>
      </c>
      <c r="E26" s="9" t="s">
        <v>113</v>
      </c>
      <c r="F26" s="9" t="s">
        <v>874</v>
      </c>
      <c r="G26" s="9" t="s">
        <v>2899</v>
      </c>
      <c r="H26" s="9" t="s">
        <v>485</v>
      </c>
      <c r="I26" s="9" t="s">
        <v>4612</v>
      </c>
      <c r="J26" s="9" t="s">
        <v>4613</v>
      </c>
      <c r="K26" s="9" t="s">
        <v>4582</v>
      </c>
      <c r="L26" s="9" t="s">
        <v>4614</v>
      </c>
      <c r="M26" s="9" t="s">
        <v>4584</v>
      </c>
      <c r="N26" s="9" t="s">
        <v>4585</v>
      </c>
      <c r="O26" s="9" t="s">
        <v>4556</v>
      </c>
      <c r="P26" s="9" t="s">
        <v>4586</v>
      </c>
      <c r="Q26" s="9" t="s">
        <v>4587</v>
      </c>
      <c r="R26" s="9" t="s">
        <v>4588</v>
      </c>
      <c r="S26" s="9" t="s">
        <v>4505</v>
      </c>
      <c r="T26" s="22" t="str">
        <f aca="false">'Author Response Entry'!$D$26</f>
        <v>OPTION 2</v>
      </c>
      <c r="U26" s="23" t="str">
        <f aca="false">'Author Response Entry'!$E$26</f>
        <v>summary → God is almighty; all power is His.</v>
      </c>
      <c r="V26" s="23" t="str">
        <f aca="false">'Author Response Entry'!$F$26</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26" s="23" t="str">
        <f aca="false">'Author Response Entry'!$G$26</f>
        <v>AJP</v>
      </c>
      <c r="X26" s="24" t="n">
        <f aca="false">'Author Response Entry'!$H$26</f>
        <v>46274</v>
      </c>
      <c r="Y26" s="23" t="str">
        <f aca="false">IF(T26="","",IF(T26="CUSTOM RESPONSE",U26,IF(T26="HOLD — NEEDS RESEARCH",IF(U26&lt;&gt;"",U26,"HOLD — NEEDS RESEARCH"),IF(T26="DEFER — NOT YET",IF(U26&lt;&gt;"",U26,"DEFER — NOT YET"),IF(T26="OPTION 1",O26,IF(T26="OPTION 2",U26,IF(T26="OPTION 3",Q26,IF(T26="OPTION 4",R26,""))))))))</f>
        <v>summary → God is almighty; all power is His.</v>
      </c>
      <c r="Z26" s="23" t="str">
        <f aca="false">IF(T26="","OPEN",IF(T26="CUSTOM RESPONSE",IF(U26="","OPEN — CUSTOM TEXT REQUIRED",IF(W26="","RESOLVED — ADD INITIALS/DATE",IF(X26="","RESOLVED — ADD INITIALS/DATE","RESOLVED"))),IF(T26="HOLD — NEEDS RESEARCH",IF(W26="","HOLD — ADD INITIALS/DATE",IF(X26="","HOLD — ADD INITIALS/DATE","HOLD")),IF(T26="DEFER — NOT YET",IF(W26="","DEFERRED — ADD INITIALS/DATE",IF(X26="","DEFERRED — ADD INITIALS/DATE","DEFERRED")),IF(T26="OPTION 1",IF(W26="","RESOLVED — ADD INITIALS/DATE",IF(X26="","RESOLVED — ADD INITIALS/DATE","RESOLVED")),IF(T26="OPTION 2",IF(U26="","OPEN — CUSTOM TEXT REQUIRED",IF(W26="","RESOLVED — ADD INITIALS/DATE",IF(X26="","RESOLVED — ADD INITIALS/DATE","RESOLVED"))),IF(T26="OPTION 3",IF(W26="","HOLD — ADD INITIALS/DATE",IF(X26="","HOLD — ADD INITIALS/DATE","HOLD")),IF(T26="OPTION 4",IF(W26="","HOLD — ADD INITIALS/DATE",IF(X26="","HOLD — ADD INITIALS/DATE","HOLD")),IF(W26="","RESOLVED — ADD INITIALS/DATE",IF(X26="","RESOLVED — ADD INITIALS/DATE","RESOLVED"))))))))))</f>
        <v>RESOLVED</v>
      </c>
      <c r="AA26" s="23" t="s">
        <v>380</v>
      </c>
      <c r="AB26" s="23" t="s">
        <v>4589</v>
      </c>
      <c r="AC26" s="23" t="s">
        <v>4590</v>
      </c>
      <c r="AD26" s="23"/>
      <c r="AE26" s="23" t="s">
        <v>489</v>
      </c>
      <c r="AF26" s="23" t="str">
        <f aca="false">IF(F26&lt;&gt;"READY","NO",IF(Z26="OPEN","YES",IF(Z26="OPEN — CUSTOM TEXT REQUIRED","YES",IF(Z26="RESOLVED — ADD INITIALS/DATE","YES",IF(Z26="HOLD — ADD INITIALS/DATE","YES",IF(Z26="DEFERRED — ADD INITIALS/DATE","YES","NO"))))))</f>
        <v>NO</v>
      </c>
      <c r="AG26" s="23" t="str">
        <f aca="false">IF(AF26&lt;&gt;"YES","",IF(A26=IFERROR(MATCH("YES",$AF$2:$AF$105,0),0),"CURRENT",""))</f>
        <v/>
      </c>
      <c r="AH26" s="25" t="str">
        <f aca="false">IF(COUNTIF($B$2:$B$105,B26)&gt;1,"DUPLICATE","")</f>
        <v/>
      </c>
    </row>
    <row r="27" customFormat="false" ht="15.75" hidden="false" customHeight="true" outlineLevel="0" collapsed="false">
      <c r="A27" s="9" t="n">
        <v>26</v>
      </c>
      <c r="B27" s="9" t="s">
        <v>4615</v>
      </c>
      <c r="C27" s="9" t="s">
        <v>4578</v>
      </c>
      <c r="D27" s="9" t="s">
        <v>4579</v>
      </c>
      <c r="E27" s="9" t="s">
        <v>113</v>
      </c>
      <c r="F27" s="9" t="s">
        <v>874</v>
      </c>
      <c r="G27" s="9" t="s">
        <v>2899</v>
      </c>
      <c r="H27" s="9" t="s">
        <v>490</v>
      </c>
      <c r="I27" s="9" t="s">
        <v>4616</v>
      </c>
      <c r="J27" s="9" t="s">
        <v>4617</v>
      </c>
      <c r="K27" s="9" t="s">
        <v>4582</v>
      </c>
      <c r="L27" s="9" t="s">
        <v>4618</v>
      </c>
      <c r="M27" s="9" t="s">
        <v>4584</v>
      </c>
      <c r="N27" s="9" t="s">
        <v>4585</v>
      </c>
      <c r="O27" s="9" t="s">
        <v>4556</v>
      </c>
      <c r="P27" s="9" t="s">
        <v>4586</v>
      </c>
      <c r="Q27" s="9" t="s">
        <v>4587</v>
      </c>
      <c r="R27" s="9" t="s">
        <v>4588</v>
      </c>
      <c r="S27" s="9" t="s">
        <v>4505</v>
      </c>
      <c r="T27" s="22" t="str">
        <f aca="false">'Author Response Entry'!$D$27</f>
        <v>OPTION 2</v>
      </c>
      <c r="U27" s="23" t="str">
        <f aca="false">'Author Response Entry'!$E$27</f>
        <v>summary → God is all-wise.</v>
      </c>
      <c r="V27" s="23" t="str">
        <f aca="false">'Author Response Entry'!$F$27</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27" s="23" t="str">
        <f aca="false">'Author Response Entry'!$G$27</f>
        <v>AJP</v>
      </c>
      <c r="X27" s="24" t="n">
        <f aca="false">'Author Response Entry'!$H$27</f>
        <v>46274</v>
      </c>
      <c r="Y27" s="23" t="str">
        <f aca="false">IF(T27="","",IF(T27="CUSTOM RESPONSE",U27,IF(T27="HOLD — NEEDS RESEARCH",IF(U27&lt;&gt;"",U27,"HOLD — NEEDS RESEARCH"),IF(T27="DEFER — NOT YET",IF(U27&lt;&gt;"",U27,"DEFER — NOT YET"),IF(T27="OPTION 1",O27,IF(T27="OPTION 2",U27,IF(T27="OPTION 3",Q27,IF(T27="OPTION 4",R27,""))))))))</f>
        <v>summary → God is all-wise.</v>
      </c>
      <c r="Z27" s="23" t="str">
        <f aca="false">IF(T27="","OPEN",IF(T27="CUSTOM RESPONSE",IF(U27="","OPEN — CUSTOM TEXT REQUIRED",IF(W27="","RESOLVED — ADD INITIALS/DATE",IF(X27="","RESOLVED — ADD INITIALS/DATE","RESOLVED"))),IF(T27="HOLD — NEEDS RESEARCH",IF(W27="","HOLD — ADD INITIALS/DATE",IF(X27="","HOLD — ADD INITIALS/DATE","HOLD")),IF(T27="DEFER — NOT YET",IF(W27="","DEFERRED — ADD INITIALS/DATE",IF(X27="","DEFERRED — ADD INITIALS/DATE","DEFERRED")),IF(T27="OPTION 1",IF(W27="","RESOLVED — ADD INITIALS/DATE",IF(X27="","RESOLVED — ADD INITIALS/DATE","RESOLVED")),IF(T27="OPTION 2",IF(U27="","OPEN — CUSTOM TEXT REQUIRED",IF(W27="","RESOLVED — ADD INITIALS/DATE",IF(X27="","RESOLVED — ADD INITIALS/DATE","RESOLVED"))),IF(T27="OPTION 3",IF(W27="","HOLD — ADD INITIALS/DATE",IF(X27="","HOLD — ADD INITIALS/DATE","HOLD")),IF(T27="OPTION 4",IF(W27="","HOLD — ADD INITIALS/DATE",IF(X27="","HOLD — ADD INITIALS/DATE","HOLD")),IF(W27="","RESOLVED — ADD INITIALS/DATE",IF(X27="","RESOLVED — ADD INITIALS/DATE","RESOLVED"))))))))))</f>
        <v>RESOLVED</v>
      </c>
      <c r="AA27" s="23" t="s">
        <v>380</v>
      </c>
      <c r="AB27" s="23" t="s">
        <v>4589</v>
      </c>
      <c r="AC27" s="23" t="s">
        <v>4590</v>
      </c>
      <c r="AD27" s="23"/>
      <c r="AE27" s="23" t="s">
        <v>493</v>
      </c>
      <c r="AF27" s="23" t="str">
        <f aca="false">IF(F27&lt;&gt;"READY","NO",IF(Z27="OPEN","YES",IF(Z27="OPEN — CUSTOM TEXT REQUIRED","YES",IF(Z27="RESOLVED — ADD INITIALS/DATE","YES",IF(Z27="HOLD — ADD INITIALS/DATE","YES",IF(Z27="DEFERRED — ADD INITIALS/DATE","YES","NO"))))))</f>
        <v>NO</v>
      </c>
      <c r="AG27" s="23" t="str">
        <f aca="false">IF(AF27&lt;&gt;"YES","",IF(A27=IFERROR(MATCH("YES",$AF$2:$AF$105,0),0),"CURRENT",""))</f>
        <v/>
      </c>
      <c r="AH27" s="25" t="str">
        <f aca="false">IF(COUNTIF($B$2:$B$105,B27)&gt;1,"DUPLICATE","")</f>
        <v/>
      </c>
    </row>
    <row r="28" customFormat="false" ht="15.75" hidden="false" customHeight="true" outlineLevel="0" collapsed="false">
      <c r="A28" s="9" t="n">
        <v>27</v>
      </c>
      <c r="B28" s="9" t="s">
        <v>4619</v>
      </c>
      <c r="C28" s="9" t="s">
        <v>4578</v>
      </c>
      <c r="D28" s="9" t="s">
        <v>4579</v>
      </c>
      <c r="E28" s="9" t="s">
        <v>113</v>
      </c>
      <c r="F28" s="9" t="s">
        <v>874</v>
      </c>
      <c r="G28" s="9" t="s">
        <v>2899</v>
      </c>
      <c r="H28" s="9" t="s">
        <v>494</v>
      </c>
      <c r="I28" s="9" t="s">
        <v>4620</v>
      </c>
      <c r="J28" s="9" t="s">
        <v>4621</v>
      </c>
      <c r="K28" s="9" t="s">
        <v>4582</v>
      </c>
      <c r="L28" s="9" t="s">
        <v>4622</v>
      </c>
      <c r="M28" s="9" t="s">
        <v>4584</v>
      </c>
      <c r="N28" s="9" t="s">
        <v>4585</v>
      </c>
      <c r="O28" s="9" t="s">
        <v>4556</v>
      </c>
      <c r="P28" s="9" t="s">
        <v>4586</v>
      </c>
      <c r="Q28" s="9" t="s">
        <v>4587</v>
      </c>
      <c r="R28" s="9" t="s">
        <v>4588</v>
      </c>
      <c r="S28" s="9" t="s">
        <v>4505</v>
      </c>
      <c r="T28" s="22" t="str">
        <f aca="false">'Author Response Entry'!$D$28</f>
        <v>OPTION 2</v>
      </c>
      <c r="U28" s="23" t="str">
        <f aca="false">'Author Response Entry'!$E$28</f>
        <v>summary → God is good. | Restoration comparator → Moroni 7:12 “all things which are good cometh of God”</v>
      </c>
      <c r="V28" s="23" t="str">
        <f aca="false">'Author Response Entry'!$F$28</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28" s="23" t="str">
        <f aca="false">'Author Response Entry'!$G$28</f>
        <v>AJP</v>
      </c>
      <c r="X28" s="24" t="n">
        <f aca="false">'Author Response Entry'!$H$28</f>
        <v>46274</v>
      </c>
      <c r="Y28" s="23" t="str">
        <f aca="false">IF(T28="","",IF(T28="CUSTOM RESPONSE",U28,IF(T28="HOLD — NEEDS RESEARCH",IF(U28&lt;&gt;"",U28,"HOLD — NEEDS RESEARCH"),IF(T28="DEFER — NOT YET",IF(U28&lt;&gt;"",U28,"DEFER — NOT YET"),IF(T28="OPTION 1",O28,IF(T28="OPTION 2",U28,IF(T28="OPTION 3",Q28,IF(T28="OPTION 4",R28,""))))))))</f>
        <v>summary → God is good. | Restoration comparator → Moroni 7:12 “all things which are good cometh of God”</v>
      </c>
      <c r="Z28" s="23" t="str">
        <f aca="false">IF(T28="","OPEN",IF(T28="CUSTOM RESPONSE",IF(U28="","OPEN — CUSTOM TEXT REQUIRED",IF(W28="","RESOLVED — ADD INITIALS/DATE",IF(X28="","RESOLVED — ADD INITIALS/DATE","RESOLVED"))),IF(T28="HOLD — NEEDS RESEARCH",IF(W28="","HOLD — ADD INITIALS/DATE",IF(X28="","HOLD — ADD INITIALS/DATE","HOLD")),IF(T28="DEFER — NOT YET",IF(W28="","DEFERRED — ADD INITIALS/DATE",IF(X28="","DEFERRED — ADD INITIALS/DATE","DEFERRED")),IF(T28="OPTION 1",IF(W28="","RESOLVED — ADD INITIALS/DATE",IF(X28="","RESOLVED — ADD INITIALS/DATE","RESOLVED")),IF(T28="OPTION 2",IF(U28="","OPEN — CUSTOM TEXT REQUIRED",IF(W28="","RESOLVED — ADD INITIALS/DATE",IF(X28="","RESOLVED — ADD INITIALS/DATE","RESOLVED"))),IF(T28="OPTION 3",IF(W28="","HOLD — ADD INITIALS/DATE",IF(X28="","HOLD — ADD INITIALS/DATE","HOLD")),IF(T28="OPTION 4",IF(W28="","HOLD — ADD INITIALS/DATE",IF(X28="","HOLD — ADD INITIALS/DATE","HOLD")),IF(W28="","RESOLVED — ADD INITIALS/DATE",IF(X28="","RESOLVED — ADD INITIALS/DATE","RESOLVED"))))))))))</f>
        <v>RESOLVED</v>
      </c>
      <c r="AA28" s="23" t="s">
        <v>380</v>
      </c>
      <c r="AB28" s="23" t="s">
        <v>4589</v>
      </c>
      <c r="AC28" s="23" t="s">
        <v>4590</v>
      </c>
      <c r="AD28" s="23"/>
      <c r="AE28" s="23" t="s">
        <v>497</v>
      </c>
      <c r="AF28" s="23" t="str">
        <f aca="false">IF(F28&lt;&gt;"READY","NO",IF(Z28="OPEN","YES",IF(Z28="OPEN — CUSTOM TEXT REQUIRED","YES",IF(Z28="RESOLVED — ADD INITIALS/DATE","YES",IF(Z28="HOLD — ADD INITIALS/DATE","YES",IF(Z28="DEFERRED — ADD INITIALS/DATE","YES","NO"))))))</f>
        <v>NO</v>
      </c>
      <c r="AG28" s="23" t="str">
        <f aca="false">IF(AF28&lt;&gt;"YES","",IF(A28=IFERROR(MATCH("YES",$AF$2:$AF$105,0),0),"CURRENT",""))</f>
        <v/>
      </c>
      <c r="AH28" s="25" t="str">
        <f aca="false">IF(COUNTIF($B$2:$B$105,B28)&gt;1,"DUPLICATE","")</f>
        <v/>
      </c>
    </row>
    <row r="29" customFormat="false" ht="15.75" hidden="false" customHeight="true" outlineLevel="0" collapsed="false">
      <c r="A29" s="9" t="n">
        <v>28</v>
      </c>
      <c r="B29" s="9" t="s">
        <v>4623</v>
      </c>
      <c r="C29" s="9" t="s">
        <v>4578</v>
      </c>
      <c r="D29" s="9" t="s">
        <v>4579</v>
      </c>
      <c r="E29" s="9" t="s">
        <v>113</v>
      </c>
      <c r="F29" s="9" t="s">
        <v>874</v>
      </c>
      <c r="G29" s="9" t="s">
        <v>2899</v>
      </c>
      <c r="H29" s="9" t="s">
        <v>498</v>
      </c>
      <c r="I29" s="9" t="s">
        <v>4624</v>
      </c>
      <c r="J29" s="9" t="s">
        <v>4625</v>
      </c>
      <c r="K29" s="9" t="s">
        <v>4582</v>
      </c>
      <c r="L29" s="9" t="s">
        <v>4626</v>
      </c>
      <c r="M29" s="9" t="s">
        <v>4584</v>
      </c>
      <c r="N29" s="9" t="s">
        <v>4585</v>
      </c>
      <c r="O29" s="9" t="s">
        <v>4556</v>
      </c>
      <c r="P29" s="9" t="s">
        <v>4586</v>
      </c>
      <c r="Q29" s="9" t="s">
        <v>4587</v>
      </c>
      <c r="R29" s="9" t="s">
        <v>4588</v>
      </c>
      <c r="S29" s="9" t="s">
        <v>4505</v>
      </c>
      <c r="T29" s="22" t="str">
        <f aca="false">'Author Response Entry'!$D$29</f>
        <v>OPTION 2</v>
      </c>
      <c r="U29" s="23" t="str">
        <f aca="false">'Author Response Entry'!$E$29</f>
        <v>summary → Every good thing comes from God. | caution → Shared. Both traditions affirm this of God in the same sense.</v>
      </c>
      <c r="V29" s="23" t="str">
        <f aca="false">'Author Response Entry'!$F$29</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29" s="23" t="str">
        <f aca="false">'Author Response Entry'!$G$29</f>
        <v>AJP</v>
      </c>
      <c r="X29" s="24" t="n">
        <f aca="false">'Author Response Entry'!$H$29</f>
        <v>46274</v>
      </c>
      <c r="Y29" s="23" t="str">
        <f aca="false">IF(T29="","",IF(T29="CUSTOM RESPONSE",U29,IF(T29="HOLD — NEEDS RESEARCH",IF(U29&lt;&gt;"",U29,"HOLD — NEEDS RESEARCH"),IF(T29="DEFER — NOT YET",IF(U29&lt;&gt;"",U29,"DEFER — NOT YET"),IF(T29="OPTION 1",O29,IF(T29="OPTION 2",U29,IF(T29="OPTION 3",Q29,IF(T29="OPTION 4",R29,""))))))))</f>
        <v>summary → Every good thing comes from God. | caution → Shared. Both traditions affirm this of God in the same sense.</v>
      </c>
      <c r="Z29" s="23" t="str">
        <f aca="false">IF(T29="","OPEN",IF(T29="CUSTOM RESPONSE",IF(U29="","OPEN — CUSTOM TEXT REQUIRED",IF(W29="","RESOLVED — ADD INITIALS/DATE",IF(X29="","RESOLVED — ADD INITIALS/DATE","RESOLVED"))),IF(T29="HOLD — NEEDS RESEARCH",IF(W29="","HOLD — ADD INITIALS/DATE",IF(X29="","HOLD — ADD INITIALS/DATE","HOLD")),IF(T29="DEFER — NOT YET",IF(W29="","DEFERRED — ADD INITIALS/DATE",IF(X29="","DEFERRED — ADD INITIALS/DATE","DEFERRED")),IF(T29="OPTION 1",IF(W29="","RESOLVED — ADD INITIALS/DATE",IF(X29="","RESOLVED — ADD INITIALS/DATE","RESOLVED")),IF(T29="OPTION 2",IF(U29="","OPEN — CUSTOM TEXT REQUIRED",IF(W29="","RESOLVED — ADD INITIALS/DATE",IF(X29="","RESOLVED — ADD INITIALS/DATE","RESOLVED"))),IF(T29="OPTION 3",IF(W29="","HOLD — ADD INITIALS/DATE",IF(X29="","HOLD — ADD INITIALS/DATE","HOLD")),IF(T29="OPTION 4",IF(W29="","HOLD — ADD INITIALS/DATE",IF(X29="","HOLD — ADD INITIALS/DATE","HOLD")),IF(W29="","RESOLVED — ADD INITIALS/DATE",IF(X29="","RESOLVED — ADD INITIALS/DATE","RESOLVED"))))))))))</f>
        <v>RESOLVED</v>
      </c>
      <c r="AA29" s="23" t="s">
        <v>380</v>
      </c>
      <c r="AB29" s="23" t="s">
        <v>4589</v>
      </c>
      <c r="AC29" s="23" t="s">
        <v>4590</v>
      </c>
      <c r="AD29" s="23"/>
      <c r="AE29" s="23" t="s">
        <v>957</v>
      </c>
      <c r="AF29" s="23" t="str">
        <f aca="false">IF(F29&lt;&gt;"READY","NO",IF(Z29="OPEN","YES",IF(Z29="OPEN — CUSTOM TEXT REQUIRED","YES",IF(Z29="RESOLVED — ADD INITIALS/DATE","YES",IF(Z29="HOLD — ADD INITIALS/DATE","YES",IF(Z29="DEFERRED — ADD INITIALS/DATE","YES","NO"))))))</f>
        <v>NO</v>
      </c>
      <c r="AG29" s="23" t="str">
        <f aca="false">IF(AF29&lt;&gt;"YES","",IF(A29=IFERROR(MATCH("YES",$AF$2:$AF$105,0),0),"CURRENT",""))</f>
        <v/>
      </c>
      <c r="AH29" s="25" t="str">
        <f aca="false">IF(COUNTIF($B$2:$B$105,B29)&gt;1,"DUPLICATE","")</f>
        <v/>
      </c>
    </row>
    <row r="30" customFormat="false" ht="15.75" hidden="false" customHeight="true" outlineLevel="0" collapsed="false">
      <c r="A30" s="9" t="n">
        <v>29</v>
      </c>
      <c r="B30" s="9" t="s">
        <v>4627</v>
      </c>
      <c r="C30" s="9" t="s">
        <v>4578</v>
      </c>
      <c r="D30" s="9" t="s">
        <v>4579</v>
      </c>
      <c r="E30" s="9" t="s">
        <v>113</v>
      </c>
      <c r="F30" s="9" t="s">
        <v>874</v>
      </c>
      <c r="G30" s="9" t="s">
        <v>2899</v>
      </c>
      <c r="H30" s="9" t="s">
        <v>501</v>
      </c>
      <c r="I30" s="9" t="s">
        <v>4628</v>
      </c>
      <c r="J30" s="9" t="s">
        <v>4629</v>
      </c>
      <c r="K30" s="9" t="s">
        <v>4582</v>
      </c>
      <c r="L30" s="9" t="s">
        <v>4630</v>
      </c>
      <c r="M30" s="9" t="s">
        <v>4584</v>
      </c>
      <c r="N30" s="9" t="s">
        <v>4585</v>
      </c>
      <c r="O30" s="9" t="s">
        <v>4556</v>
      </c>
      <c r="P30" s="9" t="s">
        <v>4586</v>
      </c>
      <c r="Q30" s="9" t="s">
        <v>4587</v>
      </c>
      <c r="R30" s="9" t="s">
        <v>4588</v>
      </c>
      <c r="S30" s="9" t="s">
        <v>4505</v>
      </c>
      <c r="T30" s="22" t="str">
        <f aca="false">'Author Response Entry'!$D$30</f>
        <v>OPTION 2</v>
      </c>
      <c r="U30" s="23" t="str">
        <f aca="false">'Author Response Entry'!$E$30</f>
        <v>summary → God is just and righteous.</v>
      </c>
      <c r="V30" s="23" t="str">
        <f aca="false">'Author Response Entry'!$F$30</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30" s="23" t="str">
        <f aca="false">'Author Response Entry'!$G$30</f>
        <v>AJP</v>
      </c>
      <c r="X30" s="24" t="n">
        <f aca="false">'Author Response Entry'!$H$30</f>
        <v>46274</v>
      </c>
      <c r="Y30" s="23" t="str">
        <f aca="false">IF(T30="","",IF(T30="CUSTOM RESPONSE",U30,IF(T30="HOLD — NEEDS RESEARCH",IF(U30&lt;&gt;"",U30,"HOLD — NEEDS RESEARCH"),IF(T30="DEFER — NOT YET",IF(U30&lt;&gt;"",U30,"DEFER — NOT YET"),IF(T30="OPTION 1",O30,IF(T30="OPTION 2",U30,IF(T30="OPTION 3",Q30,IF(T30="OPTION 4",R30,""))))))))</f>
        <v>summary → God is just and righteous.</v>
      </c>
      <c r="Z30" s="23" t="str">
        <f aca="false">IF(T30="","OPEN",IF(T30="CUSTOM RESPONSE",IF(U30="","OPEN — CUSTOM TEXT REQUIRED",IF(W30="","RESOLVED — ADD INITIALS/DATE",IF(X30="","RESOLVED — ADD INITIALS/DATE","RESOLVED"))),IF(T30="HOLD — NEEDS RESEARCH",IF(W30="","HOLD — ADD INITIALS/DATE",IF(X30="","HOLD — ADD INITIALS/DATE","HOLD")),IF(T30="DEFER — NOT YET",IF(W30="","DEFERRED — ADD INITIALS/DATE",IF(X30="","DEFERRED — ADD INITIALS/DATE","DEFERRED")),IF(T30="OPTION 1",IF(W30="","RESOLVED — ADD INITIALS/DATE",IF(X30="","RESOLVED — ADD INITIALS/DATE","RESOLVED")),IF(T30="OPTION 2",IF(U30="","OPEN — CUSTOM TEXT REQUIRED",IF(W30="","RESOLVED — ADD INITIALS/DATE",IF(X30="","RESOLVED — ADD INITIALS/DATE","RESOLVED"))),IF(T30="OPTION 3",IF(W30="","HOLD — ADD INITIALS/DATE",IF(X30="","HOLD — ADD INITIALS/DATE","HOLD")),IF(T30="OPTION 4",IF(W30="","HOLD — ADD INITIALS/DATE",IF(X30="","HOLD — ADD INITIALS/DATE","HOLD")),IF(W30="","RESOLVED — ADD INITIALS/DATE",IF(X30="","RESOLVED — ADD INITIALS/DATE","RESOLVED"))))))))))</f>
        <v>RESOLVED</v>
      </c>
      <c r="AA30" s="23" t="s">
        <v>380</v>
      </c>
      <c r="AB30" s="23" t="s">
        <v>4589</v>
      </c>
      <c r="AC30" s="23" t="s">
        <v>4590</v>
      </c>
      <c r="AD30" s="23"/>
      <c r="AE30" s="23" t="s">
        <v>504</v>
      </c>
      <c r="AF30" s="23" t="str">
        <f aca="false">IF(F30&lt;&gt;"READY","NO",IF(Z30="OPEN","YES",IF(Z30="OPEN — CUSTOM TEXT REQUIRED","YES",IF(Z30="RESOLVED — ADD INITIALS/DATE","YES",IF(Z30="HOLD — ADD INITIALS/DATE","YES",IF(Z30="DEFERRED — ADD INITIALS/DATE","YES","NO"))))))</f>
        <v>NO</v>
      </c>
      <c r="AG30" s="23" t="str">
        <f aca="false">IF(AF30&lt;&gt;"YES","",IF(A30=IFERROR(MATCH("YES",$AF$2:$AF$105,0),0),"CURRENT",""))</f>
        <v/>
      </c>
      <c r="AH30" s="25" t="str">
        <f aca="false">IF(COUNTIF($B$2:$B$105,B30)&gt;1,"DUPLICATE","")</f>
        <v/>
      </c>
    </row>
    <row r="31" customFormat="false" ht="15.75" hidden="false" customHeight="true" outlineLevel="0" collapsed="false">
      <c r="A31" s="9" t="n">
        <v>30</v>
      </c>
      <c r="B31" s="9" t="s">
        <v>4631</v>
      </c>
      <c r="C31" s="9" t="s">
        <v>4578</v>
      </c>
      <c r="D31" s="9" t="s">
        <v>4579</v>
      </c>
      <c r="E31" s="9" t="s">
        <v>113</v>
      </c>
      <c r="F31" s="9" t="s">
        <v>874</v>
      </c>
      <c r="G31" s="9" t="s">
        <v>2899</v>
      </c>
      <c r="H31" s="9" t="s">
        <v>505</v>
      </c>
      <c r="I31" s="9" t="s">
        <v>4632</v>
      </c>
      <c r="J31" s="9" t="s">
        <v>4633</v>
      </c>
      <c r="K31" s="9" t="s">
        <v>4582</v>
      </c>
      <c r="L31" s="9" t="s">
        <v>4634</v>
      </c>
      <c r="M31" s="9" t="s">
        <v>4584</v>
      </c>
      <c r="N31" s="9" t="s">
        <v>4585</v>
      </c>
      <c r="O31" s="9" t="s">
        <v>4556</v>
      </c>
      <c r="P31" s="9" t="s">
        <v>4586</v>
      </c>
      <c r="Q31" s="9" t="s">
        <v>4587</v>
      </c>
      <c r="R31" s="9" t="s">
        <v>4588</v>
      </c>
      <c r="S31" s="9" t="s">
        <v>4505</v>
      </c>
      <c r="T31" s="22" t="str">
        <f aca="false">'Author Response Entry'!$D$31</f>
        <v>OPTION 2</v>
      </c>
      <c r="U31" s="23" t="str">
        <f aca="false">'Author Response Entry'!$E$31</f>
        <v>summary → God is holy.</v>
      </c>
      <c r="V31" s="23" t="str">
        <f aca="false">'Author Response Entry'!$F$31</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31" s="23" t="str">
        <f aca="false">'Author Response Entry'!$G$31</f>
        <v>AJP</v>
      </c>
      <c r="X31" s="24" t="n">
        <f aca="false">'Author Response Entry'!$H$31</f>
        <v>46274</v>
      </c>
      <c r="Y31" s="23" t="str">
        <f aca="false">IF(T31="","",IF(T31="CUSTOM RESPONSE",U31,IF(T31="HOLD — NEEDS RESEARCH",IF(U31&lt;&gt;"",U31,"HOLD — NEEDS RESEARCH"),IF(T31="DEFER — NOT YET",IF(U31&lt;&gt;"",U31,"DEFER — NOT YET"),IF(T31="OPTION 1",O31,IF(T31="OPTION 2",U31,IF(T31="OPTION 3",Q31,IF(T31="OPTION 4",R31,""))))))))</f>
        <v>summary → God is holy.</v>
      </c>
      <c r="Z31" s="23" t="str">
        <f aca="false">IF(T31="","OPEN",IF(T31="CUSTOM RESPONSE",IF(U31="","OPEN — CUSTOM TEXT REQUIRED",IF(W31="","RESOLVED — ADD INITIALS/DATE",IF(X31="","RESOLVED — ADD INITIALS/DATE","RESOLVED"))),IF(T31="HOLD — NEEDS RESEARCH",IF(W31="","HOLD — ADD INITIALS/DATE",IF(X31="","HOLD — ADD INITIALS/DATE","HOLD")),IF(T31="DEFER — NOT YET",IF(W31="","DEFERRED — ADD INITIALS/DATE",IF(X31="","DEFERRED — ADD INITIALS/DATE","DEFERRED")),IF(T31="OPTION 1",IF(W31="","RESOLVED — ADD INITIALS/DATE",IF(X31="","RESOLVED — ADD INITIALS/DATE","RESOLVED")),IF(T31="OPTION 2",IF(U31="","OPEN — CUSTOM TEXT REQUIRED",IF(W31="","RESOLVED — ADD INITIALS/DATE",IF(X31="","RESOLVED — ADD INITIALS/DATE","RESOLVED"))),IF(T31="OPTION 3",IF(W31="","HOLD — ADD INITIALS/DATE",IF(X31="","HOLD — ADD INITIALS/DATE","HOLD")),IF(T31="OPTION 4",IF(W31="","HOLD — ADD INITIALS/DATE",IF(X31="","HOLD — ADD INITIALS/DATE","HOLD")),IF(W31="","RESOLVED — ADD INITIALS/DATE",IF(X31="","RESOLVED — ADD INITIALS/DATE","RESOLVED"))))))))))</f>
        <v>RESOLVED</v>
      </c>
      <c r="AA31" s="23" t="s">
        <v>380</v>
      </c>
      <c r="AB31" s="23" t="s">
        <v>4589</v>
      </c>
      <c r="AC31" s="23" t="s">
        <v>4590</v>
      </c>
      <c r="AD31" s="23"/>
      <c r="AE31" s="23" t="s">
        <v>508</v>
      </c>
      <c r="AF31" s="23" t="str">
        <f aca="false">IF(F31&lt;&gt;"READY","NO",IF(Z31="OPEN","YES",IF(Z31="OPEN — CUSTOM TEXT REQUIRED","YES",IF(Z31="RESOLVED — ADD INITIALS/DATE","YES",IF(Z31="HOLD — ADD INITIALS/DATE","YES",IF(Z31="DEFERRED — ADD INITIALS/DATE","YES","NO"))))))</f>
        <v>NO</v>
      </c>
      <c r="AG31" s="23" t="str">
        <f aca="false">IF(AF31&lt;&gt;"YES","",IF(A31=IFERROR(MATCH("YES",$AF$2:$AF$105,0),0),"CURRENT",""))</f>
        <v/>
      </c>
      <c r="AH31" s="25" t="str">
        <f aca="false">IF(COUNTIF($B$2:$B$105,B31)&gt;1,"DUPLICATE","")</f>
        <v/>
      </c>
    </row>
    <row r="32" customFormat="false" ht="15.75" hidden="false" customHeight="true" outlineLevel="0" collapsed="false">
      <c r="A32" s="9" t="n">
        <v>31</v>
      </c>
      <c r="B32" s="9" t="s">
        <v>4635</v>
      </c>
      <c r="C32" s="9" t="s">
        <v>4578</v>
      </c>
      <c r="D32" s="9" t="s">
        <v>4579</v>
      </c>
      <c r="E32" s="9" t="s">
        <v>113</v>
      </c>
      <c r="F32" s="9" t="s">
        <v>874</v>
      </c>
      <c r="G32" s="9" t="s">
        <v>2899</v>
      </c>
      <c r="H32" s="9" t="s">
        <v>509</v>
      </c>
      <c r="I32" s="9" t="s">
        <v>4636</v>
      </c>
      <c r="J32" s="9" t="s">
        <v>4637</v>
      </c>
      <c r="K32" s="9" t="s">
        <v>4582</v>
      </c>
      <c r="L32" s="9" t="s">
        <v>4638</v>
      </c>
      <c r="M32" s="9" t="s">
        <v>4584</v>
      </c>
      <c r="N32" s="9" t="s">
        <v>4585</v>
      </c>
      <c r="O32" s="9" t="s">
        <v>4556</v>
      </c>
      <c r="P32" s="9" t="s">
        <v>4586</v>
      </c>
      <c r="Q32" s="9" t="s">
        <v>4587</v>
      </c>
      <c r="R32" s="9" t="s">
        <v>4588</v>
      </c>
      <c r="S32" s="9" t="s">
        <v>4505</v>
      </c>
      <c r="T32" s="22" t="str">
        <f aca="false">'Author Response Entry'!$D$32</f>
        <v>OPTION 2</v>
      </c>
      <c r="U32" s="23" t="str">
        <f aca="false">'Author Response Entry'!$E$32</f>
        <v>summary → God is a God of truth; He cannot lie.</v>
      </c>
      <c r="V32" s="23" t="str">
        <f aca="false">'Author Response Entry'!$F$32</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32" s="23" t="str">
        <f aca="false">'Author Response Entry'!$G$32</f>
        <v>AJP</v>
      </c>
      <c r="X32" s="24" t="n">
        <f aca="false">'Author Response Entry'!$H$32</f>
        <v>46274</v>
      </c>
      <c r="Y32" s="23" t="str">
        <f aca="false">IF(T32="","",IF(T32="CUSTOM RESPONSE",U32,IF(T32="HOLD — NEEDS RESEARCH",IF(U32&lt;&gt;"",U32,"HOLD — NEEDS RESEARCH"),IF(T32="DEFER — NOT YET",IF(U32&lt;&gt;"",U32,"DEFER — NOT YET"),IF(T32="OPTION 1",O32,IF(T32="OPTION 2",U32,IF(T32="OPTION 3",Q32,IF(T32="OPTION 4",R32,""))))))))</f>
        <v>summary → God is a God of truth; He cannot lie.</v>
      </c>
      <c r="Z32" s="23" t="str">
        <f aca="false">IF(T32="","OPEN",IF(T32="CUSTOM RESPONSE",IF(U32="","OPEN — CUSTOM TEXT REQUIRED",IF(W32="","RESOLVED — ADD INITIALS/DATE",IF(X32="","RESOLVED — ADD INITIALS/DATE","RESOLVED"))),IF(T32="HOLD — NEEDS RESEARCH",IF(W32="","HOLD — ADD INITIALS/DATE",IF(X32="","HOLD — ADD INITIALS/DATE","HOLD")),IF(T32="DEFER — NOT YET",IF(W32="","DEFERRED — ADD INITIALS/DATE",IF(X32="","DEFERRED — ADD INITIALS/DATE","DEFERRED")),IF(T32="OPTION 1",IF(W32="","RESOLVED — ADD INITIALS/DATE",IF(X32="","RESOLVED — ADD INITIALS/DATE","RESOLVED")),IF(T32="OPTION 2",IF(U32="","OPEN — CUSTOM TEXT REQUIRED",IF(W32="","RESOLVED — ADD INITIALS/DATE",IF(X32="","RESOLVED — ADD INITIALS/DATE","RESOLVED"))),IF(T32="OPTION 3",IF(W32="","HOLD — ADD INITIALS/DATE",IF(X32="","HOLD — ADD INITIALS/DATE","HOLD")),IF(T32="OPTION 4",IF(W32="","HOLD — ADD INITIALS/DATE",IF(X32="","HOLD — ADD INITIALS/DATE","HOLD")),IF(W32="","RESOLVED — ADD INITIALS/DATE",IF(X32="","RESOLVED — ADD INITIALS/DATE","RESOLVED"))))))))))</f>
        <v>RESOLVED</v>
      </c>
      <c r="AA32" s="23" t="s">
        <v>380</v>
      </c>
      <c r="AB32" s="23" t="s">
        <v>4589</v>
      </c>
      <c r="AC32" s="23" t="s">
        <v>4590</v>
      </c>
      <c r="AD32" s="23"/>
      <c r="AE32" s="23" t="s">
        <v>512</v>
      </c>
      <c r="AF32" s="23" t="str">
        <f aca="false">IF(F32&lt;&gt;"READY","NO",IF(Z32="OPEN","YES",IF(Z32="OPEN — CUSTOM TEXT REQUIRED","YES",IF(Z32="RESOLVED — ADD INITIALS/DATE","YES",IF(Z32="HOLD — ADD INITIALS/DATE","YES",IF(Z32="DEFERRED — ADD INITIALS/DATE","YES","NO"))))))</f>
        <v>NO</v>
      </c>
      <c r="AG32" s="23" t="str">
        <f aca="false">IF(AF32&lt;&gt;"YES","",IF(A32=IFERROR(MATCH("YES",$AF$2:$AF$105,0),0),"CURRENT",""))</f>
        <v/>
      </c>
      <c r="AH32" s="25" t="str">
        <f aca="false">IF(COUNTIF($B$2:$B$105,B32)&gt;1,"DUPLICATE","")</f>
        <v/>
      </c>
    </row>
    <row r="33" customFormat="false" ht="15.75" hidden="false" customHeight="true" outlineLevel="0" collapsed="false">
      <c r="A33" s="9" t="n">
        <v>32</v>
      </c>
      <c r="B33" s="9" t="s">
        <v>4639</v>
      </c>
      <c r="C33" s="9" t="s">
        <v>4578</v>
      </c>
      <c r="D33" s="9" t="s">
        <v>4579</v>
      </c>
      <c r="E33" s="9" t="s">
        <v>113</v>
      </c>
      <c r="F33" s="9" t="s">
        <v>874</v>
      </c>
      <c r="G33" s="9" t="s">
        <v>2899</v>
      </c>
      <c r="H33" s="9" t="s">
        <v>513</v>
      </c>
      <c r="I33" s="9" t="s">
        <v>4640</v>
      </c>
      <c r="J33" s="9" t="s">
        <v>4641</v>
      </c>
      <c r="K33" s="9" t="s">
        <v>4582</v>
      </c>
      <c r="L33" s="9" t="s">
        <v>4642</v>
      </c>
      <c r="M33" s="9" t="s">
        <v>4584</v>
      </c>
      <c r="N33" s="9" t="s">
        <v>4585</v>
      </c>
      <c r="O33" s="9" t="s">
        <v>4556</v>
      </c>
      <c r="P33" s="9" t="s">
        <v>4586</v>
      </c>
      <c r="Q33" s="9" t="s">
        <v>4587</v>
      </c>
      <c r="R33" s="9" t="s">
        <v>4588</v>
      </c>
      <c r="S33" s="9" t="s">
        <v>4505</v>
      </c>
      <c r="T33" s="22" t="str">
        <f aca="false">'Author Response Entry'!$D$33</f>
        <v>OPTION 2</v>
      </c>
      <c r="U33" s="23" t="str">
        <f aca="false">'Author Response Entry'!$E$33</f>
        <v>summary → God is love; He loves His children.</v>
      </c>
      <c r="V33" s="23" t="str">
        <f aca="false">'Author Response Entry'!$F$33</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33" s="23" t="str">
        <f aca="false">'Author Response Entry'!$G$33</f>
        <v>AJP</v>
      </c>
      <c r="X33" s="24" t="n">
        <f aca="false">'Author Response Entry'!$H$33</f>
        <v>46274</v>
      </c>
      <c r="Y33" s="23" t="str">
        <f aca="false">IF(T33="","",IF(T33="CUSTOM RESPONSE",U33,IF(T33="HOLD — NEEDS RESEARCH",IF(U33&lt;&gt;"",U33,"HOLD — NEEDS RESEARCH"),IF(T33="DEFER — NOT YET",IF(U33&lt;&gt;"",U33,"DEFER — NOT YET"),IF(T33="OPTION 1",O33,IF(T33="OPTION 2",U33,IF(T33="OPTION 3",Q33,IF(T33="OPTION 4",R33,""))))))))</f>
        <v>summary → God is love; He loves His children.</v>
      </c>
      <c r="Z33" s="23" t="str">
        <f aca="false">IF(T33="","OPEN",IF(T33="CUSTOM RESPONSE",IF(U33="","OPEN — CUSTOM TEXT REQUIRED",IF(W33="","RESOLVED — ADD INITIALS/DATE",IF(X33="","RESOLVED — ADD INITIALS/DATE","RESOLVED"))),IF(T33="HOLD — NEEDS RESEARCH",IF(W33="","HOLD — ADD INITIALS/DATE",IF(X33="","HOLD — ADD INITIALS/DATE","HOLD")),IF(T33="DEFER — NOT YET",IF(W33="","DEFERRED — ADD INITIALS/DATE",IF(X33="","DEFERRED — ADD INITIALS/DATE","DEFERRED")),IF(T33="OPTION 1",IF(W33="","RESOLVED — ADD INITIALS/DATE",IF(X33="","RESOLVED — ADD INITIALS/DATE","RESOLVED")),IF(T33="OPTION 2",IF(U33="","OPEN — CUSTOM TEXT REQUIRED",IF(W33="","RESOLVED — ADD INITIALS/DATE",IF(X33="","RESOLVED — ADD INITIALS/DATE","RESOLVED"))),IF(T33="OPTION 3",IF(W33="","HOLD — ADD INITIALS/DATE",IF(X33="","HOLD — ADD INITIALS/DATE","HOLD")),IF(T33="OPTION 4",IF(W33="","HOLD — ADD INITIALS/DATE",IF(X33="","HOLD — ADD INITIALS/DATE","HOLD")),IF(W33="","RESOLVED — ADD INITIALS/DATE",IF(X33="","RESOLVED — ADD INITIALS/DATE","RESOLVED"))))))))))</f>
        <v>RESOLVED</v>
      </c>
      <c r="AA33" s="23" t="s">
        <v>380</v>
      </c>
      <c r="AB33" s="23" t="s">
        <v>4589</v>
      </c>
      <c r="AC33" s="23" t="s">
        <v>4590</v>
      </c>
      <c r="AD33" s="23"/>
      <c r="AE33" s="23" t="s">
        <v>517</v>
      </c>
      <c r="AF33" s="23" t="str">
        <f aca="false">IF(F33&lt;&gt;"READY","NO",IF(Z33="OPEN","YES",IF(Z33="OPEN — CUSTOM TEXT REQUIRED","YES",IF(Z33="RESOLVED — ADD INITIALS/DATE","YES",IF(Z33="HOLD — ADD INITIALS/DATE","YES",IF(Z33="DEFERRED — ADD INITIALS/DATE","YES","NO"))))))</f>
        <v>NO</v>
      </c>
      <c r="AG33" s="23" t="str">
        <f aca="false">IF(AF33&lt;&gt;"YES","",IF(A33=IFERROR(MATCH("YES",$AF$2:$AF$105,0),0),"CURRENT",""))</f>
        <v/>
      </c>
      <c r="AH33" s="25" t="str">
        <f aca="false">IF(COUNTIF($B$2:$B$105,B33)&gt;1,"DUPLICATE","")</f>
        <v/>
      </c>
    </row>
    <row r="34" customFormat="false" ht="15.75" hidden="false" customHeight="true" outlineLevel="0" collapsed="false">
      <c r="A34" s="9" t="n">
        <v>33</v>
      </c>
      <c r="B34" s="9" t="s">
        <v>4643</v>
      </c>
      <c r="C34" s="9" t="s">
        <v>4578</v>
      </c>
      <c r="D34" s="9" t="s">
        <v>4579</v>
      </c>
      <c r="E34" s="9" t="s">
        <v>113</v>
      </c>
      <c r="F34" s="9" t="s">
        <v>874</v>
      </c>
      <c r="G34" s="9" t="s">
        <v>2899</v>
      </c>
      <c r="H34" s="9" t="s">
        <v>518</v>
      </c>
      <c r="I34" s="9" t="s">
        <v>4644</v>
      </c>
      <c r="J34" s="9" t="s">
        <v>4645</v>
      </c>
      <c r="K34" s="9" t="s">
        <v>4582</v>
      </c>
      <c r="L34" s="9" t="s">
        <v>4646</v>
      </c>
      <c r="M34" s="9" t="s">
        <v>4584</v>
      </c>
      <c r="N34" s="9" t="s">
        <v>4585</v>
      </c>
      <c r="O34" s="9" t="s">
        <v>4556</v>
      </c>
      <c r="P34" s="9" t="s">
        <v>4586</v>
      </c>
      <c r="Q34" s="9" t="s">
        <v>4587</v>
      </c>
      <c r="R34" s="9" t="s">
        <v>4588</v>
      </c>
      <c r="S34" s="9" t="s">
        <v>4505</v>
      </c>
      <c r="T34" s="22" t="str">
        <f aca="false">'Author Response Entry'!$D$34</f>
        <v>OPTION 2</v>
      </c>
      <c r="U34" s="23" t="str">
        <f aca="false">'Author Response Entry'!$E$34</f>
        <v>summary → God is merciful.</v>
      </c>
      <c r="V34" s="23" t="str">
        <f aca="false">'Author Response Entry'!$F$34</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34" s="23" t="str">
        <f aca="false">'Author Response Entry'!$G$34</f>
        <v>AJP</v>
      </c>
      <c r="X34" s="24" t="n">
        <f aca="false">'Author Response Entry'!$H$34</f>
        <v>46274</v>
      </c>
      <c r="Y34" s="23" t="str">
        <f aca="false">IF(T34="","",IF(T34="CUSTOM RESPONSE",U34,IF(T34="HOLD — NEEDS RESEARCH",IF(U34&lt;&gt;"",U34,"HOLD — NEEDS RESEARCH"),IF(T34="DEFER — NOT YET",IF(U34&lt;&gt;"",U34,"DEFER — NOT YET"),IF(T34="OPTION 1",O34,IF(T34="OPTION 2",U34,IF(T34="OPTION 3",Q34,IF(T34="OPTION 4",R34,""))))))))</f>
        <v>summary → God is merciful.</v>
      </c>
      <c r="Z34" s="23" t="str">
        <f aca="false">IF(T34="","OPEN",IF(T34="CUSTOM RESPONSE",IF(U34="","OPEN — CUSTOM TEXT REQUIRED",IF(W34="","RESOLVED — ADD INITIALS/DATE",IF(X34="","RESOLVED — ADD INITIALS/DATE","RESOLVED"))),IF(T34="HOLD — NEEDS RESEARCH",IF(W34="","HOLD — ADD INITIALS/DATE",IF(X34="","HOLD — ADD INITIALS/DATE","HOLD")),IF(T34="DEFER — NOT YET",IF(W34="","DEFERRED — ADD INITIALS/DATE",IF(X34="","DEFERRED — ADD INITIALS/DATE","DEFERRED")),IF(T34="OPTION 1",IF(W34="","RESOLVED — ADD INITIALS/DATE",IF(X34="","RESOLVED — ADD INITIALS/DATE","RESOLVED")),IF(T34="OPTION 2",IF(U34="","OPEN — CUSTOM TEXT REQUIRED",IF(W34="","RESOLVED — ADD INITIALS/DATE",IF(X34="","RESOLVED — ADD INITIALS/DATE","RESOLVED"))),IF(T34="OPTION 3",IF(W34="","HOLD — ADD INITIALS/DATE",IF(X34="","HOLD — ADD INITIALS/DATE","HOLD")),IF(T34="OPTION 4",IF(W34="","HOLD — ADD INITIALS/DATE",IF(X34="","HOLD — ADD INITIALS/DATE","HOLD")),IF(W34="","RESOLVED — ADD INITIALS/DATE",IF(X34="","RESOLVED — ADD INITIALS/DATE","RESOLVED"))))))))))</f>
        <v>RESOLVED</v>
      </c>
      <c r="AA34" s="23" t="s">
        <v>380</v>
      </c>
      <c r="AB34" s="23" t="s">
        <v>4589</v>
      </c>
      <c r="AC34" s="23" t="s">
        <v>4590</v>
      </c>
      <c r="AD34" s="23"/>
      <c r="AE34" s="23" t="s">
        <v>521</v>
      </c>
      <c r="AF34" s="23" t="str">
        <f aca="false">IF(F34&lt;&gt;"READY","NO",IF(Z34="OPEN","YES",IF(Z34="OPEN — CUSTOM TEXT REQUIRED","YES",IF(Z34="RESOLVED — ADD INITIALS/DATE","YES",IF(Z34="HOLD — ADD INITIALS/DATE","YES",IF(Z34="DEFERRED — ADD INITIALS/DATE","YES","NO"))))))</f>
        <v>NO</v>
      </c>
      <c r="AG34" s="23" t="str">
        <f aca="false">IF(AF34&lt;&gt;"YES","",IF(A34=IFERROR(MATCH("YES",$AF$2:$AF$105,0),0),"CURRENT",""))</f>
        <v/>
      </c>
      <c r="AH34" s="25" t="str">
        <f aca="false">IF(COUNTIF($B$2:$B$105,B34)&gt;1,"DUPLICATE","")</f>
        <v/>
      </c>
    </row>
    <row r="35" customFormat="false" ht="15.75" hidden="false" customHeight="true" outlineLevel="0" collapsed="false">
      <c r="A35" s="9" t="n">
        <v>34</v>
      </c>
      <c r="B35" s="9" t="s">
        <v>4647</v>
      </c>
      <c r="C35" s="9" t="s">
        <v>4578</v>
      </c>
      <c r="D35" s="9" t="s">
        <v>4579</v>
      </c>
      <c r="E35" s="9" t="s">
        <v>113</v>
      </c>
      <c r="F35" s="9" t="s">
        <v>874</v>
      </c>
      <c r="G35" s="9" t="s">
        <v>2899</v>
      </c>
      <c r="H35" s="9" t="s">
        <v>522</v>
      </c>
      <c r="I35" s="9" t="s">
        <v>4648</v>
      </c>
      <c r="J35" s="9" t="s">
        <v>4649</v>
      </c>
      <c r="K35" s="9" t="s">
        <v>4582</v>
      </c>
      <c r="L35" s="9" t="s">
        <v>4650</v>
      </c>
      <c r="M35" s="9" t="s">
        <v>4584</v>
      </c>
      <c r="N35" s="9" t="s">
        <v>4585</v>
      </c>
      <c r="O35" s="9" t="s">
        <v>4556</v>
      </c>
      <c r="P35" s="9" t="s">
        <v>4586</v>
      </c>
      <c r="Q35" s="9" t="s">
        <v>4587</v>
      </c>
      <c r="R35" s="9" t="s">
        <v>4588</v>
      </c>
      <c r="S35" s="9" t="s">
        <v>4505</v>
      </c>
      <c r="T35" s="22" t="str">
        <f aca="false">'Author Response Entry'!$D$35</f>
        <v>OPTION 2</v>
      </c>
      <c r="U35" s="23" t="str">
        <f aca="false">'Author Response Entry'!$E$35</f>
        <v>summary → God is gracious.</v>
      </c>
      <c r="V35" s="23" t="str">
        <f aca="false">'Author Response Entry'!$F$35</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35" s="23" t="str">
        <f aca="false">'Author Response Entry'!$G$35</f>
        <v>AJP</v>
      </c>
      <c r="X35" s="24" t="n">
        <f aca="false">'Author Response Entry'!$H$35</f>
        <v>46274</v>
      </c>
      <c r="Y35" s="23" t="str">
        <f aca="false">IF(T35="","",IF(T35="CUSTOM RESPONSE",U35,IF(T35="HOLD — NEEDS RESEARCH",IF(U35&lt;&gt;"",U35,"HOLD — NEEDS RESEARCH"),IF(T35="DEFER — NOT YET",IF(U35&lt;&gt;"",U35,"DEFER — NOT YET"),IF(T35="OPTION 1",O35,IF(T35="OPTION 2",U35,IF(T35="OPTION 3",Q35,IF(T35="OPTION 4",R35,""))))))))</f>
        <v>summary → God is gracious.</v>
      </c>
      <c r="Z35" s="23" t="str">
        <f aca="false">IF(T35="","OPEN",IF(T35="CUSTOM RESPONSE",IF(U35="","OPEN — CUSTOM TEXT REQUIRED",IF(W35="","RESOLVED — ADD INITIALS/DATE",IF(X35="","RESOLVED — ADD INITIALS/DATE","RESOLVED"))),IF(T35="HOLD — NEEDS RESEARCH",IF(W35="","HOLD — ADD INITIALS/DATE",IF(X35="","HOLD — ADD INITIALS/DATE","HOLD")),IF(T35="DEFER — NOT YET",IF(W35="","DEFERRED — ADD INITIALS/DATE",IF(X35="","DEFERRED — ADD INITIALS/DATE","DEFERRED")),IF(T35="OPTION 1",IF(W35="","RESOLVED — ADD INITIALS/DATE",IF(X35="","RESOLVED — ADD INITIALS/DATE","RESOLVED")),IF(T35="OPTION 2",IF(U35="","OPEN — CUSTOM TEXT REQUIRED",IF(W35="","RESOLVED — ADD INITIALS/DATE",IF(X35="","RESOLVED — ADD INITIALS/DATE","RESOLVED"))),IF(T35="OPTION 3",IF(W35="","HOLD — ADD INITIALS/DATE",IF(X35="","HOLD — ADD INITIALS/DATE","HOLD")),IF(T35="OPTION 4",IF(W35="","HOLD — ADD INITIALS/DATE",IF(X35="","HOLD — ADD INITIALS/DATE","HOLD")),IF(W35="","RESOLVED — ADD INITIALS/DATE",IF(X35="","RESOLVED — ADD INITIALS/DATE","RESOLVED"))))))))))</f>
        <v>RESOLVED</v>
      </c>
      <c r="AA35" s="23" t="s">
        <v>380</v>
      </c>
      <c r="AB35" s="23" t="s">
        <v>4589</v>
      </c>
      <c r="AC35" s="23" t="s">
        <v>4590</v>
      </c>
      <c r="AD35" s="23"/>
      <c r="AE35" s="23" t="s">
        <v>525</v>
      </c>
      <c r="AF35" s="23" t="str">
        <f aca="false">IF(F35&lt;&gt;"READY","NO",IF(Z35="OPEN","YES",IF(Z35="OPEN — CUSTOM TEXT REQUIRED","YES",IF(Z35="RESOLVED — ADD INITIALS/DATE","YES",IF(Z35="HOLD — ADD INITIALS/DATE","YES",IF(Z35="DEFERRED — ADD INITIALS/DATE","YES","NO"))))))</f>
        <v>NO</v>
      </c>
      <c r="AG35" s="23" t="str">
        <f aca="false">IF(AF35&lt;&gt;"YES","",IF(A35=IFERROR(MATCH("YES",$AF$2:$AF$105,0),0),"CURRENT",""))</f>
        <v/>
      </c>
      <c r="AH35" s="25" t="str">
        <f aca="false">IF(COUNTIF($B$2:$B$105,B35)&gt;1,"DUPLICATE","")</f>
        <v/>
      </c>
    </row>
    <row r="36" customFormat="false" ht="15.75" hidden="false" customHeight="true" outlineLevel="0" collapsed="false">
      <c r="A36" s="9" t="n">
        <v>35</v>
      </c>
      <c r="B36" s="9" t="s">
        <v>4651</v>
      </c>
      <c r="C36" s="9" t="s">
        <v>4578</v>
      </c>
      <c r="D36" s="9" t="s">
        <v>4579</v>
      </c>
      <c r="E36" s="9" t="s">
        <v>113</v>
      </c>
      <c r="F36" s="9" t="s">
        <v>874</v>
      </c>
      <c r="G36" s="9" t="s">
        <v>2899</v>
      </c>
      <c r="H36" s="9" t="s">
        <v>526</v>
      </c>
      <c r="I36" s="9" t="s">
        <v>4652</v>
      </c>
      <c r="J36" s="9" t="s">
        <v>4653</v>
      </c>
      <c r="K36" s="9" t="s">
        <v>4582</v>
      </c>
      <c r="L36" s="9" t="s">
        <v>4654</v>
      </c>
      <c r="M36" s="9" t="s">
        <v>4584</v>
      </c>
      <c r="N36" s="9" t="s">
        <v>4585</v>
      </c>
      <c r="O36" s="9" t="s">
        <v>4556</v>
      </c>
      <c r="P36" s="9" t="s">
        <v>4586</v>
      </c>
      <c r="Q36" s="9" t="s">
        <v>4587</v>
      </c>
      <c r="R36" s="9" t="s">
        <v>4588</v>
      </c>
      <c r="S36" s="9" t="s">
        <v>4505</v>
      </c>
      <c r="T36" s="22" t="str">
        <f aca="false">'Author Response Entry'!$D$36</f>
        <v>OPTION 2</v>
      </c>
      <c r="U36" s="23" t="str">
        <f aca="false">'Author Response Entry'!$E$36</f>
        <v>summary → God is long-suffering and patient.</v>
      </c>
      <c r="V36" s="23" t="str">
        <f aca="false">'Author Response Entry'!$F$36</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36" s="23" t="str">
        <f aca="false">'Author Response Entry'!$G$36</f>
        <v>AJP</v>
      </c>
      <c r="X36" s="24" t="n">
        <f aca="false">'Author Response Entry'!$H$36</f>
        <v>46274</v>
      </c>
      <c r="Y36" s="23" t="str">
        <f aca="false">IF(T36="","",IF(T36="CUSTOM RESPONSE",U36,IF(T36="HOLD — NEEDS RESEARCH",IF(U36&lt;&gt;"",U36,"HOLD — NEEDS RESEARCH"),IF(T36="DEFER — NOT YET",IF(U36&lt;&gt;"",U36,"DEFER — NOT YET"),IF(T36="OPTION 1",O36,IF(T36="OPTION 2",U36,IF(T36="OPTION 3",Q36,IF(T36="OPTION 4",R36,""))))))))</f>
        <v>summary → God is long-suffering and patient.</v>
      </c>
      <c r="Z36" s="23" t="str">
        <f aca="false">IF(T36="","OPEN",IF(T36="CUSTOM RESPONSE",IF(U36="","OPEN — CUSTOM TEXT REQUIRED",IF(W36="","RESOLVED — ADD INITIALS/DATE",IF(X36="","RESOLVED — ADD INITIALS/DATE","RESOLVED"))),IF(T36="HOLD — NEEDS RESEARCH",IF(W36="","HOLD — ADD INITIALS/DATE",IF(X36="","HOLD — ADD INITIALS/DATE","HOLD")),IF(T36="DEFER — NOT YET",IF(W36="","DEFERRED — ADD INITIALS/DATE",IF(X36="","DEFERRED — ADD INITIALS/DATE","DEFERRED")),IF(T36="OPTION 1",IF(W36="","RESOLVED — ADD INITIALS/DATE",IF(X36="","RESOLVED — ADD INITIALS/DATE","RESOLVED")),IF(T36="OPTION 2",IF(U36="","OPEN — CUSTOM TEXT REQUIRED",IF(W36="","RESOLVED — ADD INITIALS/DATE",IF(X36="","RESOLVED — ADD INITIALS/DATE","RESOLVED"))),IF(T36="OPTION 3",IF(W36="","HOLD — ADD INITIALS/DATE",IF(X36="","HOLD — ADD INITIALS/DATE","HOLD")),IF(T36="OPTION 4",IF(W36="","HOLD — ADD INITIALS/DATE",IF(X36="","HOLD — ADD INITIALS/DATE","HOLD")),IF(W36="","RESOLVED — ADD INITIALS/DATE",IF(X36="","RESOLVED — ADD INITIALS/DATE","RESOLVED"))))))))))</f>
        <v>RESOLVED</v>
      </c>
      <c r="AA36" s="23" t="s">
        <v>380</v>
      </c>
      <c r="AB36" s="23" t="s">
        <v>4589</v>
      </c>
      <c r="AC36" s="23" t="s">
        <v>4590</v>
      </c>
      <c r="AD36" s="23"/>
      <c r="AE36" s="23" t="s">
        <v>529</v>
      </c>
      <c r="AF36" s="23" t="str">
        <f aca="false">IF(F36&lt;&gt;"READY","NO",IF(Z36="OPEN","YES",IF(Z36="OPEN — CUSTOM TEXT REQUIRED","YES",IF(Z36="RESOLVED — ADD INITIALS/DATE","YES",IF(Z36="HOLD — ADD INITIALS/DATE","YES",IF(Z36="DEFERRED — ADD INITIALS/DATE","YES","NO"))))))</f>
        <v>NO</v>
      </c>
      <c r="AG36" s="23" t="str">
        <f aca="false">IF(AF36&lt;&gt;"YES","",IF(A36=IFERROR(MATCH("YES",$AF$2:$AF$105,0),0),"CURRENT",""))</f>
        <v/>
      </c>
      <c r="AH36" s="25" t="str">
        <f aca="false">IF(COUNTIF($B$2:$B$105,B36)&gt;1,"DUPLICATE","")</f>
        <v/>
      </c>
    </row>
    <row r="37" customFormat="false" ht="15.75" hidden="false" customHeight="true" outlineLevel="0" collapsed="false">
      <c r="A37" s="9" t="n">
        <v>36</v>
      </c>
      <c r="B37" s="9" t="s">
        <v>4655</v>
      </c>
      <c r="C37" s="9" t="s">
        <v>4578</v>
      </c>
      <c r="D37" s="9" t="s">
        <v>4579</v>
      </c>
      <c r="E37" s="9" t="s">
        <v>113</v>
      </c>
      <c r="F37" s="9" t="s">
        <v>874</v>
      </c>
      <c r="G37" s="9" t="s">
        <v>2899</v>
      </c>
      <c r="H37" s="9" t="s">
        <v>530</v>
      </c>
      <c r="I37" s="9" t="s">
        <v>4656</v>
      </c>
      <c r="J37" s="9" t="s">
        <v>4657</v>
      </c>
      <c r="K37" s="9" t="s">
        <v>4582</v>
      </c>
      <c r="L37" s="9" t="s">
        <v>4658</v>
      </c>
      <c r="M37" s="9" t="s">
        <v>4584</v>
      </c>
      <c r="N37" s="9" t="s">
        <v>4585</v>
      </c>
      <c r="O37" s="9" t="s">
        <v>4556</v>
      </c>
      <c r="P37" s="9" t="s">
        <v>4586</v>
      </c>
      <c r="Q37" s="9" t="s">
        <v>4587</v>
      </c>
      <c r="R37" s="9" t="s">
        <v>4588</v>
      </c>
      <c r="S37" s="9" t="s">
        <v>4505</v>
      </c>
      <c r="T37" s="22" t="str">
        <f aca="false">'Author Response Entry'!$D$37</f>
        <v>OPTION 2</v>
      </c>
      <c r="U37" s="23" t="str">
        <f aca="false">'Author Response Entry'!$E$37</f>
        <v>summary → God forgives sin. | Restoration phrase → “I, the Lord, will forgive whom I will forgive”</v>
      </c>
      <c r="V37" s="23" t="str">
        <f aca="false">'Author Response Entry'!$F$37</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37" s="23" t="str">
        <f aca="false">'Author Response Entry'!$G$37</f>
        <v>AJP</v>
      </c>
      <c r="X37" s="24" t="n">
        <f aca="false">'Author Response Entry'!$H$37</f>
        <v>46274</v>
      </c>
      <c r="Y37" s="23" t="str">
        <f aca="false">IF(T37="","",IF(T37="CUSTOM RESPONSE",U37,IF(T37="HOLD — NEEDS RESEARCH",IF(U37&lt;&gt;"",U37,"HOLD — NEEDS RESEARCH"),IF(T37="DEFER — NOT YET",IF(U37&lt;&gt;"",U37,"DEFER — NOT YET"),IF(T37="OPTION 1",O37,IF(T37="OPTION 2",U37,IF(T37="OPTION 3",Q37,IF(T37="OPTION 4",R37,""))))))))</f>
        <v>summary → God forgives sin. | Restoration phrase → “I, the Lord, will forgive whom I will forgive”</v>
      </c>
      <c r="Z37" s="23" t="str">
        <f aca="false">IF(T37="","OPEN",IF(T37="CUSTOM RESPONSE",IF(U37="","OPEN — CUSTOM TEXT REQUIRED",IF(W37="","RESOLVED — ADD INITIALS/DATE",IF(X37="","RESOLVED — ADD INITIALS/DATE","RESOLVED"))),IF(T37="HOLD — NEEDS RESEARCH",IF(W37="","HOLD — ADD INITIALS/DATE",IF(X37="","HOLD — ADD INITIALS/DATE","HOLD")),IF(T37="DEFER — NOT YET",IF(W37="","DEFERRED — ADD INITIALS/DATE",IF(X37="","DEFERRED — ADD INITIALS/DATE","DEFERRED")),IF(T37="OPTION 1",IF(W37="","RESOLVED — ADD INITIALS/DATE",IF(X37="","RESOLVED — ADD INITIALS/DATE","RESOLVED")),IF(T37="OPTION 2",IF(U37="","OPEN — CUSTOM TEXT REQUIRED",IF(W37="","RESOLVED — ADD INITIALS/DATE",IF(X37="","RESOLVED — ADD INITIALS/DATE","RESOLVED"))),IF(T37="OPTION 3",IF(W37="","HOLD — ADD INITIALS/DATE",IF(X37="","HOLD — ADD INITIALS/DATE","HOLD")),IF(T37="OPTION 4",IF(W37="","HOLD — ADD INITIALS/DATE",IF(X37="","HOLD — ADD INITIALS/DATE","HOLD")),IF(W37="","RESOLVED — ADD INITIALS/DATE",IF(X37="","RESOLVED — ADD INITIALS/DATE","RESOLVED"))))))))))</f>
        <v>RESOLVED</v>
      </c>
      <c r="AA37" s="23" t="s">
        <v>380</v>
      </c>
      <c r="AB37" s="23" t="s">
        <v>4589</v>
      </c>
      <c r="AC37" s="23" t="s">
        <v>4590</v>
      </c>
      <c r="AD37" s="23"/>
      <c r="AE37" s="23" t="s">
        <v>533</v>
      </c>
      <c r="AF37" s="23" t="str">
        <f aca="false">IF(F37&lt;&gt;"READY","NO",IF(Z37="OPEN","YES",IF(Z37="OPEN — CUSTOM TEXT REQUIRED","YES",IF(Z37="RESOLVED — ADD INITIALS/DATE","YES",IF(Z37="HOLD — ADD INITIALS/DATE","YES",IF(Z37="DEFERRED — ADD INITIALS/DATE","YES","NO"))))))</f>
        <v>NO</v>
      </c>
      <c r="AG37" s="23" t="str">
        <f aca="false">IF(AF37&lt;&gt;"YES","",IF(A37=IFERROR(MATCH("YES",$AF$2:$AF$105,0),0),"CURRENT",""))</f>
        <v/>
      </c>
      <c r="AH37" s="25" t="str">
        <f aca="false">IF(COUNTIF($B$2:$B$105,B37)&gt;1,"DUPLICATE","")</f>
        <v/>
      </c>
    </row>
    <row r="38" customFormat="false" ht="15.75" hidden="false" customHeight="true" outlineLevel="0" collapsed="false">
      <c r="A38" s="9" t="n">
        <v>37</v>
      </c>
      <c r="B38" s="9" t="s">
        <v>4659</v>
      </c>
      <c r="C38" s="9" t="s">
        <v>4578</v>
      </c>
      <c r="D38" s="9" t="s">
        <v>4579</v>
      </c>
      <c r="E38" s="9" t="s">
        <v>113</v>
      </c>
      <c r="F38" s="9" t="s">
        <v>874</v>
      </c>
      <c r="G38" s="9" t="s">
        <v>2899</v>
      </c>
      <c r="H38" s="9" t="s">
        <v>534</v>
      </c>
      <c r="I38" s="9" t="s">
        <v>4660</v>
      </c>
      <c r="J38" s="9" t="s">
        <v>4661</v>
      </c>
      <c r="K38" s="9" t="s">
        <v>4582</v>
      </c>
      <c r="L38" s="9" t="s">
        <v>4662</v>
      </c>
      <c r="M38" s="9" t="s">
        <v>4584</v>
      </c>
      <c r="N38" s="9" t="s">
        <v>4585</v>
      </c>
      <c r="O38" s="9" t="s">
        <v>4556</v>
      </c>
      <c r="P38" s="9" t="s">
        <v>4586</v>
      </c>
      <c r="Q38" s="9" t="s">
        <v>4587</v>
      </c>
      <c r="R38" s="9" t="s">
        <v>4588</v>
      </c>
      <c r="S38" s="9" t="s">
        <v>4505</v>
      </c>
      <c r="T38" s="22" t="str">
        <f aca="false">'Author Response Entry'!$D$38</f>
        <v>OPTION 2</v>
      </c>
      <c r="U38" s="23" t="str">
        <f aca="false">'Author Response Entry'!$E$38</f>
        <v>summary → God is blessed; all blessedness is in Him. | caution → Shared. Both traditions affirm this of God in the same sense. | Restoration comparator → Alma 26:8 “Blessed be the name of our God”</v>
      </c>
      <c r="V38" s="23" t="str">
        <f aca="false">'Author Response Entry'!$F$38</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38" s="23" t="str">
        <f aca="false">'Author Response Entry'!$G$38</f>
        <v>AJP</v>
      </c>
      <c r="X38" s="24" t="n">
        <f aca="false">'Author Response Entry'!$H$38</f>
        <v>46274</v>
      </c>
      <c r="Y38" s="23" t="str">
        <f aca="false">IF(T38="","",IF(T38="CUSTOM RESPONSE",U38,IF(T38="HOLD — NEEDS RESEARCH",IF(U38&lt;&gt;"",U38,"HOLD — NEEDS RESEARCH"),IF(T38="DEFER — NOT YET",IF(U38&lt;&gt;"",U38,"DEFER — NOT YET"),IF(T38="OPTION 1",O38,IF(T38="OPTION 2",U38,IF(T38="OPTION 3",Q38,IF(T38="OPTION 4",R38,""))))))))</f>
        <v>summary → God is blessed; all blessedness is in Him. | caution → Shared. Both traditions affirm this of God in the same sense. | Restoration comparator → Alma 26:8 “Blessed be the name of our God”</v>
      </c>
      <c r="Z38" s="23" t="str">
        <f aca="false">IF(T38="","OPEN",IF(T38="CUSTOM RESPONSE",IF(U38="","OPEN — CUSTOM TEXT REQUIRED",IF(W38="","RESOLVED — ADD INITIALS/DATE",IF(X38="","RESOLVED — ADD INITIALS/DATE","RESOLVED"))),IF(T38="HOLD — NEEDS RESEARCH",IF(W38="","HOLD — ADD INITIALS/DATE",IF(X38="","HOLD — ADD INITIALS/DATE","HOLD")),IF(T38="DEFER — NOT YET",IF(W38="","DEFERRED — ADD INITIALS/DATE",IF(X38="","DEFERRED — ADD INITIALS/DATE","DEFERRED")),IF(T38="OPTION 1",IF(W38="","RESOLVED — ADD INITIALS/DATE",IF(X38="","RESOLVED — ADD INITIALS/DATE","RESOLVED")),IF(T38="OPTION 2",IF(U38="","OPEN — CUSTOM TEXT REQUIRED",IF(W38="","RESOLVED — ADD INITIALS/DATE",IF(X38="","RESOLVED — ADD INITIALS/DATE","RESOLVED"))),IF(T38="OPTION 3",IF(W38="","HOLD — ADD INITIALS/DATE",IF(X38="","HOLD — ADD INITIALS/DATE","HOLD")),IF(T38="OPTION 4",IF(W38="","HOLD — ADD INITIALS/DATE",IF(X38="","HOLD — ADD INITIALS/DATE","HOLD")),IF(W38="","RESOLVED — ADD INITIALS/DATE",IF(X38="","RESOLVED — ADD INITIALS/DATE","RESOLVED"))))))))))</f>
        <v>RESOLVED</v>
      </c>
      <c r="AA38" s="23" t="s">
        <v>380</v>
      </c>
      <c r="AB38" s="23" t="s">
        <v>4589</v>
      </c>
      <c r="AC38" s="23" t="s">
        <v>4590</v>
      </c>
      <c r="AD38" s="23"/>
      <c r="AE38" s="23" t="s">
        <v>957</v>
      </c>
      <c r="AF38" s="23" t="str">
        <f aca="false">IF(F38&lt;&gt;"READY","NO",IF(Z38="OPEN","YES",IF(Z38="OPEN — CUSTOM TEXT REQUIRED","YES",IF(Z38="RESOLVED — ADD INITIALS/DATE","YES",IF(Z38="HOLD — ADD INITIALS/DATE","YES",IF(Z38="DEFERRED — ADD INITIALS/DATE","YES","NO"))))))</f>
        <v>NO</v>
      </c>
      <c r="AG38" s="23" t="str">
        <f aca="false">IF(AF38&lt;&gt;"YES","",IF(A38=IFERROR(MATCH("YES",$AF$2:$AF$105,0),0),"CURRENT",""))</f>
        <v/>
      </c>
      <c r="AH38" s="25" t="str">
        <f aca="false">IF(COUNTIF($B$2:$B$105,B38)&gt;1,"DUPLICATE","")</f>
        <v/>
      </c>
    </row>
    <row r="39" customFormat="false" ht="15.75" hidden="false" customHeight="true" outlineLevel="0" collapsed="false">
      <c r="A39" s="9" t="n">
        <v>38</v>
      </c>
      <c r="B39" s="9" t="s">
        <v>4663</v>
      </c>
      <c r="C39" s="9" t="s">
        <v>4578</v>
      </c>
      <c r="D39" s="9" t="s">
        <v>4579</v>
      </c>
      <c r="E39" s="9" t="s">
        <v>113</v>
      </c>
      <c r="F39" s="9" t="s">
        <v>874</v>
      </c>
      <c r="G39" s="9" t="s">
        <v>2899</v>
      </c>
      <c r="H39" s="9" t="s">
        <v>537</v>
      </c>
      <c r="I39" s="9" t="s">
        <v>4664</v>
      </c>
      <c r="J39" s="9" t="s">
        <v>4665</v>
      </c>
      <c r="K39" s="9" t="s">
        <v>4582</v>
      </c>
      <c r="L39" s="9" t="s">
        <v>4666</v>
      </c>
      <c r="M39" s="9" t="s">
        <v>4584</v>
      </c>
      <c r="N39" s="9" t="s">
        <v>4585</v>
      </c>
      <c r="O39" s="9" t="s">
        <v>4556</v>
      </c>
      <c r="P39" s="9" t="s">
        <v>4586</v>
      </c>
      <c r="Q39" s="9" t="s">
        <v>4587</v>
      </c>
      <c r="R39" s="9" t="s">
        <v>4588</v>
      </c>
      <c r="S39" s="9" t="s">
        <v>4505</v>
      </c>
      <c r="T39" s="22" t="str">
        <f aca="false">'Author Response Entry'!$D$39</f>
        <v>OPTION 2</v>
      </c>
      <c r="U39" s="23" t="str">
        <f aca="false">'Author Response Entry'!$E$39</f>
        <v>summary → God is glorious. | Restoration comparator → D&amp;C 76:19–20 “we beheld the glory of the Son”</v>
      </c>
      <c r="V39" s="23" t="str">
        <f aca="false">'Author Response Entry'!$F$39</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39" s="23" t="str">
        <f aca="false">'Author Response Entry'!$G$39</f>
        <v>AJP</v>
      </c>
      <c r="X39" s="24" t="n">
        <f aca="false">'Author Response Entry'!$H$39</f>
        <v>46274</v>
      </c>
      <c r="Y39" s="23" t="str">
        <f aca="false">IF(T39="","",IF(T39="CUSTOM RESPONSE",U39,IF(T39="HOLD — NEEDS RESEARCH",IF(U39&lt;&gt;"",U39,"HOLD — NEEDS RESEARCH"),IF(T39="DEFER — NOT YET",IF(U39&lt;&gt;"",U39,"DEFER — NOT YET"),IF(T39="OPTION 1",O39,IF(T39="OPTION 2",U39,IF(T39="OPTION 3",Q39,IF(T39="OPTION 4",R39,""))))))))</f>
        <v>summary → God is glorious. | Restoration comparator → D&amp;C 76:19–20 “we beheld the glory of the Son”</v>
      </c>
      <c r="Z39" s="23" t="str">
        <f aca="false">IF(T39="","OPEN",IF(T39="CUSTOM RESPONSE",IF(U39="","OPEN — CUSTOM TEXT REQUIRED",IF(W39="","RESOLVED — ADD INITIALS/DATE",IF(X39="","RESOLVED — ADD INITIALS/DATE","RESOLVED"))),IF(T39="HOLD — NEEDS RESEARCH",IF(W39="","HOLD — ADD INITIALS/DATE",IF(X39="","HOLD — ADD INITIALS/DATE","HOLD")),IF(T39="DEFER — NOT YET",IF(W39="","DEFERRED — ADD INITIALS/DATE",IF(X39="","DEFERRED — ADD INITIALS/DATE","DEFERRED")),IF(T39="OPTION 1",IF(W39="","RESOLVED — ADD INITIALS/DATE",IF(X39="","RESOLVED — ADD INITIALS/DATE","RESOLVED")),IF(T39="OPTION 2",IF(U39="","OPEN — CUSTOM TEXT REQUIRED",IF(W39="","RESOLVED — ADD INITIALS/DATE",IF(X39="","RESOLVED — ADD INITIALS/DATE","RESOLVED"))),IF(T39="OPTION 3",IF(W39="","HOLD — ADD INITIALS/DATE",IF(X39="","HOLD — ADD INITIALS/DATE","HOLD")),IF(T39="OPTION 4",IF(W39="","HOLD — ADD INITIALS/DATE",IF(X39="","HOLD — ADD INITIALS/DATE","HOLD")),IF(W39="","RESOLVED — ADD INITIALS/DATE",IF(X39="","RESOLVED — ADD INITIALS/DATE","RESOLVED"))))))))))</f>
        <v>RESOLVED</v>
      </c>
      <c r="AA39" s="23" t="s">
        <v>380</v>
      </c>
      <c r="AB39" s="23" t="s">
        <v>4589</v>
      </c>
      <c r="AC39" s="23" t="s">
        <v>4590</v>
      </c>
      <c r="AD39" s="23"/>
      <c r="AE39" s="23" t="s">
        <v>540</v>
      </c>
      <c r="AF39" s="23" t="str">
        <f aca="false">IF(F39&lt;&gt;"READY","NO",IF(Z39="OPEN","YES",IF(Z39="OPEN — CUSTOM TEXT REQUIRED","YES",IF(Z39="RESOLVED — ADD INITIALS/DATE","YES",IF(Z39="HOLD — ADD INITIALS/DATE","YES",IF(Z39="DEFERRED — ADD INITIALS/DATE","YES","NO"))))))</f>
        <v>NO</v>
      </c>
      <c r="AG39" s="23" t="str">
        <f aca="false">IF(AF39&lt;&gt;"YES","",IF(A39=IFERROR(MATCH("YES",$AF$2:$AF$105,0),0),"CURRENT",""))</f>
        <v/>
      </c>
      <c r="AH39" s="25" t="str">
        <f aca="false">IF(COUNTIF($B$2:$B$105,B39)&gt;1,"DUPLICATE","")</f>
        <v/>
      </c>
    </row>
    <row r="40" customFormat="false" ht="15.75" hidden="false" customHeight="true" outlineLevel="0" collapsed="false">
      <c r="A40" s="9" t="n">
        <v>39</v>
      </c>
      <c r="B40" s="9" t="s">
        <v>4667</v>
      </c>
      <c r="C40" s="9" t="s">
        <v>4578</v>
      </c>
      <c r="D40" s="9" t="s">
        <v>4579</v>
      </c>
      <c r="E40" s="9" t="s">
        <v>113</v>
      </c>
      <c r="F40" s="9" t="s">
        <v>874</v>
      </c>
      <c r="G40" s="9" t="s">
        <v>2899</v>
      </c>
      <c r="H40" s="9" t="s">
        <v>541</v>
      </c>
      <c r="I40" s="9" t="s">
        <v>4668</v>
      </c>
      <c r="J40" s="9" t="s">
        <v>4669</v>
      </c>
      <c r="K40" s="9" t="s">
        <v>4582</v>
      </c>
      <c r="L40" s="9" t="s">
        <v>4670</v>
      </c>
      <c r="M40" s="9" t="s">
        <v>4584</v>
      </c>
      <c r="N40" s="9" t="s">
        <v>4585</v>
      </c>
      <c r="O40" s="9" t="s">
        <v>4556</v>
      </c>
      <c r="P40" s="9" t="s">
        <v>4586</v>
      </c>
      <c r="Q40" s="9" t="s">
        <v>4587</v>
      </c>
      <c r="R40" s="9" t="s">
        <v>4588</v>
      </c>
      <c r="S40" s="9" t="s">
        <v>4505</v>
      </c>
      <c r="T40" s="22" t="str">
        <f aca="false">'Author Response Entry'!$D$40</f>
        <v>OPTION 2</v>
      </c>
      <c r="U40" s="23" t="str">
        <f aca="false">'Author Response Entry'!$E$40</f>
        <v>summary → God gives life.</v>
      </c>
      <c r="V40" s="23" t="str">
        <f aca="false">'Author Response Entry'!$F$40</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40" s="23" t="str">
        <f aca="false">'Author Response Entry'!$G$40</f>
        <v>AJP</v>
      </c>
      <c r="X40" s="24" t="n">
        <f aca="false">'Author Response Entry'!$H$40</f>
        <v>46274</v>
      </c>
      <c r="Y40" s="23" t="str">
        <f aca="false">IF(T40="","",IF(T40="CUSTOM RESPONSE",U40,IF(T40="HOLD — NEEDS RESEARCH",IF(U40&lt;&gt;"",U40,"HOLD — NEEDS RESEARCH"),IF(T40="DEFER — NOT YET",IF(U40&lt;&gt;"",U40,"DEFER — NOT YET"),IF(T40="OPTION 1",O40,IF(T40="OPTION 2",U40,IF(T40="OPTION 3",Q40,IF(T40="OPTION 4",R40,""))))))))</f>
        <v>summary → God gives life.</v>
      </c>
      <c r="Z40" s="23" t="str">
        <f aca="false">IF(T40="","OPEN",IF(T40="CUSTOM RESPONSE",IF(U40="","OPEN — CUSTOM TEXT REQUIRED",IF(W40="","RESOLVED — ADD INITIALS/DATE",IF(X40="","RESOLVED — ADD INITIALS/DATE","RESOLVED"))),IF(T40="HOLD — NEEDS RESEARCH",IF(W40="","HOLD — ADD INITIALS/DATE",IF(X40="","HOLD — ADD INITIALS/DATE","HOLD")),IF(T40="DEFER — NOT YET",IF(W40="","DEFERRED — ADD INITIALS/DATE",IF(X40="","DEFERRED — ADD INITIALS/DATE","DEFERRED")),IF(T40="OPTION 1",IF(W40="","RESOLVED — ADD INITIALS/DATE",IF(X40="","RESOLVED — ADD INITIALS/DATE","RESOLVED")),IF(T40="OPTION 2",IF(U40="","OPEN — CUSTOM TEXT REQUIRED",IF(W40="","RESOLVED — ADD INITIALS/DATE",IF(X40="","RESOLVED — ADD INITIALS/DATE","RESOLVED"))),IF(T40="OPTION 3",IF(W40="","HOLD — ADD INITIALS/DATE",IF(X40="","HOLD — ADD INITIALS/DATE","HOLD")),IF(T40="OPTION 4",IF(W40="","HOLD — ADD INITIALS/DATE",IF(X40="","HOLD — ADD INITIALS/DATE","HOLD")),IF(W40="","RESOLVED — ADD INITIALS/DATE",IF(X40="","RESOLVED — ADD INITIALS/DATE","RESOLVED"))))))))))</f>
        <v>RESOLVED</v>
      </c>
      <c r="AA40" s="23" t="s">
        <v>380</v>
      </c>
      <c r="AB40" s="23" t="s">
        <v>4589</v>
      </c>
      <c r="AC40" s="23" t="s">
        <v>4671</v>
      </c>
      <c r="AD40" s="23"/>
      <c r="AE40" s="23" t="s">
        <v>545</v>
      </c>
      <c r="AF40" s="23" t="str">
        <f aca="false">IF(F40&lt;&gt;"READY","NO",IF(Z40="OPEN","YES",IF(Z40="OPEN — CUSTOM TEXT REQUIRED","YES",IF(Z40="RESOLVED — ADD INITIALS/DATE","YES",IF(Z40="HOLD — ADD INITIALS/DATE","YES",IF(Z40="DEFERRED — ADD INITIALS/DATE","YES","NO"))))))</f>
        <v>NO</v>
      </c>
      <c r="AG40" s="23" t="str">
        <f aca="false">IF(AF40&lt;&gt;"YES","",IF(A40=IFERROR(MATCH("YES",$AF$2:$AF$105,0),0),"CURRENT",""))</f>
        <v/>
      </c>
      <c r="AH40" s="25" t="str">
        <f aca="false">IF(COUNTIF($B$2:$B$105,B40)&gt;1,"DUPLICATE","")</f>
        <v/>
      </c>
    </row>
    <row r="41" customFormat="false" ht="15.75" hidden="false" customHeight="true" outlineLevel="0" collapsed="false">
      <c r="A41" s="9" t="n">
        <v>40</v>
      </c>
      <c r="B41" s="9" t="s">
        <v>4672</v>
      </c>
      <c r="C41" s="9" t="s">
        <v>4578</v>
      </c>
      <c r="D41" s="9" t="s">
        <v>4579</v>
      </c>
      <c r="E41" s="9" t="s">
        <v>1857</v>
      </c>
      <c r="F41" s="9" t="s">
        <v>874</v>
      </c>
      <c r="G41" s="9" t="s">
        <v>2899</v>
      </c>
      <c r="H41" s="9" t="s">
        <v>546</v>
      </c>
      <c r="I41" s="9" t="s">
        <v>4673</v>
      </c>
      <c r="J41" s="9" t="s">
        <v>4674</v>
      </c>
      <c r="K41" s="9" t="s">
        <v>4582</v>
      </c>
      <c r="L41" s="9" t="s">
        <v>4675</v>
      </c>
      <c r="M41" s="9" t="s">
        <v>4584</v>
      </c>
      <c r="N41" s="9" t="s">
        <v>4585</v>
      </c>
      <c r="O41" s="9" t="s">
        <v>4556</v>
      </c>
      <c r="P41" s="9" t="s">
        <v>4586</v>
      </c>
      <c r="Q41" s="9" t="s">
        <v>4587</v>
      </c>
      <c r="R41" s="9" t="s">
        <v>4588</v>
      </c>
      <c r="S41" s="9" t="s">
        <v>4505</v>
      </c>
      <c r="T41" s="22" t="str">
        <f aca="false">'Author Response Entry'!$D$41</f>
        <v>OPTION 1</v>
      </c>
      <c r="U41" s="23" t="n">
        <f aca="false">'Author Response Entry'!$E$41</f>
        <v>0</v>
      </c>
      <c r="V41" s="23" t="str">
        <f aca="false">'Author Response Entry'!$F$41</f>
        <v>Approved as written (batch sign-off 2026-09-09).</v>
      </c>
      <c r="W41" s="23" t="str">
        <f aca="false">'Author Response Entry'!$G$41</f>
        <v>AJP</v>
      </c>
      <c r="X41" s="24" t="n">
        <f aca="false">'Author Response Entry'!$H$41</f>
        <v>46274</v>
      </c>
      <c r="Y41" s="23" t="str">
        <f aca="false">IF(T41="","",IF(T41="CUSTOM RESPONSE",U41,IF(T41="HOLD — NEEDS RESEARCH",IF(U41&lt;&gt;"",U41,"HOLD — NEEDS RESEARCH"),IF(T41="DEFER — NOT YET",IF(U41&lt;&gt;"",U41,"DEFER — NOT YET"),IF(T41="OPTION 1",O41,IF(T41="OPTION 2",U41,IF(T41="OPTION 3",Q41,IF(T41="OPTION 4",R41,""))))))))</f>
        <v>APPROVE AS WRITTEN</v>
      </c>
      <c r="Z41" s="23" t="str">
        <f aca="false">IF(T41="","OPEN",IF(T41="CUSTOM RESPONSE",IF(U41="","OPEN — CUSTOM TEXT REQUIRED",IF(W41="","RESOLVED — ADD INITIALS/DATE",IF(X41="","RESOLVED — ADD INITIALS/DATE","RESOLVED"))),IF(T41="HOLD — NEEDS RESEARCH",IF(W41="","HOLD — ADD INITIALS/DATE",IF(X41="","HOLD — ADD INITIALS/DATE","HOLD")),IF(T41="DEFER — NOT YET",IF(W41="","DEFERRED — ADD INITIALS/DATE",IF(X41="","DEFERRED — ADD INITIALS/DATE","DEFERRED")),IF(T41="OPTION 1",IF(W41="","RESOLVED — ADD INITIALS/DATE",IF(X41="","RESOLVED — ADD INITIALS/DATE","RESOLVED")),IF(T41="OPTION 2",IF(U41="","OPEN — CUSTOM TEXT REQUIRED",IF(W41="","RESOLVED — ADD INITIALS/DATE",IF(X41="","RESOLVED — ADD INITIALS/DATE","RESOLVED"))),IF(T41="OPTION 3",IF(W41="","HOLD — ADD INITIALS/DATE",IF(X41="","HOLD — ADD INITIALS/DATE","HOLD")),IF(T41="OPTION 4",IF(W41="","HOLD — ADD INITIALS/DATE",IF(X41="","HOLD — ADD INITIALS/DATE","HOLD")),IF(W41="","RESOLVED — ADD INITIALS/DATE",IF(X41="","RESOLVED — ADD INITIALS/DATE","RESOLVED"))))))))))</f>
        <v>RESOLVED</v>
      </c>
      <c r="AA41" s="23" t="s">
        <v>380</v>
      </c>
      <c r="AB41" s="23" t="s">
        <v>4589</v>
      </c>
      <c r="AC41" s="23" t="s">
        <v>4671</v>
      </c>
      <c r="AD41" s="23"/>
      <c r="AE41" s="23" t="s">
        <v>549</v>
      </c>
      <c r="AF41" s="23" t="str">
        <f aca="false">IF(F41&lt;&gt;"READY","NO",IF(Z41="OPEN","YES",IF(Z41="OPEN — CUSTOM TEXT REQUIRED","YES",IF(Z41="RESOLVED — ADD INITIALS/DATE","YES",IF(Z41="HOLD — ADD INITIALS/DATE","YES",IF(Z41="DEFERRED — ADD INITIALS/DATE","YES","NO"))))))</f>
        <v>NO</v>
      </c>
      <c r="AG41" s="23" t="str">
        <f aca="false">IF(AF41&lt;&gt;"YES","",IF(A41=IFERROR(MATCH("YES",$AF$2:$AF$105,0),0),"CURRENT",""))</f>
        <v/>
      </c>
      <c r="AH41" s="25" t="str">
        <f aca="false">IF(COUNTIF($B$2:$B$105,B41)&gt;1,"DUPLICATE","")</f>
        <v/>
      </c>
    </row>
    <row r="42" customFormat="false" ht="15.75" hidden="false" customHeight="true" outlineLevel="0" collapsed="false">
      <c r="A42" s="9" t="n">
        <v>41</v>
      </c>
      <c r="B42" s="9" t="s">
        <v>4676</v>
      </c>
      <c r="C42" s="9" t="s">
        <v>4578</v>
      </c>
      <c r="D42" s="9" t="s">
        <v>4579</v>
      </c>
      <c r="E42" s="9" t="s">
        <v>113</v>
      </c>
      <c r="F42" s="9" t="s">
        <v>874</v>
      </c>
      <c r="G42" s="9" t="s">
        <v>2899</v>
      </c>
      <c r="H42" s="9" t="s">
        <v>550</v>
      </c>
      <c r="I42" s="9" t="s">
        <v>4677</v>
      </c>
      <c r="J42" s="9" t="s">
        <v>4678</v>
      </c>
      <c r="K42" s="9" t="s">
        <v>4582</v>
      </c>
      <c r="L42" s="9" t="s">
        <v>4679</v>
      </c>
      <c r="M42" s="9" t="s">
        <v>4584</v>
      </c>
      <c r="N42" s="9" t="s">
        <v>4585</v>
      </c>
      <c r="O42" s="9" t="s">
        <v>4556</v>
      </c>
      <c r="P42" s="9" t="s">
        <v>4586</v>
      </c>
      <c r="Q42" s="9" t="s">
        <v>4587</v>
      </c>
      <c r="R42" s="9" t="s">
        <v>4588</v>
      </c>
      <c r="S42" s="9" t="s">
        <v>4505</v>
      </c>
      <c r="T42" s="22" t="str">
        <f aca="false">'Author Response Entry'!$D$42</f>
        <v>OPTION 2</v>
      </c>
      <c r="U42" s="23" t="str">
        <f aca="false">'Author Response Entry'!$E$42</f>
        <v>summary → God preserves and sustains all things.</v>
      </c>
      <c r="V42" s="23" t="str">
        <f aca="false">'Author Response Entry'!$F$42</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42" s="23" t="str">
        <f aca="false">'Author Response Entry'!$G$42</f>
        <v>AJP</v>
      </c>
      <c r="X42" s="24" t="n">
        <f aca="false">'Author Response Entry'!$H$42</f>
        <v>46274</v>
      </c>
      <c r="Y42" s="23" t="str">
        <f aca="false">IF(T42="","",IF(T42="CUSTOM RESPONSE",U42,IF(T42="HOLD — NEEDS RESEARCH",IF(U42&lt;&gt;"",U42,"HOLD — NEEDS RESEARCH"),IF(T42="DEFER — NOT YET",IF(U42&lt;&gt;"",U42,"DEFER — NOT YET"),IF(T42="OPTION 1",O42,IF(T42="OPTION 2",U42,IF(T42="OPTION 3",Q42,IF(T42="OPTION 4",R42,""))))))))</f>
        <v>summary → God preserves and sustains all things.</v>
      </c>
      <c r="Z42" s="23" t="str">
        <f aca="false">IF(T42="","OPEN",IF(T42="CUSTOM RESPONSE",IF(U42="","OPEN — CUSTOM TEXT REQUIRED",IF(W42="","RESOLVED — ADD INITIALS/DATE",IF(X42="","RESOLVED — ADD INITIALS/DATE","RESOLVED"))),IF(T42="HOLD — NEEDS RESEARCH",IF(W42="","HOLD — ADD INITIALS/DATE",IF(X42="","HOLD — ADD INITIALS/DATE","HOLD")),IF(T42="DEFER — NOT YET",IF(W42="","DEFERRED — ADD INITIALS/DATE",IF(X42="","DEFERRED — ADD INITIALS/DATE","DEFERRED")),IF(T42="OPTION 1",IF(W42="","RESOLVED — ADD INITIALS/DATE",IF(X42="","RESOLVED — ADD INITIALS/DATE","RESOLVED")),IF(T42="OPTION 2",IF(U42="","OPEN — CUSTOM TEXT REQUIRED",IF(W42="","RESOLVED — ADD INITIALS/DATE",IF(X42="","RESOLVED — ADD INITIALS/DATE","RESOLVED"))),IF(T42="OPTION 3",IF(W42="","HOLD — ADD INITIALS/DATE",IF(X42="","HOLD — ADD INITIALS/DATE","HOLD")),IF(T42="OPTION 4",IF(W42="","HOLD — ADD INITIALS/DATE",IF(X42="","HOLD — ADD INITIALS/DATE","HOLD")),IF(W42="","RESOLVED — ADD INITIALS/DATE",IF(X42="","RESOLVED — ADD INITIALS/DATE","RESOLVED"))))))))))</f>
        <v>RESOLVED</v>
      </c>
      <c r="AA42" s="23" t="s">
        <v>380</v>
      </c>
      <c r="AB42" s="23" t="s">
        <v>4589</v>
      </c>
      <c r="AC42" s="23" t="s">
        <v>4671</v>
      </c>
      <c r="AD42" s="23"/>
      <c r="AE42" s="23" t="s">
        <v>553</v>
      </c>
      <c r="AF42" s="23" t="str">
        <f aca="false">IF(F42&lt;&gt;"READY","NO",IF(Z42="OPEN","YES",IF(Z42="OPEN — CUSTOM TEXT REQUIRED","YES",IF(Z42="RESOLVED — ADD INITIALS/DATE","YES",IF(Z42="HOLD — ADD INITIALS/DATE","YES",IF(Z42="DEFERRED — ADD INITIALS/DATE","YES","NO"))))))</f>
        <v>NO</v>
      </c>
      <c r="AG42" s="23" t="str">
        <f aca="false">IF(AF42&lt;&gt;"YES","",IF(A42=IFERROR(MATCH("YES",$AF$2:$AF$105,0),0),"CURRENT",""))</f>
        <v/>
      </c>
      <c r="AH42" s="25" t="str">
        <f aca="false">IF(COUNTIF($B$2:$B$105,B42)&gt;1,"DUPLICATE","")</f>
        <v/>
      </c>
    </row>
    <row r="43" customFormat="false" ht="15.75" hidden="false" customHeight="true" outlineLevel="0" collapsed="false">
      <c r="A43" s="9" t="n">
        <v>42</v>
      </c>
      <c r="B43" s="9" t="s">
        <v>4680</v>
      </c>
      <c r="C43" s="9" t="s">
        <v>4578</v>
      </c>
      <c r="D43" s="9" t="s">
        <v>4579</v>
      </c>
      <c r="E43" s="9" t="s">
        <v>113</v>
      </c>
      <c r="F43" s="9" t="s">
        <v>874</v>
      </c>
      <c r="G43" s="9" t="s">
        <v>2899</v>
      </c>
      <c r="H43" s="9" t="s">
        <v>554</v>
      </c>
      <c r="I43" s="9" t="s">
        <v>4681</v>
      </c>
      <c r="J43" s="9" t="s">
        <v>4682</v>
      </c>
      <c r="K43" s="9" t="s">
        <v>4582</v>
      </c>
      <c r="L43" s="9" t="s">
        <v>4683</v>
      </c>
      <c r="M43" s="9" t="s">
        <v>4584</v>
      </c>
      <c r="N43" s="9" t="s">
        <v>4585</v>
      </c>
      <c r="O43" s="9" t="s">
        <v>4556</v>
      </c>
      <c r="P43" s="9" t="s">
        <v>4586</v>
      </c>
      <c r="Q43" s="9" t="s">
        <v>4587</v>
      </c>
      <c r="R43" s="9" t="s">
        <v>4588</v>
      </c>
      <c r="S43" s="9" t="s">
        <v>4505</v>
      </c>
      <c r="T43" s="22" t="str">
        <f aca="false">'Author Response Entry'!$D$43</f>
        <v>OPTION 2</v>
      </c>
      <c r="U43" s="23" t="str">
        <f aca="false">'Author Response Entry'!$E$43</f>
        <v>summary → God governs all things.</v>
      </c>
      <c r="V43" s="23" t="str">
        <f aca="false">'Author Response Entry'!$F$43</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43" s="23" t="str">
        <f aca="false">'Author Response Entry'!$G$43</f>
        <v>AJP</v>
      </c>
      <c r="X43" s="24" t="n">
        <f aca="false">'Author Response Entry'!$H$43</f>
        <v>46274</v>
      </c>
      <c r="Y43" s="23" t="str">
        <f aca="false">IF(T43="","",IF(T43="CUSTOM RESPONSE",U43,IF(T43="HOLD — NEEDS RESEARCH",IF(U43&lt;&gt;"",U43,"HOLD — NEEDS RESEARCH"),IF(T43="DEFER — NOT YET",IF(U43&lt;&gt;"",U43,"DEFER — NOT YET"),IF(T43="OPTION 1",O43,IF(T43="OPTION 2",U43,IF(T43="OPTION 3",Q43,IF(T43="OPTION 4",R43,""))))))))</f>
        <v>summary → God governs all things.</v>
      </c>
      <c r="Z43" s="23" t="str">
        <f aca="false">IF(T43="","OPEN",IF(T43="CUSTOM RESPONSE",IF(U43="","OPEN — CUSTOM TEXT REQUIRED",IF(W43="","RESOLVED — ADD INITIALS/DATE",IF(X43="","RESOLVED — ADD INITIALS/DATE","RESOLVED"))),IF(T43="HOLD — NEEDS RESEARCH",IF(W43="","HOLD — ADD INITIALS/DATE",IF(X43="","HOLD — ADD INITIALS/DATE","HOLD")),IF(T43="DEFER — NOT YET",IF(W43="","DEFERRED — ADD INITIALS/DATE",IF(X43="","DEFERRED — ADD INITIALS/DATE","DEFERRED")),IF(T43="OPTION 1",IF(W43="","RESOLVED — ADD INITIALS/DATE",IF(X43="","RESOLVED — ADD INITIALS/DATE","RESOLVED")),IF(T43="OPTION 2",IF(U43="","OPEN — CUSTOM TEXT REQUIRED",IF(W43="","RESOLVED — ADD INITIALS/DATE",IF(X43="","RESOLVED — ADD INITIALS/DATE","RESOLVED"))),IF(T43="OPTION 3",IF(W43="","HOLD — ADD INITIALS/DATE",IF(X43="","HOLD — ADD INITIALS/DATE","HOLD")),IF(T43="OPTION 4",IF(W43="","HOLD — ADD INITIALS/DATE",IF(X43="","HOLD — ADD INITIALS/DATE","HOLD")),IF(W43="","RESOLVED — ADD INITIALS/DATE",IF(X43="","RESOLVED — ADD INITIALS/DATE","RESOLVED"))))))))))</f>
        <v>RESOLVED</v>
      </c>
      <c r="AA43" s="23" t="s">
        <v>380</v>
      </c>
      <c r="AB43" s="23" t="s">
        <v>4589</v>
      </c>
      <c r="AC43" s="23" t="s">
        <v>4671</v>
      </c>
      <c r="AD43" s="23"/>
      <c r="AE43" s="23" t="s">
        <v>557</v>
      </c>
      <c r="AF43" s="23" t="str">
        <f aca="false">IF(F43&lt;&gt;"READY","NO",IF(Z43="OPEN","YES",IF(Z43="OPEN — CUSTOM TEXT REQUIRED","YES",IF(Z43="RESOLVED — ADD INITIALS/DATE","YES",IF(Z43="HOLD — ADD INITIALS/DATE","YES",IF(Z43="DEFERRED — ADD INITIALS/DATE","YES","NO"))))))</f>
        <v>NO</v>
      </c>
      <c r="AG43" s="23" t="str">
        <f aca="false">IF(AF43&lt;&gt;"YES","",IF(A43=IFERROR(MATCH("YES",$AF$2:$AF$105,0),0),"CURRENT",""))</f>
        <v/>
      </c>
      <c r="AH43" s="25" t="str">
        <f aca="false">IF(COUNTIF($B$2:$B$105,B43)&gt;1,"DUPLICATE","")</f>
        <v/>
      </c>
    </row>
    <row r="44" customFormat="false" ht="15.75" hidden="false" customHeight="true" outlineLevel="0" collapsed="false">
      <c r="A44" s="9" t="n">
        <v>43</v>
      </c>
      <c r="B44" s="9" t="s">
        <v>4684</v>
      </c>
      <c r="C44" s="9" t="s">
        <v>4578</v>
      </c>
      <c r="D44" s="9" t="s">
        <v>4579</v>
      </c>
      <c r="E44" s="9" t="s">
        <v>113</v>
      </c>
      <c r="F44" s="9" t="s">
        <v>874</v>
      </c>
      <c r="G44" s="9" t="s">
        <v>2899</v>
      </c>
      <c r="H44" s="9" t="s">
        <v>558</v>
      </c>
      <c r="I44" s="9" t="s">
        <v>4685</v>
      </c>
      <c r="J44" s="9" t="s">
        <v>4686</v>
      </c>
      <c r="K44" s="9" t="s">
        <v>4582</v>
      </c>
      <c r="L44" s="9" t="s">
        <v>4687</v>
      </c>
      <c r="M44" s="9" t="s">
        <v>4584</v>
      </c>
      <c r="N44" s="9" t="s">
        <v>4585</v>
      </c>
      <c r="O44" s="9" t="s">
        <v>4556</v>
      </c>
      <c r="P44" s="9" t="s">
        <v>4586</v>
      </c>
      <c r="Q44" s="9" t="s">
        <v>4587</v>
      </c>
      <c r="R44" s="9" t="s">
        <v>4588</v>
      </c>
      <c r="S44" s="9" t="s">
        <v>4505</v>
      </c>
      <c r="T44" s="22" t="str">
        <f aca="false">'Author Response Entry'!$D$44</f>
        <v>OPTION 2</v>
      </c>
      <c r="U44" s="23" t="str">
        <f aca="false">'Author Response Entry'!$E$44</f>
        <v>summary → God is sovereign over all.</v>
      </c>
      <c r="V44" s="23" t="str">
        <f aca="false">'Author Response Entry'!$F$44</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44" s="23" t="str">
        <f aca="false">'Author Response Entry'!$G$44</f>
        <v>AJP</v>
      </c>
      <c r="X44" s="24" t="n">
        <f aca="false">'Author Response Entry'!$H$44</f>
        <v>46274</v>
      </c>
      <c r="Y44" s="23" t="str">
        <f aca="false">IF(T44="","",IF(T44="CUSTOM RESPONSE",U44,IF(T44="HOLD — NEEDS RESEARCH",IF(U44&lt;&gt;"",U44,"HOLD — NEEDS RESEARCH"),IF(T44="DEFER — NOT YET",IF(U44&lt;&gt;"",U44,"DEFER — NOT YET"),IF(T44="OPTION 1",O44,IF(T44="OPTION 2",U44,IF(T44="OPTION 3",Q44,IF(T44="OPTION 4",R44,""))))))))</f>
        <v>summary → God is sovereign over all.</v>
      </c>
      <c r="Z44" s="23" t="str">
        <f aca="false">IF(T44="","OPEN",IF(T44="CUSTOM RESPONSE",IF(U44="","OPEN — CUSTOM TEXT REQUIRED",IF(W44="","RESOLVED — ADD INITIALS/DATE",IF(X44="","RESOLVED — ADD INITIALS/DATE","RESOLVED"))),IF(T44="HOLD — NEEDS RESEARCH",IF(W44="","HOLD — ADD INITIALS/DATE",IF(X44="","HOLD — ADD INITIALS/DATE","HOLD")),IF(T44="DEFER — NOT YET",IF(W44="","DEFERRED — ADD INITIALS/DATE",IF(X44="","DEFERRED — ADD INITIALS/DATE","DEFERRED")),IF(T44="OPTION 1",IF(W44="","RESOLVED — ADD INITIALS/DATE",IF(X44="","RESOLVED — ADD INITIALS/DATE","RESOLVED")),IF(T44="OPTION 2",IF(U44="","OPEN — CUSTOM TEXT REQUIRED",IF(W44="","RESOLVED — ADD INITIALS/DATE",IF(X44="","RESOLVED — ADD INITIALS/DATE","RESOLVED"))),IF(T44="OPTION 3",IF(W44="","HOLD — ADD INITIALS/DATE",IF(X44="","HOLD — ADD INITIALS/DATE","HOLD")),IF(T44="OPTION 4",IF(W44="","HOLD — ADD INITIALS/DATE",IF(X44="","HOLD — ADD INITIALS/DATE","HOLD")),IF(W44="","RESOLVED — ADD INITIALS/DATE",IF(X44="","RESOLVED — ADD INITIALS/DATE","RESOLVED"))))))))))</f>
        <v>RESOLVED</v>
      </c>
      <c r="AA44" s="23" t="s">
        <v>380</v>
      </c>
      <c r="AB44" s="23" t="s">
        <v>4589</v>
      </c>
      <c r="AC44" s="23" t="s">
        <v>4671</v>
      </c>
      <c r="AD44" s="23"/>
      <c r="AE44" s="23" t="s">
        <v>561</v>
      </c>
      <c r="AF44" s="23" t="str">
        <f aca="false">IF(F44&lt;&gt;"READY","NO",IF(Z44="OPEN","YES",IF(Z44="OPEN — CUSTOM TEXT REQUIRED","YES",IF(Z44="RESOLVED — ADD INITIALS/DATE","YES",IF(Z44="HOLD — ADD INITIALS/DATE","YES",IF(Z44="DEFERRED — ADD INITIALS/DATE","YES","NO"))))))</f>
        <v>NO</v>
      </c>
      <c r="AG44" s="23" t="str">
        <f aca="false">IF(AF44&lt;&gt;"YES","",IF(A44=IFERROR(MATCH("YES",$AF$2:$AF$105,0),0),"CURRENT",""))</f>
        <v/>
      </c>
      <c r="AH44" s="25" t="str">
        <f aca="false">IF(COUNTIF($B$2:$B$105,B44)&gt;1,"DUPLICATE","")</f>
        <v/>
      </c>
    </row>
    <row r="45" customFormat="false" ht="15.75" hidden="false" customHeight="true" outlineLevel="0" collapsed="false">
      <c r="A45" s="9" t="n">
        <v>44</v>
      </c>
      <c r="B45" s="9" t="s">
        <v>4688</v>
      </c>
      <c r="C45" s="9" t="s">
        <v>4578</v>
      </c>
      <c r="D45" s="9" t="s">
        <v>4579</v>
      </c>
      <c r="E45" s="9" t="s">
        <v>113</v>
      </c>
      <c r="F45" s="9" t="s">
        <v>874</v>
      </c>
      <c r="G45" s="9" t="s">
        <v>2899</v>
      </c>
      <c r="H45" s="9" t="s">
        <v>562</v>
      </c>
      <c r="I45" s="9" t="s">
        <v>4689</v>
      </c>
      <c r="J45" s="9" t="s">
        <v>4690</v>
      </c>
      <c r="K45" s="9" t="s">
        <v>4582</v>
      </c>
      <c r="L45" s="9" t="s">
        <v>4691</v>
      </c>
      <c r="M45" s="9" t="s">
        <v>4584</v>
      </c>
      <c r="N45" s="9" t="s">
        <v>4585</v>
      </c>
      <c r="O45" s="9" t="s">
        <v>4556</v>
      </c>
      <c r="P45" s="9" t="s">
        <v>4586</v>
      </c>
      <c r="Q45" s="9" t="s">
        <v>4587</v>
      </c>
      <c r="R45" s="9" t="s">
        <v>4588</v>
      </c>
      <c r="S45" s="9" t="s">
        <v>4505</v>
      </c>
      <c r="T45" s="22" t="str">
        <f aca="false">'Author Response Entry'!$D$45</f>
        <v>OPTION 2</v>
      </c>
      <c r="U45" s="23" t="str">
        <f aca="false">'Author Response Entry'!$E$45</f>
        <v>summary → God judges all people.</v>
      </c>
      <c r="V45" s="23" t="str">
        <f aca="false">'Author Response Entry'!$F$45</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45" s="23" t="str">
        <f aca="false">'Author Response Entry'!$G$45</f>
        <v>AJP</v>
      </c>
      <c r="X45" s="24" t="n">
        <f aca="false">'Author Response Entry'!$H$45</f>
        <v>46274</v>
      </c>
      <c r="Y45" s="23" t="str">
        <f aca="false">IF(T45="","",IF(T45="CUSTOM RESPONSE",U45,IF(T45="HOLD — NEEDS RESEARCH",IF(U45&lt;&gt;"",U45,"HOLD — NEEDS RESEARCH"),IF(T45="DEFER — NOT YET",IF(U45&lt;&gt;"",U45,"DEFER — NOT YET"),IF(T45="OPTION 1",O45,IF(T45="OPTION 2",U45,IF(T45="OPTION 3",Q45,IF(T45="OPTION 4",R45,""))))))))</f>
        <v>summary → God judges all people.</v>
      </c>
      <c r="Z45" s="23" t="str">
        <f aca="false">IF(T45="","OPEN",IF(T45="CUSTOM RESPONSE",IF(U45="","OPEN — CUSTOM TEXT REQUIRED",IF(W45="","RESOLVED — ADD INITIALS/DATE",IF(X45="","RESOLVED — ADD INITIALS/DATE","RESOLVED"))),IF(T45="HOLD — NEEDS RESEARCH",IF(W45="","HOLD — ADD INITIALS/DATE",IF(X45="","HOLD — ADD INITIALS/DATE","HOLD")),IF(T45="DEFER — NOT YET",IF(W45="","DEFERRED — ADD INITIALS/DATE",IF(X45="","DEFERRED — ADD INITIALS/DATE","DEFERRED")),IF(T45="OPTION 1",IF(W45="","RESOLVED — ADD INITIALS/DATE",IF(X45="","RESOLVED — ADD INITIALS/DATE","RESOLVED")),IF(T45="OPTION 2",IF(U45="","OPEN — CUSTOM TEXT REQUIRED",IF(W45="","RESOLVED — ADD INITIALS/DATE",IF(X45="","RESOLVED — ADD INITIALS/DATE","RESOLVED"))),IF(T45="OPTION 3",IF(W45="","HOLD — ADD INITIALS/DATE",IF(X45="","HOLD — ADD INITIALS/DATE","HOLD")),IF(T45="OPTION 4",IF(W45="","HOLD — ADD INITIALS/DATE",IF(X45="","HOLD — ADD INITIALS/DATE","HOLD")),IF(W45="","RESOLVED — ADD INITIALS/DATE",IF(X45="","RESOLVED — ADD INITIALS/DATE","RESOLVED"))))))))))</f>
        <v>RESOLVED</v>
      </c>
      <c r="AA45" s="23" t="s">
        <v>380</v>
      </c>
      <c r="AB45" s="23" t="s">
        <v>4589</v>
      </c>
      <c r="AC45" s="23" t="s">
        <v>4671</v>
      </c>
      <c r="AD45" s="23"/>
      <c r="AE45" s="23" t="s">
        <v>565</v>
      </c>
      <c r="AF45" s="23" t="str">
        <f aca="false">IF(F45&lt;&gt;"READY","NO",IF(Z45="OPEN","YES",IF(Z45="OPEN — CUSTOM TEXT REQUIRED","YES",IF(Z45="RESOLVED — ADD INITIALS/DATE","YES",IF(Z45="HOLD — ADD INITIALS/DATE","YES",IF(Z45="DEFERRED — ADD INITIALS/DATE","YES","NO"))))))</f>
        <v>NO</v>
      </c>
      <c r="AG45" s="23" t="str">
        <f aca="false">IF(AF45&lt;&gt;"YES","",IF(A45=IFERROR(MATCH("YES",$AF$2:$AF$105,0),0),"CURRENT",""))</f>
        <v/>
      </c>
      <c r="AH45" s="25" t="str">
        <f aca="false">IF(COUNTIF($B$2:$B$105,B45)&gt;1,"DUPLICATE","")</f>
        <v/>
      </c>
    </row>
    <row r="46" customFormat="false" ht="15.75" hidden="false" customHeight="true" outlineLevel="0" collapsed="false">
      <c r="A46" s="9" t="n">
        <v>45</v>
      </c>
      <c r="B46" s="9" t="s">
        <v>4692</v>
      </c>
      <c r="C46" s="9" t="s">
        <v>4578</v>
      </c>
      <c r="D46" s="9" t="s">
        <v>4579</v>
      </c>
      <c r="E46" s="9" t="s">
        <v>113</v>
      </c>
      <c r="F46" s="9" t="s">
        <v>874</v>
      </c>
      <c r="G46" s="9" t="s">
        <v>2899</v>
      </c>
      <c r="H46" s="9" t="s">
        <v>566</v>
      </c>
      <c r="I46" s="9" t="s">
        <v>4693</v>
      </c>
      <c r="J46" s="9" t="s">
        <v>4694</v>
      </c>
      <c r="K46" s="9" t="s">
        <v>4582</v>
      </c>
      <c r="L46" s="9" t="s">
        <v>4695</v>
      </c>
      <c r="M46" s="9" t="s">
        <v>4584</v>
      </c>
      <c r="N46" s="9" t="s">
        <v>4585</v>
      </c>
      <c r="O46" s="9" t="s">
        <v>4556</v>
      </c>
      <c r="P46" s="9" t="s">
        <v>4586</v>
      </c>
      <c r="Q46" s="9" t="s">
        <v>4587</v>
      </c>
      <c r="R46" s="9" t="s">
        <v>4588</v>
      </c>
      <c r="S46" s="9" t="s">
        <v>4505</v>
      </c>
      <c r="T46" s="22" t="str">
        <f aca="false">'Author Response Entry'!$D$46</f>
        <v>OPTION 2</v>
      </c>
      <c r="U46" s="23" t="str">
        <f aca="false">'Author Response Entry'!$E$46</f>
        <v>summary → God saves; Jesus Christ is the Savior.</v>
      </c>
      <c r="V46" s="23" t="str">
        <f aca="false">'Author Response Entry'!$F$46</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46" s="23" t="str">
        <f aca="false">'Author Response Entry'!$G$46</f>
        <v>AJP</v>
      </c>
      <c r="X46" s="24" t="n">
        <f aca="false">'Author Response Entry'!$H$46</f>
        <v>46274</v>
      </c>
      <c r="Y46" s="23" t="str">
        <f aca="false">IF(T46="","",IF(T46="CUSTOM RESPONSE",U46,IF(T46="HOLD — NEEDS RESEARCH",IF(U46&lt;&gt;"",U46,"HOLD — NEEDS RESEARCH"),IF(T46="DEFER — NOT YET",IF(U46&lt;&gt;"",U46,"DEFER — NOT YET"),IF(T46="OPTION 1",O46,IF(T46="OPTION 2",U46,IF(T46="OPTION 3",Q46,IF(T46="OPTION 4",R46,""))))))))</f>
        <v>summary → God saves; Jesus Christ is the Savior.</v>
      </c>
      <c r="Z46" s="23" t="str">
        <f aca="false">IF(T46="","OPEN",IF(T46="CUSTOM RESPONSE",IF(U46="","OPEN — CUSTOM TEXT REQUIRED",IF(W46="","RESOLVED — ADD INITIALS/DATE",IF(X46="","RESOLVED — ADD INITIALS/DATE","RESOLVED"))),IF(T46="HOLD — NEEDS RESEARCH",IF(W46="","HOLD — ADD INITIALS/DATE",IF(X46="","HOLD — ADD INITIALS/DATE","HOLD")),IF(T46="DEFER — NOT YET",IF(W46="","DEFERRED — ADD INITIALS/DATE",IF(X46="","DEFERRED — ADD INITIALS/DATE","DEFERRED")),IF(T46="OPTION 1",IF(W46="","RESOLVED — ADD INITIALS/DATE",IF(X46="","RESOLVED — ADD INITIALS/DATE","RESOLVED")),IF(T46="OPTION 2",IF(U46="","OPEN — CUSTOM TEXT REQUIRED",IF(W46="","RESOLVED — ADD INITIALS/DATE",IF(X46="","RESOLVED — ADD INITIALS/DATE","RESOLVED"))),IF(T46="OPTION 3",IF(W46="","HOLD — ADD INITIALS/DATE",IF(X46="","HOLD — ADD INITIALS/DATE","HOLD")),IF(T46="OPTION 4",IF(W46="","HOLD — ADD INITIALS/DATE",IF(X46="","HOLD — ADD INITIALS/DATE","HOLD")),IF(W46="","RESOLVED — ADD INITIALS/DATE",IF(X46="","RESOLVED — ADD INITIALS/DATE","RESOLVED"))))))))))</f>
        <v>RESOLVED</v>
      </c>
      <c r="AA46" s="23" t="s">
        <v>380</v>
      </c>
      <c r="AB46" s="23" t="s">
        <v>4589</v>
      </c>
      <c r="AC46" s="23" t="s">
        <v>4671</v>
      </c>
      <c r="AD46" s="23"/>
      <c r="AE46" s="23" t="s">
        <v>569</v>
      </c>
      <c r="AF46" s="23" t="str">
        <f aca="false">IF(F46&lt;&gt;"READY","NO",IF(Z46="OPEN","YES",IF(Z46="OPEN — CUSTOM TEXT REQUIRED","YES",IF(Z46="RESOLVED — ADD INITIALS/DATE","YES",IF(Z46="HOLD — ADD INITIALS/DATE","YES",IF(Z46="DEFERRED — ADD INITIALS/DATE","YES","NO"))))))</f>
        <v>NO</v>
      </c>
      <c r="AG46" s="23" t="str">
        <f aca="false">IF(AF46&lt;&gt;"YES","",IF(A46=IFERROR(MATCH("YES",$AF$2:$AF$105,0),0),"CURRENT",""))</f>
        <v/>
      </c>
      <c r="AH46" s="25" t="str">
        <f aca="false">IF(COUNTIF($B$2:$B$105,B46)&gt;1,"DUPLICATE","")</f>
        <v/>
      </c>
    </row>
    <row r="47" customFormat="false" ht="15.75" hidden="false" customHeight="true" outlineLevel="0" collapsed="false">
      <c r="A47" s="9" t="n">
        <v>46</v>
      </c>
      <c r="B47" s="9" t="s">
        <v>4696</v>
      </c>
      <c r="C47" s="9" t="s">
        <v>4578</v>
      </c>
      <c r="D47" s="9" t="s">
        <v>4579</v>
      </c>
      <c r="E47" s="9" t="s">
        <v>113</v>
      </c>
      <c r="F47" s="9" t="s">
        <v>874</v>
      </c>
      <c r="G47" s="9" t="s">
        <v>2899</v>
      </c>
      <c r="H47" s="9" t="s">
        <v>570</v>
      </c>
      <c r="I47" s="9" t="s">
        <v>4697</v>
      </c>
      <c r="J47" s="9" t="s">
        <v>4698</v>
      </c>
      <c r="K47" s="9" t="s">
        <v>4582</v>
      </c>
      <c r="L47" s="9" t="s">
        <v>4699</v>
      </c>
      <c r="M47" s="9" t="s">
        <v>4584</v>
      </c>
      <c r="N47" s="9" t="s">
        <v>4585</v>
      </c>
      <c r="O47" s="9" t="s">
        <v>4556</v>
      </c>
      <c r="P47" s="9" t="s">
        <v>4586</v>
      </c>
      <c r="Q47" s="9" t="s">
        <v>4587</v>
      </c>
      <c r="R47" s="9" t="s">
        <v>4588</v>
      </c>
      <c r="S47" s="9" t="s">
        <v>4505</v>
      </c>
      <c r="T47" s="22" t="str">
        <f aca="false">'Author Response Entry'!$D$47</f>
        <v>OPTION 2</v>
      </c>
      <c r="U47" s="23" t="str">
        <f aca="false">'Author Response Entry'!$E$47</f>
        <v>summary → God reveals Himself.</v>
      </c>
      <c r="V47" s="23" t="str">
        <f aca="false">'Author Response Entry'!$F$47</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47" s="23" t="str">
        <f aca="false">'Author Response Entry'!$G$47</f>
        <v>AJP</v>
      </c>
      <c r="X47" s="24" t="n">
        <f aca="false">'Author Response Entry'!$H$47</f>
        <v>46274</v>
      </c>
      <c r="Y47" s="23" t="str">
        <f aca="false">IF(T47="","",IF(T47="CUSTOM RESPONSE",U47,IF(T47="HOLD — NEEDS RESEARCH",IF(U47&lt;&gt;"",U47,"HOLD — NEEDS RESEARCH"),IF(T47="DEFER — NOT YET",IF(U47&lt;&gt;"",U47,"DEFER — NOT YET"),IF(T47="OPTION 1",O47,IF(T47="OPTION 2",U47,IF(T47="OPTION 3",Q47,IF(T47="OPTION 4",R47,""))))))))</f>
        <v>summary → God reveals Himself.</v>
      </c>
      <c r="Z47" s="23" t="str">
        <f aca="false">IF(T47="","OPEN",IF(T47="CUSTOM RESPONSE",IF(U47="","OPEN — CUSTOM TEXT REQUIRED",IF(W47="","RESOLVED — ADD INITIALS/DATE",IF(X47="","RESOLVED — ADD INITIALS/DATE","RESOLVED"))),IF(T47="HOLD — NEEDS RESEARCH",IF(W47="","HOLD — ADD INITIALS/DATE",IF(X47="","HOLD — ADD INITIALS/DATE","HOLD")),IF(T47="DEFER — NOT YET",IF(W47="","DEFERRED — ADD INITIALS/DATE",IF(X47="","DEFERRED — ADD INITIALS/DATE","DEFERRED")),IF(T47="OPTION 1",IF(W47="","RESOLVED — ADD INITIALS/DATE",IF(X47="","RESOLVED — ADD INITIALS/DATE","RESOLVED")),IF(T47="OPTION 2",IF(U47="","OPEN — CUSTOM TEXT REQUIRED",IF(W47="","RESOLVED — ADD INITIALS/DATE",IF(X47="","RESOLVED — ADD INITIALS/DATE","RESOLVED"))),IF(T47="OPTION 3",IF(W47="","HOLD — ADD INITIALS/DATE",IF(X47="","HOLD — ADD INITIALS/DATE","HOLD")),IF(T47="OPTION 4",IF(W47="","HOLD — ADD INITIALS/DATE",IF(X47="","HOLD — ADD INITIALS/DATE","HOLD")),IF(W47="","RESOLVED — ADD INITIALS/DATE",IF(X47="","RESOLVED — ADD INITIALS/DATE","RESOLVED"))))))))))</f>
        <v>RESOLVED</v>
      </c>
      <c r="AA47" s="23" t="s">
        <v>380</v>
      </c>
      <c r="AB47" s="23" t="s">
        <v>4589</v>
      </c>
      <c r="AC47" s="23" t="s">
        <v>4671</v>
      </c>
      <c r="AD47" s="23"/>
      <c r="AE47" s="23" t="s">
        <v>573</v>
      </c>
      <c r="AF47" s="23" t="str">
        <f aca="false">IF(F47&lt;&gt;"READY","NO",IF(Z47="OPEN","YES",IF(Z47="OPEN — CUSTOM TEXT REQUIRED","YES",IF(Z47="RESOLVED — ADD INITIALS/DATE","YES",IF(Z47="HOLD — ADD INITIALS/DATE","YES",IF(Z47="DEFERRED — ADD INITIALS/DATE","YES","NO"))))))</f>
        <v>NO</v>
      </c>
      <c r="AG47" s="23" t="str">
        <f aca="false">IF(AF47&lt;&gt;"YES","",IF(A47=IFERROR(MATCH("YES",$AF$2:$AF$105,0),0),"CURRENT",""))</f>
        <v/>
      </c>
      <c r="AH47" s="25" t="str">
        <f aca="false">IF(COUNTIF($B$2:$B$105,B47)&gt;1,"DUPLICATE","")</f>
        <v/>
      </c>
    </row>
    <row r="48" customFormat="false" ht="15.75" hidden="false" customHeight="true" outlineLevel="0" collapsed="false">
      <c r="A48" s="9" t="n">
        <v>47</v>
      </c>
      <c r="B48" s="9" t="s">
        <v>4700</v>
      </c>
      <c r="C48" s="9" t="s">
        <v>4578</v>
      </c>
      <c r="D48" s="9" t="s">
        <v>4579</v>
      </c>
      <c r="E48" s="9" t="s">
        <v>113</v>
      </c>
      <c r="F48" s="9" t="s">
        <v>874</v>
      </c>
      <c r="G48" s="9" t="s">
        <v>2899</v>
      </c>
      <c r="H48" s="9" t="s">
        <v>574</v>
      </c>
      <c r="I48" s="9" t="s">
        <v>4701</v>
      </c>
      <c r="J48" s="9" t="s">
        <v>4702</v>
      </c>
      <c r="K48" s="9" t="s">
        <v>4582</v>
      </c>
      <c r="L48" s="9" t="s">
        <v>4703</v>
      </c>
      <c r="M48" s="9" t="s">
        <v>4584</v>
      </c>
      <c r="N48" s="9" t="s">
        <v>4585</v>
      </c>
      <c r="O48" s="9" t="s">
        <v>4556</v>
      </c>
      <c r="P48" s="9" t="s">
        <v>4586</v>
      </c>
      <c r="Q48" s="9" t="s">
        <v>4587</v>
      </c>
      <c r="R48" s="9" t="s">
        <v>4588</v>
      </c>
      <c r="S48" s="9" t="s">
        <v>4505</v>
      </c>
      <c r="T48" s="22" t="str">
        <f aca="false">'Author Response Entry'!$D$48</f>
        <v>OPTION 1</v>
      </c>
      <c r="U48" s="23" t="n">
        <f aca="false">'Author Response Entry'!$E$48</f>
        <v>0</v>
      </c>
      <c r="V48" s="23" t="str">
        <f aca="false">'Author Response Entry'!$F$48</f>
        <v>Approved as written (batch sign-off 2026-09-09).</v>
      </c>
      <c r="W48" s="23" t="str">
        <f aca="false">'Author Response Entry'!$G$48</f>
        <v>AJP</v>
      </c>
      <c r="X48" s="24" t="n">
        <f aca="false">'Author Response Entry'!$H$48</f>
        <v>46274</v>
      </c>
      <c r="Y48" s="23" t="str">
        <f aca="false">IF(T48="","",IF(T48="CUSTOM RESPONSE",U48,IF(T48="HOLD — NEEDS RESEARCH",IF(U48&lt;&gt;"",U48,"HOLD — NEEDS RESEARCH"),IF(T48="DEFER — NOT YET",IF(U48&lt;&gt;"",U48,"DEFER — NOT YET"),IF(T48="OPTION 1",O48,IF(T48="OPTION 2",U48,IF(T48="OPTION 3",Q48,IF(T48="OPTION 4",R48,""))))))))</f>
        <v>APPROVE AS WRITTEN</v>
      </c>
      <c r="Z48" s="23" t="str">
        <f aca="false">IF(T48="","OPEN",IF(T48="CUSTOM RESPONSE",IF(U48="","OPEN — CUSTOM TEXT REQUIRED",IF(W48="","RESOLVED — ADD INITIALS/DATE",IF(X48="","RESOLVED — ADD INITIALS/DATE","RESOLVED"))),IF(T48="HOLD — NEEDS RESEARCH",IF(W48="","HOLD — ADD INITIALS/DATE",IF(X48="","HOLD — ADD INITIALS/DATE","HOLD")),IF(T48="DEFER — NOT YET",IF(W48="","DEFERRED — ADD INITIALS/DATE",IF(X48="","DEFERRED — ADD INITIALS/DATE","DEFERRED")),IF(T48="OPTION 1",IF(W48="","RESOLVED — ADD INITIALS/DATE",IF(X48="","RESOLVED — ADD INITIALS/DATE","RESOLVED")),IF(T48="OPTION 2",IF(U48="","OPEN — CUSTOM TEXT REQUIRED",IF(W48="","RESOLVED — ADD INITIALS/DATE",IF(X48="","RESOLVED — ADD INITIALS/DATE","RESOLVED"))),IF(T48="OPTION 3",IF(W48="","HOLD — ADD INITIALS/DATE",IF(X48="","HOLD — ADD INITIALS/DATE","HOLD")),IF(T48="OPTION 4",IF(W48="","HOLD — ADD INITIALS/DATE",IF(X48="","HOLD — ADD INITIALS/DATE","HOLD")),IF(W48="","RESOLVED — ADD INITIALS/DATE",IF(X48="","RESOLVED — ADD INITIALS/DATE","RESOLVED"))))))))))</f>
        <v>RESOLVED</v>
      </c>
      <c r="AA48" s="23" t="s">
        <v>380</v>
      </c>
      <c r="AB48" s="23" t="s">
        <v>4589</v>
      </c>
      <c r="AC48" s="23" t="s">
        <v>4671</v>
      </c>
      <c r="AD48" s="23"/>
      <c r="AE48" s="23" t="s">
        <v>577</v>
      </c>
      <c r="AF48" s="23" t="str">
        <f aca="false">IF(F48&lt;&gt;"READY","NO",IF(Z48="OPEN","YES",IF(Z48="OPEN — CUSTOM TEXT REQUIRED","YES",IF(Z48="RESOLVED — ADD INITIALS/DATE","YES",IF(Z48="HOLD — ADD INITIALS/DATE","YES",IF(Z48="DEFERRED — ADD INITIALS/DATE","YES","NO"))))))</f>
        <v>NO</v>
      </c>
      <c r="AG48" s="23" t="str">
        <f aca="false">IF(AF48&lt;&gt;"YES","",IF(A48=IFERROR(MATCH("YES",$AF$2:$AF$105,0),0),"CURRENT",""))</f>
        <v/>
      </c>
      <c r="AH48" s="25" t="str">
        <f aca="false">IF(COUNTIF($B$2:$B$105,B48)&gt;1,"DUPLICATE","")</f>
        <v/>
      </c>
    </row>
    <row r="49" customFormat="false" ht="15.75" hidden="false" customHeight="true" outlineLevel="0" collapsed="false">
      <c r="A49" s="9" t="n">
        <v>48</v>
      </c>
      <c r="B49" s="9" t="s">
        <v>4704</v>
      </c>
      <c r="C49" s="9" t="s">
        <v>4578</v>
      </c>
      <c r="D49" s="9" t="s">
        <v>4579</v>
      </c>
      <c r="E49" s="9" t="s">
        <v>113</v>
      </c>
      <c r="F49" s="9" t="s">
        <v>874</v>
      </c>
      <c r="G49" s="9" t="s">
        <v>2899</v>
      </c>
      <c r="H49" s="9" t="s">
        <v>578</v>
      </c>
      <c r="I49" s="9" t="s">
        <v>4705</v>
      </c>
      <c r="J49" s="9" t="s">
        <v>4706</v>
      </c>
      <c r="K49" s="9" t="s">
        <v>4582</v>
      </c>
      <c r="L49" s="9" t="s">
        <v>4707</v>
      </c>
      <c r="M49" s="9" t="s">
        <v>4584</v>
      </c>
      <c r="N49" s="9" t="s">
        <v>4585</v>
      </c>
      <c r="O49" s="9" t="s">
        <v>4556</v>
      </c>
      <c r="P49" s="9" t="s">
        <v>4586</v>
      </c>
      <c r="Q49" s="9" t="s">
        <v>4587</v>
      </c>
      <c r="R49" s="9" t="s">
        <v>4588</v>
      </c>
      <c r="S49" s="9" t="s">
        <v>4505</v>
      </c>
      <c r="T49" s="22" t="str">
        <f aca="false">'Author Response Entry'!$D$49</f>
        <v>OPTION 2</v>
      </c>
      <c r="U49" s="23" t="str">
        <f aca="false">'Author Response Entry'!$E$49</f>
        <v>summary → Jesus Christ is the Word.</v>
      </c>
      <c r="V49" s="23" t="str">
        <f aca="false">'Author Response Entry'!$F$49</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49" s="23" t="str">
        <f aca="false">'Author Response Entry'!$G$49</f>
        <v>AJP</v>
      </c>
      <c r="X49" s="24" t="n">
        <f aca="false">'Author Response Entry'!$H$49</f>
        <v>46274</v>
      </c>
      <c r="Y49" s="23" t="str">
        <f aca="false">IF(T49="","",IF(T49="CUSTOM RESPONSE",U49,IF(T49="HOLD — NEEDS RESEARCH",IF(U49&lt;&gt;"",U49,"HOLD — NEEDS RESEARCH"),IF(T49="DEFER — NOT YET",IF(U49&lt;&gt;"",U49,"DEFER — NOT YET"),IF(T49="OPTION 1",O49,IF(T49="OPTION 2",U49,IF(T49="OPTION 3",Q49,IF(T49="OPTION 4",R49,""))))))))</f>
        <v>summary → Jesus Christ is the Word.</v>
      </c>
      <c r="Z49" s="23" t="str">
        <f aca="false">IF(T49="","OPEN",IF(T49="CUSTOM RESPONSE",IF(U49="","OPEN — CUSTOM TEXT REQUIRED",IF(W49="","RESOLVED — ADD INITIALS/DATE",IF(X49="","RESOLVED — ADD INITIALS/DATE","RESOLVED"))),IF(T49="HOLD — NEEDS RESEARCH",IF(W49="","HOLD — ADD INITIALS/DATE",IF(X49="","HOLD — ADD INITIALS/DATE","HOLD")),IF(T49="DEFER — NOT YET",IF(W49="","DEFERRED — ADD INITIALS/DATE",IF(X49="","DEFERRED — ADD INITIALS/DATE","DEFERRED")),IF(T49="OPTION 1",IF(W49="","RESOLVED — ADD INITIALS/DATE",IF(X49="","RESOLVED — ADD INITIALS/DATE","RESOLVED")),IF(T49="OPTION 2",IF(U49="","OPEN — CUSTOM TEXT REQUIRED",IF(W49="","RESOLVED — ADD INITIALS/DATE",IF(X49="","RESOLVED — ADD INITIALS/DATE","RESOLVED"))),IF(T49="OPTION 3",IF(W49="","HOLD — ADD INITIALS/DATE",IF(X49="","HOLD — ADD INITIALS/DATE","HOLD")),IF(T49="OPTION 4",IF(W49="","HOLD — ADD INITIALS/DATE",IF(X49="","HOLD — ADD INITIALS/DATE","HOLD")),IF(W49="","RESOLVED — ADD INITIALS/DATE",IF(X49="","RESOLVED — ADD INITIALS/DATE","RESOLVED"))))))))))</f>
        <v>RESOLVED</v>
      </c>
      <c r="AA49" s="23" t="s">
        <v>380</v>
      </c>
      <c r="AB49" s="23" t="s">
        <v>4589</v>
      </c>
      <c r="AC49" s="23" t="s">
        <v>4671</v>
      </c>
      <c r="AD49" s="23"/>
      <c r="AE49" s="23" t="s">
        <v>582</v>
      </c>
      <c r="AF49" s="23" t="str">
        <f aca="false">IF(F49&lt;&gt;"READY","NO",IF(Z49="OPEN","YES",IF(Z49="OPEN — CUSTOM TEXT REQUIRED","YES",IF(Z49="RESOLVED — ADD INITIALS/DATE","YES",IF(Z49="HOLD — ADD INITIALS/DATE","YES",IF(Z49="DEFERRED — ADD INITIALS/DATE","YES","NO"))))))</f>
        <v>NO</v>
      </c>
      <c r="AG49" s="23" t="str">
        <f aca="false">IF(AF49&lt;&gt;"YES","",IF(A49=IFERROR(MATCH("YES",$AF$2:$AF$105,0),0),"CURRENT",""))</f>
        <v/>
      </c>
      <c r="AH49" s="25" t="str">
        <f aca="false">IF(COUNTIF($B$2:$B$105,B49)&gt;1,"DUPLICATE","")</f>
        <v/>
      </c>
    </row>
    <row r="50" customFormat="false" ht="15.75" hidden="false" customHeight="true" outlineLevel="0" collapsed="false">
      <c r="A50" s="9" t="n">
        <v>49</v>
      </c>
      <c r="B50" s="9" t="s">
        <v>4708</v>
      </c>
      <c r="C50" s="9" t="s">
        <v>4578</v>
      </c>
      <c r="D50" s="9" t="s">
        <v>4579</v>
      </c>
      <c r="E50" s="9" t="s">
        <v>113</v>
      </c>
      <c r="F50" s="9" t="s">
        <v>874</v>
      </c>
      <c r="G50" s="9" t="s">
        <v>2899</v>
      </c>
      <c r="H50" s="9" t="s">
        <v>583</v>
      </c>
      <c r="I50" s="9" t="s">
        <v>4709</v>
      </c>
      <c r="J50" s="9" t="s">
        <v>4710</v>
      </c>
      <c r="K50" s="9" t="s">
        <v>4582</v>
      </c>
      <c r="L50" s="9" t="s">
        <v>4711</v>
      </c>
      <c r="M50" s="9" t="s">
        <v>4584</v>
      </c>
      <c r="N50" s="9" t="s">
        <v>4585</v>
      </c>
      <c r="O50" s="9" t="s">
        <v>4556</v>
      </c>
      <c r="P50" s="9" t="s">
        <v>4586</v>
      </c>
      <c r="Q50" s="9" t="s">
        <v>4587</v>
      </c>
      <c r="R50" s="9" t="s">
        <v>4588</v>
      </c>
      <c r="S50" s="9" t="s">
        <v>4505</v>
      </c>
      <c r="T50" s="22" t="str">
        <f aca="false">'Author Response Entry'!$D$50</f>
        <v>OPTION 2</v>
      </c>
      <c r="U50" s="23" t="str">
        <f aca="false">'Author Response Entry'!$E$50</f>
        <v>summary → Jesus Christ is the Wisdom of God.</v>
      </c>
      <c r="V50" s="23" t="str">
        <f aca="false">'Author Response Entry'!$F$50</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50" s="23" t="str">
        <f aca="false">'Author Response Entry'!$G$50</f>
        <v>AJP</v>
      </c>
      <c r="X50" s="24" t="n">
        <f aca="false">'Author Response Entry'!$H$50</f>
        <v>46274</v>
      </c>
      <c r="Y50" s="23" t="str">
        <f aca="false">IF(T50="","",IF(T50="CUSTOM RESPONSE",U50,IF(T50="HOLD — NEEDS RESEARCH",IF(U50&lt;&gt;"",U50,"HOLD — NEEDS RESEARCH"),IF(T50="DEFER — NOT YET",IF(U50&lt;&gt;"",U50,"DEFER — NOT YET"),IF(T50="OPTION 1",O50,IF(T50="OPTION 2",U50,IF(T50="OPTION 3",Q50,IF(T50="OPTION 4",R50,""))))))))</f>
        <v>summary → Jesus Christ is the Wisdom of God.</v>
      </c>
      <c r="Z50" s="23" t="str">
        <f aca="false">IF(T50="","OPEN",IF(T50="CUSTOM RESPONSE",IF(U50="","OPEN — CUSTOM TEXT REQUIRED",IF(W50="","RESOLVED — ADD INITIALS/DATE",IF(X50="","RESOLVED — ADD INITIALS/DATE","RESOLVED"))),IF(T50="HOLD — NEEDS RESEARCH",IF(W50="","HOLD — ADD INITIALS/DATE",IF(X50="","HOLD — ADD INITIALS/DATE","HOLD")),IF(T50="DEFER — NOT YET",IF(W50="","DEFERRED — ADD INITIALS/DATE",IF(X50="","DEFERRED — ADD INITIALS/DATE","DEFERRED")),IF(T50="OPTION 1",IF(W50="","RESOLVED — ADD INITIALS/DATE",IF(X50="","RESOLVED — ADD INITIALS/DATE","RESOLVED")),IF(T50="OPTION 2",IF(U50="","OPEN — CUSTOM TEXT REQUIRED",IF(W50="","RESOLVED — ADD INITIALS/DATE",IF(X50="","RESOLVED — ADD INITIALS/DATE","RESOLVED"))),IF(T50="OPTION 3",IF(W50="","HOLD — ADD INITIALS/DATE",IF(X50="","HOLD — ADD INITIALS/DATE","HOLD")),IF(T50="OPTION 4",IF(W50="","HOLD — ADD INITIALS/DATE",IF(X50="","HOLD — ADD INITIALS/DATE","HOLD")),IF(W50="","RESOLVED — ADD INITIALS/DATE",IF(X50="","RESOLVED — ADD INITIALS/DATE","RESOLVED"))))))))))</f>
        <v>RESOLVED</v>
      </c>
      <c r="AA50" s="23" t="s">
        <v>380</v>
      </c>
      <c r="AB50" s="23" t="s">
        <v>4589</v>
      </c>
      <c r="AC50" s="23" t="s">
        <v>4671</v>
      </c>
      <c r="AD50" s="23"/>
      <c r="AE50" s="23" t="s">
        <v>586</v>
      </c>
      <c r="AF50" s="23" t="str">
        <f aca="false">IF(F50&lt;&gt;"READY","NO",IF(Z50="OPEN","YES",IF(Z50="OPEN — CUSTOM TEXT REQUIRED","YES",IF(Z50="RESOLVED — ADD INITIALS/DATE","YES",IF(Z50="HOLD — ADD INITIALS/DATE","YES",IF(Z50="DEFERRED — ADD INITIALS/DATE","YES","NO"))))))</f>
        <v>NO</v>
      </c>
      <c r="AG50" s="23" t="str">
        <f aca="false">IF(AF50&lt;&gt;"YES","",IF(A50=IFERROR(MATCH("YES",$AF$2:$AF$105,0),0),"CURRENT",""))</f>
        <v/>
      </c>
      <c r="AH50" s="25" t="str">
        <f aca="false">IF(COUNTIF($B$2:$B$105,B50)&gt;1,"DUPLICATE","")</f>
        <v/>
      </c>
    </row>
    <row r="51" customFormat="false" ht="15.75" hidden="false" customHeight="true" outlineLevel="0" collapsed="false">
      <c r="A51" s="9" t="n">
        <v>50</v>
      </c>
      <c r="B51" s="9" t="s">
        <v>4712</v>
      </c>
      <c r="C51" s="9" t="s">
        <v>4578</v>
      </c>
      <c r="D51" s="9" t="s">
        <v>4579</v>
      </c>
      <c r="E51" s="9" t="s">
        <v>113</v>
      </c>
      <c r="F51" s="9" t="s">
        <v>874</v>
      </c>
      <c r="G51" s="9" t="s">
        <v>2899</v>
      </c>
      <c r="H51" s="9" t="s">
        <v>587</v>
      </c>
      <c r="I51" s="9" t="s">
        <v>4713</v>
      </c>
      <c r="J51" s="9" t="s">
        <v>4714</v>
      </c>
      <c r="K51" s="9" t="s">
        <v>4582</v>
      </c>
      <c r="L51" s="9" t="s">
        <v>4715</v>
      </c>
      <c r="M51" s="9" t="s">
        <v>4584</v>
      </c>
      <c r="N51" s="9" t="s">
        <v>4585</v>
      </c>
      <c r="O51" s="9" t="s">
        <v>4556</v>
      </c>
      <c r="P51" s="9" t="s">
        <v>4586</v>
      </c>
      <c r="Q51" s="9" t="s">
        <v>4587</v>
      </c>
      <c r="R51" s="9" t="s">
        <v>4588</v>
      </c>
      <c r="S51" s="9" t="s">
        <v>4505</v>
      </c>
      <c r="T51" s="22" t="str">
        <f aca="false">'Author Response Entry'!$D$51</f>
        <v>OPTION 2</v>
      </c>
      <c r="U51" s="23" t="str">
        <f aca="false">'Author Response Entry'!$E$51</f>
        <v>summary → Names Christ as the Light.</v>
      </c>
      <c r="V51" s="23" t="str">
        <f aca="false">'Author Response Entry'!$F$51</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51" s="23" t="str">
        <f aca="false">'Author Response Entry'!$G$51</f>
        <v>AJP</v>
      </c>
      <c r="X51" s="24" t="n">
        <f aca="false">'Author Response Entry'!$H$51</f>
        <v>46274</v>
      </c>
      <c r="Y51" s="23" t="str">
        <f aca="false">IF(T51="","",IF(T51="CUSTOM RESPONSE",U51,IF(T51="HOLD — NEEDS RESEARCH",IF(U51&lt;&gt;"",U51,"HOLD — NEEDS RESEARCH"),IF(T51="DEFER — NOT YET",IF(U51&lt;&gt;"",U51,"DEFER — NOT YET"),IF(T51="OPTION 1",O51,IF(T51="OPTION 2",U51,IF(T51="OPTION 3",Q51,IF(T51="OPTION 4",R51,""))))))))</f>
        <v>summary → Names Christ as the Light.</v>
      </c>
      <c r="Z51" s="23" t="str">
        <f aca="false">IF(T51="","OPEN",IF(T51="CUSTOM RESPONSE",IF(U51="","OPEN — CUSTOM TEXT REQUIRED",IF(W51="","RESOLVED — ADD INITIALS/DATE",IF(X51="","RESOLVED — ADD INITIALS/DATE","RESOLVED"))),IF(T51="HOLD — NEEDS RESEARCH",IF(W51="","HOLD — ADD INITIALS/DATE",IF(X51="","HOLD — ADD INITIALS/DATE","HOLD")),IF(T51="DEFER — NOT YET",IF(W51="","DEFERRED — ADD INITIALS/DATE",IF(X51="","DEFERRED — ADD INITIALS/DATE","DEFERRED")),IF(T51="OPTION 1",IF(W51="","RESOLVED — ADD INITIALS/DATE",IF(X51="","RESOLVED — ADD INITIALS/DATE","RESOLVED")),IF(T51="OPTION 2",IF(U51="","OPEN — CUSTOM TEXT REQUIRED",IF(W51="","RESOLVED — ADD INITIALS/DATE",IF(X51="","RESOLVED — ADD INITIALS/DATE","RESOLVED"))),IF(T51="OPTION 3",IF(W51="","HOLD — ADD INITIALS/DATE",IF(X51="","HOLD — ADD INITIALS/DATE","HOLD")),IF(T51="OPTION 4",IF(W51="","HOLD — ADD INITIALS/DATE",IF(X51="","HOLD — ADD INITIALS/DATE","HOLD")),IF(W51="","RESOLVED — ADD INITIALS/DATE",IF(X51="","RESOLVED — ADD INITIALS/DATE","RESOLVED"))))))))))</f>
        <v>RESOLVED</v>
      </c>
      <c r="AA51" s="23" t="s">
        <v>380</v>
      </c>
      <c r="AB51" s="23" t="s">
        <v>4589</v>
      </c>
      <c r="AC51" s="23" t="s">
        <v>4671</v>
      </c>
      <c r="AD51" s="23"/>
      <c r="AE51" s="23" t="s">
        <v>590</v>
      </c>
      <c r="AF51" s="23" t="str">
        <f aca="false">IF(F51&lt;&gt;"READY","NO",IF(Z51="OPEN","YES",IF(Z51="OPEN — CUSTOM TEXT REQUIRED","YES",IF(Z51="RESOLVED — ADD INITIALS/DATE","YES",IF(Z51="HOLD — ADD INITIALS/DATE","YES",IF(Z51="DEFERRED — ADD INITIALS/DATE","YES","NO"))))))</f>
        <v>NO</v>
      </c>
      <c r="AG51" s="23" t="str">
        <f aca="false">IF(AF51&lt;&gt;"YES","",IF(A51=IFERROR(MATCH("YES",$AF$2:$AF$105,0),0),"CURRENT",""))</f>
        <v/>
      </c>
      <c r="AH51" s="25" t="str">
        <f aca="false">IF(COUNTIF($B$2:$B$105,B51)&gt;1,"DUPLICATE","")</f>
        <v/>
      </c>
    </row>
    <row r="52" customFormat="false" ht="15.75" hidden="false" customHeight="true" outlineLevel="0" collapsed="false">
      <c r="A52" s="9" t="n">
        <v>51</v>
      </c>
      <c r="B52" s="9" t="s">
        <v>4716</v>
      </c>
      <c r="C52" s="9" t="s">
        <v>4578</v>
      </c>
      <c r="D52" s="9" t="s">
        <v>4579</v>
      </c>
      <c r="E52" s="9" t="s">
        <v>113</v>
      </c>
      <c r="F52" s="9" t="s">
        <v>874</v>
      </c>
      <c r="G52" s="9" t="s">
        <v>2899</v>
      </c>
      <c r="H52" s="9" t="s">
        <v>591</v>
      </c>
      <c r="I52" s="9" t="s">
        <v>4717</v>
      </c>
      <c r="J52" s="9" t="s">
        <v>4718</v>
      </c>
      <c r="K52" s="9" t="s">
        <v>4582</v>
      </c>
      <c r="L52" s="9" t="s">
        <v>4719</v>
      </c>
      <c r="M52" s="9" t="s">
        <v>4584</v>
      </c>
      <c r="N52" s="9" t="s">
        <v>4585</v>
      </c>
      <c r="O52" s="9" t="s">
        <v>4556</v>
      </c>
      <c r="P52" s="9" t="s">
        <v>4586</v>
      </c>
      <c r="Q52" s="9" t="s">
        <v>4587</v>
      </c>
      <c r="R52" s="9" t="s">
        <v>4588</v>
      </c>
      <c r="S52" s="9" t="s">
        <v>4505</v>
      </c>
      <c r="T52" s="22" t="str">
        <f aca="false">'Author Response Entry'!$D$52</f>
        <v>OPTION 2</v>
      </c>
      <c r="U52" s="23" t="str">
        <f aca="false">'Author Response Entry'!$E$52</f>
        <v>summary → Jesus Christ is the image of the Father.</v>
      </c>
      <c r="V52" s="23" t="str">
        <f aca="false">'Author Response Entry'!$F$52</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52" s="23" t="str">
        <f aca="false">'Author Response Entry'!$G$52</f>
        <v>AJP</v>
      </c>
      <c r="X52" s="24" t="n">
        <f aca="false">'Author Response Entry'!$H$52</f>
        <v>46274</v>
      </c>
      <c r="Y52" s="23" t="str">
        <f aca="false">IF(T52="","",IF(T52="CUSTOM RESPONSE",U52,IF(T52="HOLD — NEEDS RESEARCH",IF(U52&lt;&gt;"",U52,"HOLD — NEEDS RESEARCH"),IF(T52="DEFER — NOT YET",IF(U52&lt;&gt;"",U52,"DEFER — NOT YET"),IF(T52="OPTION 1",O52,IF(T52="OPTION 2",U52,IF(T52="OPTION 3",Q52,IF(T52="OPTION 4",R52,""))))))))</f>
        <v>summary → Jesus Christ is the image of the Father.</v>
      </c>
      <c r="Z52" s="23" t="str">
        <f aca="false">IF(T52="","OPEN",IF(T52="CUSTOM RESPONSE",IF(U52="","OPEN — CUSTOM TEXT REQUIRED",IF(W52="","RESOLVED — ADD INITIALS/DATE",IF(X52="","RESOLVED — ADD INITIALS/DATE","RESOLVED"))),IF(T52="HOLD — NEEDS RESEARCH",IF(W52="","HOLD — ADD INITIALS/DATE",IF(X52="","HOLD — ADD INITIALS/DATE","HOLD")),IF(T52="DEFER — NOT YET",IF(W52="","DEFERRED — ADD INITIALS/DATE",IF(X52="","DEFERRED — ADD INITIALS/DATE","DEFERRED")),IF(T52="OPTION 1",IF(W52="","RESOLVED — ADD INITIALS/DATE",IF(X52="","RESOLVED — ADD INITIALS/DATE","RESOLVED")),IF(T52="OPTION 2",IF(U52="","OPEN — CUSTOM TEXT REQUIRED",IF(W52="","RESOLVED — ADD INITIALS/DATE",IF(X52="","RESOLVED — ADD INITIALS/DATE","RESOLVED"))),IF(T52="OPTION 3",IF(W52="","HOLD — ADD INITIALS/DATE",IF(X52="","HOLD — ADD INITIALS/DATE","HOLD")),IF(T52="OPTION 4",IF(W52="","HOLD — ADD INITIALS/DATE",IF(X52="","HOLD — ADD INITIALS/DATE","HOLD")),IF(W52="","RESOLVED — ADD INITIALS/DATE",IF(X52="","RESOLVED — ADD INITIALS/DATE","RESOLVED"))))))))))</f>
        <v>RESOLVED</v>
      </c>
      <c r="AA52" s="23" t="s">
        <v>380</v>
      </c>
      <c r="AB52" s="23" t="s">
        <v>4589</v>
      </c>
      <c r="AC52" s="23" t="s">
        <v>4671</v>
      </c>
      <c r="AD52" s="23"/>
      <c r="AE52" s="23" t="s">
        <v>594</v>
      </c>
      <c r="AF52" s="23" t="str">
        <f aca="false">IF(F52&lt;&gt;"READY","NO",IF(Z52="OPEN","YES",IF(Z52="OPEN — CUSTOM TEXT REQUIRED","YES",IF(Z52="RESOLVED — ADD INITIALS/DATE","YES",IF(Z52="HOLD — ADD INITIALS/DATE","YES",IF(Z52="DEFERRED — ADD INITIALS/DATE","YES","NO"))))))</f>
        <v>NO</v>
      </c>
      <c r="AG52" s="23" t="str">
        <f aca="false">IF(AF52&lt;&gt;"YES","",IF(A52=IFERROR(MATCH("YES",$AF$2:$AF$105,0),0),"CURRENT",""))</f>
        <v/>
      </c>
      <c r="AH52" s="25" t="str">
        <f aca="false">IF(COUNTIF($B$2:$B$105,B52)&gt;1,"DUPLICATE","")</f>
        <v/>
      </c>
    </row>
    <row r="53" customFormat="false" ht="15.75" hidden="false" customHeight="true" outlineLevel="0" collapsed="false">
      <c r="A53" s="9" t="n">
        <v>52</v>
      </c>
      <c r="B53" s="9" t="s">
        <v>4720</v>
      </c>
      <c r="C53" s="9" t="s">
        <v>4578</v>
      </c>
      <c r="D53" s="9" t="s">
        <v>4579</v>
      </c>
      <c r="E53" s="9" t="s">
        <v>113</v>
      </c>
      <c r="F53" s="9" t="s">
        <v>874</v>
      </c>
      <c r="G53" s="9" t="s">
        <v>2899</v>
      </c>
      <c r="H53" s="9" t="s">
        <v>595</v>
      </c>
      <c r="I53" s="9" t="s">
        <v>4721</v>
      </c>
      <c r="J53" s="9" t="s">
        <v>4722</v>
      </c>
      <c r="K53" s="9" t="s">
        <v>4582</v>
      </c>
      <c r="L53" s="9" t="s">
        <v>4723</v>
      </c>
      <c r="M53" s="9" t="s">
        <v>4584</v>
      </c>
      <c r="N53" s="9" t="s">
        <v>4585</v>
      </c>
      <c r="O53" s="9" t="s">
        <v>4556</v>
      </c>
      <c r="P53" s="9" t="s">
        <v>4586</v>
      </c>
      <c r="Q53" s="9" t="s">
        <v>4587</v>
      </c>
      <c r="R53" s="9" t="s">
        <v>4588</v>
      </c>
      <c r="S53" s="9" t="s">
        <v>4505</v>
      </c>
      <c r="T53" s="22" t="str">
        <f aca="false">'Author Response Entry'!$D$53</f>
        <v>OPTION 2</v>
      </c>
      <c r="U53" s="23" t="str">
        <f aca="false">'Author Response Entry'!$E$53</f>
        <v>summary → The Holy Spirit gives life.</v>
      </c>
      <c r="V53" s="23" t="str">
        <f aca="false">'Author Response Entry'!$F$53</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53" s="23" t="str">
        <f aca="false">'Author Response Entry'!$G$53</f>
        <v>AJP</v>
      </c>
      <c r="X53" s="24" t="n">
        <f aca="false">'Author Response Entry'!$H$53</f>
        <v>46274</v>
      </c>
      <c r="Y53" s="23" t="str">
        <f aca="false">IF(T53="","",IF(T53="CUSTOM RESPONSE",U53,IF(T53="HOLD — NEEDS RESEARCH",IF(U53&lt;&gt;"",U53,"HOLD — NEEDS RESEARCH"),IF(T53="DEFER — NOT YET",IF(U53&lt;&gt;"",U53,"DEFER — NOT YET"),IF(T53="OPTION 1",O53,IF(T53="OPTION 2",U53,IF(T53="OPTION 3",Q53,IF(T53="OPTION 4",R53,""))))))))</f>
        <v>summary → The Holy Spirit gives life.</v>
      </c>
      <c r="Z53" s="23" t="str">
        <f aca="false">IF(T53="","OPEN",IF(T53="CUSTOM RESPONSE",IF(U53="","OPEN — CUSTOM TEXT REQUIRED",IF(W53="","RESOLVED — ADD INITIALS/DATE",IF(X53="","RESOLVED — ADD INITIALS/DATE","RESOLVED"))),IF(T53="HOLD — NEEDS RESEARCH",IF(W53="","HOLD — ADD INITIALS/DATE",IF(X53="","HOLD — ADD INITIALS/DATE","HOLD")),IF(T53="DEFER — NOT YET",IF(W53="","DEFERRED — ADD INITIALS/DATE",IF(X53="","DEFERRED — ADD INITIALS/DATE","DEFERRED")),IF(T53="OPTION 1",IF(W53="","RESOLVED — ADD INITIALS/DATE",IF(X53="","RESOLVED — ADD INITIALS/DATE","RESOLVED")),IF(T53="OPTION 2",IF(U53="","OPEN — CUSTOM TEXT REQUIRED",IF(W53="","RESOLVED — ADD INITIALS/DATE",IF(X53="","RESOLVED — ADD INITIALS/DATE","RESOLVED"))),IF(T53="OPTION 3",IF(W53="","HOLD — ADD INITIALS/DATE",IF(X53="","HOLD — ADD INITIALS/DATE","HOLD")),IF(T53="OPTION 4",IF(W53="","HOLD — ADD INITIALS/DATE",IF(X53="","HOLD — ADD INITIALS/DATE","HOLD")),IF(W53="","RESOLVED — ADD INITIALS/DATE",IF(X53="","RESOLVED — ADD INITIALS/DATE","RESOLVED"))))))))))</f>
        <v>RESOLVED</v>
      </c>
      <c r="AA53" s="23" t="s">
        <v>380</v>
      </c>
      <c r="AB53" s="23" t="s">
        <v>4589</v>
      </c>
      <c r="AC53" s="23" t="s">
        <v>4671</v>
      </c>
      <c r="AD53" s="23"/>
      <c r="AE53" s="23" t="s">
        <v>598</v>
      </c>
      <c r="AF53" s="23" t="str">
        <f aca="false">IF(F53&lt;&gt;"READY","NO",IF(Z53="OPEN","YES",IF(Z53="OPEN — CUSTOM TEXT REQUIRED","YES",IF(Z53="RESOLVED — ADD INITIALS/DATE","YES",IF(Z53="HOLD — ADD INITIALS/DATE","YES",IF(Z53="DEFERRED — ADD INITIALS/DATE","YES","NO"))))))</f>
        <v>NO</v>
      </c>
      <c r="AG53" s="23" t="str">
        <f aca="false">IF(AF53&lt;&gt;"YES","",IF(A53=IFERROR(MATCH("YES",$AF$2:$AF$105,0),0),"CURRENT",""))</f>
        <v/>
      </c>
      <c r="AH53" s="25" t="str">
        <f aca="false">IF(COUNTIF($B$2:$B$105,B53)&gt;1,"DUPLICATE","")</f>
        <v/>
      </c>
    </row>
    <row r="54" customFormat="false" ht="15.75" hidden="false" customHeight="true" outlineLevel="0" collapsed="false">
      <c r="A54" s="9" t="n">
        <v>53</v>
      </c>
      <c r="B54" s="9" t="s">
        <v>4724</v>
      </c>
      <c r="C54" s="9" t="s">
        <v>4578</v>
      </c>
      <c r="D54" s="9" t="s">
        <v>4579</v>
      </c>
      <c r="E54" s="9" t="s">
        <v>113</v>
      </c>
      <c r="F54" s="9" t="s">
        <v>874</v>
      </c>
      <c r="G54" s="9" t="s">
        <v>2899</v>
      </c>
      <c r="H54" s="9" t="s">
        <v>599</v>
      </c>
      <c r="I54" s="9" t="s">
        <v>4725</v>
      </c>
      <c r="J54" s="9" t="s">
        <v>4726</v>
      </c>
      <c r="K54" s="9" t="s">
        <v>4582</v>
      </c>
      <c r="L54" s="9" t="s">
        <v>4727</v>
      </c>
      <c r="M54" s="9" t="s">
        <v>4584</v>
      </c>
      <c r="N54" s="9" t="s">
        <v>4585</v>
      </c>
      <c r="O54" s="9" t="s">
        <v>4556</v>
      </c>
      <c r="P54" s="9" t="s">
        <v>4586</v>
      </c>
      <c r="Q54" s="9" t="s">
        <v>4587</v>
      </c>
      <c r="R54" s="9" t="s">
        <v>4588</v>
      </c>
      <c r="S54" s="9" t="s">
        <v>4505</v>
      </c>
      <c r="T54" s="22" t="str">
        <f aca="false">'Author Response Entry'!$D$54</f>
        <v>OPTION 2</v>
      </c>
      <c r="U54" s="23" t="str">
        <f aca="false">'Author Response Entry'!$E$54</f>
        <v>summary → The Holy Spirit is eternal power and might.</v>
      </c>
      <c r="V54" s="23" t="str">
        <f aca="false">'Author Response Entry'!$F$54</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54" s="23" t="str">
        <f aca="false">'Author Response Entry'!$G$54</f>
        <v>AJP</v>
      </c>
      <c r="X54" s="24" t="n">
        <f aca="false">'Author Response Entry'!$H$54</f>
        <v>46274</v>
      </c>
      <c r="Y54" s="23" t="str">
        <f aca="false">IF(T54="","",IF(T54="CUSTOM RESPONSE",U54,IF(T54="HOLD — NEEDS RESEARCH",IF(U54&lt;&gt;"",U54,"HOLD — NEEDS RESEARCH"),IF(T54="DEFER — NOT YET",IF(U54&lt;&gt;"",U54,"DEFER — NOT YET"),IF(T54="OPTION 1",O54,IF(T54="OPTION 2",U54,IF(T54="OPTION 3",Q54,IF(T54="OPTION 4",R54,""))))))))</f>
        <v>summary → The Holy Spirit is eternal power and might.</v>
      </c>
      <c r="Z54" s="23" t="str">
        <f aca="false">IF(T54="","OPEN",IF(T54="CUSTOM RESPONSE",IF(U54="","OPEN — CUSTOM TEXT REQUIRED",IF(W54="","RESOLVED — ADD INITIALS/DATE",IF(X54="","RESOLVED — ADD INITIALS/DATE","RESOLVED"))),IF(T54="HOLD — NEEDS RESEARCH",IF(W54="","HOLD — ADD INITIALS/DATE",IF(X54="","HOLD — ADD INITIALS/DATE","HOLD")),IF(T54="DEFER — NOT YET",IF(W54="","DEFERRED — ADD INITIALS/DATE",IF(X54="","DEFERRED — ADD INITIALS/DATE","DEFERRED")),IF(T54="OPTION 1",IF(W54="","RESOLVED — ADD INITIALS/DATE",IF(X54="","RESOLVED — ADD INITIALS/DATE","RESOLVED")),IF(T54="OPTION 2",IF(U54="","OPEN — CUSTOM TEXT REQUIRED",IF(W54="","RESOLVED — ADD INITIALS/DATE",IF(X54="","RESOLVED — ADD INITIALS/DATE","RESOLVED"))),IF(T54="OPTION 3",IF(W54="","HOLD — ADD INITIALS/DATE",IF(X54="","HOLD — ADD INITIALS/DATE","HOLD")),IF(T54="OPTION 4",IF(W54="","HOLD — ADD INITIALS/DATE",IF(X54="","HOLD — ADD INITIALS/DATE","HOLD")),IF(W54="","RESOLVED — ADD INITIALS/DATE",IF(X54="","RESOLVED — ADD INITIALS/DATE","RESOLVED"))))))))))</f>
        <v>RESOLVED</v>
      </c>
      <c r="AA54" s="23" t="s">
        <v>380</v>
      </c>
      <c r="AB54" s="23" t="s">
        <v>4589</v>
      </c>
      <c r="AC54" s="23" t="s">
        <v>4671</v>
      </c>
      <c r="AD54" s="23"/>
      <c r="AE54" s="23" t="s">
        <v>602</v>
      </c>
      <c r="AF54" s="23" t="str">
        <f aca="false">IF(F54&lt;&gt;"READY","NO",IF(Z54="OPEN","YES",IF(Z54="OPEN — CUSTOM TEXT REQUIRED","YES",IF(Z54="RESOLVED — ADD INITIALS/DATE","YES",IF(Z54="HOLD — ADD INITIALS/DATE","YES",IF(Z54="DEFERRED — ADD INITIALS/DATE","YES","NO"))))))</f>
        <v>NO</v>
      </c>
      <c r="AG54" s="23" t="str">
        <f aca="false">IF(AF54&lt;&gt;"YES","",IF(A54=IFERROR(MATCH("YES",$AF$2:$AF$105,0),0),"CURRENT",""))</f>
        <v/>
      </c>
      <c r="AH54" s="25" t="str">
        <f aca="false">IF(COUNTIF($B$2:$B$105,B54)&gt;1,"DUPLICATE","")</f>
        <v/>
      </c>
    </row>
    <row r="55" customFormat="false" ht="15.75" hidden="false" customHeight="true" outlineLevel="0" collapsed="false">
      <c r="A55" s="9" t="n">
        <v>54</v>
      </c>
      <c r="B55" s="9" t="s">
        <v>4728</v>
      </c>
      <c r="C55" s="9" t="s">
        <v>4578</v>
      </c>
      <c r="D55" s="9" t="s">
        <v>4579</v>
      </c>
      <c r="E55" s="9" t="s">
        <v>1857</v>
      </c>
      <c r="F55" s="9" t="s">
        <v>874</v>
      </c>
      <c r="G55" s="9" t="s">
        <v>2899</v>
      </c>
      <c r="H55" s="9" t="s">
        <v>603</v>
      </c>
      <c r="I55" s="9" t="s">
        <v>4729</v>
      </c>
      <c r="J55" s="9" t="s">
        <v>4730</v>
      </c>
      <c r="K55" s="9" t="s">
        <v>4582</v>
      </c>
      <c r="L55" s="9" t="s">
        <v>4731</v>
      </c>
      <c r="M55" s="9" t="s">
        <v>4584</v>
      </c>
      <c r="N55" s="9" t="s">
        <v>4585</v>
      </c>
      <c r="O55" s="9" t="s">
        <v>4556</v>
      </c>
      <c r="P55" s="9" t="s">
        <v>4586</v>
      </c>
      <c r="Q55" s="9" t="s">
        <v>4587</v>
      </c>
      <c r="R55" s="9" t="s">
        <v>4588</v>
      </c>
      <c r="S55" s="9" t="s">
        <v>4505</v>
      </c>
      <c r="T55" s="22" t="str">
        <f aca="false">'Author Response Entry'!$D$55</f>
        <v>OPTION 1</v>
      </c>
      <c r="U55" s="23" t="n">
        <f aca="false">'Author Response Entry'!$E$55</f>
        <v>0</v>
      </c>
      <c r="V55" s="23" t="str">
        <f aca="false">'Author Response Entry'!$F$55</f>
        <v>Approved as written (batch sign-off 2026-09-09).</v>
      </c>
      <c r="W55" s="23" t="str">
        <f aca="false">'Author Response Entry'!$G$55</f>
        <v>AJP</v>
      </c>
      <c r="X55" s="24" t="n">
        <f aca="false">'Author Response Entry'!$H$55</f>
        <v>46274</v>
      </c>
      <c r="Y55" s="23" t="str">
        <f aca="false">IF(T55="","",IF(T55="CUSTOM RESPONSE",U55,IF(T55="HOLD — NEEDS RESEARCH",IF(U55&lt;&gt;"",U55,"HOLD — NEEDS RESEARCH"),IF(T55="DEFER — NOT YET",IF(U55&lt;&gt;"",U55,"DEFER — NOT YET"),IF(T55="OPTION 1",O55,IF(T55="OPTION 2",U55,IF(T55="OPTION 3",Q55,IF(T55="OPTION 4",R55,""))))))))</f>
        <v>APPROVE AS WRITTEN</v>
      </c>
      <c r="Z55" s="23" t="str">
        <f aca="false">IF(T55="","OPEN",IF(T55="CUSTOM RESPONSE",IF(U55="","OPEN — CUSTOM TEXT REQUIRED",IF(W55="","RESOLVED — ADD INITIALS/DATE",IF(X55="","RESOLVED — ADD INITIALS/DATE","RESOLVED"))),IF(T55="HOLD — NEEDS RESEARCH",IF(W55="","HOLD — ADD INITIALS/DATE",IF(X55="","HOLD — ADD INITIALS/DATE","HOLD")),IF(T55="DEFER — NOT YET",IF(W55="","DEFERRED — ADD INITIALS/DATE",IF(X55="","DEFERRED — ADD INITIALS/DATE","DEFERRED")),IF(T55="OPTION 1",IF(W55="","RESOLVED — ADD INITIALS/DATE",IF(X55="","RESOLVED — ADD INITIALS/DATE","RESOLVED")),IF(T55="OPTION 2",IF(U55="","OPEN — CUSTOM TEXT REQUIRED",IF(W55="","RESOLVED — ADD INITIALS/DATE",IF(X55="","RESOLVED — ADD INITIALS/DATE","RESOLVED"))),IF(T55="OPTION 3",IF(W55="","HOLD — ADD INITIALS/DATE",IF(X55="","HOLD — ADD INITIALS/DATE","HOLD")),IF(T55="OPTION 4",IF(W55="","HOLD — ADD INITIALS/DATE",IF(X55="","HOLD — ADD INITIALS/DATE","HOLD")),IF(W55="","RESOLVED — ADD INITIALS/DATE",IF(X55="","RESOLVED — ADD INITIALS/DATE","RESOLVED"))))))))))</f>
        <v>RESOLVED</v>
      </c>
      <c r="AA55" s="23" t="s">
        <v>380</v>
      </c>
      <c r="AB55" s="23" t="s">
        <v>4589</v>
      </c>
      <c r="AC55" s="23" t="s">
        <v>4732</v>
      </c>
      <c r="AD55" s="23"/>
      <c r="AE55" s="23" t="s">
        <v>608</v>
      </c>
      <c r="AF55" s="23" t="str">
        <f aca="false">IF(F55&lt;&gt;"READY","NO",IF(Z55="OPEN","YES",IF(Z55="OPEN — CUSTOM TEXT REQUIRED","YES",IF(Z55="RESOLVED — ADD INITIALS/DATE","YES",IF(Z55="HOLD — ADD INITIALS/DATE","YES",IF(Z55="DEFERRED — ADD INITIALS/DATE","YES","NO"))))))</f>
        <v>NO</v>
      </c>
      <c r="AG55" s="23" t="str">
        <f aca="false">IF(AF55&lt;&gt;"YES","",IF(A55=IFERROR(MATCH("YES",$AF$2:$AF$105,0),0),"CURRENT",""))</f>
        <v/>
      </c>
      <c r="AH55" s="25" t="str">
        <f aca="false">IF(COUNTIF($B$2:$B$105,B55)&gt;1,"DUPLICATE","")</f>
        <v/>
      </c>
    </row>
    <row r="56" customFormat="false" ht="15.75" hidden="false" customHeight="true" outlineLevel="0" collapsed="false">
      <c r="A56" s="9" t="n">
        <v>55</v>
      </c>
      <c r="B56" s="9" t="s">
        <v>4733</v>
      </c>
      <c r="C56" s="9" t="s">
        <v>4578</v>
      </c>
      <c r="D56" s="9" t="s">
        <v>4579</v>
      </c>
      <c r="E56" s="9" t="s">
        <v>1857</v>
      </c>
      <c r="F56" s="9" t="s">
        <v>874</v>
      </c>
      <c r="G56" s="9" t="s">
        <v>2899</v>
      </c>
      <c r="H56" s="9" t="s">
        <v>609</v>
      </c>
      <c r="I56" s="9" t="s">
        <v>4734</v>
      </c>
      <c r="J56" s="9" t="s">
        <v>4735</v>
      </c>
      <c r="K56" s="9" t="s">
        <v>4582</v>
      </c>
      <c r="L56" s="9" t="s">
        <v>4736</v>
      </c>
      <c r="M56" s="9" t="s">
        <v>4584</v>
      </c>
      <c r="N56" s="9" t="s">
        <v>4585</v>
      </c>
      <c r="O56" s="9" t="s">
        <v>4556</v>
      </c>
      <c r="P56" s="9" t="s">
        <v>4586</v>
      </c>
      <c r="Q56" s="9" t="s">
        <v>4587</v>
      </c>
      <c r="R56" s="9" t="s">
        <v>4588</v>
      </c>
      <c r="S56" s="9" t="s">
        <v>4505</v>
      </c>
      <c r="T56" s="22" t="str">
        <f aca="false">'Author Response Entry'!$D$56</f>
        <v>OPTION 1</v>
      </c>
      <c r="U56" s="23" t="n">
        <f aca="false">'Author Response Entry'!$E$56</f>
        <v>0</v>
      </c>
      <c r="V56" s="23" t="str">
        <f aca="false">'Author Response Entry'!$F$56</f>
        <v>Approved as written (batch sign-off 2026-09-09).</v>
      </c>
      <c r="W56" s="23" t="str">
        <f aca="false">'Author Response Entry'!$G$56</f>
        <v>AJP</v>
      </c>
      <c r="X56" s="24" t="n">
        <f aca="false">'Author Response Entry'!$H$56</f>
        <v>46274</v>
      </c>
      <c r="Y56" s="23" t="str">
        <f aca="false">IF(T56="","",IF(T56="CUSTOM RESPONSE",U56,IF(T56="HOLD — NEEDS RESEARCH",IF(U56&lt;&gt;"",U56,"HOLD — NEEDS RESEARCH"),IF(T56="DEFER — NOT YET",IF(U56&lt;&gt;"",U56,"DEFER — NOT YET"),IF(T56="OPTION 1",O56,IF(T56="OPTION 2",U56,IF(T56="OPTION 3",Q56,IF(T56="OPTION 4",R56,""))))))))</f>
        <v>APPROVE AS WRITTEN</v>
      </c>
      <c r="Z56" s="23" t="str">
        <f aca="false">IF(T56="","OPEN",IF(T56="CUSTOM RESPONSE",IF(U56="","OPEN — CUSTOM TEXT REQUIRED",IF(W56="","RESOLVED — ADD INITIALS/DATE",IF(X56="","RESOLVED — ADD INITIALS/DATE","RESOLVED"))),IF(T56="HOLD — NEEDS RESEARCH",IF(W56="","HOLD — ADD INITIALS/DATE",IF(X56="","HOLD — ADD INITIALS/DATE","HOLD")),IF(T56="DEFER — NOT YET",IF(W56="","DEFERRED — ADD INITIALS/DATE",IF(X56="","DEFERRED — ADD INITIALS/DATE","DEFERRED")),IF(T56="OPTION 1",IF(W56="","RESOLVED — ADD INITIALS/DATE",IF(X56="","RESOLVED — ADD INITIALS/DATE","RESOLVED")),IF(T56="OPTION 2",IF(U56="","OPEN — CUSTOM TEXT REQUIRED",IF(W56="","RESOLVED — ADD INITIALS/DATE",IF(X56="","RESOLVED — ADD INITIALS/DATE","RESOLVED"))),IF(T56="OPTION 3",IF(W56="","HOLD — ADD INITIALS/DATE",IF(X56="","HOLD — ADD INITIALS/DATE","HOLD")),IF(T56="OPTION 4",IF(W56="","HOLD — ADD INITIALS/DATE",IF(X56="","HOLD — ADD INITIALS/DATE","HOLD")),IF(W56="","RESOLVED — ADD INITIALS/DATE",IF(X56="","RESOLVED — ADD INITIALS/DATE","RESOLVED"))))))))))</f>
        <v>RESOLVED</v>
      </c>
      <c r="AA56" s="23" t="s">
        <v>380</v>
      </c>
      <c r="AB56" s="23" t="s">
        <v>4589</v>
      </c>
      <c r="AC56" s="23" t="s">
        <v>4732</v>
      </c>
      <c r="AD56" s="23"/>
      <c r="AE56" s="23" t="s">
        <v>612</v>
      </c>
      <c r="AF56" s="23" t="str">
        <f aca="false">IF(F56&lt;&gt;"READY","NO",IF(Z56="OPEN","YES",IF(Z56="OPEN — CUSTOM TEXT REQUIRED","YES",IF(Z56="RESOLVED — ADD INITIALS/DATE","YES",IF(Z56="HOLD — ADD INITIALS/DATE","YES",IF(Z56="DEFERRED — ADD INITIALS/DATE","YES","NO"))))))</f>
        <v>NO</v>
      </c>
      <c r="AG56" s="23" t="str">
        <f aca="false">IF(AF56&lt;&gt;"YES","",IF(A56=IFERROR(MATCH("YES",$AF$2:$AF$105,0),0),"CURRENT",""))</f>
        <v/>
      </c>
      <c r="AH56" s="25" t="str">
        <f aca="false">IF(COUNTIF($B$2:$B$105,B56)&gt;1,"DUPLICATE","")</f>
        <v/>
      </c>
    </row>
    <row r="57" customFormat="false" ht="15.75" hidden="false" customHeight="true" outlineLevel="0" collapsed="false">
      <c r="A57" s="9" t="n">
        <v>56</v>
      </c>
      <c r="B57" s="9" t="s">
        <v>4737</v>
      </c>
      <c r="C57" s="9" t="s">
        <v>4578</v>
      </c>
      <c r="D57" s="9" t="s">
        <v>4579</v>
      </c>
      <c r="E57" s="9" t="s">
        <v>113</v>
      </c>
      <c r="F57" s="9" t="s">
        <v>874</v>
      </c>
      <c r="G57" s="9" t="s">
        <v>2899</v>
      </c>
      <c r="H57" s="9" t="s">
        <v>613</v>
      </c>
      <c r="I57" s="9" t="s">
        <v>4738</v>
      </c>
      <c r="J57" s="9" t="s">
        <v>4739</v>
      </c>
      <c r="K57" s="9" t="s">
        <v>4582</v>
      </c>
      <c r="L57" s="9" t="s">
        <v>4740</v>
      </c>
      <c r="M57" s="9" t="s">
        <v>4584</v>
      </c>
      <c r="N57" s="9" t="s">
        <v>4585</v>
      </c>
      <c r="O57" s="9" t="s">
        <v>4556</v>
      </c>
      <c r="P57" s="9" t="s">
        <v>4586</v>
      </c>
      <c r="Q57" s="9" t="s">
        <v>4587</v>
      </c>
      <c r="R57" s="9" t="s">
        <v>4588</v>
      </c>
      <c r="S57" s="9" t="s">
        <v>4505</v>
      </c>
      <c r="T57" s="22" t="str">
        <f aca="false">'Author Response Entry'!$D$57</f>
        <v>OPTION 2</v>
      </c>
      <c r="U57" s="23" t="str">
        <f aca="false">'Author Response Entry'!$E$57</f>
        <v>summary → Denies that the Son is a created being.</v>
      </c>
      <c r="V57" s="23" t="str">
        <f aca="false">'Author Response Entry'!$F$57</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57" s="23" t="str">
        <f aca="false">'Author Response Entry'!$G$57</f>
        <v>AJP</v>
      </c>
      <c r="X57" s="24" t="n">
        <f aca="false">'Author Response Entry'!$H$57</f>
        <v>46274</v>
      </c>
      <c r="Y57" s="23" t="str">
        <f aca="false">IF(T57="","",IF(T57="CUSTOM RESPONSE",U57,IF(T57="HOLD — NEEDS RESEARCH",IF(U57&lt;&gt;"",U57,"HOLD — NEEDS RESEARCH"),IF(T57="DEFER — NOT YET",IF(U57&lt;&gt;"",U57,"DEFER — NOT YET"),IF(T57="OPTION 1",O57,IF(T57="OPTION 2",U57,IF(T57="OPTION 3",Q57,IF(T57="OPTION 4",R57,""))))))))</f>
        <v>summary → Denies that the Son is a created being.</v>
      </c>
      <c r="Z57" s="23" t="str">
        <f aca="false">IF(T57="","OPEN",IF(T57="CUSTOM RESPONSE",IF(U57="","OPEN — CUSTOM TEXT REQUIRED",IF(W57="","RESOLVED — ADD INITIALS/DATE",IF(X57="","RESOLVED — ADD INITIALS/DATE","RESOLVED"))),IF(T57="HOLD — NEEDS RESEARCH",IF(W57="","HOLD — ADD INITIALS/DATE",IF(X57="","HOLD — ADD INITIALS/DATE","HOLD")),IF(T57="DEFER — NOT YET",IF(W57="","DEFERRED — ADD INITIALS/DATE",IF(X57="","DEFERRED — ADD INITIALS/DATE","DEFERRED")),IF(T57="OPTION 1",IF(W57="","RESOLVED — ADD INITIALS/DATE",IF(X57="","RESOLVED — ADD INITIALS/DATE","RESOLVED")),IF(T57="OPTION 2",IF(U57="","OPEN — CUSTOM TEXT REQUIRED",IF(W57="","RESOLVED — ADD INITIALS/DATE",IF(X57="","RESOLVED — ADD INITIALS/DATE","RESOLVED"))),IF(T57="OPTION 3",IF(W57="","HOLD — ADD INITIALS/DATE",IF(X57="","HOLD — ADD INITIALS/DATE","HOLD")),IF(T57="OPTION 4",IF(W57="","HOLD — ADD INITIALS/DATE",IF(X57="","HOLD — ADD INITIALS/DATE","HOLD")),IF(W57="","RESOLVED — ADD INITIALS/DATE",IF(X57="","RESOLVED — ADD INITIALS/DATE","RESOLVED"))))))))))</f>
        <v>RESOLVED</v>
      </c>
      <c r="AA57" s="23" t="s">
        <v>380</v>
      </c>
      <c r="AB57" s="23" t="s">
        <v>4589</v>
      </c>
      <c r="AC57" s="23" t="s">
        <v>4732</v>
      </c>
      <c r="AD57" s="23"/>
      <c r="AE57" s="23" t="s">
        <v>617</v>
      </c>
      <c r="AF57" s="23" t="str">
        <f aca="false">IF(F57&lt;&gt;"READY","NO",IF(Z57="OPEN","YES",IF(Z57="OPEN — CUSTOM TEXT REQUIRED","YES",IF(Z57="RESOLVED — ADD INITIALS/DATE","YES",IF(Z57="HOLD — ADD INITIALS/DATE","YES",IF(Z57="DEFERRED — ADD INITIALS/DATE","YES","NO"))))))</f>
        <v>NO</v>
      </c>
      <c r="AG57" s="23" t="str">
        <f aca="false">IF(AF57&lt;&gt;"YES","",IF(A57=IFERROR(MATCH("YES",$AF$2:$AF$105,0),0),"CURRENT",""))</f>
        <v/>
      </c>
      <c r="AH57" s="25" t="str">
        <f aca="false">IF(COUNTIF($B$2:$B$105,B57)&gt;1,"DUPLICATE","")</f>
        <v/>
      </c>
    </row>
    <row r="58" customFormat="false" ht="15.75" hidden="false" customHeight="true" outlineLevel="0" collapsed="false">
      <c r="A58" s="9" t="n">
        <v>57</v>
      </c>
      <c r="B58" s="9" t="s">
        <v>4741</v>
      </c>
      <c r="C58" s="9" t="s">
        <v>4578</v>
      </c>
      <c r="D58" s="9" t="s">
        <v>4579</v>
      </c>
      <c r="E58" s="9" t="s">
        <v>1857</v>
      </c>
      <c r="F58" s="9" t="s">
        <v>874</v>
      </c>
      <c r="G58" s="9" t="s">
        <v>2899</v>
      </c>
      <c r="H58" s="9" t="s">
        <v>618</v>
      </c>
      <c r="I58" s="9" t="s">
        <v>4742</v>
      </c>
      <c r="J58" s="9" t="s">
        <v>4743</v>
      </c>
      <c r="K58" s="9" t="s">
        <v>4582</v>
      </c>
      <c r="L58" s="9" t="s">
        <v>4744</v>
      </c>
      <c r="M58" s="9" t="s">
        <v>4584</v>
      </c>
      <c r="N58" s="9" t="s">
        <v>4585</v>
      </c>
      <c r="O58" s="9" t="s">
        <v>4556</v>
      </c>
      <c r="P58" s="9" t="s">
        <v>4586</v>
      </c>
      <c r="Q58" s="9" t="s">
        <v>4587</v>
      </c>
      <c r="R58" s="9" t="s">
        <v>4588</v>
      </c>
      <c r="S58" s="9" t="s">
        <v>4505</v>
      </c>
      <c r="T58" s="22" t="str">
        <f aca="false">'Author Response Entry'!$D$58</f>
        <v>OPTION 1</v>
      </c>
      <c r="U58" s="23" t="n">
        <f aca="false">'Author Response Entry'!$E$58</f>
        <v>0</v>
      </c>
      <c r="V58" s="23" t="str">
        <f aca="false">'Author Response Entry'!$F$58</f>
        <v>Approved as written (batch sign-off 2026-09-09).</v>
      </c>
      <c r="W58" s="23" t="str">
        <f aca="false">'Author Response Entry'!$G$58</f>
        <v>AJP</v>
      </c>
      <c r="X58" s="24" t="n">
        <f aca="false">'Author Response Entry'!$H$58</f>
        <v>46274</v>
      </c>
      <c r="Y58" s="23" t="str">
        <f aca="false">IF(T58="","",IF(T58="CUSTOM RESPONSE",U58,IF(T58="HOLD — NEEDS RESEARCH",IF(U58&lt;&gt;"",U58,"HOLD — NEEDS RESEARCH"),IF(T58="DEFER — NOT YET",IF(U58&lt;&gt;"",U58,"DEFER — NOT YET"),IF(T58="OPTION 1",O58,IF(T58="OPTION 2",U58,IF(T58="OPTION 3",Q58,IF(T58="OPTION 4",R58,""))))))))</f>
        <v>APPROVE AS WRITTEN</v>
      </c>
      <c r="Z58" s="23" t="str">
        <f aca="false">IF(T58="","OPEN",IF(T58="CUSTOM RESPONSE",IF(U58="","OPEN — CUSTOM TEXT REQUIRED",IF(W58="","RESOLVED — ADD INITIALS/DATE",IF(X58="","RESOLVED — ADD INITIALS/DATE","RESOLVED"))),IF(T58="HOLD — NEEDS RESEARCH",IF(W58="","HOLD — ADD INITIALS/DATE",IF(X58="","HOLD — ADD INITIALS/DATE","HOLD")),IF(T58="DEFER — NOT YET",IF(W58="","DEFERRED — ADD INITIALS/DATE",IF(X58="","DEFERRED — ADD INITIALS/DATE","DEFERRED")),IF(T58="OPTION 1",IF(W58="","RESOLVED — ADD INITIALS/DATE",IF(X58="","RESOLVED — ADD INITIALS/DATE","RESOLVED")),IF(T58="OPTION 2",IF(U58="","OPEN — CUSTOM TEXT REQUIRED",IF(W58="","RESOLVED — ADD INITIALS/DATE",IF(X58="","RESOLVED — ADD INITIALS/DATE","RESOLVED"))),IF(T58="OPTION 3",IF(W58="","HOLD — ADD INITIALS/DATE",IF(X58="","HOLD — ADD INITIALS/DATE","HOLD")),IF(T58="OPTION 4",IF(W58="","HOLD — ADD INITIALS/DATE",IF(X58="","HOLD — ADD INITIALS/DATE","HOLD")),IF(W58="","RESOLVED — ADD INITIALS/DATE",IF(X58="","RESOLVED — ADD INITIALS/DATE","RESOLVED"))))))))))</f>
        <v>RESOLVED</v>
      </c>
      <c r="AA58" s="23" t="s">
        <v>380</v>
      </c>
      <c r="AB58" s="23" t="s">
        <v>4589</v>
      </c>
      <c r="AC58" s="23" t="s">
        <v>4732</v>
      </c>
      <c r="AD58" s="23"/>
      <c r="AE58" s="23" t="s">
        <v>621</v>
      </c>
      <c r="AF58" s="23" t="str">
        <f aca="false">IF(F58&lt;&gt;"READY","NO",IF(Z58="OPEN","YES",IF(Z58="OPEN — CUSTOM TEXT REQUIRED","YES",IF(Z58="RESOLVED — ADD INITIALS/DATE","YES",IF(Z58="HOLD — ADD INITIALS/DATE","YES",IF(Z58="DEFERRED — ADD INITIALS/DATE","YES","NO"))))))</f>
        <v>NO</v>
      </c>
      <c r="AG58" s="23" t="str">
        <f aca="false">IF(AF58&lt;&gt;"YES","",IF(A58=IFERROR(MATCH("YES",$AF$2:$AF$105,0),0),"CURRENT",""))</f>
        <v/>
      </c>
      <c r="AH58" s="25" t="str">
        <f aca="false">IF(COUNTIF($B$2:$B$105,B58)&gt;1,"DUPLICATE","")</f>
        <v/>
      </c>
    </row>
    <row r="59" customFormat="false" ht="15.75" hidden="false" customHeight="true" outlineLevel="0" collapsed="false">
      <c r="A59" s="9" t="n">
        <v>58</v>
      </c>
      <c r="B59" s="9" t="s">
        <v>4745</v>
      </c>
      <c r="C59" s="9" t="s">
        <v>4578</v>
      </c>
      <c r="D59" s="9" t="s">
        <v>4579</v>
      </c>
      <c r="E59" s="9" t="s">
        <v>1857</v>
      </c>
      <c r="F59" s="9" t="s">
        <v>874</v>
      </c>
      <c r="G59" s="9" t="s">
        <v>2899</v>
      </c>
      <c r="H59" s="9" t="s">
        <v>622</v>
      </c>
      <c r="I59" s="9" t="s">
        <v>4746</v>
      </c>
      <c r="J59" s="9" t="s">
        <v>4747</v>
      </c>
      <c r="K59" s="9" t="s">
        <v>4582</v>
      </c>
      <c r="L59" s="9" t="s">
        <v>4748</v>
      </c>
      <c r="M59" s="9" t="s">
        <v>4584</v>
      </c>
      <c r="N59" s="9" t="s">
        <v>4585</v>
      </c>
      <c r="O59" s="9" t="s">
        <v>4556</v>
      </c>
      <c r="P59" s="9" t="s">
        <v>4586</v>
      </c>
      <c r="Q59" s="9" t="s">
        <v>4587</v>
      </c>
      <c r="R59" s="9" t="s">
        <v>4588</v>
      </c>
      <c r="S59" s="9" t="s">
        <v>4505</v>
      </c>
      <c r="T59" s="22" t="str">
        <f aca="false">'Author Response Entry'!$D$59</f>
        <v>OPTION 1</v>
      </c>
      <c r="U59" s="23" t="n">
        <f aca="false">'Author Response Entry'!$E$59</f>
        <v>0</v>
      </c>
      <c r="V59" s="23" t="str">
        <f aca="false">'Author Response Entry'!$F$59</f>
        <v>Approved as written (batch sign-off 2026-09-09).</v>
      </c>
      <c r="W59" s="23" t="str">
        <f aca="false">'Author Response Entry'!$G$59</f>
        <v>AJP</v>
      </c>
      <c r="X59" s="24" t="n">
        <f aca="false">'Author Response Entry'!$H$59</f>
        <v>46274</v>
      </c>
      <c r="Y59" s="23" t="str">
        <f aca="false">IF(T59="","",IF(T59="CUSTOM RESPONSE",U59,IF(T59="HOLD — NEEDS RESEARCH",IF(U59&lt;&gt;"",U59,"HOLD — NEEDS RESEARCH"),IF(T59="DEFER — NOT YET",IF(U59&lt;&gt;"",U59,"DEFER — NOT YET"),IF(T59="OPTION 1",O59,IF(T59="OPTION 2",U59,IF(T59="OPTION 3",Q59,IF(T59="OPTION 4",R59,""))))))))</f>
        <v>APPROVE AS WRITTEN</v>
      </c>
      <c r="Z59" s="23" t="str">
        <f aca="false">IF(T59="","OPEN",IF(T59="CUSTOM RESPONSE",IF(U59="","OPEN — CUSTOM TEXT REQUIRED",IF(W59="","RESOLVED — ADD INITIALS/DATE",IF(X59="","RESOLVED — ADD INITIALS/DATE","RESOLVED"))),IF(T59="HOLD — NEEDS RESEARCH",IF(W59="","HOLD — ADD INITIALS/DATE",IF(X59="","HOLD — ADD INITIALS/DATE","HOLD")),IF(T59="DEFER — NOT YET",IF(W59="","DEFERRED — ADD INITIALS/DATE",IF(X59="","DEFERRED — ADD INITIALS/DATE","DEFERRED")),IF(T59="OPTION 1",IF(W59="","RESOLVED — ADD INITIALS/DATE",IF(X59="","RESOLVED — ADD INITIALS/DATE","RESOLVED")),IF(T59="OPTION 2",IF(U59="","OPEN — CUSTOM TEXT REQUIRED",IF(W59="","RESOLVED — ADD INITIALS/DATE",IF(X59="","RESOLVED — ADD INITIALS/DATE","RESOLVED"))),IF(T59="OPTION 3",IF(W59="","HOLD — ADD INITIALS/DATE",IF(X59="","HOLD — ADD INITIALS/DATE","HOLD")),IF(T59="OPTION 4",IF(W59="","HOLD — ADD INITIALS/DATE",IF(X59="","HOLD — ADD INITIALS/DATE","HOLD")),IF(W59="","RESOLVED — ADD INITIALS/DATE",IF(X59="","RESOLVED — ADD INITIALS/DATE","RESOLVED"))))))))))</f>
        <v>RESOLVED</v>
      </c>
      <c r="AA59" s="23" t="s">
        <v>380</v>
      </c>
      <c r="AB59" s="23" t="s">
        <v>4589</v>
      </c>
      <c r="AC59" s="23" t="s">
        <v>4732</v>
      </c>
      <c r="AD59" s="23"/>
      <c r="AE59" s="23" t="s">
        <v>625</v>
      </c>
      <c r="AF59" s="23" t="str">
        <f aca="false">IF(F59&lt;&gt;"READY","NO",IF(Z59="OPEN","YES",IF(Z59="OPEN — CUSTOM TEXT REQUIRED","YES",IF(Z59="RESOLVED — ADD INITIALS/DATE","YES",IF(Z59="HOLD — ADD INITIALS/DATE","YES",IF(Z59="DEFERRED — ADD INITIALS/DATE","YES","NO"))))))</f>
        <v>NO</v>
      </c>
      <c r="AG59" s="23" t="str">
        <f aca="false">IF(AF59&lt;&gt;"YES","",IF(A59=IFERROR(MATCH("YES",$AF$2:$AF$105,0),0),"CURRENT",""))</f>
        <v/>
      </c>
      <c r="AH59" s="25" t="str">
        <f aca="false">IF(COUNTIF($B$2:$B$105,B59)&gt;1,"DUPLICATE","")</f>
        <v/>
      </c>
    </row>
    <row r="60" customFormat="false" ht="15.75" hidden="false" customHeight="true" outlineLevel="0" collapsed="false">
      <c r="A60" s="9" t="n">
        <v>59</v>
      </c>
      <c r="B60" s="9" t="s">
        <v>4749</v>
      </c>
      <c r="C60" s="9" t="s">
        <v>4578</v>
      </c>
      <c r="D60" s="9" t="s">
        <v>4579</v>
      </c>
      <c r="E60" s="9" t="s">
        <v>1857</v>
      </c>
      <c r="F60" s="9" t="s">
        <v>874</v>
      </c>
      <c r="G60" s="9" t="s">
        <v>2899</v>
      </c>
      <c r="H60" s="9" t="s">
        <v>626</v>
      </c>
      <c r="I60" s="9" t="s">
        <v>4750</v>
      </c>
      <c r="J60" s="9" t="s">
        <v>4751</v>
      </c>
      <c r="K60" s="9" t="s">
        <v>4582</v>
      </c>
      <c r="L60" s="9" t="s">
        <v>4752</v>
      </c>
      <c r="M60" s="9" t="s">
        <v>4584</v>
      </c>
      <c r="N60" s="9" t="s">
        <v>4585</v>
      </c>
      <c r="O60" s="9" t="s">
        <v>4556</v>
      </c>
      <c r="P60" s="9" t="s">
        <v>4586</v>
      </c>
      <c r="Q60" s="9" t="s">
        <v>4587</v>
      </c>
      <c r="R60" s="9" t="s">
        <v>4588</v>
      </c>
      <c r="S60" s="9" t="s">
        <v>4505</v>
      </c>
      <c r="T60" s="22" t="str">
        <f aca="false">'Author Response Entry'!$D$60</f>
        <v>OPTION 1</v>
      </c>
      <c r="U60" s="23" t="n">
        <f aca="false">'Author Response Entry'!$E$60</f>
        <v>0</v>
      </c>
      <c r="V60" s="23" t="str">
        <f aca="false">'Author Response Entry'!$F$60</f>
        <v>Approved as written (batch sign-off 2026-09-09).</v>
      </c>
      <c r="W60" s="23" t="str">
        <f aca="false">'Author Response Entry'!$G$60</f>
        <v>AJP</v>
      </c>
      <c r="X60" s="24" t="n">
        <f aca="false">'Author Response Entry'!$H$60</f>
        <v>46274</v>
      </c>
      <c r="Y60" s="23" t="str">
        <f aca="false">IF(T60="","",IF(T60="CUSTOM RESPONSE",U60,IF(T60="HOLD — NEEDS RESEARCH",IF(U60&lt;&gt;"",U60,"HOLD — NEEDS RESEARCH"),IF(T60="DEFER — NOT YET",IF(U60&lt;&gt;"",U60,"DEFER — NOT YET"),IF(T60="OPTION 1",O60,IF(T60="OPTION 2",U60,IF(T60="OPTION 3",Q60,IF(T60="OPTION 4",R60,""))))))))</f>
        <v>APPROVE AS WRITTEN</v>
      </c>
      <c r="Z60" s="23" t="str">
        <f aca="false">IF(T60="","OPEN",IF(T60="CUSTOM RESPONSE",IF(U60="","OPEN — CUSTOM TEXT REQUIRED",IF(W60="","RESOLVED — ADD INITIALS/DATE",IF(X60="","RESOLVED — ADD INITIALS/DATE","RESOLVED"))),IF(T60="HOLD — NEEDS RESEARCH",IF(W60="","HOLD — ADD INITIALS/DATE",IF(X60="","HOLD — ADD INITIALS/DATE","HOLD")),IF(T60="DEFER — NOT YET",IF(W60="","DEFERRED — ADD INITIALS/DATE",IF(X60="","DEFERRED — ADD INITIALS/DATE","DEFERRED")),IF(T60="OPTION 1",IF(W60="","RESOLVED — ADD INITIALS/DATE",IF(X60="","RESOLVED — ADD INITIALS/DATE","RESOLVED")),IF(T60="OPTION 2",IF(U60="","OPEN — CUSTOM TEXT REQUIRED",IF(W60="","RESOLVED — ADD INITIALS/DATE",IF(X60="","RESOLVED — ADD INITIALS/DATE","RESOLVED"))),IF(T60="OPTION 3",IF(W60="","HOLD — ADD INITIALS/DATE",IF(X60="","HOLD — ADD INITIALS/DATE","HOLD")),IF(T60="OPTION 4",IF(W60="","HOLD — ADD INITIALS/DATE",IF(X60="","HOLD — ADD INITIALS/DATE","HOLD")),IF(W60="","RESOLVED — ADD INITIALS/DATE",IF(X60="","RESOLVED — ADD INITIALS/DATE","RESOLVED"))))))))))</f>
        <v>RESOLVED</v>
      </c>
      <c r="AA60" s="23" t="s">
        <v>380</v>
      </c>
      <c r="AB60" s="23" t="s">
        <v>4589</v>
      </c>
      <c r="AC60" s="23" t="s">
        <v>4732</v>
      </c>
      <c r="AD60" s="23"/>
      <c r="AE60" s="23" t="s">
        <v>631</v>
      </c>
      <c r="AF60" s="23" t="str">
        <f aca="false">IF(F60&lt;&gt;"READY","NO",IF(Z60="OPEN","YES",IF(Z60="OPEN — CUSTOM TEXT REQUIRED","YES",IF(Z60="RESOLVED — ADD INITIALS/DATE","YES",IF(Z60="HOLD — ADD INITIALS/DATE","YES",IF(Z60="DEFERRED — ADD INITIALS/DATE","YES","NO"))))))</f>
        <v>NO</v>
      </c>
      <c r="AG60" s="23" t="str">
        <f aca="false">IF(AF60&lt;&gt;"YES","",IF(A60=IFERROR(MATCH("YES",$AF$2:$AF$105,0),0),"CURRENT",""))</f>
        <v/>
      </c>
      <c r="AH60" s="25" t="str">
        <f aca="false">IF(COUNTIF($B$2:$B$105,B60)&gt;1,"DUPLICATE","")</f>
        <v/>
      </c>
    </row>
    <row r="61" customFormat="false" ht="15.75" hidden="false" customHeight="true" outlineLevel="0" collapsed="false">
      <c r="A61" s="9" t="n">
        <v>60</v>
      </c>
      <c r="B61" s="9" t="s">
        <v>4753</v>
      </c>
      <c r="C61" s="9" t="s">
        <v>4578</v>
      </c>
      <c r="D61" s="9" t="s">
        <v>4579</v>
      </c>
      <c r="E61" s="9" t="s">
        <v>1857</v>
      </c>
      <c r="F61" s="9" t="s">
        <v>874</v>
      </c>
      <c r="G61" s="9" t="s">
        <v>2899</v>
      </c>
      <c r="H61" s="9" t="s">
        <v>632</v>
      </c>
      <c r="I61" s="9" t="s">
        <v>4754</v>
      </c>
      <c r="J61" s="9" t="s">
        <v>4755</v>
      </c>
      <c r="K61" s="9" t="s">
        <v>4582</v>
      </c>
      <c r="L61" s="9" t="s">
        <v>4756</v>
      </c>
      <c r="M61" s="9" t="s">
        <v>4584</v>
      </c>
      <c r="N61" s="9" t="s">
        <v>4585</v>
      </c>
      <c r="O61" s="9" t="s">
        <v>4556</v>
      </c>
      <c r="P61" s="9" t="s">
        <v>4586</v>
      </c>
      <c r="Q61" s="9" t="s">
        <v>4587</v>
      </c>
      <c r="R61" s="9" t="s">
        <v>4588</v>
      </c>
      <c r="S61" s="9" t="s">
        <v>4505</v>
      </c>
      <c r="T61" s="22" t="str">
        <f aca="false">'Author Response Entry'!$D$61</f>
        <v>OPTION 1</v>
      </c>
      <c r="U61" s="23" t="n">
        <f aca="false">'Author Response Entry'!$E$61</f>
        <v>0</v>
      </c>
      <c r="V61" s="23" t="str">
        <f aca="false">'Author Response Entry'!$F$61</f>
        <v>Approved as written (batch sign-off 2026-09-09).</v>
      </c>
      <c r="W61" s="23" t="str">
        <f aca="false">'Author Response Entry'!$G$61</f>
        <v>AJP</v>
      </c>
      <c r="X61" s="24" t="n">
        <f aca="false">'Author Response Entry'!$H$61</f>
        <v>46274</v>
      </c>
      <c r="Y61" s="23" t="str">
        <f aca="false">IF(T61="","",IF(T61="CUSTOM RESPONSE",U61,IF(T61="HOLD — NEEDS RESEARCH",IF(U61&lt;&gt;"",U61,"HOLD — NEEDS RESEARCH"),IF(T61="DEFER — NOT YET",IF(U61&lt;&gt;"",U61,"DEFER — NOT YET"),IF(T61="OPTION 1",O61,IF(T61="OPTION 2",U61,IF(T61="OPTION 3",Q61,IF(T61="OPTION 4",R61,""))))))))</f>
        <v>APPROVE AS WRITTEN</v>
      </c>
      <c r="Z61" s="23" t="str">
        <f aca="false">IF(T61="","OPEN",IF(T61="CUSTOM RESPONSE",IF(U61="","OPEN — CUSTOM TEXT REQUIRED",IF(W61="","RESOLVED — ADD INITIALS/DATE",IF(X61="","RESOLVED — ADD INITIALS/DATE","RESOLVED"))),IF(T61="HOLD — NEEDS RESEARCH",IF(W61="","HOLD — ADD INITIALS/DATE",IF(X61="","HOLD — ADD INITIALS/DATE","HOLD")),IF(T61="DEFER — NOT YET",IF(W61="","DEFERRED — ADD INITIALS/DATE",IF(X61="","DEFERRED — ADD INITIALS/DATE","DEFERRED")),IF(T61="OPTION 1",IF(W61="","RESOLVED — ADD INITIALS/DATE",IF(X61="","RESOLVED — ADD INITIALS/DATE","RESOLVED")),IF(T61="OPTION 2",IF(U61="","OPEN — CUSTOM TEXT REQUIRED",IF(W61="","RESOLVED — ADD INITIALS/DATE",IF(X61="","RESOLVED — ADD INITIALS/DATE","RESOLVED"))),IF(T61="OPTION 3",IF(W61="","HOLD — ADD INITIALS/DATE",IF(X61="","HOLD — ADD INITIALS/DATE","HOLD")),IF(T61="OPTION 4",IF(W61="","HOLD — ADD INITIALS/DATE",IF(X61="","HOLD — ADD INITIALS/DATE","HOLD")),IF(W61="","RESOLVED — ADD INITIALS/DATE",IF(X61="","RESOLVED — ADD INITIALS/DATE","RESOLVED"))))))))))</f>
        <v>RESOLVED</v>
      </c>
      <c r="AA61" s="23" t="s">
        <v>380</v>
      </c>
      <c r="AB61" s="23" t="s">
        <v>4589</v>
      </c>
      <c r="AC61" s="23" t="s">
        <v>4732</v>
      </c>
      <c r="AD61" s="23"/>
      <c r="AE61" s="23" t="s">
        <v>635</v>
      </c>
      <c r="AF61" s="23" t="str">
        <f aca="false">IF(F61&lt;&gt;"READY","NO",IF(Z61="OPEN","YES",IF(Z61="OPEN — CUSTOM TEXT REQUIRED","YES",IF(Z61="RESOLVED — ADD INITIALS/DATE","YES",IF(Z61="HOLD — ADD INITIALS/DATE","YES",IF(Z61="DEFERRED — ADD INITIALS/DATE","YES","NO"))))))</f>
        <v>NO</v>
      </c>
      <c r="AG61" s="23" t="str">
        <f aca="false">IF(AF61&lt;&gt;"YES","",IF(A61=IFERROR(MATCH("YES",$AF$2:$AF$105,0),0),"CURRENT",""))</f>
        <v/>
      </c>
      <c r="AH61" s="25" t="str">
        <f aca="false">IF(COUNTIF($B$2:$B$105,B61)&gt;1,"DUPLICATE","")</f>
        <v/>
      </c>
    </row>
    <row r="62" customFormat="false" ht="15.75" hidden="false" customHeight="true" outlineLevel="0" collapsed="false">
      <c r="A62" s="9" t="n">
        <v>61</v>
      </c>
      <c r="B62" s="9" t="s">
        <v>4757</v>
      </c>
      <c r="C62" s="9" t="s">
        <v>4578</v>
      </c>
      <c r="D62" s="9" t="s">
        <v>4579</v>
      </c>
      <c r="E62" s="9" t="s">
        <v>1857</v>
      </c>
      <c r="F62" s="9" t="s">
        <v>874</v>
      </c>
      <c r="G62" s="9" t="s">
        <v>2899</v>
      </c>
      <c r="H62" s="9" t="s">
        <v>636</v>
      </c>
      <c r="I62" s="9" t="s">
        <v>4758</v>
      </c>
      <c r="J62" s="9" t="s">
        <v>4759</v>
      </c>
      <c r="K62" s="9" t="s">
        <v>4582</v>
      </c>
      <c r="L62" s="9" t="s">
        <v>4760</v>
      </c>
      <c r="M62" s="9" t="s">
        <v>4584</v>
      </c>
      <c r="N62" s="9" t="s">
        <v>4585</v>
      </c>
      <c r="O62" s="9" t="s">
        <v>4556</v>
      </c>
      <c r="P62" s="9" t="s">
        <v>4586</v>
      </c>
      <c r="Q62" s="9" t="s">
        <v>4587</v>
      </c>
      <c r="R62" s="9" t="s">
        <v>4588</v>
      </c>
      <c r="S62" s="9" t="s">
        <v>4505</v>
      </c>
      <c r="T62" s="22" t="str">
        <f aca="false">'Author Response Entry'!$D$62</f>
        <v>OPTION 1</v>
      </c>
      <c r="U62" s="23" t="n">
        <f aca="false">'Author Response Entry'!$E$62</f>
        <v>0</v>
      </c>
      <c r="V62" s="23" t="str">
        <f aca="false">'Author Response Entry'!$F$62</f>
        <v>Approved as written (batch sign-off 2026-09-09).</v>
      </c>
      <c r="W62" s="23" t="str">
        <f aca="false">'Author Response Entry'!$G$62</f>
        <v>AJP</v>
      </c>
      <c r="X62" s="24" t="n">
        <f aca="false">'Author Response Entry'!$H$62</f>
        <v>46274</v>
      </c>
      <c r="Y62" s="23" t="str">
        <f aca="false">IF(T62="","",IF(T62="CUSTOM RESPONSE",U62,IF(T62="HOLD — NEEDS RESEARCH",IF(U62&lt;&gt;"",U62,"HOLD — NEEDS RESEARCH"),IF(T62="DEFER — NOT YET",IF(U62&lt;&gt;"",U62,"DEFER — NOT YET"),IF(T62="OPTION 1",O62,IF(T62="OPTION 2",U62,IF(T62="OPTION 3",Q62,IF(T62="OPTION 4",R62,""))))))))</f>
        <v>APPROVE AS WRITTEN</v>
      </c>
      <c r="Z62" s="23" t="str">
        <f aca="false">IF(T62="","OPEN",IF(T62="CUSTOM RESPONSE",IF(U62="","OPEN — CUSTOM TEXT REQUIRED",IF(W62="","RESOLVED — ADD INITIALS/DATE",IF(X62="","RESOLVED — ADD INITIALS/DATE","RESOLVED"))),IF(T62="HOLD — NEEDS RESEARCH",IF(W62="","HOLD — ADD INITIALS/DATE",IF(X62="","HOLD — ADD INITIALS/DATE","HOLD")),IF(T62="DEFER — NOT YET",IF(W62="","DEFERRED — ADD INITIALS/DATE",IF(X62="","DEFERRED — ADD INITIALS/DATE","DEFERRED")),IF(T62="OPTION 1",IF(W62="","RESOLVED — ADD INITIALS/DATE",IF(X62="","RESOLVED — ADD INITIALS/DATE","RESOLVED")),IF(T62="OPTION 2",IF(U62="","OPEN — CUSTOM TEXT REQUIRED",IF(W62="","RESOLVED — ADD INITIALS/DATE",IF(X62="","RESOLVED — ADD INITIALS/DATE","RESOLVED"))),IF(T62="OPTION 3",IF(W62="","HOLD — ADD INITIALS/DATE",IF(X62="","HOLD — ADD INITIALS/DATE","HOLD")),IF(T62="OPTION 4",IF(W62="","HOLD — ADD INITIALS/DATE",IF(X62="","HOLD — ADD INITIALS/DATE","HOLD")),IF(W62="","RESOLVED — ADD INITIALS/DATE",IF(X62="","RESOLVED — ADD INITIALS/DATE","RESOLVED"))))))))))</f>
        <v>RESOLVED</v>
      </c>
      <c r="AA62" s="23" t="s">
        <v>380</v>
      </c>
      <c r="AB62" s="23" t="s">
        <v>4589</v>
      </c>
      <c r="AC62" s="23" t="s">
        <v>4732</v>
      </c>
      <c r="AD62" s="23"/>
      <c r="AE62" s="23" t="s">
        <v>639</v>
      </c>
      <c r="AF62" s="23" t="str">
        <f aca="false">IF(F62&lt;&gt;"READY","NO",IF(Z62="OPEN","YES",IF(Z62="OPEN — CUSTOM TEXT REQUIRED","YES",IF(Z62="RESOLVED — ADD INITIALS/DATE","YES",IF(Z62="HOLD — ADD INITIALS/DATE","YES",IF(Z62="DEFERRED — ADD INITIALS/DATE","YES","NO"))))))</f>
        <v>NO</v>
      </c>
      <c r="AG62" s="23" t="str">
        <f aca="false">IF(AF62&lt;&gt;"YES","",IF(A62=IFERROR(MATCH("YES",$AF$2:$AF$105,0),0),"CURRENT",""))</f>
        <v/>
      </c>
      <c r="AH62" s="25" t="str">
        <f aca="false">IF(COUNTIF($B$2:$B$105,B62)&gt;1,"DUPLICATE","")</f>
        <v/>
      </c>
    </row>
    <row r="63" customFormat="false" ht="15.75" hidden="false" customHeight="true" outlineLevel="0" collapsed="false">
      <c r="A63" s="9" t="n">
        <v>62</v>
      </c>
      <c r="B63" s="9" t="s">
        <v>4761</v>
      </c>
      <c r="C63" s="9" t="s">
        <v>4578</v>
      </c>
      <c r="D63" s="9" t="s">
        <v>4579</v>
      </c>
      <c r="E63" s="9" t="s">
        <v>1857</v>
      </c>
      <c r="F63" s="9" t="s">
        <v>874</v>
      </c>
      <c r="G63" s="9" t="s">
        <v>2899</v>
      </c>
      <c r="H63" s="9" t="s">
        <v>640</v>
      </c>
      <c r="I63" s="9" t="s">
        <v>4762</v>
      </c>
      <c r="J63" s="9" t="s">
        <v>4763</v>
      </c>
      <c r="K63" s="9" t="s">
        <v>4582</v>
      </c>
      <c r="L63" s="9" t="s">
        <v>4764</v>
      </c>
      <c r="M63" s="9" t="s">
        <v>4584</v>
      </c>
      <c r="N63" s="9" t="s">
        <v>4585</v>
      </c>
      <c r="O63" s="9" t="s">
        <v>4556</v>
      </c>
      <c r="P63" s="9" t="s">
        <v>4586</v>
      </c>
      <c r="Q63" s="9" t="s">
        <v>4587</v>
      </c>
      <c r="R63" s="9" t="s">
        <v>4588</v>
      </c>
      <c r="S63" s="9" t="s">
        <v>4505</v>
      </c>
      <c r="T63" s="22" t="str">
        <f aca="false">'Author Response Entry'!$D$63</f>
        <v>OPTION 2</v>
      </c>
      <c r="U63" s="23" t="str">
        <f aca="false">'Author Response Entry'!$E$63</f>
        <v>summary → Denies that God can be moved or affected by His creatures (classical impassibility).</v>
      </c>
      <c r="V63" s="23" t="str">
        <f aca="false">'Author Response Entry'!$F$63</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63" s="23" t="str">
        <f aca="false">'Author Response Entry'!$G$63</f>
        <v>AJP</v>
      </c>
      <c r="X63" s="24" t="n">
        <f aca="false">'Author Response Entry'!$H$63</f>
        <v>46274</v>
      </c>
      <c r="Y63" s="23" t="str">
        <f aca="false">IF(T63="","",IF(T63="CUSTOM RESPONSE",U63,IF(T63="HOLD — NEEDS RESEARCH",IF(U63&lt;&gt;"",U63,"HOLD — NEEDS RESEARCH"),IF(T63="DEFER — NOT YET",IF(U63&lt;&gt;"",U63,"DEFER — NOT YET"),IF(T63="OPTION 1",O63,IF(T63="OPTION 2",U63,IF(T63="OPTION 3",Q63,IF(T63="OPTION 4",R63,""))))))))</f>
        <v>summary → Denies that God can be moved or affected by His creatures (classical impassibility).</v>
      </c>
      <c r="Z63" s="23" t="str">
        <f aca="false">IF(T63="","OPEN",IF(T63="CUSTOM RESPONSE",IF(U63="","OPEN — CUSTOM TEXT REQUIRED",IF(W63="","RESOLVED — ADD INITIALS/DATE",IF(X63="","RESOLVED — ADD INITIALS/DATE","RESOLVED"))),IF(T63="HOLD — NEEDS RESEARCH",IF(W63="","HOLD — ADD INITIALS/DATE",IF(X63="","HOLD — ADD INITIALS/DATE","HOLD")),IF(T63="DEFER — NOT YET",IF(W63="","DEFERRED — ADD INITIALS/DATE",IF(X63="","DEFERRED — ADD INITIALS/DATE","DEFERRED")),IF(T63="OPTION 1",IF(W63="","RESOLVED — ADD INITIALS/DATE",IF(X63="","RESOLVED — ADD INITIALS/DATE","RESOLVED")),IF(T63="OPTION 2",IF(U63="","OPEN — CUSTOM TEXT REQUIRED",IF(W63="","RESOLVED — ADD INITIALS/DATE",IF(X63="","RESOLVED — ADD INITIALS/DATE","RESOLVED"))),IF(T63="OPTION 3",IF(W63="","HOLD — ADD INITIALS/DATE",IF(X63="","HOLD — ADD INITIALS/DATE","HOLD")),IF(T63="OPTION 4",IF(W63="","HOLD — ADD INITIALS/DATE",IF(X63="","HOLD — ADD INITIALS/DATE","HOLD")),IF(W63="","RESOLVED — ADD INITIALS/DATE",IF(X63="","RESOLVED — ADD INITIALS/DATE","RESOLVED"))))))))))</f>
        <v>RESOLVED</v>
      </c>
      <c r="AA63" s="23" t="s">
        <v>380</v>
      </c>
      <c r="AB63" s="23" t="s">
        <v>4589</v>
      </c>
      <c r="AC63" s="23" t="s">
        <v>4732</v>
      </c>
      <c r="AD63" s="23"/>
      <c r="AE63" s="23" t="s">
        <v>643</v>
      </c>
      <c r="AF63" s="23" t="str">
        <f aca="false">IF(F63&lt;&gt;"READY","NO",IF(Z63="OPEN","YES",IF(Z63="OPEN — CUSTOM TEXT REQUIRED","YES",IF(Z63="RESOLVED — ADD INITIALS/DATE","YES",IF(Z63="HOLD — ADD INITIALS/DATE","YES",IF(Z63="DEFERRED — ADD INITIALS/DATE","YES","NO"))))))</f>
        <v>NO</v>
      </c>
      <c r="AG63" s="23" t="str">
        <f aca="false">IF(AF63&lt;&gt;"YES","",IF(A63=IFERROR(MATCH("YES",$AF$2:$AF$105,0),0),"CURRENT",""))</f>
        <v/>
      </c>
      <c r="AH63" s="25" t="str">
        <f aca="false">IF(COUNTIF($B$2:$B$105,B63)&gt;1,"DUPLICATE","")</f>
        <v/>
      </c>
    </row>
    <row r="64" customFormat="false" ht="15.75" hidden="false" customHeight="true" outlineLevel="0" collapsed="false">
      <c r="A64" s="9" t="n">
        <v>63</v>
      </c>
      <c r="B64" s="9" t="s">
        <v>4765</v>
      </c>
      <c r="C64" s="9" t="s">
        <v>4578</v>
      </c>
      <c r="D64" s="9" t="s">
        <v>4579</v>
      </c>
      <c r="E64" s="9" t="s">
        <v>1857</v>
      </c>
      <c r="F64" s="9" t="s">
        <v>874</v>
      </c>
      <c r="G64" s="9" t="s">
        <v>2899</v>
      </c>
      <c r="H64" s="9" t="s">
        <v>644</v>
      </c>
      <c r="I64" s="9" t="s">
        <v>4766</v>
      </c>
      <c r="J64" s="9" t="s">
        <v>4767</v>
      </c>
      <c r="K64" s="9" t="s">
        <v>4582</v>
      </c>
      <c r="L64" s="9" t="s">
        <v>4768</v>
      </c>
      <c r="M64" s="9" t="s">
        <v>4584</v>
      </c>
      <c r="N64" s="9" t="s">
        <v>4585</v>
      </c>
      <c r="O64" s="9" t="s">
        <v>4556</v>
      </c>
      <c r="P64" s="9" t="s">
        <v>4586</v>
      </c>
      <c r="Q64" s="9" t="s">
        <v>4587</v>
      </c>
      <c r="R64" s="9" t="s">
        <v>4588</v>
      </c>
      <c r="S64" s="9" t="s">
        <v>4505</v>
      </c>
      <c r="T64" s="22" t="str">
        <f aca="false">'Author Response Entry'!$D$64</f>
        <v>OPTION 1</v>
      </c>
      <c r="U64" s="23" t="n">
        <f aca="false">'Author Response Entry'!$E$64</f>
        <v>0</v>
      </c>
      <c r="V64" s="23" t="str">
        <f aca="false">'Author Response Entry'!$F$64</f>
        <v>Approved as written (batch sign-off 2026-09-09).</v>
      </c>
      <c r="W64" s="23" t="str">
        <f aca="false">'Author Response Entry'!$G$64</f>
        <v>AJP</v>
      </c>
      <c r="X64" s="24" t="n">
        <f aca="false">'Author Response Entry'!$H$64</f>
        <v>46274</v>
      </c>
      <c r="Y64" s="23" t="str">
        <f aca="false">IF(T64="","",IF(T64="CUSTOM RESPONSE",U64,IF(T64="HOLD — NEEDS RESEARCH",IF(U64&lt;&gt;"",U64,"HOLD — NEEDS RESEARCH"),IF(T64="DEFER — NOT YET",IF(U64&lt;&gt;"",U64,"DEFER — NOT YET"),IF(T64="OPTION 1",O64,IF(T64="OPTION 2",U64,IF(T64="OPTION 3",Q64,IF(T64="OPTION 4",R64,""))))))))</f>
        <v>APPROVE AS WRITTEN</v>
      </c>
      <c r="Z64" s="23" t="str">
        <f aca="false">IF(T64="","OPEN",IF(T64="CUSTOM RESPONSE",IF(U64="","OPEN — CUSTOM TEXT REQUIRED",IF(W64="","RESOLVED — ADD INITIALS/DATE",IF(X64="","RESOLVED — ADD INITIALS/DATE","RESOLVED"))),IF(T64="HOLD — NEEDS RESEARCH",IF(W64="","HOLD — ADD INITIALS/DATE",IF(X64="","HOLD — ADD INITIALS/DATE","HOLD")),IF(T64="DEFER — NOT YET",IF(W64="","DEFERRED — ADD INITIALS/DATE",IF(X64="","DEFERRED — ADD INITIALS/DATE","DEFERRED")),IF(T64="OPTION 1",IF(W64="","RESOLVED — ADD INITIALS/DATE",IF(X64="","RESOLVED — ADD INITIALS/DATE","RESOLVED")),IF(T64="OPTION 2",IF(U64="","OPEN — CUSTOM TEXT REQUIRED",IF(W64="","RESOLVED — ADD INITIALS/DATE",IF(X64="","RESOLVED — ADD INITIALS/DATE","RESOLVED"))),IF(T64="OPTION 3",IF(W64="","HOLD — ADD INITIALS/DATE",IF(X64="","HOLD — ADD INITIALS/DATE","HOLD")),IF(T64="OPTION 4",IF(W64="","HOLD — ADD INITIALS/DATE",IF(X64="","HOLD — ADD INITIALS/DATE","HOLD")),IF(W64="","RESOLVED — ADD INITIALS/DATE",IF(X64="","RESOLVED — ADD INITIALS/DATE","RESOLVED"))))))))))</f>
        <v>RESOLVED</v>
      </c>
      <c r="AA64" s="23" t="s">
        <v>380</v>
      </c>
      <c r="AB64" s="23" t="s">
        <v>4589</v>
      </c>
      <c r="AC64" s="23" t="s">
        <v>4732</v>
      </c>
      <c r="AD64" s="23"/>
      <c r="AE64" s="23" t="s">
        <v>647</v>
      </c>
      <c r="AF64" s="23" t="str">
        <f aca="false">IF(F64&lt;&gt;"READY","NO",IF(Z64="OPEN","YES",IF(Z64="OPEN — CUSTOM TEXT REQUIRED","YES",IF(Z64="RESOLVED — ADD INITIALS/DATE","YES",IF(Z64="HOLD — ADD INITIALS/DATE","YES",IF(Z64="DEFERRED — ADD INITIALS/DATE","YES","NO"))))))</f>
        <v>NO</v>
      </c>
      <c r="AG64" s="23" t="str">
        <f aca="false">IF(AF64&lt;&gt;"YES","",IF(A64=IFERROR(MATCH("YES",$AF$2:$AF$105,0),0),"CURRENT",""))</f>
        <v/>
      </c>
      <c r="AH64" s="25" t="str">
        <f aca="false">IF(COUNTIF($B$2:$B$105,B64)&gt;1,"DUPLICATE","")</f>
        <v/>
      </c>
    </row>
    <row r="65" customFormat="false" ht="15.75" hidden="false" customHeight="true" outlineLevel="0" collapsed="false">
      <c r="A65" s="9" t="n">
        <v>64</v>
      </c>
      <c r="B65" s="9" t="s">
        <v>4769</v>
      </c>
      <c r="C65" s="9" t="s">
        <v>4578</v>
      </c>
      <c r="D65" s="9" t="s">
        <v>4579</v>
      </c>
      <c r="E65" s="9" t="s">
        <v>1857</v>
      </c>
      <c r="F65" s="9" t="s">
        <v>874</v>
      </c>
      <c r="G65" s="9" t="s">
        <v>2899</v>
      </c>
      <c r="H65" s="9" t="s">
        <v>648</v>
      </c>
      <c r="I65" s="9" t="s">
        <v>4770</v>
      </c>
      <c r="J65" s="9" t="s">
        <v>4771</v>
      </c>
      <c r="K65" s="9" t="s">
        <v>4582</v>
      </c>
      <c r="L65" s="9" t="s">
        <v>4772</v>
      </c>
      <c r="M65" s="9" t="s">
        <v>4584</v>
      </c>
      <c r="N65" s="9" t="s">
        <v>4585</v>
      </c>
      <c r="O65" s="9" t="s">
        <v>4556</v>
      </c>
      <c r="P65" s="9" t="s">
        <v>4586</v>
      </c>
      <c r="Q65" s="9" t="s">
        <v>4587</v>
      </c>
      <c r="R65" s="9" t="s">
        <v>4588</v>
      </c>
      <c r="S65" s="9" t="s">
        <v>4505</v>
      </c>
      <c r="T65" s="22" t="str">
        <f aca="false">'Author Response Entry'!$D$65</f>
        <v>OPTION 2</v>
      </c>
      <c r="U65" s="23" t="str">
        <f aca="false">'Author Response Entry'!$E$65</f>
        <v>summary → God is eternal — without beginning or end.</v>
      </c>
      <c r="V65" s="23" t="str">
        <f aca="false">'Author Response Entry'!$F$65</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65" s="23" t="str">
        <f aca="false">'Author Response Entry'!$G$65</f>
        <v>AJP</v>
      </c>
      <c r="X65" s="24" t="n">
        <f aca="false">'Author Response Entry'!$H$65</f>
        <v>46274</v>
      </c>
      <c r="Y65" s="23" t="str">
        <f aca="false">IF(T65="","",IF(T65="CUSTOM RESPONSE",U65,IF(T65="HOLD — NEEDS RESEARCH",IF(U65&lt;&gt;"",U65,"HOLD — NEEDS RESEARCH"),IF(T65="DEFER — NOT YET",IF(U65&lt;&gt;"",U65,"DEFER — NOT YET"),IF(T65="OPTION 1",O65,IF(T65="OPTION 2",U65,IF(T65="OPTION 3",Q65,IF(T65="OPTION 4",R65,""))))))))</f>
        <v>summary → God is eternal — without beginning or end.</v>
      </c>
      <c r="Z65" s="23" t="str">
        <f aca="false">IF(T65="","OPEN",IF(T65="CUSTOM RESPONSE",IF(U65="","OPEN — CUSTOM TEXT REQUIRED",IF(W65="","RESOLVED — ADD INITIALS/DATE",IF(X65="","RESOLVED — ADD INITIALS/DATE","RESOLVED"))),IF(T65="HOLD — NEEDS RESEARCH",IF(W65="","HOLD — ADD INITIALS/DATE",IF(X65="","HOLD — ADD INITIALS/DATE","HOLD")),IF(T65="DEFER — NOT YET",IF(W65="","DEFERRED — ADD INITIALS/DATE",IF(X65="","DEFERRED — ADD INITIALS/DATE","DEFERRED")),IF(T65="OPTION 1",IF(W65="","RESOLVED — ADD INITIALS/DATE",IF(X65="","RESOLVED — ADD INITIALS/DATE","RESOLVED")),IF(T65="OPTION 2",IF(U65="","OPEN — CUSTOM TEXT REQUIRED",IF(W65="","RESOLVED — ADD INITIALS/DATE",IF(X65="","RESOLVED — ADD INITIALS/DATE","RESOLVED"))),IF(T65="OPTION 3",IF(W65="","HOLD — ADD INITIALS/DATE",IF(X65="","HOLD — ADD INITIALS/DATE","HOLD")),IF(T65="OPTION 4",IF(W65="","HOLD — ADD INITIALS/DATE",IF(X65="","HOLD — ADD INITIALS/DATE","HOLD")),IF(W65="","RESOLVED — ADD INITIALS/DATE",IF(X65="","RESOLVED — ADD INITIALS/DATE","RESOLVED"))))))))))</f>
        <v>RESOLVED</v>
      </c>
      <c r="AA65" s="23" t="s">
        <v>380</v>
      </c>
      <c r="AB65" s="23" t="s">
        <v>4589</v>
      </c>
      <c r="AC65" s="23" t="s">
        <v>4732</v>
      </c>
      <c r="AD65" s="23"/>
      <c r="AE65" s="23" t="s">
        <v>652</v>
      </c>
      <c r="AF65" s="23" t="str">
        <f aca="false">IF(F65&lt;&gt;"READY","NO",IF(Z65="OPEN","YES",IF(Z65="OPEN — CUSTOM TEXT REQUIRED","YES",IF(Z65="RESOLVED — ADD INITIALS/DATE","YES",IF(Z65="HOLD — ADD INITIALS/DATE","YES",IF(Z65="DEFERRED — ADD INITIALS/DATE","YES","NO"))))))</f>
        <v>NO</v>
      </c>
      <c r="AG65" s="23" t="str">
        <f aca="false">IF(AF65&lt;&gt;"YES","",IF(A65=IFERROR(MATCH("YES",$AF$2:$AF$105,0),0),"CURRENT",""))</f>
        <v/>
      </c>
      <c r="AH65" s="25" t="str">
        <f aca="false">IF(COUNTIF($B$2:$B$105,B65)&gt;1,"DUPLICATE","")</f>
        <v/>
      </c>
    </row>
    <row r="66" customFormat="false" ht="15.75" hidden="false" customHeight="true" outlineLevel="0" collapsed="false">
      <c r="A66" s="9" t="n">
        <v>65</v>
      </c>
      <c r="B66" s="9" t="s">
        <v>4773</v>
      </c>
      <c r="C66" s="9" t="s">
        <v>4578</v>
      </c>
      <c r="D66" s="9" t="s">
        <v>4579</v>
      </c>
      <c r="E66" s="9" t="s">
        <v>113</v>
      </c>
      <c r="F66" s="9" t="s">
        <v>874</v>
      </c>
      <c r="G66" s="9" t="s">
        <v>2899</v>
      </c>
      <c r="H66" s="9" t="s">
        <v>653</v>
      </c>
      <c r="I66" s="9" t="s">
        <v>4774</v>
      </c>
      <c r="J66" s="9" t="s">
        <v>4775</v>
      </c>
      <c r="K66" s="9" t="s">
        <v>4582</v>
      </c>
      <c r="L66" s="9" t="s">
        <v>4776</v>
      </c>
      <c r="M66" s="9" t="s">
        <v>4584</v>
      </c>
      <c r="N66" s="9" t="s">
        <v>4585</v>
      </c>
      <c r="O66" s="9" t="s">
        <v>4556</v>
      </c>
      <c r="P66" s="9" t="s">
        <v>4586</v>
      </c>
      <c r="Q66" s="9" t="s">
        <v>4587</v>
      </c>
      <c r="R66" s="9" t="s">
        <v>4588</v>
      </c>
      <c r="S66" s="9" t="s">
        <v>4505</v>
      </c>
      <c r="T66" s="22" t="str">
        <f aca="false">'Author Response Entry'!$D$66</f>
        <v>OPTION 2</v>
      </c>
      <c r="U66" s="23" t="str">
        <f aca="false">'Author Response Entry'!$E$66</f>
        <v>summary → God cannot be fully comprehended.</v>
      </c>
      <c r="V66" s="23" t="str">
        <f aca="false">'Author Response Entry'!$F$66</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66" s="23" t="str">
        <f aca="false">'Author Response Entry'!$G$66</f>
        <v>AJP</v>
      </c>
      <c r="X66" s="24" t="n">
        <f aca="false">'Author Response Entry'!$H$66</f>
        <v>46274</v>
      </c>
      <c r="Y66" s="23" t="str">
        <f aca="false">IF(T66="","",IF(T66="CUSTOM RESPONSE",U66,IF(T66="HOLD — NEEDS RESEARCH",IF(U66&lt;&gt;"",U66,"HOLD — NEEDS RESEARCH"),IF(T66="DEFER — NOT YET",IF(U66&lt;&gt;"",U66,"DEFER — NOT YET"),IF(T66="OPTION 1",O66,IF(T66="OPTION 2",U66,IF(T66="OPTION 3",Q66,IF(T66="OPTION 4",R66,""))))))))</f>
        <v>summary → God cannot be fully comprehended.</v>
      </c>
      <c r="Z66" s="23" t="str">
        <f aca="false">IF(T66="","OPEN",IF(T66="CUSTOM RESPONSE",IF(U66="","OPEN — CUSTOM TEXT REQUIRED",IF(W66="","RESOLVED — ADD INITIALS/DATE",IF(X66="","RESOLVED — ADD INITIALS/DATE","RESOLVED"))),IF(T66="HOLD — NEEDS RESEARCH",IF(W66="","HOLD — ADD INITIALS/DATE",IF(X66="","HOLD — ADD INITIALS/DATE","HOLD")),IF(T66="DEFER — NOT YET",IF(W66="","DEFERRED — ADD INITIALS/DATE",IF(X66="","DEFERRED — ADD INITIALS/DATE","DEFERRED")),IF(T66="OPTION 1",IF(W66="","RESOLVED — ADD INITIALS/DATE",IF(X66="","RESOLVED — ADD INITIALS/DATE","RESOLVED")),IF(T66="OPTION 2",IF(U66="","OPEN — CUSTOM TEXT REQUIRED",IF(W66="","RESOLVED — ADD INITIALS/DATE",IF(X66="","RESOLVED — ADD INITIALS/DATE","RESOLVED"))),IF(T66="OPTION 3",IF(W66="","HOLD — ADD INITIALS/DATE",IF(X66="","HOLD — ADD INITIALS/DATE","HOLD")),IF(T66="OPTION 4",IF(W66="","HOLD — ADD INITIALS/DATE",IF(X66="","HOLD — ADD INITIALS/DATE","HOLD")),IF(W66="","RESOLVED — ADD INITIALS/DATE",IF(X66="","RESOLVED — ADD INITIALS/DATE","RESOLVED"))))))))))</f>
        <v>RESOLVED</v>
      </c>
      <c r="AA66" s="23" t="s">
        <v>380</v>
      </c>
      <c r="AB66" s="23" t="s">
        <v>4589</v>
      </c>
      <c r="AC66" s="23" t="s">
        <v>4732</v>
      </c>
      <c r="AD66" s="23"/>
      <c r="AE66" s="23" t="s">
        <v>657</v>
      </c>
      <c r="AF66" s="23" t="str">
        <f aca="false">IF(F66&lt;&gt;"READY","NO",IF(Z66="OPEN","YES",IF(Z66="OPEN — CUSTOM TEXT REQUIRED","YES",IF(Z66="RESOLVED — ADD INITIALS/DATE","YES",IF(Z66="HOLD — ADD INITIALS/DATE","YES",IF(Z66="DEFERRED — ADD INITIALS/DATE","YES","NO"))))))</f>
        <v>NO</v>
      </c>
      <c r="AG66" s="23" t="str">
        <f aca="false">IF(AF66&lt;&gt;"YES","",IF(A66=IFERROR(MATCH("YES",$AF$2:$AF$105,0),0),"CURRENT",""))</f>
        <v/>
      </c>
      <c r="AH66" s="25" t="str">
        <f aca="false">IF(COUNTIF($B$2:$B$105,B66)&gt;1,"DUPLICATE","")</f>
        <v/>
      </c>
    </row>
    <row r="67" customFormat="false" ht="15.75" hidden="false" customHeight="true" outlineLevel="0" collapsed="false">
      <c r="A67" s="9" t="n">
        <v>66</v>
      </c>
      <c r="B67" s="9" t="s">
        <v>4777</v>
      </c>
      <c r="C67" s="9" t="s">
        <v>4578</v>
      </c>
      <c r="D67" s="9" t="s">
        <v>4579</v>
      </c>
      <c r="E67" s="9" t="s">
        <v>113</v>
      </c>
      <c r="F67" s="9" t="s">
        <v>874</v>
      </c>
      <c r="G67" s="9" t="s">
        <v>2899</v>
      </c>
      <c r="H67" s="9" t="s">
        <v>658</v>
      </c>
      <c r="I67" s="9" t="s">
        <v>4778</v>
      </c>
      <c r="J67" s="9" t="s">
        <v>4779</v>
      </c>
      <c r="K67" s="9" t="s">
        <v>4582</v>
      </c>
      <c r="L67" s="9" t="s">
        <v>4780</v>
      </c>
      <c r="M67" s="9" t="s">
        <v>4584</v>
      </c>
      <c r="N67" s="9" t="s">
        <v>4585</v>
      </c>
      <c r="O67" s="9" t="s">
        <v>4556</v>
      </c>
      <c r="P67" s="9" t="s">
        <v>4586</v>
      </c>
      <c r="Q67" s="9" t="s">
        <v>4587</v>
      </c>
      <c r="R67" s="9" t="s">
        <v>4588</v>
      </c>
      <c r="S67" s="9" t="s">
        <v>4505</v>
      </c>
      <c r="T67" s="22" t="str">
        <f aca="false">'Author Response Entry'!$D$67</f>
        <v>OPTION 2</v>
      </c>
      <c r="U67" s="23" t="str">
        <f aca="false">'Author Response Entry'!$E$67</f>
        <v>summary → God cannot be fully put into words.</v>
      </c>
      <c r="V67" s="23" t="str">
        <f aca="false">'Author Response Entry'!$F$67</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67" s="23" t="str">
        <f aca="false">'Author Response Entry'!$G$67</f>
        <v>AJP</v>
      </c>
      <c r="X67" s="24" t="n">
        <f aca="false">'Author Response Entry'!$H$67</f>
        <v>46274</v>
      </c>
      <c r="Y67" s="23" t="str">
        <f aca="false">IF(T67="","",IF(T67="CUSTOM RESPONSE",U67,IF(T67="HOLD — NEEDS RESEARCH",IF(U67&lt;&gt;"",U67,"HOLD — NEEDS RESEARCH"),IF(T67="DEFER — NOT YET",IF(U67&lt;&gt;"",U67,"DEFER — NOT YET"),IF(T67="OPTION 1",O67,IF(T67="OPTION 2",U67,IF(T67="OPTION 3",Q67,IF(T67="OPTION 4",R67,""))))))))</f>
        <v>summary → God cannot be fully put into words.</v>
      </c>
      <c r="Z67" s="23" t="str">
        <f aca="false">IF(T67="","OPEN",IF(T67="CUSTOM RESPONSE",IF(U67="","OPEN — CUSTOM TEXT REQUIRED",IF(W67="","RESOLVED — ADD INITIALS/DATE",IF(X67="","RESOLVED — ADD INITIALS/DATE","RESOLVED"))),IF(T67="HOLD — NEEDS RESEARCH",IF(W67="","HOLD — ADD INITIALS/DATE",IF(X67="","HOLD — ADD INITIALS/DATE","HOLD")),IF(T67="DEFER — NOT YET",IF(W67="","DEFERRED — ADD INITIALS/DATE",IF(X67="","DEFERRED — ADD INITIALS/DATE","DEFERRED")),IF(T67="OPTION 1",IF(W67="","RESOLVED — ADD INITIALS/DATE",IF(X67="","RESOLVED — ADD INITIALS/DATE","RESOLVED")),IF(T67="OPTION 2",IF(U67="","OPEN — CUSTOM TEXT REQUIRED",IF(W67="","RESOLVED — ADD INITIALS/DATE",IF(X67="","RESOLVED — ADD INITIALS/DATE","RESOLVED"))),IF(T67="OPTION 3",IF(W67="","HOLD — ADD INITIALS/DATE",IF(X67="","HOLD — ADD INITIALS/DATE","HOLD")),IF(T67="OPTION 4",IF(W67="","HOLD — ADD INITIALS/DATE",IF(X67="","HOLD — ADD INITIALS/DATE","HOLD")),IF(W67="","RESOLVED — ADD INITIALS/DATE",IF(X67="","RESOLVED — ADD INITIALS/DATE","RESOLVED"))))))))))</f>
        <v>RESOLVED</v>
      </c>
      <c r="AA67" s="23" t="s">
        <v>380</v>
      </c>
      <c r="AB67" s="23" t="s">
        <v>4589</v>
      </c>
      <c r="AC67" s="23" t="s">
        <v>4732</v>
      </c>
      <c r="AD67" s="23"/>
      <c r="AE67" s="23" t="s">
        <v>657</v>
      </c>
      <c r="AF67" s="23" t="str">
        <f aca="false">IF(F67&lt;&gt;"READY","NO",IF(Z67="OPEN","YES",IF(Z67="OPEN — CUSTOM TEXT REQUIRED","YES",IF(Z67="RESOLVED — ADD INITIALS/DATE","YES",IF(Z67="HOLD — ADD INITIALS/DATE","YES",IF(Z67="DEFERRED — ADD INITIALS/DATE","YES","NO"))))))</f>
        <v>NO</v>
      </c>
      <c r="AG67" s="23" t="str">
        <f aca="false">IF(AF67&lt;&gt;"YES","",IF(A67=IFERROR(MATCH("YES",$AF$2:$AF$105,0),0),"CURRENT",""))</f>
        <v/>
      </c>
      <c r="AH67" s="25" t="str">
        <f aca="false">IF(COUNTIF($B$2:$B$105,B67)&gt;1,"DUPLICATE","")</f>
        <v/>
      </c>
    </row>
    <row r="68" customFormat="false" ht="15.75" hidden="false" customHeight="true" outlineLevel="0" collapsed="false">
      <c r="A68" s="9" t="n">
        <v>67</v>
      </c>
      <c r="B68" s="9" t="s">
        <v>4781</v>
      </c>
      <c r="C68" s="9" t="s">
        <v>4578</v>
      </c>
      <c r="D68" s="9" t="s">
        <v>4579</v>
      </c>
      <c r="E68" s="9" t="s">
        <v>113</v>
      </c>
      <c r="F68" s="9" t="s">
        <v>874</v>
      </c>
      <c r="G68" s="9" t="s">
        <v>2899</v>
      </c>
      <c r="H68" s="9" t="s">
        <v>661</v>
      </c>
      <c r="I68" s="9" t="s">
        <v>4782</v>
      </c>
      <c r="J68" s="9" t="s">
        <v>4783</v>
      </c>
      <c r="K68" s="9" t="s">
        <v>4582</v>
      </c>
      <c r="L68" s="9" t="s">
        <v>4784</v>
      </c>
      <c r="M68" s="9" t="s">
        <v>4584</v>
      </c>
      <c r="N68" s="9" t="s">
        <v>4585</v>
      </c>
      <c r="O68" s="9" t="s">
        <v>4556</v>
      </c>
      <c r="P68" s="9" t="s">
        <v>4586</v>
      </c>
      <c r="Q68" s="9" t="s">
        <v>4587</v>
      </c>
      <c r="R68" s="9" t="s">
        <v>4588</v>
      </c>
      <c r="S68" s="9" t="s">
        <v>4505</v>
      </c>
      <c r="T68" s="22" t="str">
        <f aca="false">'Author Response Entry'!$D$68</f>
        <v>OPTION 2</v>
      </c>
      <c r="U68" s="23" t="str">
        <f aca="false">'Author Response Entry'!$E$68</f>
        <v>summary → God's counsels cannot be fully searched out.</v>
      </c>
      <c r="V68" s="23" t="str">
        <f aca="false">'Author Response Entry'!$F$68</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68" s="23" t="str">
        <f aca="false">'Author Response Entry'!$G$68</f>
        <v>AJP</v>
      </c>
      <c r="X68" s="24" t="n">
        <f aca="false">'Author Response Entry'!$H$68</f>
        <v>46274</v>
      </c>
      <c r="Y68" s="23" t="str">
        <f aca="false">IF(T68="","",IF(T68="CUSTOM RESPONSE",U68,IF(T68="HOLD — NEEDS RESEARCH",IF(U68&lt;&gt;"",U68,"HOLD — NEEDS RESEARCH"),IF(T68="DEFER — NOT YET",IF(U68&lt;&gt;"",U68,"DEFER — NOT YET"),IF(T68="OPTION 1",O68,IF(T68="OPTION 2",U68,IF(T68="OPTION 3",Q68,IF(T68="OPTION 4",R68,""))))))))</f>
        <v>summary → God's counsels cannot be fully searched out.</v>
      </c>
      <c r="Z68" s="23" t="str">
        <f aca="false">IF(T68="","OPEN",IF(T68="CUSTOM RESPONSE",IF(U68="","OPEN — CUSTOM TEXT REQUIRED",IF(W68="","RESOLVED — ADD INITIALS/DATE",IF(X68="","RESOLVED — ADD INITIALS/DATE","RESOLVED"))),IF(T68="HOLD — NEEDS RESEARCH",IF(W68="","HOLD — ADD INITIALS/DATE",IF(X68="","HOLD — ADD INITIALS/DATE","HOLD")),IF(T68="DEFER — NOT YET",IF(W68="","DEFERRED — ADD INITIALS/DATE",IF(X68="","DEFERRED — ADD INITIALS/DATE","DEFERRED")),IF(T68="OPTION 1",IF(W68="","RESOLVED — ADD INITIALS/DATE",IF(X68="","RESOLVED — ADD INITIALS/DATE","RESOLVED")),IF(T68="OPTION 2",IF(U68="","OPEN — CUSTOM TEXT REQUIRED",IF(W68="","RESOLVED — ADD INITIALS/DATE",IF(X68="","RESOLVED — ADD INITIALS/DATE","RESOLVED"))),IF(T68="OPTION 3",IF(W68="","HOLD — ADD INITIALS/DATE",IF(X68="","HOLD — ADD INITIALS/DATE","HOLD")),IF(T68="OPTION 4",IF(W68="","HOLD — ADD INITIALS/DATE",IF(X68="","HOLD — ADD INITIALS/DATE","HOLD")),IF(W68="","RESOLVED — ADD INITIALS/DATE",IF(X68="","RESOLVED — ADD INITIALS/DATE","RESOLVED"))))))))))</f>
        <v>RESOLVED</v>
      </c>
      <c r="AA68" s="23" t="s">
        <v>380</v>
      </c>
      <c r="AB68" s="23" t="s">
        <v>4589</v>
      </c>
      <c r="AC68" s="23" t="s">
        <v>4732</v>
      </c>
      <c r="AD68" s="23"/>
      <c r="AE68" s="23" t="s">
        <v>657</v>
      </c>
      <c r="AF68" s="23" t="str">
        <f aca="false">IF(F68&lt;&gt;"READY","NO",IF(Z68="OPEN","YES",IF(Z68="OPEN — CUSTOM TEXT REQUIRED","YES",IF(Z68="RESOLVED — ADD INITIALS/DATE","YES",IF(Z68="HOLD — ADD INITIALS/DATE","YES",IF(Z68="DEFERRED — ADD INITIALS/DATE","YES","NO"))))))</f>
        <v>NO</v>
      </c>
      <c r="AG68" s="23" t="str">
        <f aca="false">IF(AF68&lt;&gt;"YES","",IF(A68=IFERROR(MATCH("YES",$AF$2:$AF$105,0),0),"CURRENT",""))</f>
        <v/>
      </c>
      <c r="AH68" s="25" t="str">
        <f aca="false">IF(COUNTIF($B$2:$B$105,B68)&gt;1,"DUPLICATE","")</f>
        <v/>
      </c>
    </row>
    <row r="69" customFormat="false" ht="15.75" hidden="false" customHeight="true" outlineLevel="0" collapsed="false">
      <c r="A69" s="9" t="n">
        <v>68</v>
      </c>
      <c r="B69" s="9" t="s">
        <v>4785</v>
      </c>
      <c r="C69" s="9" t="s">
        <v>4578</v>
      </c>
      <c r="D69" s="9" t="s">
        <v>4579</v>
      </c>
      <c r="E69" s="9" t="s">
        <v>1857</v>
      </c>
      <c r="F69" s="9" t="s">
        <v>874</v>
      </c>
      <c r="G69" s="9" t="s">
        <v>2899</v>
      </c>
      <c r="H69" s="9" t="s">
        <v>664</v>
      </c>
      <c r="I69" s="9" t="s">
        <v>4786</v>
      </c>
      <c r="J69" s="9" t="s">
        <v>4787</v>
      </c>
      <c r="K69" s="9" t="s">
        <v>4582</v>
      </c>
      <c r="L69" s="9" t="s">
        <v>4788</v>
      </c>
      <c r="M69" s="9" t="s">
        <v>4584</v>
      </c>
      <c r="N69" s="9" t="s">
        <v>4585</v>
      </c>
      <c r="O69" s="9" t="s">
        <v>4556</v>
      </c>
      <c r="P69" s="9" t="s">
        <v>4586</v>
      </c>
      <c r="Q69" s="9" t="s">
        <v>4587</v>
      </c>
      <c r="R69" s="9" t="s">
        <v>4588</v>
      </c>
      <c r="S69" s="9" t="s">
        <v>4505</v>
      </c>
      <c r="T69" s="22" t="str">
        <f aca="false">'Author Response Entry'!$D$69</f>
        <v>OPTION 1</v>
      </c>
      <c r="U69" s="23" t="n">
        <f aca="false">'Author Response Entry'!$E$69</f>
        <v>0</v>
      </c>
      <c r="V69" s="23" t="str">
        <f aca="false">'Author Response Entry'!$F$69</f>
        <v>Approved as written (batch sign-off 2026-09-09).</v>
      </c>
      <c r="W69" s="23" t="str">
        <f aca="false">'Author Response Entry'!$G$69</f>
        <v>AJP</v>
      </c>
      <c r="X69" s="24" t="n">
        <f aca="false">'Author Response Entry'!$H$69</f>
        <v>46274</v>
      </c>
      <c r="Y69" s="23" t="str">
        <f aca="false">IF(T69="","",IF(T69="CUSTOM RESPONSE",U69,IF(T69="HOLD — NEEDS RESEARCH",IF(U69&lt;&gt;"",U69,"HOLD — NEEDS RESEARCH"),IF(T69="DEFER — NOT YET",IF(U69&lt;&gt;"",U69,"DEFER — NOT YET"),IF(T69="OPTION 1",O69,IF(T69="OPTION 2",U69,IF(T69="OPTION 3",Q69,IF(T69="OPTION 4",R69,""))))))))</f>
        <v>APPROVE AS WRITTEN</v>
      </c>
      <c r="Z69" s="23" t="str">
        <f aca="false">IF(T69="","OPEN",IF(T69="CUSTOM RESPONSE",IF(U69="","OPEN — CUSTOM TEXT REQUIRED",IF(W69="","RESOLVED — ADD INITIALS/DATE",IF(X69="","RESOLVED — ADD INITIALS/DATE","RESOLVED"))),IF(T69="HOLD — NEEDS RESEARCH",IF(W69="","HOLD — ADD INITIALS/DATE",IF(X69="","HOLD — ADD INITIALS/DATE","HOLD")),IF(T69="DEFER — NOT YET",IF(W69="","DEFERRED — ADD INITIALS/DATE",IF(X69="","DEFERRED — ADD INITIALS/DATE","DEFERRED")),IF(T69="OPTION 1",IF(W69="","RESOLVED — ADD INITIALS/DATE",IF(X69="","RESOLVED — ADD INITIALS/DATE","RESOLVED")),IF(T69="OPTION 2",IF(U69="","OPEN — CUSTOM TEXT REQUIRED",IF(W69="","RESOLVED — ADD INITIALS/DATE",IF(X69="","RESOLVED — ADD INITIALS/DATE","RESOLVED"))),IF(T69="OPTION 3",IF(W69="","HOLD — ADD INITIALS/DATE",IF(X69="","HOLD — ADD INITIALS/DATE","HOLD")),IF(T69="OPTION 4",IF(W69="","HOLD — ADD INITIALS/DATE",IF(X69="","HOLD — ADD INITIALS/DATE","HOLD")),IF(W69="","RESOLVED — ADD INITIALS/DATE",IF(X69="","RESOLVED — ADD INITIALS/DATE","RESOLVED"))))))))))</f>
        <v>RESOLVED</v>
      </c>
      <c r="AA69" s="23" t="s">
        <v>380</v>
      </c>
      <c r="AB69" s="23" t="s">
        <v>4589</v>
      </c>
      <c r="AC69" s="23" t="s">
        <v>4732</v>
      </c>
      <c r="AD69" s="23"/>
      <c r="AE69" s="23" t="s">
        <v>667</v>
      </c>
      <c r="AF69" s="23" t="str">
        <f aca="false">IF(F69&lt;&gt;"READY","NO",IF(Z69="OPEN","YES",IF(Z69="OPEN — CUSTOM TEXT REQUIRED","YES",IF(Z69="RESOLVED — ADD INITIALS/DATE","YES",IF(Z69="HOLD — ADD INITIALS/DATE","YES",IF(Z69="DEFERRED — ADD INITIALS/DATE","YES","NO"))))))</f>
        <v>NO</v>
      </c>
      <c r="AG69" s="23" t="str">
        <f aca="false">IF(AF69&lt;&gt;"YES","",IF(A69=IFERROR(MATCH("YES",$AF$2:$AF$105,0),0),"CURRENT",""))</f>
        <v/>
      </c>
      <c r="AH69" s="25" t="str">
        <f aca="false">IF(COUNTIF($B$2:$B$105,B69)&gt;1,"DUPLICATE","")</f>
        <v/>
      </c>
    </row>
    <row r="70" customFormat="false" ht="15.75" hidden="false" customHeight="true" outlineLevel="0" collapsed="false">
      <c r="A70" s="9" t="n">
        <v>69</v>
      </c>
      <c r="B70" s="9" t="s">
        <v>4789</v>
      </c>
      <c r="C70" s="9" t="s">
        <v>4578</v>
      </c>
      <c r="D70" s="9" t="s">
        <v>4579</v>
      </c>
      <c r="E70" s="9" t="s">
        <v>113</v>
      </c>
      <c r="F70" s="9" t="s">
        <v>874</v>
      </c>
      <c r="G70" s="9" t="s">
        <v>2899</v>
      </c>
      <c r="H70" s="9" t="s">
        <v>668</v>
      </c>
      <c r="I70" s="9" t="s">
        <v>4790</v>
      </c>
      <c r="J70" s="9" t="s">
        <v>4791</v>
      </c>
      <c r="K70" s="9" t="s">
        <v>4582</v>
      </c>
      <c r="L70" s="9" t="s">
        <v>4792</v>
      </c>
      <c r="M70" s="9" t="s">
        <v>4584</v>
      </c>
      <c r="N70" s="9" t="s">
        <v>4585</v>
      </c>
      <c r="O70" s="9" t="s">
        <v>4556</v>
      </c>
      <c r="P70" s="9" t="s">
        <v>4586</v>
      </c>
      <c r="Q70" s="9" t="s">
        <v>4587</v>
      </c>
      <c r="R70" s="9" t="s">
        <v>4588</v>
      </c>
      <c r="S70" s="9" t="s">
        <v>4505</v>
      </c>
      <c r="T70" s="22" t="str">
        <f aca="false">'Author Response Entry'!$D$70</f>
        <v>OPTION 1</v>
      </c>
      <c r="U70" s="23" t="n">
        <f aca="false">'Author Response Entry'!$E$70</f>
        <v>0</v>
      </c>
      <c r="V70" s="23" t="str">
        <f aca="false">'Author Response Entry'!$F$70</f>
        <v>Approved as written (batch sign-off 2026-09-09).</v>
      </c>
      <c r="W70" s="23" t="str">
        <f aca="false">'Author Response Entry'!$G$70</f>
        <v>AJP</v>
      </c>
      <c r="X70" s="24" t="n">
        <f aca="false">'Author Response Entry'!$H$70</f>
        <v>46274</v>
      </c>
      <c r="Y70" s="23" t="str">
        <f aca="false">IF(T70="","",IF(T70="CUSTOM RESPONSE",U70,IF(T70="HOLD — NEEDS RESEARCH",IF(U70&lt;&gt;"",U70,"HOLD — NEEDS RESEARCH"),IF(T70="DEFER — NOT YET",IF(U70&lt;&gt;"",U70,"DEFER — NOT YET"),IF(T70="OPTION 1",O70,IF(T70="OPTION 2",U70,IF(T70="OPTION 3",Q70,IF(T70="OPTION 4",R70,""))))))))</f>
        <v>APPROVE AS WRITTEN</v>
      </c>
      <c r="Z70" s="23" t="str">
        <f aca="false">IF(T70="","OPEN",IF(T70="CUSTOM RESPONSE",IF(U70="","OPEN — CUSTOM TEXT REQUIRED",IF(W70="","RESOLVED — ADD INITIALS/DATE",IF(X70="","RESOLVED — ADD INITIALS/DATE","RESOLVED"))),IF(T70="HOLD — NEEDS RESEARCH",IF(W70="","HOLD — ADD INITIALS/DATE",IF(X70="","HOLD — ADD INITIALS/DATE","HOLD")),IF(T70="DEFER — NOT YET",IF(W70="","DEFERRED — ADD INITIALS/DATE",IF(X70="","DEFERRED — ADD INITIALS/DATE","DEFERRED")),IF(T70="OPTION 1",IF(W70="","RESOLVED — ADD INITIALS/DATE",IF(X70="","RESOLVED — ADD INITIALS/DATE","RESOLVED")),IF(T70="OPTION 2",IF(U70="","OPEN — CUSTOM TEXT REQUIRED",IF(W70="","RESOLVED — ADD INITIALS/DATE",IF(X70="","RESOLVED — ADD INITIALS/DATE","RESOLVED"))),IF(T70="OPTION 3",IF(W70="","HOLD — ADD INITIALS/DATE",IF(X70="","HOLD — ADD INITIALS/DATE","HOLD")),IF(T70="OPTION 4",IF(W70="","HOLD — ADD INITIALS/DATE",IF(X70="","HOLD — ADD INITIALS/DATE","HOLD")),IF(W70="","RESOLVED — ADD INITIALS/DATE",IF(X70="","RESOLVED — ADD INITIALS/DATE","RESOLVED"))))))))))</f>
        <v>RESOLVED</v>
      </c>
      <c r="AA70" s="23" t="s">
        <v>380</v>
      </c>
      <c r="AB70" s="23" t="s">
        <v>4589</v>
      </c>
      <c r="AC70" s="23" t="s">
        <v>4732</v>
      </c>
      <c r="AD70" s="23"/>
      <c r="AE70" s="23" t="s">
        <v>672</v>
      </c>
      <c r="AF70" s="23" t="str">
        <f aca="false">IF(F70&lt;&gt;"READY","NO",IF(Z70="OPEN","YES",IF(Z70="OPEN — CUSTOM TEXT REQUIRED","YES",IF(Z70="RESOLVED — ADD INITIALS/DATE","YES",IF(Z70="HOLD — ADD INITIALS/DATE","YES",IF(Z70="DEFERRED — ADD INITIALS/DATE","YES","NO"))))))</f>
        <v>NO</v>
      </c>
      <c r="AG70" s="23" t="str">
        <f aca="false">IF(AF70&lt;&gt;"YES","",IF(A70=IFERROR(MATCH("YES",$AF$2:$AF$105,0),0),"CURRENT",""))</f>
        <v/>
      </c>
      <c r="AH70" s="25" t="str">
        <f aca="false">IF(COUNTIF($B$2:$B$105,B70)&gt;1,"DUPLICATE","")</f>
        <v/>
      </c>
    </row>
    <row r="71" customFormat="false" ht="15.75" hidden="false" customHeight="true" outlineLevel="0" collapsed="false">
      <c r="A71" s="9" t="n">
        <v>70</v>
      </c>
      <c r="B71" s="9" t="s">
        <v>4793</v>
      </c>
      <c r="C71" s="9" t="s">
        <v>4578</v>
      </c>
      <c r="D71" s="9" t="s">
        <v>4579</v>
      </c>
      <c r="E71" s="9" t="s">
        <v>1857</v>
      </c>
      <c r="F71" s="9" t="s">
        <v>874</v>
      </c>
      <c r="G71" s="9" t="s">
        <v>2899</v>
      </c>
      <c r="H71" s="9" t="s">
        <v>673</v>
      </c>
      <c r="I71" s="9" t="s">
        <v>4794</v>
      </c>
      <c r="J71" s="9" t="s">
        <v>4795</v>
      </c>
      <c r="K71" s="9" t="s">
        <v>4582</v>
      </c>
      <c r="L71" s="9" t="s">
        <v>4796</v>
      </c>
      <c r="M71" s="9" t="s">
        <v>4584</v>
      </c>
      <c r="N71" s="9" t="s">
        <v>4585</v>
      </c>
      <c r="O71" s="9" t="s">
        <v>4556</v>
      </c>
      <c r="P71" s="9" t="s">
        <v>4586</v>
      </c>
      <c r="Q71" s="9" t="s">
        <v>4587</v>
      </c>
      <c r="R71" s="9" t="s">
        <v>4588</v>
      </c>
      <c r="S71" s="9" t="s">
        <v>4505</v>
      </c>
      <c r="T71" s="22" t="str">
        <f aca="false">'Author Response Entry'!$D$71</f>
        <v>OPTION 2</v>
      </c>
      <c r="U71" s="23" t="str">
        <f aca="false">'Author Response Entry'!$E$71</f>
        <v>Restoration phrase → “the Only Begotten Son in the flesh”</v>
      </c>
      <c r="V71" s="23" t="str">
        <f aca="false">'Author Response Entry'!$F$71</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71" s="23" t="str">
        <f aca="false">'Author Response Entry'!$G$71</f>
        <v>AJP</v>
      </c>
      <c r="X71" s="24" t="n">
        <f aca="false">'Author Response Entry'!$H$71</f>
        <v>46274</v>
      </c>
      <c r="Y71" s="23" t="str">
        <f aca="false">IF(T71="","",IF(T71="CUSTOM RESPONSE",U71,IF(T71="HOLD — NEEDS RESEARCH",IF(U71&lt;&gt;"",U71,"HOLD — NEEDS RESEARCH"),IF(T71="DEFER — NOT YET",IF(U71&lt;&gt;"",U71,"DEFER — NOT YET"),IF(T71="OPTION 1",O71,IF(T71="OPTION 2",U71,IF(T71="OPTION 3",Q71,IF(T71="OPTION 4",R71,""))))))))</f>
        <v>Restoration phrase → “the Only Begotten Son in the flesh”</v>
      </c>
      <c r="Z71" s="23" t="str">
        <f aca="false">IF(T71="","OPEN",IF(T71="CUSTOM RESPONSE",IF(U71="","OPEN — CUSTOM TEXT REQUIRED",IF(W71="","RESOLVED — ADD INITIALS/DATE",IF(X71="","RESOLVED — ADD INITIALS/DATE","RESOLVED"))),IF(T71="HOLD — NEEDS RESEARCH",IF(W71="","HOLD — ADD INITIALS/DATE",IF(X71="","HOLD — ADD INITIALS/DATE","HOLD")),IF(T71="DEFER — NOT YET",IF(W71="","DEFERRED — ADD INITIALS/DATE",IF(X71="","DEFERRED — ADD INITIALS/DATE","DEFERRED")),IF(T71="OPTION 1",IF(W71="","RESOLVED — ADD INITIALS/DATE",IF(X71="","RESOLVED — ADD INITIALS/DATE","RESOLVED")),IF(T71="OPTION 2",IF(U71="","OPEN — CUSTOM TEXT REQUIRED",IF(W71="","RESOLVED — ADD INITIALS/DATE",IF(X71="","RESOLVED — ADD INITIALS/DATE","RESOLVED"))),IF(T71="OPTION 3",IF(W71="","HOLD — ADD INITIALS/DATE",IF(X71="","HOLD — ADD INITIALS/DATE","HOLD")),IF(T71="OPTION 4",IF(W71="","HOLD — ADD INITIALS/DATE",IF(X71="","HOLD — ADD INITIALS/DATE","HOLD")),IF(W71="","RESOLVED — ADD INITIALS/DATE",IF(X71="","RESOLVED — ADD INITIALS/DATE","RESOLVED"))))))))))</f>
        <v>RESOLVED</v>
      </c>
      <c r="AA71" s="23" t="s">
        <v>380</v>
      </c>
      <c r="AB71" s="23" t="s">
        <v>4589</v>
      </c>
      <c r="AC71" s="23" t="s">
        <v>4797</v>
      </c>
      <c r="AD71" s="23"/>
      <c r="AE71" s="23" t="s">
        <v>678</v>
      </c>
      <c r="AF71" s="23" t="str">
        <f aca="false">IF(F71&lt;&gt;"READY","NO",IF(Z71="OPEN","YES",IF(Z71="OPEN — CUSTOM TEXT REQUIRED","YES",IF(Z71="RESOLVED — ADD INITIALS/DATE","YES",IF(Z71="HOLD — ADD INITIALS/DATE","YES",IF(Z71="DEFERRED — ADD INITIALS/DATE","YES","NO"))))))</f>
        <v>NO</v>
      </c>
      <c r="AG71" s="23" t="str">
        <f aca="false">IF(AF71&lt;&gt;"YES","",IF(A71=IFERROR(MATCH("YES",$AF$2:$AF$105,0),0),"CURRENT",""))</f>
        <v/>
      </c>
      <c r="AH71" s="25" t="str">
        <f aca="false">IF(COUNTIF($B$2:$B$105,B71)&gt;1,"DUPLICATE","")</f>
        <v/>
      </c>
    </row>
    <row r="72" customFormat="false" ht="15.75" hidden="false" customHeight="true" outlineLevel="0" collapsed="false">
      <c r="A72" s="9" t="n">
        <v>71</v>
      </c>
      <c r="B72" s="9" t="s">
        <v>4798</v>
      </c>
      <c r="C72" s="9" t="s">
        <v>4578</v>
      </c>
      <c r="D72" s="9" t="s">
        <v>4579</v>
      </c>
      <c r="E72" s="9" t="s">
        <v>1857</v>
      </c>
      <c r="F72" s="9" t="s">
        <v>874</v>
      </c>
      <c r="G72" s="9" t="s">
        <v>2899</v>
      </c>
      <c r="H72" s="9" t="s">
        <v>679</v>
      </c>
      <c r="I72" s="9" t="s">
        <v>4799</v>
      </c>
      <c r="J72" s="9" t="s">
        <v>4800</v>
      </c>
      <c r="K72" s="9" t="s">
        <v>4582</v>
      </c>
      <c r="L72" s="9" t="s">
        <v>4801</v>
      </c>
      <c r="M72" s="9" t="s">
        <v>4584</v>
      </c>
      <c r="N72" s="9" t="s">
        <v>4585</v>
      </c>
      <c r="O72" s="9" t="s">
        <v>4556</v>
      </c>
      <c r="P72" s="9" t="s">
        <v>4586</v>
      </c>
      <c r="Q72" s="9" t="s">
        <v>4587</v>
      </c>
      <c r="R72" s="9" t="s">
        <v>4588</v>
      </c>
      <c r="S72" s="9" t="s">
        <v>4505</v>
      </c>
      <c r="T72" s="22" t="str">
        <f aca="false">'Author Response Entry'!$D$72</f>
        <v>OPTION 2</v>
      </c>
      <c r="U72" s="23" t="str">
        <f aca="false">'Author Response Entry'!$E$72</f>
        <v>Restoration phrase → “the Only Begotten Son in the flesh”</v>
      </c>
      <c r="V72" s="23" t="str">
        <f aca="false">'Author Response Entry'!$F$72</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72" s="23" t="str">
        <f aca="false">'Author Response Entry'!$G$72</f>
        <v>AJP</v>
      </c>
      <c r="X72" s="24" t="n">
        <f aca="false">'Author Response Entry'!$H$72</f>
        <v>46274</v>
      </c>
      <c r="Y72" s="23" t="str">
        <f aca="false">IF(T72="","",IF(T72="CUSTOM RESPONSE",U72,IF(T72="HOLD — NEEDS RESEARCH",IF(U72&lt;&gt;"",U72,"HOLD — NEEDS RESEARCH"),IF(T72="DEFER — NOT YET",IF(U72&lt;&gt;"",U72,"DEFER — NOT YET"),IF(T72="OPTION 1",O72,IF(T72="OPTION 2",U72,IF(T72="OPTION 3",Q72,IF(T72="OPTION 4",R72,""))))))))</f>
        <v>Restoration phrase → “the Only Begotten Son in the flesh”</v>
      </c>
      <c r="Z72" s="23" t="str">
        <f aca="false">IF(T72="","OPEN",IF(T72="CUSTOM RESPONSE",IF(U72="","OPEN — CUSTOM TEXT REQUIRED",IF(W72="","RESOLVED — ADD INITIALS/DATE",IF(X72="","RESOLVED — ADD INITIALS/DATE","RESOLVED"))),IF(T72="HOLD — NEEDS RESEARCH",IF(W72="","HOLD — ADD INITIALS/DATE",IF(X72="","HOLD — ADD INITIALS/DATE","HOLD")),IF(T72="DEFER — NOT YET",IF(W72="","DEFERRED — ADD INITIALS/DATE",IF(X72="","DEFERRED — ADD INITIALS/DATE","DEFERRED")),IF(T72="OPTION 1",IF(W72="","RESOLVED — ADD INITIALS/DATE",IF(X72="","RESOLVED — ADD INITIALS/DATE","RESOLVED")),IF(T72="OPTION 2",IF(U72="","OPEN — CUSTOM TEXT REQUIRED",IF(W72="","RESOLVED — ADD INITIALS/DATE",IF(X72="","RESOLVED — ADD INITIALS/DATE","RESOLVED"))),IF(T72="OPTION 3",IF(W72="","HOLD — ADD INITIALS/DATE",IF(X72="","HOLD — ADD INITIALS/DATE","HOLD")),IF(T72="OPTION 4",IF(W72="","HOLD — ADD INITIALS/DATE",IF(X72="","HOLD — ADD INITIALS/DATE","HOLD")),IF(W72="","RESOLVED — ADD INITIALS/DATE",IF(X72="","RESOLVED — ADD INITIALS/DATE","RESOLVED"))))))))))</f>
        <v>RESOLVED</v>
      </c>
      <c r="AA72" s="23" t="s">
        <v>380</v>
      </c>
      <c r="AB72" s="23" t="s">
        <v>4589</v>
      </c>
      <c r="AC72" s="23" t="s">
        <v>4797</v>
      </c>
      <c r="AD72" s="23"/>
      <c r="AE72" s="23" t="s">
        <v>678</v>
      </c>
      <c r="AF72" s="23" t="str">
        <f aca="false">IF(F72&lt;&gt;"READY","NO",IF(Z72="OPEN","YES",IF(Z72="OPEN — CUSTOM TEXT REQUIRED","YES",IF(Z72="RESOLVED — ADD INITIALS/DATE","YES",IF(Z72="HOLD — ADD INITIALS/DATE","YES",IF(Z72="DEFERRED — ADD INITIALS/DATE","YES","NO"))))))</f>
        <v>NO</v>
      </c>
      <c r="AG72" s="23" t="str">
        <f aca="false">IF(AF72&lt;&gt;"YES","",IF(A72=IFERROR(MATCH("YES",$AF$2:$AF$105,0),0),"CURRENT",""))</f>
        <v/>
      </c>
      <c r="AH72" s="25" t="str">
        <f aca="false">IF(COUNTIF($B$2:$B$105,B72)&gt;1,"DUPLICATE","")</f>
        <v/>
      </c>
    </row>
    <row r="73" customFormat="false" ht="15.75" hidden="false" customHeight="true" outlineLevel="0" collapsed="false">
      <c r="A73" s="9" t="n">
        <v>72</v>
      </c>
      <c r="B73" s="9" t="s">
        <v>4802</v>
      </c>
      <c r="C73" s="9" t="s">
        <v>4578</v>
      </c>
      <c r="D73" s="9" t="s">
        <v>4579</v>
      </c>
      <c r="E73" s="9" t="s">
        <v>1857</v>
      </c>
      <c r="F73" s="9" t="s">
        <v>874</v>
      </c>
      <c r="G73" s="9" t="s">
        <v>2899</v>
      </c>
      <c r="H73" s="9" t="s">
        <v>682</v>
      </c>
      <c r="I73" s="9" t="s">
        <v>4803</v>
      </c>
      <c r="J73" s="9" t="s">
        <v>4804</v>
      </c>
      <c r="K73" s="9" t="s">
        <v>4582</v>
      </c>
      <c r="L73" s="9" t="s">
        <v>4805</v>
      </c>
      <c r="M73" s="9" t="s">
        <v>4584</v>
      </c>
      <c r="N73" s="9" t="s">
        <v>4585</v>
      </c>
      <c r="O73" s="9" t="s">
        <v>4556</v>
      </c>
      <c r="P73" s="9" t="s">
        <v>4586</v>
      </c>
      <c r="Q73" s="9" t="s">
        <v>4587</v>
      </c>
      <c r="R73" s="9" t="s">
        <v>4588</v>
      </c>
      <c r="S73" s="9" t="s">
        <v>4505</v>
      </c>
      <c r="T73" s="22" t="str">
        <f aca="false">'Author Response Entry'!$D$73</f>
        <v>OPTION 2</v>
      </c>
      <c r="U73" s="23" t="str">
        <f aca="false">'Author Response Entry'!$E$73</f>
        <v>Restoration phrase → “the Only Begotten Son in the flesh”</v>
      </c>
      <c r="V73" s="23" t="str">
        <f aca="false">'Author Response Entry'!$F$73</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73" s="23" t="str">
        <f aca="false">'Author Response Entry'!$G$73</f>
        <v>AJP</v>
      </c>
      <c r="X73" s="24" t="n">
        <f aca="false">'Author Response Entry'!$H$73</f>
        <v>46274</v>
      </c>
      <c r="Y73" s="23" t="str">
        <f aca="false">IF(T73="","",IF(T73="CUSTOM RESPONSE",U73,IF(T73="HOLD — NEEDS RESEARCH",IF(U73&lt;&gt;"",U73,"HOLD — NEEDS RESEARCH"),IF(T73="DEFER — NOT YET",IF(U73&lt;&gt;"",U73,"DEFER — NOT YET"),IF(T73="OPTION 1",O73,IF(T73="OPTION 2",U73,IF(T73="OPTION 3",Q73,IF(T73="OPTION 4",R73,""))))))))</f>
        <v>Restoration phrase → “the Only Begotten Son in the flesh”</v>
      </c>
      <c r="Z73" s="23" t="str">
        <f aca="false">IF(T73="","OPEN",IF(T73="CUSTOM RESPONSE",IF(U73="","OPEN — CUSTOM TEXT REQUIRED",IF(W73="","RESOLVED — ADD INITIALS/DATE",IF(X73="","RESOLVED — ADD INITIALS/DATE","RESOLVED"))),IF(T73="HOLD — NEEDS RESEARCH",IF(W73="","HOLD — ADD INITIALS/DATE",IF(X73="","HOLD — ADD INITIALS/DATE","HOLD")),IF(T73="DEFER — NOT YET",IF(W73="","DEFERRED — ADD INITIALS/DATE",IF(X73="","DEFERRED — ADD INITIALS/DATE","DEFERRED")),IF(T73="OPTION 1",IF(W73="","RESOLVED — ADD INITIALS/DATE",IF(X73="","RESOLVED — ADD INITIALS/DATE","RESOLVED")),IF(T73="OPTION 2",IF(U73="","OPEN — CUSTOM TEXT REQUIRED",IF(W73="","RESOLVED — ADD INITIALS/DATE",IF(X73="","RESOLVED — ADD INITIALS/DATE","RESOLVED"))),IF(T73="OPTION 3",IF(W73="","HOLD — ADD INITIALS/DATE",IF(X73="","HOLD — ADD INITIALS/DATE","HOLD")),IF(T73="OPTION 4",IF(W73="","HOLD — ADD INITIALS/DATE",IF(X73="","HOLD — ADD INITIALS/DATE","HOLD")),IF(W73="","RESOLVED — ADD INITIALS/DATE",IF(X73="","RESOLVED — ADD INITIALS/DATE","RESOLVED"))))))))))</f>
        <v>RESOLVED</v>
      </c>
      <c r="AA73" s="23" t="s">
        <v>380</v>
      </c>
      <c r="AB73" s="23" t="s">
        <v>4589</v>
      </c>
      <c r="AC73" s="23" t="s">
        <v>4797</v>
      </c>
      <c r="AD73" s="23"/>
      <c r="AE73" s="23" t="s">
        <v>678</v>
      </c>
      <c r="AF73" s="23" t="str">
        <f aca="false">IF(F73&lt;&gt;"READY","NO",IF(Z73="OPEN","YES",IF(Z73="OPEN — CUSTOM TEXT REQUIRED","YES",IF(Z73="RESOLVED — ADD INITIALS/DATE","YES",IF(Z73="HOLD — ADD INITIALS/DATE","YES",IF(Z73="DEFERRED — ADD INITIALS/DATE","YES","NO"))))))</f>
        <v>NO</v>
      </c>
      <c r="AG73" s="23" t="str">
        <f aca="false">IF(AF73&lt;&gt;"YES","",IF(A73=IFERROR(MATCH("YES",$AF$2:$AF$105,0),0),"CURRENT",""))</f>
        <v/>
      </c>
      <c r="AH73" s="25" t="str">
        <f aca="false">IF(COUNTIF($B$2:$B$105,B73)&gt;1,"DUPLICATE","")</f>
        <v/>
      </c>
    </row>
    <row r="74" customFormat="false" ht="15.75" hidden="false" customHeight="true" outlineLevel="0" collapsed="false">
      <c r="A74" s="9" t="n">
        <v>73</v>
      </c>
      <c r="B74" s="9" t="s">
        <v>4806</v>
      </c>
      <c r="C74" s="9" t="s">
        <v>4578</v>
      </c>
      <c r="D74" s="9" t="s">
        <v>4579</v>
      </c>
      <c r="E74" s="9" t="s">
        <v>1857</v>
      </c>
      <c r="F74" s="9" t="s">
        <v>874</v>
      </c>
      <c r="G74" s="9" t="s">
        <v>2899</v>
      </c>
      <c r="H74" s="9" t="s">
        <v>685</v>
      </c>
      <c r="I74" s="9" t="s">
        <v>4807</v>
      </c>
      <c r="J74" s="9" t="s">
        <v>4808</v>
      </c>
      <c r="K74" s="9" t="s">
        <v>4582</v>
      </c>
      <c r="L74" s="9" t="s">
        <v>4809</v>
      </c>
      <c r="M74" s="9" t="s">
        <v>4584</v>
      </c>
      <c r="N74" s="9" t="s">
        <v>4585</v>
      </c>
      <c r="O74" s="9" t="s">
        <v>4556</v>
      </c>
      <c r="P74" s="9" t="s">
        <v>4586</v>
      </c>
      <c r="Q74" s="9" t="s">
        <v>4587</v>
      </c>
      <c r="R74" s="9" t="s">
        <v>4588</v>
      </c>
      <c r="S74" s="9" t="s">
        <v>4505</v>
      </c>
      <c r="T74" s="22" t="str">
        <f aca="false">'Author Response Entry'!$D$74</f>
        <v>OPTION 2</v>
      </c>
      <c r="U74" s="23" t="str">
        <f aca="false">'Author Response Entry'!$E$74</f>
        <v>Restoration phrase → “the Only Begotten Son in the flesh”</v>
      </c>
      <c r="V74" s="23" t="str">
        <f aca="false">'Author Response Entry'!$F$74</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74" s="23" t="str">
        <f aca="false">'Author Response Entry'!$G$74</f>
        <v>AJP</v>
      </c>
      <c r="X74" s="24" t="n">
        <f aca="false">'Author Response Entry'!$H$74</f>
        <v>46274</v>
      </c>
      <c r="Y74" s="23" t="str">
        <f aca="false">IF(T74="","",IF(T74="CUSTOM RESPONSE",U74,IF(T74="HOLD — NEEDS RESEARCH",IF(U74&lt;&gt;"",U74,"HOLD — NEEDS RESEARCH"),IF(T74="DEFER — NOT YET",IF(U74&lt;&gt;"",U74,"DEFER — NOT YET"),IF(T74="OPTION 1",O74,IF(T74="OPTION 2",U74,IF(T74="OPTION 3",Q74,IF(T74="OPTION 4",R74,""))))))))</f>
        <v>Restoration phrase → “the Only Begotten Son in the flesh”</v>
      </c>
      <c r="Z74" s="23" t="str">
        <f aca="false">IF(T74="","OPEN",IF(T74="CUSTOM RESPONSE",IF(U74="","OPEN — CUSTOM TEXT REQUIRED",IF(W74="","RESOLVED — ADD INITIALS/DATE",IF(X74="","RESOLVED — ADD INITIALS/DATE","RESOLVED"))),IF(T74="HOLD — NEEDS RESEARCH",IF(W74="","HOLD — ADD INITIALS/DATE",IF(X74="","HOLD — ADD INITIALS/DATE","HOLD")),IF(T74="DEFER — NOT YET",IF(W74="","DEFERRED — ADD INITIALS/DATE",IF(X74="","DEFERRED — ADD INITIALS/DATE","DEFERRED")),IF(T74="OPTION 1",IF(W74="","RESOLVED — ADD INITIALS/DATE",IF(X74="","RESOLVED — ADD INITIALS/DATE","RESOLVED")),IF(T74="OPTION 2",IF(U74="","OPEN — CUSTOM TEXT REQUIRED",IF(W74="","RESOLVED — ADD INITIALS/DATE",IF(X74="","RESOLVED — ADD INITIALS/DATE","RESOLVED"))),IF(T74="OPTION 3",IF(W74="","HOLD — ADD INITIALS/DATE",IF(X74="","HOLD — ADD INITIALS/DATE","HOLD")),IF(T74="OPTION 4",IF(W74="","HOLD — ADD INITIALS/DATE",IF(X74="","HOLD — ADD INITIALS/DATE","HOLD")),IF(W74="","RESOLVED — ADD INITIALS/DATE",IF(X74="","RESOLVED — ADD INITIALS/DATE","RESOLVED"))))))))))</f>
        <v>RESOLVED</v>
      </c>
      <c r="AA74" s="23" t="s">
        <v>380</v>
      </c>
      <c r="AB74" s="23" t="s">
        <v>4589</v>
      </c>
      <c r="AC74" s="23" t="s">
        <v>4797</v>
      </c>
      <c r="AD74" s="23"/>
      <c r="AE74" s="23" t="s">
        <v>678</v>
      </c>
      <c r="AF74" s="23" t="str">
        <f aca="false">IF(F74&lt;&gt;"READY","NO",IF(Z74="OPEN","YES",IF(Z74="OPEN — CUSTOM TEXT REQUIRED","YES",IF(Z74="RESOLVED — ADD INITIALS/DATE","YES",IF(Z74="HOLD — ADD INITIALS/DATE","YES",IF(Z74="DEFERRED — ADD INITIALS/DATE","YES","NO"))))))</f>
        <v>NO</v>
      </c>
      <c r="AG74" s="23" t="str">
        <f aca="false">IF(AF74&lt;&gt;"YES","",IF(A74=IFERROR(MATCH("YES",$AF$2:$AF$105,0),0),"CURRENT",""))</f>
        <v/>
      </c>
      <c r="AH74" s="25" t="str">
        <f aca="false">IF(COUNTIF($B$2:$B$105,B74)&gt;1,"DUPLICATE","")</f>
        <v/>
      </c>
    </row>
    <row r="75" customFormat="false" ht="15.75" hidden="false" customHeight="true" outlineLevel="0" collapsed="false">
      <c r="A75" s="9" t="n">
        <v>74</v>
      </c>
      <c r="B75" s="9" t="s">
        <v>4810</v>
      </c>
      <c r="C75" s="9" t="s">
        <v>4578</v>
      </c>
      <c r="D75" s="9" t="s">
        <v>4579</v>
      </c>
      <c r="E75" s="9" t="s">
        <v>113</v>
      </c>
      <c r="F75" s="9" t="s">
        <v>874</v>
      </c>
      <c r="G75" s="9" t="s">
        <v>2899</v>
      </c>
      <c r="H75" s="9" t="s">
        <v>688</v>
      </c>
      <c r="I75" s="9" t="s">
        <v>4811</v>
      </c>
      <c r="J75" s="9" t="s">
        <v>4812</v>
      </c>
      <c r="K75" s="9" t="s">
        <v>4582</v>
      </c>
      <c r="L75" s="9" t="s">
        <v>4813</v>
      </c>
      <c r="M75" s="9" t="s">
        <v>4584</v>
      </c>
      <c r="N75" s="9" t="s">
        <v>4585</v>
      </c>
      <c r="O75" s="9" t="s">
        <v>4556</v>
      </c>
      <c r="P75" s="9" t="s">
        <v>4586</v>
      </c>
      <c r="Q75" s="9" t="s">
        <v>4587</v>
      </c>
      <c r="R75" s="9" t="s">
        <v>4588</v>
      </c>
      <c r="S75" s="9" t="s">
        <v>4505</v>
      </c>
      <c r="T75" s="22" t="str">
        <f aca="false">'Author Response Entry'!$D$75</f>
        <v>OPTION 1</v>
      </c>
      <c r="U75" s="23" t="n">
        <f aca="false">'Author Response Entry'!$E$75</f>
        <v>0</v>
      </c>
      <c r="V75" s="23" t="str">
        <f aca="false">'Author Response Entry'!$F$75</f>
        <v>Approved as written (batch sign-off 2026-09-09).</v>
      </c>
      <c r="W75" s="23" t="str">
        <f aca="false">'Author Response Entry'!$G$75</f>
        <v>AJP</v>
      </c>
      <c r="X75" s="24" t="n">
        <f aca="false">'Author Response Entry'!$H$75</f>
        <v>46274</v>
      </c>
      <c r="Y75" s="23" t="str">
        <f aca="false">IF(T75="","",IF(T75="CUSTOM RESPONSE",U75,IF(T75="HOLD — NEEDS RESEARCH",IF(U75&lt;&gt;"",U75,"HOLD — NEEDS RESEARCH"),IF(T75="DEFER — NOT YET",IF(U75&lt;&gt;"",U75,"DEFER — NOT YET"),IF(T75="OPTION 1",O75,IF(T75="OPTION 2",U75,IF(T75="OPTION 3",Q75,IF(T75="OPTION 4",R75,""))))))))</f>
        <v>APPROVE AS WRITTEN</v>
      </c>
      <c r="Z75" s="23" t="str">
        <f aca="false">IF(T75="","OPEN",IF(T75="CUSTOM RESPONSE",IF(U75="","OPEN — CUSTOM TEXT REQUIRED",IF(W75="","RESOLVED — ADD INITIALS/DATE",IF(X75="","RESOLVED — ADD INITIALS/DATE","RESOLVED"))),IF(T75="HOLD — NEEDS RESEARCH",IF(W75="","HOLD — ADD INITIALS/DATE",IF(X75="","HOLD — ADD INITIALS/DATE","HOLD")),IF(T75="DEFER — NOT YET",IF(W75="","DEFERRED — ADD INITIALS/DATE",IF(X75="","DEFERRED — ADD INITIALS/DATE","DEFERRED")),IF(T75="OPTION 1",IF(W75="","RESOLVED — ADD INITIALS/DATE",IF(X75="","RESOLVED — ADD INITIALS/DATE","RESOLVED")),IF(T75="OPTION 2",IF(U75="","OPEN — CUSTOM TEXT REQUIRED",IF(W75="","RESOLVED — ADD INITIALS/DATE",IF(X75="","RESOLVED — ADD INITIALS/DATE","RESOLVED"))),IF(T75="OPTION 3",IF(W75="","HOLD — ADD INITIALS/DATE",IF(X75="","HOLD — ADD INITIALS/DATE","HOLD")),IF(T75="OPTION 4",IF(W75="","HOLD — ADD INITIALS/DATE",IF(X75="","HOLD — ADD INITIALS/DATE","HOLD")),IF(W75="","RESOLVED — ADD INITIALS/DATE",IF(X75="","RESOLVED — ADD INITIALS/DATE","RESOLVED"))))))))))</f>
        <v>RESOLVED</v>
      </c>
      <c r="AA75" s="23" t="s">
        <v>380</v>
      </c>
      <c r="AB75" s="23" t="s">
        <v>4589</v>
      </c>
      <c r="AC75" s="23" t="s">
        <v>4797</v>
      </c>
      <c r="AD75" s="23"/>
      <c r="AE75" s="23" t="s">
        <v>693</v>
      </c>
      <c r="AF75" s="23" t="str">
        <f aca="false">IF(F75&lt;&gt;"READY","NO",IF(Z75="OPEN","YES",IF(Z75="OPEN — CUSTOM TEXT REQUIRED","YES",IF(Z75="RESOLVED — ADD INITIALS/DATE","YES",IF(Z75="HOLD — ADD INITIALS/DATE","YES",IF(Z75="DEFERRED — ADD INITIALS/DATE","YES","NO"))))))</f>
        <v>NO</v>
      </c>
      <c r="AG75" s="23" t="str">
        <f aca="false">IF(AF75&lt;&gt;"YES","",IF(A75=IFERROR(MATCH("YES",$AF$2:$AF$105,0),0),"CURRENT",""))</f>
        <v/>
      </c>
      <c r="AH75" s="25" t="str">
        <f aca="false">IF(COUNTIF($B$2:$B$105,B75)&gt;1,"DUPLICATE","")</f>
        <v/>
      </c>
    </row>
    <row r="76" customFormat="false" ht="15.75" hidden="false" customHeight="true" outlineLevel="0" collapsed="false">
      <c r="A76" s="9" t="n">
        <v>75</v>
      </c>
      <c r="B76" s="9" t="s">
        <v>4814</v>
      </c>
      <c r="C76" s="9" t="s">
        <v>4578</v>
      </c>
      <c r="D76" s="9" t="s">
        <v>4579</v>
      </c>
      <c r="E76" s="9" t="s">
        <v>1857</v>
      </c>
      <c r="F76" s="9" t="s">
        <v>874</v>
      </c>
      <c r="G76" s="9" t="s">
        <v>2899</v>
      </c>
      <c r="H76" s="9" t="s">
        <v>694</v>
      </c>
      <c r="I76" s="9" t="s">
        <v>4815</v>
      </c>
      <c r="J76" s="9" t="s">
        <v>4816</v>
      </c>
      <c r="K76" s="9" t="s">
        <v>4582</v>
      </c>
      <c r="L76" s="9" t="s">
        <v>4817</v>
      </c>
      <c r="M76" s="9" t="s">
        <v>4584</v>
      </c>
      <c r="N76" s="9" t="s">
        <v>4585</v>
      </c>
      <c r="O76" s="9" t="s">
        <v>4556</v>
      </c>
      <c r="P76" s="9" t="s">
        <v>4586</v>
      </c>
      <c r="Q76" s="9" t="s">
        <v>4587</v>
      </c>
      <c r="R76" s="9" t="s">
        <v>4588</v>
      </c>
      <c r="S76" s="9" t="s">
        <v>4505</v>
      </c>
      <c r="T76" s="22" t="str">
        <f aca="false">'Author Response Entry'!$D$76</f>
        <v>OPTION 2</v>
      </c>
      <c r="U76" s="23" t="str">
        <f aca="false">'Author Response Entry'!$E$76</f>
        <v>Restoration phrase → “a beloved spirit son or daughter of heavenly parents”</v>
      </c>
      <c r="V76" s="23" t="str">
        <f aca="false">'Author Response Entry'!$F$76</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76" s="23" t="str">
        <f aca="false">'Author Response Entry'!$G$76</f>
        <v>AJP</v>
      </c>
      <c r="X76" s="24" t="n">
        <f aca="false">'Author Response Entry'!$H$76</f>
        <v>46274</v>
      </c>
      <c r="Y76" s="23" t="str">
        <f aca="false">IF(T76="","",IF(T76="CUSTOM RESPONSE",U76,IF(T76="HOLD — NEEDS RESEARCH",IF(U76&lt;&gt;"",U76,"HOLD — NEEDS RESEARCH"),IF(T76="DEFER — NOT YET",IF(U76&lt;&gt;"",U76,"DEFER — NOT YET"),IF(T76="OPTION 1",O76,IF(T76="OPTION 2",U76,IF(T76="OPTION 3",Q76,IF(T76="OPTION 4",R76,""))))))))</f>
        <v>Restoration phrase → “a beloved spirit son or daughter of heavenly parents”</v>
      </c>
      <c r="Z76" s="23" t="str">
        <f aca="false">IF(T76="","OPEN",IF(T76="CUSTOM RESPONSE",IF(U76="","OPEN — CUSTOM TEXT REQUIRED",IF(W76="","RESOLVED — ADD INITIALS/DATE",IF(X76="","RESOLVED — ADD INITIALS/DATE","RESOLVED"))),IF(T76="HOLD — NEEDS RESEARCH",IF(W76="","HOLD — ADD INITIALS/DATE",IF(X76="","HOLD — ADD INITIALS/DATE","HOLD")),IF(T76="DEFER — NOT YET",IF(W76="","DEFERRED — ADD INITIALS/DATE",IF(X76="","DEFERRED — ADD INITIALS/DATE","DEFERRED")),IF(T76="OPTION 1",IF(W76="","RESOLVED — ADD INITIALS/DATE",IF(X76="","RESOLVED — ADD INITIALS/DATE","RESOLVED")),IF(T76="OPTION 2",IF(U76="","OPEN — CUSTOM TEXT REQUIRED",IF(W76="","RESOLVED — ADD INITIALS/DATE",IF(X76="","RESOLVED — ADD INITIALS/DATE","RESOLVED"))),IF(T76="OPTION 3",IF(W76="","HOLD — ADD INITIALS/DATE",IF(X76="","HOLD — ADD INITIALS/DATE","HOLD")),IF(T76="OPTION 4",IF(W76="","HOLD — ADD INITIALS/DATE",IF(X76="","HOLD — ADD INITIALS/DATE","HOLD")),IF(W76="","RESOLVED — ADD INITIALS/DATE",IF(X76="","RESOLVED — ADD INITIALS/DATE","RESOLVED"))))))))))</f>
        <v>RESOLVED</v>
      </c>
      <c r="AA76" s="23" t="s">
        <v>380</v>
      </c>
      <c r="AB76" s="23" t="s">
        <v>4589</v>
      </c>
      <c r="AC76" s="23" t="s">
        <v>4797</v>
      </c>
      <c r="AD76" s="23"/>
      <c r="AE76" s="23" t="s">
        <v>698</v>
      </c>
      <c r="AF76" s="23" t="str">
        <f aca="false">IF(F76&lt;&gt;"READY","NO",IF(Z76="OPEN","YES",IF(Z76="OPEN — CUSTOM TEXT REQUIRED","YES",IF(Z76="RESOLVED — ADD INITIALS/DATE","YES",IF(Z76="HOLD — ADD INITIALS/DATE","YES",IF(Z76="DEFERRED — ADD INITIALS/DATE","YES","NO"))))))</f>
        <v>NO</v>
      </c>
      <c r="AG76" s="23" t="str">
        <f aca="false">IF(AF76&lt;&gt;"YES","",IF(A76=IFERROR(MATCH("YES",$AF$2:$AF$105,0),0),"CURRENT",""))</f>
        <v/>
      </c>
      <c r="AH76" s="25" t="str">
        <f aca="false">IF(COUNTIF($B$2:$B$105,B76)&gt;1,"DUPLICATE","")</f>
        <v/>
      </c>
    </row>
    <row r="77" customFormat="false" ht="15.75" hidden="false" customHeight="true" outlineLevel="0" collapsed="false">
      <c r="A77" s="9" t="n">
        <v>76</v>
      </c>
      <c r="B77" s="9" t="s">
        <v>4818</v>
      </c>
      <c r="C77" s="9" t="s">
        <v>4578</v>
      </c>
      <c r="D77" s="9" t="s">
        <v>4579</v>
      </c>
      <c r="E77" s="9" t="s">
        <v>1857</v>
      </c>
      <c r="F77" s="9" t="s">
        <v>874</v>
      </c>
      <c r="G77" s="9" t="s">
        <v>2899</v>
      </c>
      <c r="H77" s="9" t="s">
        <v>700</v>
      </c>
      <c r="I77" s="9" t="s">
        <v>4819</v>
      </c>
      <c r="J77" s="9" t="s">
        <v>4820</v>
      </c>
      <c r="K77" s="9" t="s">
        <v>4582</v>
      </c>
      <c r="L77" s="9" t="s">
        <v>4821</v>
      </c>
      <c r="M77" s="9" t="s">
        <v>4584</v>
      </c>
      <c r="N77" s="9" t="s">
        <v>4585</v>
      </c>
      <c r="O77" s="9" t="s">
        <v>4556</v>
      </c>
      <c r="P77" s="9" t="s">
        <v>4586</v>
      </c>
      <c r="Q77" s="9" t="s">
        <v>4587</v>
      </c>
      <c r="R77" s="9" t="s">
        <v>4588</v>
      </c>
      <c r="S77" s="9" t="s">
        <v>4505</v>
      </c>
      <c r="T77" s="22" t="str">
        <f aca="false">'Author Response Entry'!$D$77</f>
        <v>OPTION 2</v>
      </c>
      <c r="U77" s="23" t="str">
        <f aca="false">'Author Response Entry'!$E$77</f>
        <v>summary → The Father is an embodied, tangible, glorified person; humanity is made in His image. | caution → Counted as an addition because it does not appear as a positive doctrine in the creeds and confessions studied — not because no Christian ever taught something like it.</v>
      </c>
      <c r="V77" s="23" t="str">
        <f aca="false">'Author Response Entry'!$F$77</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77" s="23" t="str">
        <f aca="false">'Author Response Entry'!$G$77</f>
        <v>AJP</v>
      </c>
      <c r="X77" s="24" t="n">
        <f aca="false">'Author Response Entry'!$H$77</f>
        <v>46274</v>
      </c>
      <c r="Y77" s="23" t="str">
        <f aca="false">IF(T77="","",IF(T77="CUSTOM RESPONSE",U77,IF(T77="HOLD — NEEDS RESEARCH",IF(U77&lt;&gt;"",U77,"HOLD — NEEDS RESEARCH"),IF(T77="DEFER — NOT YET",IF(U77&lt;&gt;"",U77,"DEFER — NOT YET"),IF(T77="OPTION 1",O77,IF(T77="OPTION 2",U77,IF(T77="OPTION 3",Q77,IF(T77="OPTION 4",R77,""))))))))</f>
        <v>summary → The Father is an embodied, tangible, glorified person; humanity is made in His image. | caution → Counted as an addition because it does not appear as a positive doctrine in the creeds and confessions studied — not because no Christian ever taught something like it.</v>
      </c>
      <c r="Z77" s="23" t="str">
        <f aca="false">IF(T77="","OPEN",IF(T77="CUSTOM RESPONSE",IF(U77="","OPEN — CUSTOM TEXT REQUIRED",IF(W77="","RESOLVED — ADD INITIALS/DATE",IF(X77="","RESOLVED — ADD INITIALS/DATE","RESOLVED"))),IF(T77="HOLD — NEEDS RESEARCH",IF(W77="","HOLD — ADD INITIALS/DATE",IF(X77="","HOLD — ADD INITIALS/DATE","HOLD")),IF(T77="DEFER — NOT YET",IF(W77="","DEFERRED — ADD INITIALS/DATE",IF(X77="","DEFERRED — ADD INITIALS/DATE","DEFERRED")),IF(T77="OPTION 1",IF(W77="","RESOLVED — ADD INITIALS/DATE",IF(X77="","RESOLVED — ADD INITIALS/DATE","RESOLVED")),IF(T77="OPTION 2",IF(U77="","OPEN — CUSTOM TEXT REQUIRED",IF(W77="","RESOLVED — ADD INITIALS/DATE",IF(X77="","RESOLVED — ADD INITIALS/DATE","RESOLVED"))),IF(T77="OPTION 3",IF(W77="","HOLD — ADD INITIALS/DATE",IF(X77="","HOLD — ADD INITIALS/DATE","HOLD")),IF(T77="OPTION 4",IF(W77="","HOLD — ADD INITIALS/DATE",IF(X77="","HOLD — ADD INITIALS/DATE","HOLD")),IF(W77="","RESOLVED — ADD INITIALS/DATE",IF(X77="","RESOLVED — ADD INITIALS/DATE","RESOLVED"))))))))))</f>
        <v>RESOLVED</v>
      </c>
      <c r="AA77" s="23" t="s">
        <v>380</v>
      </c>
      <c r="AB77" s="23" t="s">
        <v>4589</v>
      </c>
      <c r="AC77" s="23" t="s">
        <v>4822</v>
      </c>
      <c r="AD77" s="23" t="s">
        <v>706</v>
      </c>
      <c r="AE77" s="23" t="s">
        <v>4823</v>
      </c>
      <c r="AF77" s="23" t="str">
        <f aca="false">IF(F77&lt;&gt;"READY","NO",IF(Z77="OPEN","YES",IF(Z77="OPEN — CUSTOM TEXT REQUIRED","YES",IF(Z77="RESOLVED — ADD INITIALS/DATE","YES",IF(Z77="HOLD — ADD INITIALS/DATE","YES",IF(Z77="DEFERRED — ADD INITIALS/DATE","YES","NO"))))))</f>
        <v>NO</v>
      </c>
      <c r="AG77" s="23" t="str">
        <f aca="false">IF(AF77&lt;&gt;"YES","",IF(A77=IFERROR(MATCH("YES",$AF$2:$AF$105,0),0),"CURRENT",""))</f>
        <v/>
      </c>
      <c r="AH77" s="25" t="str">
        <f aca="false">IF(COUNTIF($B$2:$B$105,B77)&gt;1,"DUPLICATE","")</f>
        <v/>
      </c>
    </row>
    <row r="78" customFormat="false" ht="15.75" hidden="false" customHeight="true" outlineLevel="0" collapsed="false">
      <c r="A78" s="9" t="n">
        <v>77</v>
      </c>
      <c r="B78" s="9" t="s">
        <v>4824</v>
      </c>
      <c r="C78" s="9" t="s">
        <v>4578</v>
      </c>
      <c r="D78" s="9" t="s">
        <v>4579</v>
      </c>
      <c r="E78" s="9" t="s">
        <v>1857</v>
      </c>
      <c r="F78" s="9" t="s">
        <v>874</v>
      </c>
      <c r="G78" s="9" t="s">
        <v>2899</v>
      </c>
      <c r="H78" s="9" t="s">
        <v>707</v>
      </c>
      <c r="I78" s="9" t="s">
        <v>4825</v>
      </c>
      <c r="J78" s="9" t="s">
        <v>4826</v>
      </c>
      <c r="K78" s="9" t="s">
        <v>4582</v>
      </c>
      <c r="L78" s="9" t="s">
        <v>4827</v>
      </c>
      <c r="M78" s="9" t="s">
        <v>4584</v>
      </c>
      <c r="N78" s="9" t="s">
        <v>4585</v>
      </c>
      <c r="O78" s="9" t="s">
        <v>4556</v>
      </c>
      <c r="P78" s="9" t="s">
        <v>4586</v>
      </c>
      <c r="Q78" s="9" t="s">
        <v>4587</v>
      </c>
      <c r="R78" s="9" t="s">
        <v>4588</v>
      </c>
      <c r="S78" s="9" t="s">
        <v>4505</v>
      </c>
      <c r="T78" s="22" t="str">
        <f aca="false">'Author Response Entry'!$D$78</f>
        <v>OPTION 2</v>
      </c>
      <c r="U78" s="23" t="str">
        <f aca="false">'Author Response Entry'!$E$78</f>
        <v>caution → Counted as an addition because it does not appear as a positive doctrine in the creeds and confessions studied — not because no Christian ever taught something like it.</v>
      </c>
      <c r="V78" s="23" t="str">
        <f aca="false">'Author Response Entry'!$F$78</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78" s="23" t="str">
        <f aca="false">'Author Response Entry'!$G$78</f>
        <v>AJP</v>
      </c>
      <c r="X78" s="24" t="n">
        <f aca="false">'Author Response Entry'!$H$78</f>
        <v>46274</v>
      </c>
      <c r="Y78" s="23" t="str">
        <f aca="false">IF(T78="","",IF(T78="CUSTOM RESPONSE",U78,IF(T78="HOLD — NEEDS RESEARCH",IF(U78&lt;&gt;"",U78,"HOLD — NEEDS RESEARCH"),IF(T78="DEFER — NOT YET",IF(U78&lt;&gt;"",U78,"DEFER — NOT YET"),IF(T78="OPTION 1",O78,IF(T78="OPTION 2",U78,IF(T78="OPTION 3",Q78,IF(T78="OPTION 4",R78,""))))))))</f>
        <v>caution → Counted as an addition because it does not appear as a positive doctrine in the creeds and confessions studied — not because no Christian ever taught something like it.</v>
      </c>
      <c r="Z78" s="23" t="str">
        <f aca="false">IF(T78="","OPEN",IF(T78="CUSTOM RESPONSE",IF(U78="","OPEN — CUSTOM TEXT REQUIRED",IF(W78="","RESOLVED — ADD INITIALS/DATE",IF(X78="","RESOLVED — ADD INITIALS/DATE","RESOLVED"))),IF(T78="HOLD — NEEDS RESEARCH",IF(W78="","HOLD — ADD INITIALS/DATE",IF(X78="","HOLD — ADD INITIALS/DATE","HOLD")),IF(T78="DEFER — NOT YET",IF(W78="","DEFERRED — ADD INITIALS/DATE",IF(X78="","DEFERRED — ADD INITIALS/DATE","DEFERRED")),IF(T78="OPTION 1",IF(W78="","RESOLVED — ADD INITIALS/DATE",IF(X78="","RESOLVED — ADD INITIALS/DATE","RESOLVED")),IF(T78="OPTION 2",IF(U78="","OPEN — CUSTOM TEXT REQUIRED",IF(W78="","RESOLVED — ADD INITIALS/DATE",IF(X78="","RESOLVED — ADD INITIALS/DATE","RESOLVED"))),IF(T78="OPTION 3",IF(W78="","HOLD — ADD INITIALS/DATE",IF(X78="","HOLD — ADD INITIALS/DATE","HOLD")),IF(T78="OPTION 4",IF(W78="","HOLD — ADD INITIALS/DATE",IF(X78="","HOLD — ADD INITIALS/DATE","HOLD")),IF(W78="","RESOLVED — ADD INITIALS/DATE",IF(X78="","RESOLVED — ADD INITIALS/DATE","RESOLVED"))))))))))</f>
        <v>RESOLVED</v>
      </c>
      <c r="AA78" s="23" t="s">
        <v>380</v>
      </c>
      <c r="AB78" s="23" t="s">
        <v>4589</v>
      </c>
      <c r="AC78" s="23" t="s">
        <v>4822</v>
      </c>
      <c r="AD78" s="23" t="s">
        <v>710</v>
      </c>
      <c r="AE78" s="23" t="s">
        <v>4823</v>
      </c>
      <c r="AF78" s="23" t="str">
        <f aca="false">IF(F78&lt;&gt;"READY","NO",IF(Z78="OPEN","YES",IF(Z78="OPEN — CUSTOM TEXT REQUIRED","YES",IF(Z78="RESOLVED — ADD INITIALS/DATE","YES",IF(Z78="HOLD — ADD INITIALS/DATE","YES",IF(Z78="DEFERRED — ADD INITIALS/DATE","YES","NO"))))))</f>
        <v>NO</v>
      </c>
      <c r="AG78" s="23" t="str">
        <f aca="false">IF(AF78&lt;&gt;"YES","",IF(A78=IFERROR(MATCH("YES",$AF$2:$AF$105,0),0),"CURRENT",""))</f>
        <v/>
      </c>
      <c r="AH78" s="25" t="str">
        <f aca="false">IF(COUNTIF($B$2:$B$105,B78)&gt;1,"DUPLICATE","")</f>
        <v/>
      </c>
    </row>
    <row r="79" customFormat="false" ht="15.75" hidden="false" customHeight="true" outlineLevel="0" collapsed="false">
      <c r="A79" s="9" t="n">
        <v>78</v>
      </c>
      <c r="B79" s="9" t="s">
        <v>4828</v>
      </c>
      <c r="C79" s="9" t="s">
        <v>4578</v>
      </c>
      <c r="D79" s="9" t="s">
        <v>4579</v>
      </c>
      <c r="E79" s="9" t="s">
        <v>1857</v>
      </c>
      <c r="F79" s="9" t="s">
        <v>874</v>
      </c>
      <c r="G79" s="9" t="s">
        <v>2899</v>
      </c>
      <c r="H79" s="9" t="s">
        <v>711</v>
      </c>
      <c r="I79" s="9" t="s">
        <v>4829</v>
      </c>
      <c r="J79" s="9" t="s">
        <v>4830</v>
      </c>
      <c r="K79" s="9" t="s">
        <v>4582</v>
      </c>
      <c r="L79" s="9" t="s">
        <v>4831</v>
      </c>
      <c r="M79" s="9" t="s">
        <v>4584</v>
      </c>
      <c r="N79" s="9" t="s">
        <v>4585</v>
      </c>
      <c r="O79" s="9" t="s">
        <v>4556</v>
      </c>
      <c r="P79" s="9" t="s">
        <v>4586</v>
      </c>
      <c r="Q79" s="9" t="s">
        <v>4587</v>
      </c>
      <c r="R79" s="9" t="s">
        <v>4588</v>
      </c>
      <c r="S79" s="9" t="s">
        <v>4505</v>
      </c>
      <c r="T79" s="22" t="str">
        <f aca="false">'Author Response Entry'!$D$79</f>
        <v>OPTION 2</v>
      </c>
      <c r="U79" s="23" t="str">
        <f aca="false">'Author Response Entry'!$E$79</f>
        <v>summary → God is personally present in one place at a time, while His light, knowledge, power, and governance fill all creation. | caution → Counted as an addition because it does not appear as a positive doctrine in the creeds and confessions studied — not because no Christian ever taught something like it.</v>
      </c>
      <c r="V79" s="23" t="str">
        <f aca="false">'Author Response Entry'!$F$79</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79" s="23" t="str">
        <f aca="false">'Author Response Entry'!$G$79</f>
        <v>AJP</v>
      </c>
      <c r="X79" s="24" t="n">
        <f aca="false">'Author Response Entry'!$H$79</f>
        <v>46274</v>
      </c>
      <c r="Y79" s="23" t="str">
        <f aca="false">IF(T79="","",IF(T79="CUSTOM RESPONSE",U79,IF(T79="HOLD — NEEDS RESEARCH",IF(U79&lt;&gt;"",U79,"HOLD — NEEDS RESEARCH"),IF(T79="DEFER — NOT YET",IF(U79&lt;&gt;"",U79,"DEFER — NOT YET"),IF(T79="OPTION 1",O79,IF(T79="OPTION 2",U79,IF(T79="OPTION 3",Q79,IF(T79="OPTION 4",R79,""))))))))</f>
        <v>summary → God is personally present in one place at a time, while His light, knowledge, power, and governance fill all creation. | caution → Counted as an addition because it does not appear as a positive doctrine in the creeds and confessions studied — not because no Christian ever taught something like it.</v>
      </c>
      <c r="Z79" s="23" t="str">
        <f aca="false">IF(T79="","OPEN",IF(T79="CUSTOM RESPONSE",IF(U79="","OPEN — CUSTOM TEXT REQUIRED",IF(W79="","RESOLVED — ADD INITIALS/DATE",IF(X79="","RESOLVED — ADD INITIALS/DATE","RESOLVED"))),IF(T79="HOLD — NEEDS RESEARCH",IF(W79="","HOLD — ADD INITIALS/DATE",IF(X79="","HOLD — ADD INITIALS/DATE","HOLD")),IF(T79="DEFER — NOT YET",IF(W79="","DEFERRED — ADD INITIALS/DATE",IF(X79="","DEFERRED — ADD INITIALS/DATE","DEFERRED")),IF(T79="OPTION 1",IF(W79="","RESOLVED — ADD INITIALS/DATE",IF(X79="","RESOLVED — ADD INITIALS/DATE","RESOLVED")),IF(T79="OPTION 2",IF(U79="","OPEN — CUSTOM TEXT REQUIRED",IF(W79="","RESOLVED — ADD INITIALS/DATE",IF(X79="","RESOLVED — ADD INITIALS/DATE","RESOLVED"))),IF(T79="OPTION 3",IF(W79="","HOLD — ADD INITIALS/DATE",IF(X79="","HOLD — ADD INITIALS/DATE","HOLD")),IF(T79="OPTION 4",IF(W79="","HOLD — ADD INITIALS/DATE",IF(X79="","HOLD — ADD INITIALS/DATE","HOLD")),IF(W79="","RESOLVED — ADD INITIALS/DATE",IF(X79="","RESOLVED — ADD INITIALS/DATE","RESOLVED"))))))))))</f>
        <v>RESOLVED</v>
      </c>
      <c r="AA79" s="23" t="s">
        <v>380</v>
      </c>
      <c r="AB79" s="23" t="s">
        <v>4589</v>
      </c>
      <c r="AC79" s="23" t="s">
        <v>4822</v>
      </c>
      <c r="AD79" s="23" t="s">
        <v>713</v>
      </c>
      <c r="AE79" s="23" t="s">
        <v>4823</v>
      </c>
      <c r="AF79" s="23" t="str">
        <f aca="false">IF(F79&lt;&gt;"READY","NO",IF(Z79="OPEN","YES",IF(Z79="OPEN — CUSTOM TEXT REQUIRED","YES",IF(Z79="RESOLVED — ADD INITIALS/DATE","YES",IF(Z79="HOLD — ADD INITIALS/DATE","YES",IF(Z79="DEFERRED — ADD INITIALS/DATE","YES","NO"))))))</f>
        <v>NO</v>
      </c>
      <c r="AG79" s="23" t="str">
        <f aca="false">IF(AF79&lt;&gt;"YES","",IF(A79=IFERROR(MATCH("YES",$AF$2:$AF$105,0),0),"CURRENT",""))</f>
        <v/>
      </c>
      <c r="AH79" s="25" t="str">
        <f aca="false">IF(COUNTIF($B$2:$B$105,B79)&gt;1,"DUPLICATE","")</f>
        <v/>
      </c>
    </row>
    <row r="80" customFormat="false" ht="15.75" hidden="false" customHeight="true" outlineLevel="0" collapsed="false">
      <c r="A80" s="9" t="n">
        <v>79</v>
      </c>
      <c r="B80" s="9" t="s">
        <v>4832</v>
      </c>
      <c r="C80" s="9" t="s">
        <v>4578</v>
      </c>
      <c r="D80" s="9" t="s">
        <v>4579</v>
      </c>
      <c r="E80" s="9" t="s">
        <v>113</v>
      </c>
      <c r="F80" s="9" t="s">
        <v>874</v>
      </c>
      <c r="G80" s="9" t="s">
        <v>2899</v>
      </c>
      <c r="H80" s="9" t="s">
        <v>714</v>
      </c>
      <c r="I80" s="9" t="s">
        <v>4833</v>
      </c>
      <c r="J80" s="9" t="s">
        <v>4834</v>
      </c>
      <c r="K80" s="9" t="s">
        <v>4582</v>
      </c>
      <c r="L80" s="9" t="s">
        <v>4835</v>
      </c>
      <c r="M80" s="9" t="s">
        <v>4584</v>
      </c>
      <c r="N80" s="9" t="s">
        <v>4585</v>
      </c>
      <c r="O80" s="9" t="s">
        <v>4556</v>
      </c>
      <c r="P80" s="9" t="s">
        <v>4586</v>
      </c>
      <c r="Q80" s="9" t="s">
        <v>4587</v>
      </c>
      <c r="R80" s="9" t="s">
        <v>4588</v>
      </c>
      <c r="S80" s="9" t="s">
        <v>4505</v>
      </c>
      <c r="T80" s="22" t="str">
        <f aca="false">'Author Response Entry'!$D$80</f>
        <v>OPTION 2</v>
      </c>
      <c r="U80" s="23" t="str">
        <f aca="false">'Author Response Entry'!$E$80</f>
        <v>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v>
      </c>
      <c r="V80" s="23" t="str">
        <f aca="false">'Author Response Entry'!$F$80</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80" s="23" t="str">
        <f aca="false">'Author Response Entry'!$G$80</f>
        <v>AJP</v>
      </c>
      <c r="X80" s="24" t="n">
        <f aca="false">'Author Response Entry'!$H$80</f>
        <v>46274</v>
      </c>
      <c r="Y80" s="23" t="str">
        <f aca="false">IF(T80="","",IF(T80="CUSTOM RESPONSE",U80,IF(T80="HOLD — NEEDS RESEARCH",IF(U80&lt;&gt;"",U80,"HOLD — NEEDS RESEARCH"),IF(T80="DEFER — NOT YET",IF(U80&lt;&gt;"",U80,"DEFER — NOT YET"),IF(T80="OPTION 1",O80,IF(T80="OPTION 2",U80,IF(T80="OPTION 3",Q80,IF(T80="OPTION 4",R80,""))))))))</f>
        <v>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v>
      </c>
      <c r="Z80" s="23" t="str">
        <f aca="false">IF(T80="","OPEN",IF(T80="CUSTOM RESPONSE",IF(U80="","OPEN — CUSTOM TEXT REQUIRED",IF(W80="","RESOLVED — ADD INITIALS/DATE",IF(X80="","RESOLVED — ADD INITIALS/DATE","RESOLVED"))),IF(T80="HOLD — NEEDS RESEARCH",IF(W80="","HOLD — ADD INITIALS/DATE",IF(X80="","HOLD — ADD INITIALS/DATE","HOLD")),IF(T80="DEFER — NOT YET",IF(W80="","DEFERRED — ADD INITIALS/DATE",IF(X80="","DEFERRED — ADD INITIALS/DATE","DEFERRED")),IF(T80="OPTION 1",IF(W80="","RESOLVED — ADD INITIALS/DATE",IF(X80="","RESOLVED — ADD INITIALS/DATE","RESOLVED")),IF(T80="OPTION 2",IF(U80="","OPEN — CUSTOM TEXT REQUIRED",IF(W80="","RESOLVED — ADD INITIALS/DATE",IF(X80="","RESOLVED — ADD INITIALS/DATE","RESOLVED"))),IF(T80="OPTION 3",IF(W80="","HOLD — ADD INITIALS/DATE",IF(X80="","HOLD — ADD INITIALS/DATE","HOLD")),IF(T80="OPTION 4",IF(W80="","HOLD — ADD INITIALS/DATE",IF(X80="","HOLD — ADD INITIALS/DATE","HOLD")),IF(W80="","RESOLVED — ADD INITIALS/DATE",IF(X80="","RESOLVED — ADD INITIALS/DATE","RESOLVED"))))))))))</f>
        <v>RESOLVED</v>
      </c>
      <c r="AA80" s="23" t="s">
        <v>380</v>
      </c>
      <c r="AB80" s="23" t="s">
        <v>4589</v>
      </c>
      <c r="AC80" s="23" t="s">
        <v>4822</v>
      </c>
      <c r="AD80" s="23" t="s">
        <v>718</v>
      </c>
      <c r="AE80" s="23" t="s">
        <v>4823</v>
      </c>
      <c r="AF80" s="23" t="str">
        <f aca="false">IF(F80&lt;&gt;"READY","NO",IF(Z80="OPEN","YES",IF(Z80="OPEN — CUSTOM TEXT REQUIRED","YES",IF(Z80="RESOLVED — ADD INITIALS/DATE","YES",IF(Z80="HOLD — ADD INITIALS/DATE","YES",IF(Z80="DEFERRED — ADD INITIALS/DATE","YES","NO"))))))</f>
        <v>NO</v>
      </c>
      <c r="AG80" s="23" t="str">
        <f aca="false">IF(AF80&lt;&gt;"YES","",IF(A80=IFERROR(MATCH("YES",$AF$2:$AF$105,0),0),"CURRENT",""))</f>
        <v/>
      </c>
      <c r="AH80" s="25" t="str">
        <f aca="false">IF(COUNTIF($B$2:$B$105,B80)&gt;1,"DUPLICATE","")</f>
        <v/>
      </c>
    </row>
    <row r="81" customFormat="false" ht="15.75" hidden="false" customHeight="true" outlineLevel="0" collapsed="false">
      <c r="A81" s="9" t="n">
        <v>80</v>
      </c>
      <c r="B81" s="9" t="s">
        <v>4836</v>
      </c>
      <c r="C81" s="9" t="s">
        <v>4578</v>
      </c>
      <c r="D81" s="9" t="s">
        <v>4579</v>
      </c>
      <c r="E81" s="9" t="s">
        <v>113</v>
      </c>
      <c r="F81" s="9" t="s">
        <v>874</v>
      </c>
      <c r="G81" s="9" t="s">
        <v>2899</v>
      </c>
      <c r="H81" s="9" t="s">
        <v>719</v>
      </c>
      <c r="I81" s="9" t="s">
        <v>4837</v>
      </c>
      <c r="J81" s="9" t="s">
        <v>4838</v>
      </c>
      <c r="K81" s="9" t="s">
        <v>4582</v>
      </c>
      <c r="L81" s="9" t="s">
        <v>4839</v>
      </c>
      <c r="M81" s="9" t="s">
        <v>4584</v>
      </c>
      <c r="N81" s="9" t="s">
        <v>4585</v>
      </c>
      <c r="O81" s="9" t="s">
        <v>4556</v>
      </c>
      <c r="P81" s="9" t="s">
        <v>4586</v>
      </c>
      <c r="Q81" s="9" t="s">
        <v>4587</v>
      </c>
      <c r="R81" s="9" t="s">
        <v>4588</v>
      </c>
      <c r="S81" s="9" t="s">
        <v>4505</v>
      </c>
      <c r="T81" s="22" t="str">
        <f aca="false">'Author Response Entry'!$D$81</f>
        <v>OPTION 2</v>
      </c>
      <c r="U81" s="23" t="str">
        <f aca="false">'Author Response Entry'!$E$81</f>
        <v>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v>
      </c>
      <c r="V81" s="23" t="str">
        <f aca="false">'Author Response Entry'!$F$81</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81" s="23" t="str">
        <f aca="false">'Author Response Entry'!$G$81</f>
        <v>AJP</v>
      </c>
      <c r="X81" s="24" t="n">
        <f aca="false">'Author Response Entry'!$H$81</f>
        <v>46274</v>
      </c>
      <c r="Y81" s="23" t="str">
        <f aca="false">IF(T81="","",IF(T81="CUSTOM RESPONSE",U81,IF(T81="HOLD — NEEDS RESEARCH",IF(U81&lt;&gt;"",U81,"HOLD — NEEDS RESEARCH"),IF(T81="DEFER — NOT YET",IF(U81&lt;&gt;"",U81,"DEFER — NOT YET"),IF(T81="OPTION 1",O81,IF(T81="OPTION 2",U81,IF(T81="OPTION 3",Q81,IF(T81="OPTION 4",R81,""))))))))</f>
        <v>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v>
      </c>
      <c r="Z81" s="23" t="str">
        <f aca="false">IF(T81="","OPEN",IF(T81="CUSTOM RESPONSE",IF(U81="","OPEN — CUSTOM TEXT REQUIRED",IF(W81="","RESOLVED — ADD INITIALS/DATE",IF(X81="","RESOLVED — ADD INITIALS/DATE","RESOLVED"))),IF(T81="HOLD — NEEDS RESEARCH",IF(W81="","HOLD — ADD INITIALS/DATE",IF(X81="","HOLD — ADD INITIALS/DATE","HOLD")),IF(T81="DEFER — NOT YET",IF(W81="","DEFERRED — ADD INITIALS/DATE",IF(X81="","DEFERRED — ADD INITIALS/DATE","DEFERRED")),IF(T81="OPTION 1",IF(W81="","RESOLVED — ADD INITIALS/DATE",IF(X81="","RESOLVED — ADD INITIALS/DATE","RESOLVED")),IF(T81="OPTION 2",IF(U81="","OPEN — CUSTOM TEXT REQUIRED",IF(W81="","RESOLVED — ADD INITIALS/DATE",IF(X81="","RESOLVED — ADD INITIALS/DATE","RESOLVED"))),IF(T81="OPTION 3",IF(W81="","HOLD — ADD INITIALS/DATE",IF(X81="","HOLD — ADD INITIALS/DATE","HOLD")),IF(T81="OPTION 4",IF(W81="","HOLD — ADD INITIALS/DATE",IF(X81="","HOLD — ADD INITIALS/DATE","HOLD")),IF(W81="","RESOLVED — ADD INITIALS/DATE",IF(X81="","RESOLVED — ADD INITIALS/DATE","RESOLVED"))))))))))</f>
        <v>RESOLVED</v>
      </c>
      <c r="AA81" s="23" t="s">
        <v>380</v>
      </c>
      <c r="AB81" s="23" t="s">
        <v>4589</v>
      </c>
      <c r="AC81" s="23" t="s">
        <v>4822</v>
      </c>
      <c r="AD81" s="23" t="s">
        <v>721</v>
      </c>
      <c r="AE81" s="23" t="s">
        <v>4823</v>
      </c>
      <c r="AF81" s="23" t="str">
        <f aca="false">IF(F81&lt;&gt;"READY","NO",IF(Z81="OPEN","YES",IF(Z81="OPEN — CUSTOM TEXT REQUIRED","YES",IF(Z81="RESOLVED — ADD INITIALS/DATE","YES",IF(Z81="HOLD — ADD INITIALS/DATE","YES",IF(Z81="DEFERRED — ADD INITIALS/DATE","YES","NO"))))))</f>
        <v>NO</v>
      </c>
      <c r="AG81" s="23" t="str">
        <f aca="false">IF(AF81&lt;&gt;"YES","",IF(A81=IFERROR(MATCH("YES",$AF$2:$AF$105,0),0),"CURRENT",""))</f>
        <v/>
      </c>
      <c r="AH81" s="25" t="str">
        <f aca="false">IF(COUNTIF($B$2:$B$105,B81)&gt;1,"DUPLICATE","")</f>
        <v/>
      </c>
    </row>
    <row r="82" customFormat="false" ht="15.75" hidden="false" customHeight="true" outlineLevel="0" collapsed="false">
      <c r="A82" s="9" t="n">
        <v>81</v>
      </c>
      <c r="B82" s="9" t="s">
        <v>4840</v>
      </c>
      <c r="C82" s="9" t="s">
        <v>4578</v>
      </c>
      <c r="D82" s="9" t="s">
        <v>4579</v>
      </c>
      <c r="E82" s="9" t="s">
        <v>1857</v>
      </c>
      <c r="F82" s="9" t="s">
        <v>874</v>
      </c>
      <c r="G82" s="9" t="s">
        <v>2899</v>
      </c>
      <c r="H82" s="9" t="s">
        <v>722</v>
      </c>
      <c r="I82" s="9" t="s">
        <v>4841</v>
      </c>
      <c r="J82" s="9" t="s">
        <v>4842</v>
      </c>
      <c r="K82" s="9" t="s">
        <v>4582</v>
      </c>
      <c r="L82" s="9" t="s">
        <v>4843</v>
      </c>
      <c r="M82" s="9" t="s">
        <v>4584</v>
      </c>
      <c r="N82" s="9" t="s">
        <v>4585</v>
      </c>
      <c r="O82" s="9" t="s">
        <v>4556</v>
      </c>
      <c r="P82" s="9" t="s">
        <v>4586</v>
      </c>
      <c r="Q82" s="9" t="s">
        <v>4587</v>
      </c>
      <c r="R82" s="9" t="s">
        <v>4588</v>
      </c>
      <c r="S82" s="9" t="s">
        <v>4505</v>
      </c>
      <c r="T82" s="22" t="str">
        <f aca="false">'Author Response Entry'!$D$82</f>
        <v>OPTION 2</v>
      </c>
      <c r="U82" s="23" t="str">
        <f aca="false">'Author Response Entry'!$E$82</f>
        <v>caution → Counted as an addition because it does not appear as a positive doctrine in the creeds and confessions studied — not because no Christian ever taught something like it.</v>
      </c>
      <c r="V82" s="23" t="str">
        <f aca="false">'Author Response Entry'!$F$82</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82" s="23" t="str">
        <f aca="false">'Author Response Entry'!$G$82</f>
        <v>AJP</v>
      </c>
      <c r="X82" s="24" t="n">
        <f aca="false">'Author Response Entry'!$H$82</f>
        <v>46274</v>
      </c>
      <c r="Y82" s="23" t="str">
        <f aca="false">IF(T82="","",IF(T82="CUSTOM RESPONSE",U82,IF(T82="HOLD — NEEDS RESEARCH",IF(U82&lt;&gt;"",U82,"HOLD — NEEDS RESEARCH"),IF(T82="DEFER — NOT YET",IF(U82&lt;&gt;"",U82,"DEFER — NOT YET"),IF(T82="OPTION 1",O82,IF(T82="OPTION 2",U82,IF(T82="OPTION 3",Q82,IF(T82="OPTION 4",R82,""))))))))</f>
        <v>caution → Counted as an addition because it does not appear as a positive doctrine in the creeds and confessions studied — not because no Christian ever taught something like it.</v>
      </c>
      <c r="Z82" s="23" t="str">
        <f aca="false">IF(T82="","OPEN",IF(T82="CUSTOM RESPONSE",IF(U82="","OPEN — CUSTOM TEXT REQUIRED",IF(W82="","RESOLVED — ADD INITIALS/DATE",IF(X82="","RESOLVED — ADD INITIALS/DATE","RESOLVED"))),IF(T82="HOLD — NEEDS RESEARCH",IF(W82="","HOLD — ADD INITIALS/DATE",IF(X82="","HOLD — ADD INITIALS/DATE","HOLD")),IF(T82="DEFER — NOT YET",IF(W82="","DEFERRED — ADD INITIALS/DATE",IF(X82="","DEFERRED — ADD INITIALS/DATE","DEFERRED")),IF(T82="OPTION 1",IF(W82="","RESOLVED — ADD INITIALS/DATE",IF(X82="","RESOLVED — ADD INITIALS/DATE","RESOLVED")),IF(T82="OPTION 2",IF(U82="","OPEN — CUSTOM TEXT REQUIRED",IF(W82="","RESOLVED — ADD INITIALS/DATE",IF(X82="","RESOLVED — ADD INITIALS/DATE","RESOLVED"))),IF(T82="OPTION 3",IF(W82="","HOLD — ADD INITIALS/DATE",IF(X82="","HOLD — ADD INITIALS/DATE","HOLD")),IF(T82="OPTION 4",IF(W82="","HOLD — ADD INITIALS/DATE",IF(X82="","HOLD — ADD INITIALS/DATE","HOLD")),IF(W82="","RESOLVED — ADD INITIALS/DATE",IF(X82="","RESOLVED — ADD INITIALS/DATE","RESOLVED"))))))))))</f>
        <v>RESOLVED</v>
      </c>
      <c r="AA82" s="23" t="s">
        <v>380</v>
      </c>
      <c r="AB82" s="23" t="s">
        <v>4589</v>
      </c>
      <c r="AC82" s="23" t="s">
        <v>4844</v>
      </c>
      <c r="AD82" s="23" t="s">
        <v>725</v>
      </c>
      <c r="AE82" s="23" t="s">
        <v>4823</v>
      </c>
      <c r="AF82" s="23" t="str">
        <f aca="false">IF(F82&lt;&gt;"READY","NO",IF(Z82="OPEN","YES",IF(Z82="OPEN — CUSTOM TEXT REQUIRED","YES",IF(Z82="RESOLVED — ADD INITIALS/DATE","YES",IF(Z82="HOLD — ADD INITIALS/DATE","YES",IF(Z82="DEFERRED — ADD INITIALS/DATE","YES","NO"))))))</f>
        <v>NO</v>
      </c>
      <c r="AG82" s="23" t="str">
        <f aca="false">IF(AF82&lt;&gt;"YES","",IF(A82=IFERROR(MATCH("YES",$AF$2:$AF$105,0),0),"CURRENT",""))</f>
        <v/>
      </c>
      <c r="AH82" s="25" t="str">
        <f aca="false">IF(COUNTIF($B$2:$B$105,B82)&gt;1,"DUPLICATE","")</f>
        <v/>
      </c>
    </row>
    <row r="83" customFormat="false" ht="15.75" hidden="false" customHeight="true" outlineLevel="0" collapsed="false">
      <c r="A83" s="9" t="n">
        <v>82</v>
      </c>
      <c r="B83" s="9" t="s">
        <v>4845</v>
      </c>
      <c r="C83" s="9" t="s">
        <v>4578</v>
      </c>
      <c r="D83" s="9" t="s">
        <v>4579</v>
      </c>
      <c r="E83" s="9" t="s">
        <v>1857</v>
      </c>
      <c r="F83" s="9" t="s">
        <v>874</v>
      </c>
      <c r="G83" s="9" t="s">
        <v>2899</v>
      </c>
      <c r="H83" s="9" t="s">
        <v>726</v>
      </c>
      <c r="I83" s="9" t="s">
        <v>4846</v>
      </c>
      <c r="J83" s="9" t="s">
        <v>4847</v>
      </c>
      <c r="K83" s="9" t="s">
        <v>4582</v>
      </c>
      <c r="L83" s="9" t="s">
        <v>4848</v>
      </c>
      <c r="M83" s="9" t="s">
        <v>4584</v>
      </c>
      <c r="N83" s="9" t="s">
        <v>4585</v>
      </c>
      <c r="O83" s="9" t="s">
        <v>4556</v>
      </c>
      <c r="P83" s="9" t="s">
        <v>4586</v>
      </c>
      <c r="Q83" s="9" t="s">
        <v>4587</v>
      </c>
      <c r="R83" s="9" t="s">
        <v>4588</v>
      </c>
      <c r="S83" s="9" t="s">
        <v>4505</v>
      </c>
      <c r="T83" s="22" t="str">
        <f aca="false">'Author Response Entry'!$D$83</f>
        <v>OPTION 1</v>
      </c>
      <c r="U83" s="23" t="n">
        <f aca="false">'Author Response Entry'!$E$83</f>
        <v>0</v>
      </c>
      <c r="V83" s="23" t="str">
        <f aca="false">'Author Response Entry'!$F$83</f>
        <v>Approved as written (batch sign-off 2026-09-09).</v>
      </c>
      <c r="W83" s="23" t="str">
        <f aca="false">'Author Response Entry'!$G$83</f>
        <v>AJP</v>
      </c>
      <c r="X83" s="24" t="n">
        <f aca="false">'Author Response Entry'!$H$83</f>
        <v>46274</v>
      </c>
      <c r="Y83" s="23" t="str">
        <f aca="false">IF(T83="","",IF(T83="CUSTOM RESPONSE",U83,IF(T83="HOLD — NEEDS RESEARCH",IF(U83&lt;&gt;"",U83,"HOLD — NEEDS RESEARCH"),IF(T83="DEFER — NOT YET",IF(U83&lt;&gt;"",U83,"DEFER — NOT YET"),IF(T83="OPTION 1",O83,IF(T83="OPTION 2",U83,IF(T83="OPTION 3",Q83,IF(T83="OPTION 4",R83,""))))))))</f>
        <v>APPROVE AS WRITTEN</v>
      </c>
      <c r="Z83" s="23" t="str">
        <f aca="false">IF(T83="","OPEN",IF(T83="CUSTOM RESPONSE",IF(U83="","OPEN — CUSTOM TEXT REQUIRED",IF(W83="","RESOLVED — ADD INITIALS/DATE",IF(X83="","RESOLVED — ADD INITIALS/DATE","RESOLVED"))),IF(T83="HOLD — NEEDS RESEARCH",IF(W83="","HOLD — ADD INITIALS/DATE",IF(X83="","HOLD — ADD INITIALS/DATE","HOLD")),IF(T83="DEFER — NOT YET",IF(W83="","DEFERRED — ADD INITIALS/DATE",IF(X83="","DEFERRED — ADD INITIALS/DATE","DEFERRED")),IF(T83="OPTION 1",IF(W83="","RESOLVED — ADD INITIALS/DATE",IF(X83="","RESOLVED — ADD INITIALS/DATE","RESOLVED")),IF(T83="OPTION 2",IF(U83="","OPEN — CUSTOM TEXT REQUIRED",IF(W83="","RESOLVED — ADD INITIALS/DATE",IF(X83="","RESOLVED — ADD INITIALS/DATE","RESOLVED"))),IF(T83="OPTION 3",IF(W83="","HOLD — ADD INITIALS/DATE",IF(X83="","HOLD — ADD INITIALS/DATE","HOLD")),IF(T83="OPTION 4",IF(W83="","HOLD — ADD INITIALS/DATE",IF(X83="","HOLD — ADD INITIALS/DATE","HOLD")),IF(W83="","RESOLVED — ADD INITIALS/DATE",IF(X83="","RESOLVED — ADD INITIALS/DATE","RESOLVED"))))))))))</f>
        <v>RESOLVED</v>
      </c>
      <c r="AA83" s="23" t="s">
        <v>380</v>
      </c>
      <c r="AB83" s="23" t="s">
        <v>4589</v>
      </c>
      <c r="AC83" s="23" t="s">
        <v>4844</v>
      </c>
      <c r="AD83" s="23" t="s">
        <v>729</v>
      </c>
      <c r="AE83" s="23" t="s">
        <v>1253</v>
      </c>
      <c r="AF83" s="23" t="str">
        <f aca="false">IF(F83&lt;&gt;"READY","NO",IF(Z83="OPEN","YES",IF(Z83="OPEN — CUSTOM TEXT REQUIRED","YES",IF(Z83="RESOLVED — ADD INITIALS/DATE","YES",IF(Z83="HOLD — ADD INITIALS/DATE","YES",IF(Z83="DEFERRED — ADD INITIALS/DATE","YES","NO"))))))</f>
        <v>NO</v>
      </c>
      <c r="AG83" s="23" t="str">
        <f aca="false">IF(AF83&lt;&gt;"YES","",IF(A83=IFERROR(MATCH("YES",$AF$2:$AF$105,0),0),"CURRENT",""))</f>
        <v/>
      </c>
      <c r="AH83" s="25" t="str">
        <f aca="false">IF(COUNTIF($B$2:$B$105,B83)&gt;1,"DUPLICATE","")</f>
        <v/>
      </c>
    </row>
    <row r="84" customFormat="false" ht="15.75" hidden="false" customHeight="true" outlineLevel="0" collapsed="false">
      <c r="A84" s="9" t="n">
        <v>83</v>
      </c>
      <c r="B84" s="9" t="s">
        <v>4849</v>
      </c>
      <c r="C84" s="9" t="s">
        <v>4578</v>
      </c>
      <c r="D84" s="9" t="s">
        <v>4579</v>
      </c>
      <c r="E84" s="9" t="s">
        <v>1857</v>
      </c>
      <c r="F84" s="9" t="s">
        <v>874</v>
      </c>
      <c r="G84" s="9" t="s">
        <v>2899</v>
      </c>
      <c r="H84" s="9" t="s">
        <v>730</v>
      </c>
      <c r="I84" s="9" t="s">
        <v>4850</v>
      </c>
      <c r="J84" s="9" t="s">
        <v>4851</v>
      </c>
      <c r="K84" s="9" t="s">
        <v>4582</v>
      </c>
      <c r="L84" s="9" t="s">
        <v>4852</v>
      </c>
      <c r="M84" s="9" t="s">
        <v>4584</v>
      </c>
      <c r="N84" s="9" t="s">
        <v>4585</v>
      </c>
      <c r="O84" s="9" t="s">
        <v>4556</v>
      </c>
      <c r="P84" s="9" t="s">
        <v>4586</v>
      </c>
      <c r="Q84" s="9" t="s">
        <v>4587</v>
      </c>
      <c r="R84" s="9" t="s">
        <v>4588</v>
      </c>
      <c r="S84" s="9" t="s">
        <v>4505</v>
      </c>
      <c r="T84" s="22" t="str">
        <f aca="false">'Author Response Entry'!$D$84</f>
        <v>OPTION 2</v>
      </c>
      <c r="U84" s="23" t="str">
        <f aca="false">'Author Response Entry'!$E$84</f>
        <v>caution → Counted as an addition because it does not appear as a positive doctrine in the creeds and confessions studied — not because no Christian ever taught something like it.</v>
      </c>
      <c r="V84" s="23" t="str">
        <f aca="false">'Author Response Entry'!$F$84</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84" s="23" t="str">
        <f aca="false">'Author Response Entry'!$G$84</f>
        <v>AJP</v>
      </c>
      <c r="X84" s="24" t="n">
        <f aca="false">'Author Response Entry'!$H$84</f>
        <v>46274</v>
      </c>
      <c r="Y84" s="23" t="str">
        <f aca="false">IF(T84="","",IF(T84="CUSTOM RESPONSE",U84,IF(T84="HOLD — NEEDS RESEARCH",IF(U84&lt;&gt;"",U84,"HOLD — NEEDS RESEARCH"),IF(T84="DEFER — NOT YET",IF(U84&lt;&gt;"",U84,"DEFER — NOT YET"),IF(T84="OPTION 1",O84,IF(T84="OPTION 2",U84,IF(T84="OPTION 3",Q84,IF(T84="OPTION 4",R84,""))))))))</f>
        <v>caution → Counted as an addition because it does not appear as a positive doctrine in the creeds and confessions studied — not because no Christian ever taught something like it.</v>
      </c>
      <c r="Z84" s="23" t="str">
        <f aca="false">IF(T84="","OPEN",IF(T84="CUSTOM RESPONSE",IF(U84="","OPEN — CUSTOM TEXT REQUIRED",IF(W84="","RESOLVED — ADD INITIALS/DATE",IF(X84="","RESOLVED — ADD INITIALS/DATE","RESOLVED"))),IF(T84="HOLD — NEEDS RESEARCH",IF(W84="","HOLD — ADD INITIALS/DATE",IF(X84="","HOLD — ADD INITIALS/DATE","HOLD")),IF(T84="DEFER — NOT YET",IF(W84="","DEFERRED — ADD INITIALS/DATE",IF(X84="","DEFERRED — ADD INITIALS/DATE","DEFERRED")),IF(T84="OPTION 1",IF(W84="","RESOLVED — ADD INITIALS/DATE",IF(X84="","RESOLVED — ADD INITIALS/DATE","RESOLVED")),IF(T84="OPTION 2",IF(U84="","OPEN — CUSTOM TEXT REQUIRED",IF(W84="","RESOLVED — ADD INITIALS/DATE",IF(X84="","RESOLVED — ADD INITIALS/DATE","RESOLVED"))),IF(T84="OPTION 3",IF(W84="","HOLD — ADD INITIALS/DATE",IF(X84="","HOLD — ADD INITIALS/DATE","HOLD")),IF(T84="OPTION 4",IF(W84="","HOLD — ADD INITIALS/DATE",IF(X84="","HOLD — ADD INITIALS/DATE","HOLD")),IF(W84="","RESOLVED — ADD INITIALS/DATE",IF(X84="","RESOLVED — ADD INITIALS/DATE","RESOLVED"))))))))))</f>
        <v>RESOLVED</v>
      </c>
      <c r="AA84" s="23" t="s">
        <v>380</v>
      </c>
      <c r="AB84" s="23" t="s">
        <v>4589</v>
      </c>
      <c r="AC84" s="23" t="s">
        <v>4844</v>
      </c>
      <c r="AD84" s="23" t="s">
        <v>732</v>
      </c>
      <c r="AE84" s="23" t="s">
        <v>4823</v>
      </c>
      <c r="AF84" s="23" t="str">
        <f aca="false">IF(F84&lt;&gt;"READY","NO",IF(Z84="OPEN","YES",IF(Z84="OPEN — CUSTOM TEXT REQUIRED","YES",IF(Z84="RESOLVED — ADD INITIALS/DATE","YES",IF(Z84="HOLD — ADD INITIALS/DATE","YES",IF(Z84="DEFERRED — ADD INITIALS/DATE","YES","NO"))))))</f>
        <v>NO</v>
      </c>
      <c r="AG84" s="23" t="str">
        <f aca="false">IF(AF84&lt;&gt;"YES","",IF(A84=IFERROR(MATCH("YES",$AF$2:$AF$105,0),0),"CURRENT",""))</f>
        <v/>
      </c>
      <c r="AH84" s="25" t="str">
        <f aca="false">IF(COUNTIF($B$2:$B$105,B84)&gt;1,"DUPLICATE","")</f>
        <v/>
      </c>
    </row>
    <row r="85" customFormat="false" ht="15.75" hidden="false" customHeight="true" outlineLevel="0" collapsed="false">
      <c r="A85" s="9" t="n">
        <v>84</v>
      </c>
      <c r="B85" s="9" t="s">
        <v>4853</v>
      </c>
      <c r="C85" s="9" t="s">
        <v>4578</v>
      </c>
      <c r="D85" s="9" t="s">
        <v>4579</v>
      </c>
      <c r="E85" s="9" t="s">
        <v>1857</v>
      </c>
      <c r="F85" s="9" t="s">
        <v>874</v>
      </c>
      <c r="G85" s="9" t="s">
        <v>2899</v>
      </c>
      <c r="H85" s="9" t="s">
        <v>733</v>
      </c>
      <c r="I85" s="9" t="s">
        <v>4854</v>
      </c>
      <c r="J85" s="9" t="s">
        <v>4855</v>
      </c>
      <c r="K85" s="9" t="s">
        <v>4582</v>
      </c>
      <c r="L85" s="9" t="s">
        <v>4856</v>
      </c>
      <c r="M85" s="9" t="s">
        <v>4584</v>
      </c>
      <c r="N85" s="9" t="s">
        <v>4585</v>
      </c>
      <c r="O85" s="9" t="s">
        <v>4556</v>
      </c>
      <c r="P85" s="9" t="s">
        <v>4586</v>
      </c>
      <c r="Q85" s="9" t="s">
        <v>4587</v>
      </c>
      <c r="R85" s="9" t="s">
        <v>4588</v>
      </c>
      <c r="S85" s="9" t="s">
        <v>4505</v>
      </c>
      <c r="T85" s="22" t="str">
        <f aca="false">'Author Response Entry'!$D$85</f>
        <v>OPTION 2</v>
      </c>
      <c r="U85" s="23" t="str">
        <f aca="false">'Author Response Entry'!$E$85</f>
        <v>caution → Counted as an addition because it does not appear as a positive doctrine in the creeds and confessions studied — not because no Christian ever taught something like it.</v>
      </c>
      <c r="V85" s="23" t="str">
        <f aca="false">'Author Response Entry'!$F$85</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85" s="23" t="str">
        <f aca="false">'Author Response Entry'!$G$85</f>
        <v>AJP</v>
      </c>
      <c r="X85" s="24" t="n">
        <f aca="false">'Author Response Entry'!$H$85</f>
        <v>46274</v>
      </c>
      <c r="Y85" s="23" t="str">
        <f aca="false">IF(T85="","",IF(T85="CUSTOM RESPONSE",U85,IF(T85="HOLD — NEEDS RESEARCH",IF(U85&lt;&gt;"",U85,"HOLD — NEEDS RESEARCH"),IF(T85="DEFER — NOT YET",IF(U85&lt;&gt;"",U85,"DEFER — NOT YET"),IF(T85="OPTION 1",O85,IF(T85="OPTION 2",U85,IF(T85="OPTION 3",Q85,IF(T85="OPTION 4",R85,""))))))))</f>
        <v>caution → Counted as an addition because it does not appear as a positive doctrine in the creeds and confessions studied — not because no Christian ever taught something like it.</v>
      </c>
      <c r="Z85" s="23" t="str">
        <f aca="false">IF(T85="","OPEN",IF(T85="CUSTOM RESPONSE",IF(U85="","OPEN — CUSTOM TEXT REQUIRED",IF(W85="","RESOLVED — ADD INITIALS/DATE",IF(X85="","RESOLVED — ADD INITIALS/DATE","RESOLVED"))),IF(T85="HOLD — NEEDS RESEARCH",IF(W85="","HOLD — ADD INITIALS/DATE",IF(X85="","HOLD — ADD INITIALS/DATE","HOLD")),IF(T85="DEFER — NOT YET",IF(W85="","DEFERRED — ADD INITIALS/DATE",IF(X85="","DEFERRED — ADD INITIALS/DATE","DEFERRED")),IF(T85="OPTION 1",IF(W85="","RESOLVED — ADD INITIALS/DATE",IF(X85="","RESOLVED — ADD INITIALS/DATE","RESOLVED")),IF(T85="OPTION 2",IF(U85="","OPEN — CUSTOM TEXT REQUIRED",IF(W85="","RESOLVED — ADD INITIALS/DATE",IF(X85="","RESOLVED — ADD INITIALS/DATE","RESOLVED"))),IF(T85="OPTION 3",IF(W85="","HOLD — ADD INITIALS/DATE",IF(X85="","HOLD — ADD INITIALS/DATE","HOLD")),IF(T85="OPTION 4",IF(W85="","HOLD — ADD INITIALS/DATE",IF(X85="","HOLD — ADD INITIALS/DATE","HOLD")),IF(W85="","RESOLVED — ADD INITIALS/DATE",IF(X85="","RESOLVED — ADD INITIALS/DATE","RESOLVED"))))))))))</f>
        <v>RESOLVED</v>
      </c>
      <c r="AA85" s="23" t="s">
        <v>380</v>
      </c>
      <c r="AB85" s="23" t="s">
        <v>4589</v>
      </c>
      <c r="AC85" s="23" t="s">
        <v>4844</v>
      </c>
      <c r="AD85" s="23" t="s">
        <v>725</v>
      </c>
      <c r="AE85" s="23" t="s">
        <v>4823</v>
      </c>
      <c r="AF85" s="23" t="str">
        <f aca="false">IF(F85&lt;&gt;"READY","NO",IF(Z85="OPEN","YES",IF(Z85="OPEN — CUSTOM TEXT REQUIRED","YES",IF(Z85="RESOLVED — ADD INITIALS/DATE","YES",IF(Z85="HOLD — ADD INITIALS/DATE","YES",IF(Z85="DEFERRED — ADD INITIALS/DATE","YES","NO"))))))</f>
        <v>NO</v>
      </c>
      <c r="AG85" s="23" t="str">
        <f aca="false">IF(AF85&lt;&gt;"YES","",IF(A85=IFERROR(MATCH("YES",$AF$2:$AF$105,0),0),"CURRENT",""))</f>
        <v/>
      </c>
      <c r="AH85" s="25" t="str">
        <f aca="false">IF(COUNTIF($B$2:$B$105,B85)&gt;1,"DUPLICATE","")</f>
        <v/>
      </c>
    </row>
    <row r="86" customFormat="false" ht="15.75" hidden="false" customHeight="true" outlineLevel="0" collapsed="false">
      <c r="A86" s="9" t="n">
        <v>85</v>
      </c>
      <c r="B86" s="9" t="s">
        <v>4857</v>
      </c>
      <c r="C86" s="9" t="s">
        <v>4578</v>
      </c>
      <c r="D86" s="9" t="s">
        <v>4579</v>
      </c>
      <c r="E86" s="9" t="s">
        <v>1857</v>
      </c>
      <c r="F86" s="9" t="s">
        <v>874</v>
      </c>
      <c r="G86" s="9" t="s">
        <v>2899</v>
      </c>
      <c r="H86" s="9" t="s">
        <v>735</v>
      </c>
      <c r="I86" s="9" t="s">
        <v>4858</v>
      </c>
      <c r="J86" s="9" t="s">
        <v>4859</v>
      </c>
      <c r="K86" s="9" t="s">
        <v>4582</v>
      </c>
      <c r="L86" s="9" t="s">
        <v>4860</v>
      </c>
      <c r="M86" s="9" t="s">
        <v>4584</v>
      </c>
      <c r="N86" s="9" t="s">
        <v>4585</v>
      </c>
      <c r="O86" s="9" t="s">
        <v>4556</v>
      </c>
      <c r="P86" s="9" t="s">
        <v>4586</v>
      </c>
      <c r="Q86" s="9" t="s">
        <v>4587</v>
      </c>
      <c r="R86" s="9" t="s">
        <v>4588</v>
      </c>
      <c r="S86" s="9" t="s">
        <v>4505</v>
      </c>
      <c r="T86" s="22" t="str">
        <f aca="false">'Author Response Entry'!$D$86</f>
        <v>OPTION 2</v>
      </c>
      <c r="U86" s="23" t="str">
        <f aca="false">'Author Response Entry'!$E$86</f>
        <v>caution → Counted as an addition because it does not appear as a positive doctrine in the creeds and confessions studied — not because no Christian ever taught something like it.</v>
      </c>
      <c r="V86" s="23" t="str">
        <f aca="false">'Author Response Entry'!$F$86</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86" s="23" t="str">
        <f aca="false">'Author Response Entry'!$G$86</f>
        <v>AJP</v>
      </c>
      <c r="X86" s="24" t="n">
        <f aca="false">'Author Response Entry'!$H$86</f>
        <v>46274</v>
      </c>
      <c r="Y86" s="23" t="str">
        <f aca="false">IF(T86="","",IF(T86="CUSTOM RESPONSE",U86,IF(T86="HOLD — NEEDS RESEARCH",IF(U86&lt;&gt;"",U86,"HOLD — NEEDS RESEARCH"),IF(T86="DEFER — NOT YET",IF(U86&lt;&gt;"",U86,"DEFER — NOT YET"),IF(T86="OPTION 1",O86,IF(T86="OPTION 2",U86,IF(T86="OPTION 3",Q86,IF(T86="OPTION 4",R86,""))))))))</f>
        <v>caution → Counted as an addition because it does not appear as a positive doctrine in the creeds and confessions studied — not because no Christian ever taught something like it.</v>
      </c>
      <c r="Z86" s="23" t="str">
        <f aca="false">IF(T86="","OPEN",IF(T86="CUSTOM RESPONSE",IF(U86="","OPEN — CUSTOM TEXT REQUIRED",IF(W86="","RESOLVED — ADD INITIALS/DATE",IF(X86="","RESOLVED — ADD INITIALS/DATE","RESOLVED"))),IF(T86="HOLD — NEEDS RESEARCH",IF(W86="","HOLD — ADD INITIALS/DATE",IF(X86="","HOLD — ADD INITIALS/DATE","HOLD")),IF(T86="DEFER — NOT YET",IF(W86="","DEFERRED — ADD INITIALS/DATE",IF(X86="","DEFERRED — ADD INITIALS/DATE","DEFERRED")),IF(T86="OPTION 1",IF(W86="","RESOLVED — ADD INITIALS/DATE",IF(X86="","RESOLVED — ADD INITIALS/DATE","RESOLVED")),IF(T86="OPTION 2",IF(U86="","OPEN — CUSTOM TEXT REQUIRED",IF(W86="","RESOLVED — ADD INITIALS/DATE",IF(X86="","RESOLVED — ADD INITIALS/DATE","RESOLVED"))),IF(T86="OPTION 3",IF(W86="","HOLD — ADD INITIALS/DATE",IF(X86="","HOLD — ADD INITIALS/DATE","HOLD")),IF(T86="OPTION 4",IF(W86="","HOLD — ADD INITIALS/DATE",IF(X86="","HOLD — ADD INITIALS/DATE","HOLD")),IF(W86="","RESOLVED — ADD INITIALS/DATE",IF(X86="","RESOLVED — ADD INITIALS/DATE","RESOLVED"))))))))))</f>
        <v>RESOLVED</v>
      </c>
      <c r="AA86" s="23" t="s">
        <v>380</v>
      </c>
      <c r="AB86" s="23" t="s">
        <v>4589</v>
      </c>
      <c r="AC86" s="23" t="s">
        <v>4844</v>
      </c>
      <c r="AD86" s="23" t="s">
        <v>737</v>
      </c>
      <c r="AE86" s="23" t="s">
        <v>4823</v>
      </c>
      <c r="AF86" s="23" t="str">
        <f aca="false">IF(F86&lt;&gt;"READY","NO",IF(Z86="OPEN","YES",IF(Z86="OPEN — CUSTOM TEXT REQUIRED","YES",IF(Z86="RESOLVED — ADD INITIALS/DATE","YES",IF(Z86="HOLD — ADD INITIALS/DATE","YES",IF(Z86="DEFERRED — ADD INITIALS/DATE","YES","NO"))))))</f>
        <v>NO</v>
      </c>
      <c r="AG86" s="23" t="str">
        <f aca="false">IF(AF86&lt;&gt;"YES","",IF(A86=IFERROR(MATCH("YES",$AF$2:$AF$105,0),0),"CURRENT",""))</f>
        <v/>
      </c>
      <c r="AH86" s="25" t="str">
        <f aca="false">IF(COUNTIF($B$2:$B$105,B86)&gt;1,"DUPLICATE","")</f>
        <v/>
      </c>
    </row>
    <row r="87" customFormat="false" ht="15.75" hidden="false" customHeight="true" outlineLevel="0" collapsed="false">
      <c r="A87" s="9" t="n">
        <v>86</v>
      </c>
      <c r="B87" s="9" t="s">
        <v>4861</v>
      </c>
      <c r="C87" s="9" t="s">
        <v>4578</v>
      </c>
      <c r="D87" s="9" t="s">
        <v>4579</v>
      </c>
      <c r="E87" s="9" t="s">
        <v>1857</v>
      </c>
      <c r="F87" s="9" t="s">
        <v>874</v>
      </c>
      <c r="G87" s="9" t="s">
        <v>2899</v>
      </c>
      <c r="H87" s="9" t="s">
        <v>738</v>
      </c>
      <c r="I87" s="9" t="s">
        <v>4862</v>
      </c>
      <c r="J87" s="9" t="s">
        <v>4863</v>
      </c>
      <c r="K87" s="9" t="s">
        <v>4582</v>
      </c>
      <c r="L87" s="9" t="s">
        <v>4864</v>
      </c>
      <c r="M87" s="9" t="s">
        <v>4584</v>
      </c>
      <c r="N87" s="9" t="s">
        <v>4585</v>
      </c>
      <c r="O87" s="9" t="s">
        <v>4556</v>
      </c>
      <c r="P87" s="9" t="s">
        <v>4586</v>
      </c>
      <c r="Q87" s="9" t="s">
        <v>4587</v>
      </c>
      <c r="R87" s="9" t="s">
        <v>4588</v>
      </c>
      <c r="S87" s="9" t="s">
        <v>4505</v>
      </c>
      <c r="T87" s="22" t="str">
        <f aca="false">'Author Response Entry'!$D$87</f>
        <v>OPTION 2</v>
      </c>
      <c r="U87" s="23" t="str">
        <f aca="false">'Author Response Entry'!$E$87</f>
        <v>caution → Counted as an addition because it does not appear as a positive doctrine in the creeds and confessions studied — not because no Christian ever taught something like it.</v>
      </c>
      <c r="V87" s="23" t="str">
        <f aca="false">'Author Response Entry'!$F$87</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87" s="23" t="str">
        <f aca="false">'Author Response Entry'!$G$87</f>
        <v>AJP</v>
      </c>
      <c r="X87" s="24" t="n">
        <f aca="false">'Author Response Entry'!$H$87</f>
        <v>46274</v>
      </c>
      <c r="Y87" s="23" t="str">
        <f aca="false">IF(T87="","",IF(T87="CUSTOM RESPONSE",U87,IF(T87="HOLD — NEEDS RESEARCH",IF(U87&lt;&gt;"",U87,"HOLD — NEEDS RESEARCH"),IF(T87="DEFER — NOT YET",IF(U87&lt;&gt;"",U87,"DEFER — NOT YET"),IF(T87="OPTION 1",O87,IF(T87="OPTION 2",U87,IF(T87="OPTION 3",Q87,IF(T87="OPTION 4",R87,""))))))))</f>
        <v>caution → Counted as an addition because it does not appear as a positive doctrine in the creeds and confessions studied — not because no Christian ever taught something like it.</v>
      </c>
      <c r="Z87" s="23" t="str">
        <f aca="false">IF(T87="","OPEN",IF(T87="CUSTOM RESPONSE",IF(U87="","OPEN — CUSTOM TEXT REQUIRED",IF(W87="","RESOLVED — ADD INITIALS/DATE",IF(X87="","RESOLVED — ADD INITIALS/DATE","RESOLVED"))),IF(T87="HOLD — NEEDS RESEARCH",IF(W87="","HOLD — ADD INITIALS/DATE",IF(X87="","HOLD — ADD INITIALS/DATE","HOLD")),IF(T87="DEFER — NOT YET",IF(W87="","DEFERRED — ADD INITIALS/DATE",IF(X87="","DEFERRED — ADD INITIALS/DATE","DEFERRED")),IF(T87="OPTION 1",IF(W87="","RESOLVED — ADD INITIALS/DATE",IF(X87="","RESOLVED — ADD INITIALS/DATE","RESOLVED")),IF(T87="OPTION 2",IF(U87="","OPEN — CUSTOM TEXT REQUIRED",IF(W87="","RESOLVED — ADD INITIALS/DATE",IF(X87="","RESOLVED — ADD INITIALS/DATE","RESOLVED"))),IF(T87="OPTION 3",IF(W87="","HOLD — ADD INITIALS/DATE",IF(X87="","HOLD — ADD INITIALS/DATE","HOLD")),IF(T87="OPTION 4",IF(W87="","HOLD — ADD INITIALS/DATE",IF(X87="","HOLD — ADD INITIALS/DATE","HOLD")),IF(W87="","RESOLVED — ADD INITIALS/DATE",IF(X87="","RESOLVED — ADD INITIALS/DATE","RESOLVED"))))))))))</f>
        <v>RESOLVED</v>
      </c>
      <c r="AA87" s="23" t="s">
        <v>380</v>
      </c>
      <c r="AB87" s="23" t="s">
        <v>4589</v>
      </c>
      <c r="AC87" s="23" t="s">
        <v>4844</v>
      </c>
      <c r="AD87" s="23" t="s">
        <v>725</v>
      </c>
      <c r="AE87" s="23" t="s">
        <v>4823</v>
      </c>
      <c r="AF87" s="23" t="str">
        <f aca="false">IF(F87&lt;&gt;"READY","NO",IF(Z87="OPEN","YES",IF(Z87="OPEN — CUSTOM TEXT REQUIRED","YES",IF(Z87="RESOLVED — ADD INITIALS/DATE","YES",IF(Z87="HOLD — ADD INITIALS/DATE","YES",IF(Z87="DEFERRED — ADD INITIALS/DATE","YES","NO"))))))</f>
        <v>NO</v>
      </c>
      <c r="AG87" s="23" t="str">
        <f aca="false">IF(AF87&lt;&gt;"YES","",IF(A87=IFERROR(MATCH("YES",$AF$2:$AF$105,0),0),"CURRENT",""))</f>
        <v/>
      </c>
      <c r="AH87" s="25" t="str">
        <f aca="false">IF(COUNTIF($B$2:$B$105,B87)&gt;1,"DUPLICATE","")</f>
        <v/>
      </c>
    </row>
    <row r="88" customFormat="false" ht="15.75" hidden="false" customHeight="true" outlineLevel="0" collapsed="false">
      <c r="A88" s="9" t="n">
        <v>87</v>
      </c>
      <c r="B88" s="9" t="s">
        <v>4865</v>
      </c>
      <c r="C88" s="9" t="s">
        <v>4578</v>
      </c>
      <c r="D88" s="9" t="s">
        <v>4579</v>
      </c>
      <c r="E88" s="9" t="s">
        <v>1857</v>
      </c>
      <c r="F88" s="9" t="s">
        <v>874</v>
      </c>
      <c r="G88" s="9" t="s">
        <v>2899</v>
      </c>
      <c r="H88" s="9" t="s">
        <v>740</v>
      </c>
      <c r="I88" s="9" t="s">
        <v>4866</v>
      </c>
      <c r="J88" s="9" t="s">
        <v>4867</v>
      </c>
      <c r="K88" s="9" t="s">
        <v>4582</v>
      </c>
      <c r="L88" s="9" t="s">
        <v>4868</v>
      </c>
      <c r="M88" s="9" t="s">
        <v>4584</v>
      </c>
      <c r="N88" s="9" t="s">
        <v>4585</v>
      </c>
      <c r="O88" s="9" t="s">
        <v>4556</v>
      </c>
      <c r="P88" s="9" t="s">
        <v>4586</v>
      </c>
      <c r="Q88" s="9" t="s">
        <v>4587</v>
      </c>
      <c r="R88" s="9" t="s">
        <v>4588</v>
      </c>
      <c r="S88" s="9" t="s">
        <v>4505</v>
      </c>
      <c r="T88" s="22" t="str">
        <f aca="false">'Author Response Entry'!$D$88</f>
        <v>OPTION 2</v>
      </c>
      <c r="U88" s="23" t="str">
        <f aca="false">'Author Response Entry'!$E$88</f>
        <v>caution → Counted as an addition because it does not appear as a positive doctrine in the creeds and confessions studied — not because no Christian ever taught something like it.</v>
      </c>
      <c r="V88" s="23" t="str">
        <f aca="false">'Author Response Entry'!$F$88</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88" s="23" t="str">
        <f aca="false">'Author Response Entry'!$G$88</f>
        <v>AJP</v>
      </c>
      <c r="X88" s="24" t="n">
        <f aca="false">'Author Response Entry'!$H$88</f>
        <v>46274</v>
      </c>
      <c r="Y88" s="23" t="str">
        <f aca="false">IF(T88="","",IF(T88="CUSTOM RESPONSE",U88,IF(T88="HOLD — NEEDS RESEARCH",IF(U88&lt;&gt;"",U88,"HOLD — NEEDS RESEARCH"),IF(T88="DEFER — NOT YET",IF(U88&lt;&gt;"",U88,"DEFER — NOT YET"),IF(T88="OPTION 1",O88,IF(T88="OPTION 2",U88,IF(T88="OPTION 3",Q88,IF(T88="OPTION 4",R88,""))))))))</f>
        <v>caution → Counted as an addition because it does not appear as a positive doctrine in the creeds and confessions studied — not because no Christian ever taught something like it.</v>
      </c>
      <c r="Z88" s="23" t="str">
        <f aca="false">IF(T88="","OPEN",IF(T88="CUSTOM RESPONSE",IF(U88="","OPEN — CUSTOM TEXT REQUIRED",IF(W88="","RESOLVED — ADD INITIALS/DATE",IF(X88="","RESOLVED — ADD INITIALS/DATE","RESOLVED"))),IF(T88="HOLD — NEEDS RESEARCH",IF(W88="","HOLD — ADD INITIALS/DATE",IF(X88="","HOLD — ADD INITIALS/DATE","HOLD")),IF(T88="DEFER — NOT YET",IF(W88="","DEFERRED — ADD INITIALS/DATE",IF(X88="","DEFERRED — ADD INITIALS/DATE","DEFERRED")),IF(T88="OPTION 1",IF(W88="","RESOLVED — ADD INITIALS/DATE",IF(X88="","RESOLVED — ADD INITIALS/DATE","RESOLVED")),IF(T88="OPTION 2",IF(U88="","OPEN — CUSTOM TEXT REQUIRED",IF(W88="","RESOLVED — ADD INITIALS/DATE",IF(X88="","RESOLVED — ADD INITIALS/DATE","RESOLVED"))),IF(T88="OPTION 3",IF(W88="","HOLD — ADD INITIALS/DATE",IF(X88="","HOLD — ADD INITIALS/DATE","HOLD")),IF(T88="OPTION 4",IF(W88="","HOLD — ADD INITIALS/DATE",IF(X88="","HOLD — ADD INITIALS/DATE","HOLD")),IF(W88="","RESOLVED — ADD INITIALS/DATE",IF(X88="","RESOLVED — ADD INITIALS/DATE","RESOLVED"))))))))))</f>
        <v>RESOLVED</v>
      </c>
      <c r="AA88" s="23" t="s">
        <v>380</v>
      </c>
      <c r="AB88" s="23" t="s">
        <v>4589</v>
      </c>
      <c r="AC88" s="23" t="s">
        <v>4844</v>
      </c>
      <c r="AD88" s="23" t="s">
        <v>742</v>
      </c>
      <c r="AE88" s="23" t="s">
        <v>4823</v>
      </c>
      <c r="AF88" s="23" t="str">
        <f aca="false">IF(F88&lt;&gt;"READY","NO",IF(Z88="OPEN","YES",IF(Z88="OPEN — CUSTOM TEXT REQUIRED","YES",IF(Z88="RESOLVED — ADD INITIALS/DATE","YES",IF(Z88="HOLD — ADD INITIALS/DATE","YES",IF(Z88="DEFERRED — ADD INITIALS/DATE","YES","NO"))))))</f>
        <v>NO</v>
      </c>
      <c r="AG88" s="23" t="str">
        <f aca="false">IF(AF88&lt;&gt;"YES","",IF(A88=IFERROR(MATCH("YES",$AF$2:$AF$105,0),0),"CURRENT",""))</f>
        <v/>
      </c>
      <c r="AH88" s="25" t="str">
        <f aca="false">IF(COUNTIF($B$2:$B$105,B88)&gt;1,"DUPLICATE","")</f>
        <v/>
      </c>
    </row>
    <row r="89" customFormat="false" ht="15.75" hidden="false" customHeight="true" outlineLevel="0" collapsed="false">
      <c r="A89" s="9" t="n">
        <v>88</v>
      </c>
      <c r="B89" s="9" t="s">
        <v>4869</v>
      </c>
      <c r="C89" s="9" t="s">
        <v>4578</v>
      </c>
      <c r="D89" s="9" t="s">
        <v>4579</v>
      </c>
      <c r="E89" s="9" t="s">
        <v>1857</v>
      </c>
      <c r="F89" s="9" t="s">
        <v>874</v>
      </c>
      <c r="G89" s="9" t="s">
        <v>2899</v>
      </c>
      <c r="H89" s="9" t="s">
        <v>743</v>
      </c>
      <c r="I89" s="9" t="s">
        <v>4870</v>
      </c>
      <c r="J89" s="9" t="s">
        <v>4871</v>
      </c>
      <c r="K89" s="9" t="s">
        <v>4582</v>
      </c>
      <c r="L89" s="9" t="s">
        <v>4872</v>
      </c>
      <c r="M89" s="9" t="s">
        <v>4584</v>
      </c>
      <c r="N89" s="9" t="s">
        <v>4585</v>
      </c>
      <c r="O89" s="9" t="s">
        <v>4556</v>
      </c>
      <c r="P89" s="9" t="s">
        <v>4586</v>
      </c>
      <c r="Q89" s="9" t="s">
        <v>4587</v>
      </c>
      <c r="R89" s="9" t="s">
        <v>4588</v>
      </c>
      <c r="S89" s="9" t="s">
        <v>4505</v>
      </c>
      <c r="T89" s="22" t="str">
        <f aca="false">'Author Response Entry'!$D$89</f>
        <v>OPTION 2</v>
      </c>
      <c r="U89" s="23" t="str">
        <f aca="false">'Author Response Entry'!$E$89</f>
        <v>caution → Counted as an addition because it does not appear as a positive doctrine in the creeds and confessions studied — not because no Christian ever taught something like it.</v>
      </c>
      <c r="V89" s="23" t="str">
        <f aca="false">'Author Response Entry'!$F$89</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89" s="23" t="str">
        <f aca="false">'Author Response Entry'!$G$89</f>
        <v>AJP</v>
      </c>
      <c r="X89" s="24" t="n">
        <f aca="false">'Author Response Entry'!$H$89</f>
        <v>46274</v>
      </c>
      <c r="Y89" s="23" t="str">
        <f aca="false">IF(T89="","",IF(T89="CUSTOM RESPONSE",U89,IF(T89="HOLD — NEEDS RESEARCH",IF(U89&lt;&gt;"",U89,"HOLD — NEEDS RESEARCH"),IF(T89="DEFER — NOT YET",IF(U89&lt;&gt;"",U89,"DEFER — NOT YET"),IF(T89="OPTION 1",O89,IF(T89="OPTION 2",U89,IF(T89="OPTION 3",Q89,IF(T89="OPTION 4",R89,""))))))))</f>
        <v>caution → Counted as an addition because it does not appear as a positive doctrine in the creeds and confessions studied — not because no Christian ever taught something like it.</v>
      </c>
      <c r="Z89" s="23" t="str">
        <f aca="false">IF(T89="","OPEN",IF(T89="CUSTOM RESPONSE",IF(U89="","OPEN — CUSTOM TEXT REQUIRED",IF(W89="","RESOLVED — ADD INITIALS/DATE",IF(X89="","RESOLVED — ADD INITIALS/DATE","RESOLVED"))),IF(T89="HOLD — NEEDS RESEARCH",IF(W89="","HOLD — ADD INITIALS/DATE",IF(X89="","HOLD — ADD INITIALS/DATE","HOLD")),IF(T89="DEFER — NOT YET",IF(W89="","DEFERRED — ADD INITIALS/DATE",IF(X89="","DEFERRED — ADD INITIALS/DATE","DEFERRED")),IF(T89="OPTION 1",IF(W89="","RESOLVED — ADD INITIALS/DATE",IF(X89="","RESOLVED — ADD INITIALS/DATE","RESOLVED")),IF(T89="OPTION 2",IF(U89="","OPEN — CUSTOM TEXT REQUIRED",IF(W89="","RESOLVED — ADD INITIALS/DATE",IF(X89="","RESOLVED — ADD INITIALS/DATE","RESOLVED"))),IF(T89="OPTION 3",IF(W89="","HOLD — ADD INITIALS/DATE",IF(X89="","HOLD — ADD INITIALS/DATE","HOLD")),IF(T89="OPTION 4",IF(W89="","HOLD — ADD INITIALS/DATE",IF(X89="","HOLD — ADD INITIALS/DATE","HOLD")),IF(W89="","RESOLVED — ADD INITIALS/DATE",IF(X89="","RESOLVED — ADD INITIALS/DATE","RESOLVED"))))))))))</f>
        <v>RESOLVED</v>
      </c>
      <c r="AA89" s="23" t="s">
        <v>380</v>
      </c>
      <c r="AB89" s="23" t="s">
        <v>4589</v>
      </c>
      <c r="AC89" s="23" t="s">
        <v>4873</v>
      </c>
      <c r="AD89" s="23" t="s">
        <v>737</v>
      </c>
      <c r="AE89" s="23" t="s">
        <v>4823</v>
      </c>
      <c r="AF89" s="23" t="str">
        <f aca="false">IF(F89&lt;&gt;"READY","NO",IF(Z89="OPEN","YES",IF(Z89="OPEN — CUSTOM TEXT REQUIRED","YES",IF(Z89="RESOLVED — ADD INITIALS/DATE","YES",IF(Z89="HOLD — ADD INITIALS/DATE","YES",IF(Z89="DEFERRED — ADD INITIALS/DATE","YES","NO"))))))</f>
        <v>NO</v>
      </c>
      <c r="AG89" s="23" t="str">
        <f aca="false">IF(AF89&lt;&gt;"YES","",IF(A89=IFERROR(MATCH("YES",$AF$2:$AF$105,0),0),"CURRENT",""))</f>
        <v/>
      </c>
      <c r="AH89" s="25" t="str">
        <f aca="false">IF(COUNTIF($B$2:$B$105,B89)&gt;1,"DUPLICATE","")</f>
        <v/>
      </c>
    </row>
    <row r="90" customFormat="false" ht="15.75" hidden="false" customHeight="true" outlineLevel="0" collapsed="false">
      <c r="A90" s="9" t="n">
        <v>89</v>
      </c>
      <c r="B90" s="9" t="s">
        <v>4874</v>
      </c>
      <c r="C90" s="9" t="s">
        <v>4578</v>
      </c>
      <c r="D90" s="9" t="s">
        <v>4579</v>
      </c>
      <c r="E90" s="9" t="s">
        <v>1857</v>
      </c>
      <c r="F90" s="9" t="s">
        <v>874</v>
      </c>
      <c r="G90" s="9" t="s">
        <v>2899</v>
      </c>
      <c r="H90" s="9" t="s">
        <v>746</v>
      </c>
      <c r="I90" s="9" t="s">
        <v>4875</v>
      </c>
      <c r="J90" s="9" t="s">
        <v>4876</v>
      </c>
      <c r="K90" s="9" t="s">
        <v>4582</v>
      </c>
      <c r="L90" s="9" t="s">
        <v>4877</v>
      </c>
      <c r="M90" s="9" t="s">
        <v>4584</v>
      </c>
      <c r="N90" s="9" t="s">
        <v>4585</v>
      </c>
      <c r="O90" s="9" t="s">
        <v>4556</v>
      </c>
      <c r="P90" s="9" t="s">
        <v>4586</v>
      </c>
      <c r="Q90" s="9" t="s">
        <v>4587</v>
      </c>
      <c r="R90" s="9" t="s">
        <v>4588</v>
      </c>
      <c r="S90" s="9" t="s">
        <v>4505</v>
      </c>
      <c r="T90" s="22" t="str">
        <f aca="false">'Author Response Entry'!$D$90</f>
        <v>OPTION 2</v>
      </c>
      <c r="U90" s="23" t="str">
        <f aca="false">'Author Response Entry'!$E$90</f>
        <v>caution → Counted as an addition because it does not appear as a positive doctrine in the creeds and confessions studied — not because no Christian ever taught something like it.</v>
      </c>
      <c r="V90" s="23" t="str">
        <f aca="false">'Author Response Entry'!$F$90</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90" s="23" t="str">
        <f aca="false">'Author Response Entry'!$G$90</f>
        <v>AJP</v>
      </c>
      <c r="X90" s="24" t="n">
        <f aca="false">'Author Response Entry'!$H$90</f>
        <v>46274</v>
      </c>
      <c r="Y90" s="23" t="str">
        <f aca="false">IF(T90="","",IF(T90="CUSTOM RESPONSE",U90,IF(T90="HOLD — NEEDS RESEARCH",IF(U90&lt;&gt;"",U90,"HOLD — NEEDS RESEARCH"),IF(T90="DEFER — NOT YET",IF(U90&lt;&gt;"",U90,"DEFER — NOT YET"),IF(T90="OPTION 1",O90,IF(T90="OPTION 2",U90,IF(T90="OPTION 3",Q90,IF(T90="OPTION 4",R90,""))))))))</f>
        <v>caution → Counted as an addition because it does not appear as a positive doctrine in the creeds and confessions studied — not because no Christian ever taught something like it.</v>
      </c>
      <c r="Z90" s="23" t="str">
        <f aca="false">IF(T90="","OPEN",IF(T90="CUSTOM RESPONSE",IF(U90="","OPEN — CUSTOM TEXT REQUIRED",IF(W90="","RESOLVED — ADD INITIALS/DATE",IF(X90="","RESOLVED — ADD INITIALS/DATE","RESOLVED"))),IF(T90="HOLD — NEEDS RESEARCH",IF(W90="","HOLD — ADD INITIALS/DATE",IF(X90="","HOLD — ADD INITIALS/DATE","HOLD")),IF(T90="DEFER — NOT YET",IF(W90="","DEFERRED — ADD INITIALS/DATE",IF(X90="","DEFERRED — ADD INITIALS/DATE","DEFERRED")),IF(T90="OPTION 1",IF(W90="","RESOLVED — ADD INITIALS/DATE",IF(X90="","RESOLVED — ADD INITIALS/DATE","RESOLVED")),IF(T90="OPTION 2",IF(U90="","OPEN — CUSTOM TEXT REQUIRED",IF(W90="","RESOLVED — ADD INITIALS/DATE",IF(X90="","RESOLVED — ADD INITIALS/DATE","RESOLVED"))),IF(T90="OPTION 3",IF(W90="","HOLD — ADD INITIALS/DATE",IF(X90="","HOLD — ADD INITIALS/DATE","HOLD")),IF(T90="OPTION 4",IF(W90="","HOLD — ADD INITIALS/DATE",IF(X90="","HOLD — ADD INITIALS/DATE","HOLD")),IF(W90="","RESOLVED — ADD INITIALS/DATE",IF(X90="","RESOLVED — ADD INITIALS/DATE","RESOLVED"))))))))))</f>
        <v>RESOLVED</v>
      </c>
      <c r="AA90" s="23" t="s">
        <v>380</v>
      </c>
      <c r="AB90" s="23" t="s">
        <v>4589</v>
      </c>
      <c r="AC90" s="23" t="s">
        <v>4873</v>
      </c>
      <c r="AD90" s="23" t="s">
        <v>748</v>
      </c>
      <c r="AE90" s="23" t="s">
        <v>4823</v>
      </c>
      <c r="AF90" s="23" t="str">
        <f aca="false">IF(F90&lt;&gt;"READY","NO",IF(Z90="OPEN","YES",IF(Z90="OPEN — CUSTOM TEXT REQUIRED","YES",IF(Z90="RESOLVED — ADD INITIALS/DATE","YES",IF(Z90="HOLD — ADD INITIALS/DATE","YES",IF(Z90="DEFERRED — ADD INITIALS/DATE","YES","NO"))))))</f>
        <v>NO</v>
      </c>
      <c r="AG90" s="23" t="str">
        <f aca="false">IF(AF90&lt;&gt;"YES","",IF(A90=IFERROR(MATCH("YES",$AF$2:$AF$105,0),0),"CURRENT",""))</f>
        <v/>
      </c>
      <c r="AH90" s="25" t="str">
        <f aca="false">IF(COUNTIF($B$2:$B$105,B90)&gt;1,"DUPLICATE","")</f>
        <v/>
      </c>
    </row>
    <row r="91" customFormat="false" ht="15.75" hidden="false" customHeight="true" outlineLevel="0" collapsed="false">
      <c r="A91" s="9" t="n">
        <v>90</v>
      </c>
      <c r="B91" s="9" t="s">
        <v>4878</v>
      </c>
      <c r="C91" s="9" t="s">
        <v>4578</v>
      </c>
      <c r="D91" s="9" t="s">
        <v>4579</v>
      </c>
      <c r="E91" s="9" t="s">
        <v>1857</v>
      </c>
      <c r="F91" s="9" t="s">
        <v>874</v>
      </c>
      <c r="G91" s="9" t="s">
        <v>2899</v>
      </c>
      <c r="H91" s="9" t="s">
        <v>749</v>
      </c>
      <c r="I91" s="9" t="s">
        <v>4879</v>
      </c>
      <c r="J91" s="9" t="s">
        <v>4880</v>
      </c>
      <c r="K91" s="9" t="s">
        <v>4582</v>
      </c>
      <c r="L91" s="9" t="s">
        <v>4881</v>
      </c>
      <c r="M91" s="9" t="s">
        <v>4584</v>
      </c>
      <c r="N91" s="9" t="s">
        <v>4585</v>
      </c>
      <c r="O91" s="9" t="s">
        <v>4556</v>
      </c>
      <c r="P91" s="9" t="s">
        <v>4586</v>
      </c>
      <c r="Q91" s="9" t="s">
        <v>4587</v>
      </c>
      <c r="R91" s="9" t="s">
        <v>4588</v>
      </c>
      <c r="S91" s="9" t="s">
        <v>4505</v>
      </c>
      <c r="T91" s="22" t="str">
        <f aca="false">'Author Response Entry'!$D$91</f>
        <v>OPTION 2</v>
      </c>
      <c r="U91" s="23" t="str">
        <f aca="false">'Author Response Entry'!$E$91</f>
        <v>caution → Counted as an addition because it does not appear as a positive doctrine in the creeds and confessions studied — not because no Christian ever taught something like it.</v>
      </c>
      <c r="V91" s="23" t="str">
        <f aca="false">'Author Response Entry'!$F$91</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91" s="23" t="str">
        <f aca="false">'Author Response Entry'!$G$91</f>
        <v>AJP</v>
      </c>
      <c r="X91" s="24" t="n">
        <f aca="false">'Author Response Entry'!$H$91</f>
        <v>46274</v>
      </c>
      <c r="Y91" s="23" t="str">
        <f aca="false">IF(T91="","",IF(T91="CUSTOM RESPONSE",U91,IF(T91="HOLD — NEEDS RESEARCH",IF(U91&lt;&gt;"",U91,"HOLD — NEEDS RESEARCH"),IF(T91="DEFER — NOT YET",IF(U91&lt;&gt;"",U91,"DEFER — NOT YET"),IF(T91="OPTION 1",O91,IF(T91="OPTION 2",U91,IF(T91="OPTION 3",Q91,IF(T91="OPTION 4",R91,""))))))))</f>
        <v>caution → Counted as an addition because it does not appear as a positive doctrine in the creeds and confessions studied — not because no Christian ever taught something like it.</v>
      </c>
      <c r="Z91" s="23" t="str">
        <f aca="false">IF(T91="","OPEN",IF(T91="CUSTOM RESPONSE",IF(U91="","OPEN — CUSTOM TEXT REQUIRED",IF(W91="","RESOLVED — ADD INITIALS/DATE",IF(X91="","RESOLVED — ADD INITIALS/DATE","RESOLVED"))),IF(T91="HOLD — NEEDS RESEARCH",IF(W91="","HOLD — ADD INITIALS/DATE",IF(X91="","HOLD — ADD INITIALS/DATE","HOLD")),IF(T91="DEFER — NOT YET",IF(W91="","DEFERRED — ADD INITIALS/DATE",IF(X91="","DEFERRED — ADD INITIALS/DATE","DEFERRED")),IF(T91="OPTION 1",IF(W91="","RESOLVED — ADD INITIALS/DATE",IF(X91="","RESOLVED — ADD INITIALS/DATE","RESOLVED")),IF(T91="OPTION 2",IF(U91="","OPEN — CUSTOM TEXT REQUIRED",IF(W91="","RESOLVED — ADD INITIALS/DATE",IF(X91="","RESOLVED — ADD INITIALS/DATE","RESOLVED"))),IF(T91="OPTION 3",IF(W91="","HOLD — ADD INITIALS/DATE",IF(X91="","HOLD — ADD INITIALS/DATE","HOLD")),IF(T91="OPTION 4",IF(W91="","HOLD — ADD INITIALS/DATE",IF(X91="","HOLD — ADD INITIALS/DATE","HOLD")),IF(W91="","RESOLVED — ADD INITIALS/DATE",IF(X91="","RESOLVED — ADD INITIALS/DATE","RESOLVED"))))))))))</f>
        <v>RESOLVED</v>
      </c>
      <c r="AA91" s="23" t="s">
        <v>380</v>
      </c>
      <c r="AB91" s="23" t="s">
        <v>4589</v>
      </c>
      <c r="AC91" s="23" t="s">
        <v>4873</v>
      </c>
      <c r="AD91" s="23" t="s">
        <v>732</v>
      </c>
      <c r="AE91" s="23" t="s">
        <v>4823</v>
      </c>
      <c r="AF91" s="23" t="str">
        <f aca="false">IF(F91&lt;&gt;"READY","NO",IF(Z91="OPEN","YES",IF(Z91="OPEN — CUSTOM TEXT REQUIRED","YES",IF(Z91="RESOLVED — ADD INITIALS/DATE","YES",IF(Z91="HOLD — ADD INITIALS/DATE","YES",IF(Z91="DEFERRED — ADD INITIALS/DATE","YES","NO"))))))</f>
        <v>NO</v>
      </c>
      <c r="AG91" s="23" t="str">
        <f aca="false">IF(AF91&lt;&gt;"YES","",IF(A91=IFERROR(MATCH("YES",$AF$2:$AF$105,0),0),"CURRENT",""))</f>
        <v/>
      </c>
      <c r="AH91" s="25" t="str">
        <f aca="false">IF(COUNTIF($B$2:$B$105,B91)&gt;1,"DUPLICATE","")</f>
        <v/>
      </c>
    </row>
    <row r="92" customFormat="false" ht="15.75" hidden="false" customHeight="true" outlineLevel="0" collapsed="false">
      <c r="A92" s="9" t="n">
        <v>91</v>
      </c>
      <c r="B92" s="9" t="s">
        <v>4882</v>
      </c>
      <c r="C92" s="9" t="s">
        <v>4578</v>
      </c>
      <c r="D92" s="9" t="s">
        <v>4579</v>
      </c>
      <c r="E92" s="9" t="s">
        <v>1857</v>
      </c>
      <c r="F92" s="9" t="s">
        <v>874</v>
      </c>
      <c r="G92" s="9" t="s">
        <v>2899</v>
      </c>
      <c r="H92" s="9" t="s">
        <v>751</v>
      </c>
      <c r="I92" s="9" t="s">
        <v>4883</v>
      </c>
      <c r="J92" s="9" t="s">
        <v>4884</v>
      </c>
      <c r="K92" s="9" t="s">
        <v>4582</v>
      </c>
      <c r="L92" s="9" t="s">
        <v>4885</v>
      </c>
      <c r="M92" s="9" t="s">
        <v>4584</v>
      </c>
      <c r="N92" s="9" t="s">
        <v>4585</v>
      </c>
      <c r="O92" s="9" t="s">
        <v>4556</v>
      </c>
      <c r="P92" s="9" t="s">
        <v>4586</v>
      </c>
      <c r="Q92" s="9" t="s">
        <v>4587</v>
      </c>
      <c r="R92" s="9" t="s">
        <v>4588</v>
      </c>
      <c r="S92" s="9" t="s">
        <v>4505</v>
      </c>
      <c r="T92" s="22" t="str">
        <f aca="false">'Author Response Entry'!$D$92</f>
        <v>OPTION 2</v>
      </c>
      <c r="U92" s="23" t="str">
        <f aca="false">'Author Response Entry'!$E$92</f>
        <v>caution → Counted as an addition because it does not appear as a positive doctrine in the creeds and confessions studied — not because no Christian ever taught something like it.</v>
      </c>
      <c r="V92" s="23" t="str">
        <f aca="false">'Author Response Entry'!$F$92</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92" s="23" t="str">
        <f aca="false">'Author Response Entry'!$G$92</f>
        <v>AJP</v>
      </c>
      <c r="X92" s="24" t="n">
        <f aca="false">'Author Response Entry'!$H$92</f>
        <v>46274</v>
      </c>
      <c r="Y92" s="23" t="str">
        <f aca="false">IF(T92="","",IF(T92="CUSTOM RESPONSE",U92,IF(T92="HOLD — NEEDS RESEARCH",IF(U92&lt;&gt;"",U92,"HOLD — NEEDS RESEARCH"),IF(T92="DEFER — NOT YET",IF(U92&lt;&gt;"",U92,"DEFER — NOT YET"),IF(T92="OPTION 1",O92,IF(T92="OPTION 2",U92,IF(T92="OPTION 3",Q92,IF(T92="OPTION 4",R92,""))))))))</f>
        <v>caution → Counted as an addition because it does not appear as a positive doctrine in the creeds and confessions studied — not because no Christian ever taught something like it.</v>
      </c>
      <c r="Z92" s="23" t="str">
        <f aca="false">IF(T92="","OPEN",IF(T92="CUSTOM RESPONSE",IF(U92="","OPEN — CUSTOM TEXT REQUIRED",IF(W92="","RESOLVED — ADD INITIALS/DATE",IF(X92="","RESOLVED — ADD INITIALS/DATE","RESOLVED"))),IF(T92="HOLD — NEEDS RESEARCH",IF(W92="","HOLD — ADD INITIALS/DATE",IF(X92="","HOLD — ADD INITIALS/DATE","HOLD")),IF(T92="DEFER — NOT YET",IF(W92="","DEFERRED — ADD INITIALS/DATE",IF(X92="","DEFERRED — ADD INITIALS/DATE","DEFERRED")),IF(T92="OPTION 1",IF(W92="","RESOLVED — ADD INITIALS/DATE",IF(X92="","RESOLVED — ADD INITIALS/DATE","RESOLVED")),IF(T92="OPTION 2",IF(U92="","OPEN — CUSTOM TEXT REQUIRED",IF(W92="","RESOLVED — ADD INITIALS/DATE",IF(X92="","RESOLVED — ADD INITIALS/DATE","RESOLVED"))),IF(T92="OPTION 3",IF(W92="","HOLD — ADD INITIALS/DATE",IF(X92="","HOLD — ADD INITIALS/DATE","HOLD")),IF(T92="OPTION 4",IF(W92="","HOLD — ADD INITIALS/DATE",IF(X92="","HOLD — ADD INITIALS/DATE","HOLD")),IF(W92="","RESOLVED — ADD INITIALS/DATE",IF(X92="","RESOLVED — ADD INITIALS/DATE","RESOLVED"))))))))))</f>
        <v>RESOLVED</v>
      </c>
      <c r="AA92" s="23" t="s">
        <v>380</v>
      </c>
      <c r="AB92" s="23" t="s">
        <v>4589</v>
      </c>
      <c r="AC92" s="23" t="s">
        <v>4873</v>
      </c>
      <c r="AD92" s="23" t="s">
        <v>713</v>
      </c>
      <c r="AE92" s="23" t="s">
        <v>4823</v>
      </c>
      <c r="AF92" s="23" t="str">
        <f aca="false">IF(F92&lt;&gt;"READY","NO",IF(Z92="OPEN","YES",IF(Z92="OPEN — CUSTOM TEXT REQUIRED","YES",IF(Z92="RESOLVED — ADD INITIALS/DATE","YES",IF(Z92="HOLD — ADD INITIALS/DATE","YES",IF(Z92="DEFERRED — ADD INITIALS/DATE","YES","NO"))))))</f>
        <v>NO</v>
      </c>
      <c r="AG92" s="23" t="str">
        <f aca="false">IF(AF92&lt;&gt;"YES","",IF(A92=IFERROR(MATCH("YES",$AF$2:$AF$105,0),0),"CURRENT",""))</f>
        <v/>
      </c>
      <c r="AH92" s="25" t="str">
        <f aca="false">IF(COUNTIF($B$2:$B$105,B92)&gt;1,"DUPLICATE","")</f>
        <v/>
      </c>
    </row>
    <row r="93" customFormat="false" ht="15.75" hidden="false" customHeight="true" outlineLevel="0" collapsed="false">
      <c r="A93" s="9" t="n">
        <v>92</v>
      </c>
      <c r="B93" s="9" t="s">
        <v>4886</v>
      </c>
      <c r="C93" s="9" t="s">
        <v>4578</v>
      </c>
      <c r="D93" s="9" t="s">
        <v>4579</v>
      </c>
      <c r="E93" s="9" t="s">
        <v>1857</v>
      </c>
      <c r="F93" s="9" t="s">
        <v>874</v>
      </c>
      <c r="G93" s="9" t="s">
        <v>2899</v>
      </c>
      <c r="H93" s="9" t="s">
        <v>753</v>
      </c>
      <c r="I93" s="9" t="s">
        <v>4887</v>
      </c>
      <c r="J93" s="9" t="s">
        <v>4888</v>
      </c>
      <c r="K93" s="9" t="s">
        <v>4582</v>
      </c>
      <c r="L93" s="9" t="s">
        <v>4889</v>
      </c>
      <c r="M93" s="9" t="s">
        <v>4584</v>
      </c>
      <c r="N93" s="9" t="s">
        <v>4585</v>
      </c>
      <c r="O93" s="9" t="s">
        <v>4556</v>
      </c>
      <c r="P93" s="9" t="s">
        <v>4586</v>
      </c>
      <c r="Q93" s="9" t="s">
        <v>4587</v>
      </c>
      <c r="R93" s="9" t="s">
        <v>4588</v>
      </c>
      <c r="S93" s="9" t="s">
        <v>4505</v>
      </c>
      <c r="T93" s="22" t="str">
        <f aca="false">'Author Response Entry'!$D$93</f>
        <v>OPTION 2</v>
      </c>
      <c r="U93" s="23" t="str">
        <f aca="false">'Author Response Entry'!$E$93</f>
        <v>caution → Counted as an addition because it does not appear as a positive doctrine in the creeds and confessions studied — not because no Christian ever taught something like it.</v>
      </c>
      <c r="V93" s="23" t="str">
        <f aca="false">'Author Response Entry'!$F$93</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93" s="23" t="str">
        <f aca="false">'Author Response Entry'!$G$93</f>
        <v>AJP</v>
      </c>
      <c r="X93" s="24" t="n">
        <f aca="false">'Author Response Entry'!$H$93</f>
        <v>46274</v>
      </c>
      <c r="Y93" s="23" t="str">
        <f aca="false">IF(T93="","",IF(T93="CUSTOM RESPONSE",U93,IF(T93="HOLD — NEEDS RESEARCH",IF(U93&lt;&gt;"",U93,"HOLD — NEEDS RESEARCH"),IF(T93="DEFER — NOT YET",IF(U93&lt;&gt;"",U93,"DEFER — NOT YET"),IF(T93="OPTION 1",O93,IF(T93="OPTION 2",U93,IF(T93="OPTION 3",Q93,IF(T93="OPTION 4",R93,""))))))))</f>
        <v>caution → Counted as an addition because it does not appear as a positive doctrine in the creeds and confessions studied — not because no Christian ever taught something like it.</v>
      </c>
      <c r="Z93" s="23" t="str">
        <f aca="false">IF(T93="","OPEN",IF(T93="CUSTOM RESPONSE",IF(U93="","OPEN — CUSTOM TEXT REQUIRED",IF(W93="","RESOLVED — ADD INITIALS/DATE",IF(X93="","RESOLVED — ADD INITIALS/DATE","RESOLVED"))),IF(T93="HOLD — NEEDS RESEARCH",IF(W93="","HOLD — ADD INITIALS/DATE",IF(X93="","HOLD — ADD INITIALS/DATE","HOLD")),IF(T93="DEFER — NOT YET",IF(W93="","DEFERRED — ADD INITIALS/DATE",IF(X93="","DEFERRED — ADD INITIALS/DATE","DEFERRED")),IF(T93="OPTION 1",IF(W93="","RESOLVED — ADD INITIALS/DATE",IF(X93="","RESOLVED — ADD INITIALS/DATE","RESOLVED")),IF(T93="OPTION 2",IF(U93="","OPEN — CUSTOM TEXT REQUIRED",IF(W93="","RESOLVED — ADD INITIALS/DATE",IF(X93="","RESOLVED — ADD INITIALS/DATE","RESOLVED"))),IF(T93="OPTION 3",IF(W93="","HOLD — ADD INITIALS/DATE",IF(X93="","HOLD — ADD INITIALS/DATE","HOLD")),IF(T93="OPTION 4",IF(W93="","HOLD — ADD INITIALS/DATE",IF(X93="","HOLD — ADD INITIALS/DATE","HOLD")),IF(W93="","RESOLVED — ADD INITIALS/DATE",IF(X93="","RESOLVED — ADD INITIALS/DATE","RESOLVED"))))))))))</f>
        <v>RESOLVED</v>
      </c>
      <c r="AA93" s="23" t="s">
        <v>380</v>
      </c>
      <c r="AB93" s="23" t="s">
        <v>4589</v>
      </c>
      <c r="AC93" s="23" t="s">
        <v>4873</v>
      </c>
      <c r="AD93" s="23" t="s">
        <v>737</v>
      </c>
      <c r="AE93" s="23" t="s">
        <v>4823</v>
      </c>
      <c r="AF93" s="23" t="str">
        <f aca="false">IF(F93&lt;&gt;"READY","NO",IF(Z93="OPEN","YES",IF(Z93="OPEN — CUSTOM TEXT REQUIRED","YES",IF(Z93="RESOLVED — ADD INITIALS/DATE","YES",IF(Z93="HOLD — ADD INITIALS/DATE","YES",IF(Z93="DEFERRED — ADD INITIALS/DATE","YES","NO"))))))</f>
        <v>NO</v>
      </c>
      <c r="AG93" s="23" t="str">
        <f aca="false">IF(AF93&lt;&gt;"YES","",IF(A93=IFERROR(MATCH("YES",$AF$2:$AF$105,0),0),"CURRENT",""))</f>
        <v/>
      </c>
      <c r="AH93" s="25" t="str">
        <f aca="false">IF(COUNTIF($B$2:$B$105,B93)&gt;1,"DUPLICATE","")</f>
        <v/>
      </c>
    </row>
    <row r="94" customFormat="false" ht="15.75" hidden="false" customHeight="true" outlineLevel="0" collapsed="false">
      <c r="A94" s="9" t="n">
        <v>93</v>
      </c>
      <c r="B94" s="9" t="s">
        <v>4890</v>
      </c>
      <c r="C94" s="9" t="s">
        <v>4578</v>
      </c>
      <c r="D94" s="9" t="s">
        <v>4579</v>
      </c>
      <c r="E94" s="9" t="s">
        <v>1857</v>
      </c>
      <c r="F94" s="9" t="s">
        <v>874</v>
      </c>
      <c r="G94" s="9" t="s">
        <v>2899</v>
      </c>
      <c r="H94" s="9" t="s">
        <v>755</v>
      </c>
      <c r="I94" s="9" t="s">
        <v>4891</v>
      </c>
      <c r="J94" s="9" t="s">
        <v>4892</v>
      </c>
      <c r="K94" s="9" t="s">
        <v>4582</v>
      </c>
      <c r="L94" s="9" t="s">
        <v>4893</v>
      </c>
      <c r="M94" s="9" t="s">
        <v>4584</v>
      </c>
      <c r="N94" s="9" t="s">
        <v>4585</v>
      </c>
      <c r="O94" s="9" t="s">
        <v>4556</v>
      </c>
      <c r="P94" s="9" t="s">
        <v>4586</v>
      </c>
      <c r="Q94" s="9" t="s">
        <v>4587</v>
      </c>
      <c r="R94" s="9" t="s">
        <v>4588</v>
      </c>
      <c r="S94" s="9" t="s">
        <v>4505</v>
      </c>
      <c r="T94" s="22" t="str">
        <f aca="false">'Author Response Entry'!$D$94</f>
        <v>OPTION 2</v>
      </c>
      <c r="U94" s="23" t="str">
        <f aca="false">'Author Response Entry'!$E$94</f>
        <v>caution → Counted as an addition because it does not appear as a positive doctrine in the creeds and confessions studied — not because no Christian ever taught something like it.</v>
      </c>
      <c r="V94" s="23" t="str">
        <f aca="false">'Author Response Entry'!$F$94</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94" s="23" t="str">
        <f aca="false">'Author Response Entry'!$G$94</f>
        <v>AJP</v>
      </c>
      <c r="X94" s="24" t="n">
        <f aca="false">'Author Response Entry'!$H$94</f>
        <v>46274</v>
      </c>
      <c r="Y94" s="23" t="str">
        <f aca="false">IF(T94="","",IF(T94="CUSTOM RESPONSE",U94,IF(T94="HOLD — NEEDS RESEARCH",IF(U94&lt;&gt;"",U94,"HOLD — NEEDS RESEARCH"),IF(T94="DEFER — NOT YET",IF(U94&lt;&gt;"",U94,"DEFER — NOT YET"),IF(T94="OPTION 1",O94,IF(T94="OPTION 2",U94,IF(T94="OPTION 3",Q94,IF(T94="OPTION 4",R94,""))))))))</f>
        <v>caution → Counted as an addition because it does not appear as a positive doctrine in the creeds and confessions studied — not because no Christian ever taught something like it.</v>
      </c>
      <c r="Z94" s="23" t="str">
        <f aca="false">IF(T94="","OPEN",IF(T94="CUSTOM RESPONSE",IF(U94="","OPEN — CUSTOM TEXT REQUIRED",IF(W94="","RESOLVED — ADD INITIALS/DATE",IF(X94="","RESOLVED — ADD INITIALS/DATE","RESOLVED"))),IF(T94="HOLD — NEEDS RESEARCH",IF(W94="","HOLD — ADD INITIALS/DATE",IF(X94="","HOLD — ADD INITIALS/DATE","HOLD")),IF(T94="DEFER — NOT YET",IF(W94="","DEFERRED — ADD INITIALS/DATE",IF(X94="","DEFERRED — ADD INITIALS/DATE","DEFERRED")),IF(T94="OPTION 1",IF(W94="","RESOLVED — ADD INITIALS/DATE",IF(X94="","RESOLVED — ADD INITIALS/DATE","RESOLVED")),IF(T94="OPTION 2",IF(U94="","OPEN — CUSTOM TEXT REQUIRED",IF(W94="","RESOLVED — ADD INITIALS/DATE",IF(X94="","RESOLVED — ADD INITIALS/DATE","RESOLVED"))),IF(T94="OPTION 3",IF(W94="","HOLD — ADD INITIALS/DATE",IF(X94="","HOLD — ADD INITIALS/DATE","HOLD")),IF(T94="OPTION 4",IF(W94="","HOLD — ADD INITIALS/DATE",IF(X94="","HOLD — ADD INITIALS/DATE","HOLD")),IF(W94="","RESOLVED — ADD INITIALS/DATE",IF(X94="","RESOLVED — ADD INITIALS/DATE","RESOLVED"))))))))))</f>
        <v>RESOLVED</v>
      </c>
      <c r="AA94" s="23" t="s">
        <v>380</v>
      </c>
      <c r="AB94" s="23" t="s">
        <v>4589</v>
      </c>
      <c r="AC94" s="23" t="s">
        <v>4873</v>
      </c>
      <c r="AD94" s="23" t="s">
        <v>706</v>
      </c>
      <c r="AE94" s="23" t="s">
        <v>4823</v>
      </c>
      <c r="AF94" s="23" t="str">
        <f aca="false">IF(F94&lt;&gt;"READY","NO",IF(Z94="OPEN","YES",IF(Z94="OPEN — CUSTOM TEXT REQUIRED","YES",IF(Z94="RESOLVED — ADD INITIALS/DATE","YES",IF(Z94="HOLD — ADD INITIALS/DATE","YES",IF(Z94="DEFERRED — ADD INITIALS/DATE","YES","NO"))))))</f>
        <v>NO</v>
      </c>
      <c r="AG94" s="23" t="str">
        <f aca="false">IF(AF94&lt;&gt;"YES","",IF(A94=IFERROR(MATCH("YES",$AF$2:$AF$105,0),0),"CURRENT",""))</f>
        <v/>
      </c>
      <c r="AH94" s="25" t="str">
        <f aca="false">IF(COUNTIF($B$2:$B$105,B94)&gt;1,"DUPLICATE","")</f>
        <v/>
      </c>
    </row>
    <row r="95" customFormat="false" ht="15.75" hidden="false" customHeight="true" outlineLevel="0" collapsed="false">
      <c r="A95" s="9" t="n">
        <v>94</v>
      </c>
      <c r="B95" s="9" t="s">
        <v>4894</v>
      </c>
      <c r="C95" s="9" t="s">
        <v>4578</v>
      </c>
      <c r="D95" s="9" t="s">
        <v>4579</v>
      </c>
      <c r="E95" s="9" t="s">
        <v>1857</v>
      </c>
      <c r="F95" s="9" t="s">
        <v>874</v>
      </c>
      <c r="G95" s="9" t="s">
        <v>2899</v>
      </c>
      <c r="H95" s="9" t="s">
        <v>757</v>
      </c>
      <c r="I95" s="9" t="s">
        <v>4895</v>
      </c>
      <c r="J95" s="9" t="s">
        <v>4896</v>
      </c>
      <c r="K95" s="9" t="s">
        <v>4582</v>
      </c>
      <c r="L95" s="9" t="s">
        <v>4897</v>
      </c>
      <c r="M95" s="9" t="s">
        <v>4584</v>
      </c>
      <c r="N95" s="9" t="s">
        <v>4585</v>
      </c>
      <c r="O95" s="9" t="s">
        <v>4556</v>
      </c>
      <c r="P95" s="9" t="s">
        <v>4586</v>
      </c>
      <c r="Q95" s="9" t="s">
        <v>4587</v>
      </c>
      <c r="R95" s="9" t="s">
        <v>4588</v>
      </c>
      <c r="S95" s="9" t="s">
        <v>4505</v>
      </c>
      <c r="T95" s="22" t="str">
        <f aca="false">'Author Response Entry'!$D$95</f>
        <v>OPTION 2</v>
      </c>
      <c r="U95" s="23" t="str">
        <f aca="false">'Author Response Entry'!$E$95</f>
        <v>caution → Counted as an addition because it does not appear as a positive doctrine in the creeds and confessions studied — not because no Christian ever taught something like it.</v>
      </c>
      <c r="V95" s="23" t="str">
        <f aca="false">'Author Response Entry'!$F$95</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95" s="23" t="str">
        <f aca="false">'Author Response Entry'!$G$95</f>
        <v>AJP</v>
      </c>
      <c r="X95" s="24" t="n">
        <f aca="false">'Author Response Entry'!$H$95</f>
        <v>46274</v>
      </c>
      <c r="Y95" s="23" t="str">
        <f aca="false">IF(T95="","",IF(T95="CUSTOM RESPONSE",U95,IF(T95="HOLD — NEEDS RESEARCH",IF(U95&lt;&gt;"",U95,"HOLD — NEEDS RESEARCH"),IF(T95="DEFER — NOT YET",IF(U95&lt;&gt;"",U95,"DEFER — NOT YET"),IF(T95="OPTION 1",O95,IF(T95="OPTION 2",U95,IF(T95="OPTION 3",Q95,IF(T95="OPTION 4",R95,""))))))))</f>
        <v>caution → Counted as an addition because it does not appear as a positive doctrine in the creeds and confessions studied — not because no Christian ever taught something like it.</v>
      </c>
      <c r="Z95" s="23" t="str">
        <f aca="false">IF(T95="","OPEN",IF(T95="CUSTOM RESPONSE",IF(U95="","OPEN — CUSTOM TEXT REQUIRED",IF(W95="","RESOLVED — ADD INITIALS/DATE",IF(X95="","RESOLVED — ADD INITIALS/DATE","RESOLVED"))),IF(T95="HOLD — NEEDS RESEARCH",IF(W95="","HOLD — ADD INITIALS/DATE",IF(X95="","HOLD — ADD INITIALS/DATE","HOLD")),IF(T95="DEFER — NOT YET",IF(W95="","DEFERRED — ADD INITIALS/DATE",IF(X95="","DEFERRED — ADD INITIALS/DATE","DEFERRED")),IF(T95="OPTION 1",IF(W95="","RESOLVED — ADD INITIALS/DATE",IF(X95="","RESOLVED — ADD INITIALS/DATE","RESOLVED")),IF(T95="OPTION 2",IF(U95="","OPEN — CUSTOM TEXT REQUIRED",IF(W95="","RESOLVED — ADD INITIALS/DATE",IF(X95="","RESOLVED — ADD INITIALS/DATE","RESOLVED"))),IF(T95="OPTION 3",IF(W95="","HOLD — ADD INITIALS/DATE",IF(X95="","HOLD — ADD INITIALS/DATE","HOLD")),IF(T95="OPTION 4",IF(W95="","HOLD — ADD INITIALS/DATE",IF(X95="","HOLD — ADD INITIALS/DATE","HOLD")),IF(W95="","RESOLVED — ADD INITIALS/DATE",IF(X95="","RESOLVED — ADD INITIALS/DATE","RESOLVED"))))))))))</f>
        <v>RESOLVED</v>
      </c>
      <c r="AA95" s="23" t="s">
        <v>380</v>
      </c>
      <c r="AB95" s="23" t="s">
        <v>4589</v>
      </c>
      <c r="AC95" s="23" t="s">
        <v>4898</v>
      </c>
      <c r="AD95" s="23" t="s">
        <v>760</v>
      </c>
      <c r="AE95" s="23" t="s">
        <v>4823</v>
      </c>
      <c r="AF95" s="23" t="str">
        <f aca="false">IF(F95&lt;&gt;"READY","NO",IF(Z95="OPEN","YES",IF(Z95="OPEN — CUSTOM TEXT REQUIRED","YES",IF(Z95="RESOLVED — ADD INITIALS/DATE","YES",IF(Z95="HOLD — ADD INITIALS/DATE","YES",IF(Z95="DEFERRED — ADD INITIALS/DATE","YES","NO"))))))</f>
        <v>NO</v>
      </c>
      <c r="AG95" s="23" t="str">
        <f aca="false">IF(AF95&lt;&gt;"YES","",IF(A95=IFERROR(MATCH("YES",$AF$2:$AF$105,0),0),"CURRENT",""))</f>
        <v/>
      </c>
      <c r="AH95" s="25" t="str">
        <f aca="false">IF(COUNTIF($B$2:$B$105,B95)&gt;1,"DUPLICATE","")</f>
        <v/>
      </c>
    </row>
    <row r="96" customFormat="false" ht="15.75" hidden="false" customHeight="true" outlineLevel="0" collapsed="false">
      <c r="A96" s="9" t="n">
        <v>95</v>
      </c>
      <c r="B96" s="9" t="s">
        <v>4899</v>
      </c>
      <c r="C96" s="9" t="s">
        <v>4578</v>
      </c>
      <c r="D96" s="9" t="s">
        <v>4579</v>
      </c>
      <c r="E96" s="9" t="s">
        <v>1857</v>
      </c>
      <c r="F96" s="9" t="s">
        <v>874</v>
      </c>
      <c r="G96" s="9" t="s">
        <v>2899</v>
      </c>
      <c r="H96" s="9" t="s">
        <v>761</v>
      </c>
      <c r="I96" s="9" t="s">
        <v>4900</v>
      </c>
      <c r="J96" s="9" t="s">
        <v>4901</v>
      </c>
      <c r="K96" s="9" t="s">
        <v>4582</v>
      </c>
      <c r="L96" s="9" t="s">
        <v>4902</v>
      </c>
      <c r="M96" s="9" t="s">
        <v>4584</v>
      </c>
      <c r="N96" s="9" t="s">
        <v>4585</v>
      </c>
      <c r="O96" s="9" t="s">
        <v>4556</v>
      </c>
      <c r="P96" s="9" t="s">
        <v>4586</v>
      </c>
      <c r="Q96" s="9" t="s">
        <v>4587</v>
      </c>
      <c r="R96" s="9" t="s">
        <v>4588</v>
      </c>
      <c r="S96" s="9" t="s">
        <v>4505</v>
      </c>
      <c r="T96" s="22" t="str">
        <f aca="false">'Author Response Entry'!$D$96</f>
        <v>OPTION 2</v>
      </c>
      <c r="U96" s="23" t="str">
        <f aca="false">'Author Response Entry'!$E$96</f>
        <v>caution → Counted as an addition because it does not appear as a positive doctrine in the creeds and confessions studied — not because no Christian ever taught something like it.</v>
      </c>
      <c r="V96" s="23" t="str">
        <f aca="false">'Author Response Entry'!$F$96</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96" s="23" t="str">
        <f aca="false">'Author Response Entry'!$G$96</f>
        <v>AJP</v>
      </c>
      <c r="X96" s="24" t="n">
        <f aca="false">'Author Response Entry'!$H$96</f>
        <v>46274</v>
      </c>
      <c r="Y96" s="23" t="str">
        <f aca="false">IF(T96="","",IF(T96="CUSTOM RESPONSE",U96,IF(T96="HOLD — NEEDS RESEARCH",IF(U96&lt;&gt;"",U96,"HOLD — NEEDS RESEARCH"),IF(T96="DEFER — NOT YET",IF(U96&lt;&gt;"",U96,"DEFER — NOT YET"),IF(T96="OPTION 1",O96,IF(T96="OPTION 2",U96,IF(T96="OPTION 3",Q96,IF(T96="OPTION 4",R96,""))))))))</f>
        <v>caution → Counted as an addition because it does not appear as a positive doctrine in the creeds and confessions studied — not because no Christian ever taught something like it.</v>
      </c>
      <c r="Z96" s="23" t="str">
        <f aca="false">IF(T96="","OPEN",IF(T96="CUSTOM RESPONSE",IF(U96="","OPEN — CUSTOM TEXT REQUIRED",IF(W96="","RESOLVED — ADD INITIALS/DATE",IF(X96="","RESOLVED — ADD INITIALS/DATE","RESOLVED"))),IF(T96="HOLD — NEEDS RESEARCH",IF(W96="","HOLD — ADD INITIALS/DATE",IF(X96="","HOLD — ADD INITIALS/DATE","HOLD")),IF(T96="DEFER — NOT YET",IF(W96="","DEFERRED — ADD INITIALS/DATE",IF(X96="","DEFERRED — ADD INITIALS/DATE","DEFERRED")),IF(T96="OPTION 1",IF(W96="","RESOLVED — ADD INITIALS/DATE",IF(X96="","RESOLVED — ADD INITIALS/DATE","RESOLVED")),IF(T96="OPTION 2",IF(U96="","OPEN — CUSTOM TEXT REQUIRED",IF(W96="","RESOLVED — ADD INITIALS/DATE",IF(X96="","RESOLVED — ADD INITIALS/DATE","RESOLVED"))),IF(T96="OPTION 3",IF(W96="","HOLD — ADD INITIALS/DATE",IF(X96="","HOLD — ADD INITIALS/DATE","HOLD")),IF(T96="OPTION 4",IF(W96="","HOLD — ADD INITIALS/DATE",IF(X96="","HOLD — ADD INITIALS/DATE","HOLD")),IF(W96="","RESOLVED — ADD INITIALS/DATE",IF(X96="","RESOLVED — ADD INITIALS/DATE","RESOLVED"))))))))))</f>
        <v>RESOLVED</v>
      </c>
      <c r="AA96" s="23" t="s">
        <v>380</v>
      </c>
      <c r="AB96" s="23" t="s">
        <v>4589</v>
      </c>
      <c r="AC96" s="23" t="s">
        <v>4898</v>
      </c>
      <c r="AD96" s="23" t="s">
        <v>760</v>
      </c>
      <c r="AE96" s="23" t="s">
        <v>4823</v>
      </c>
      <c r="AF96" s="23" t="str">
        <f aca="false">IF(F96&lt;&gt;"READY","NO",IF(Z96="OPEN","YES",IF(Z96="OPEN — CUSTOM TEXT REQUIRED","YES",IF(Z96="RESOLVED — ADD INITIALS/DATE","YES",IF(Z96="HOLD — ADD INITIALS/DATE","YES",IF(Z96="DEFERRED — ADD INITIALS/DATE","YES","NO"))))))</f>
        <v>NO</v>
      </c>
      <c r="AG96" s="23" t="str">
        <f aca="false">IF(AF96&lt;&gt;"YES","",IF(A96=IFERROR(MATCH("YES",$AF$2:$AF$105,0),0),"CURRENT",""))</f>
        <v/>
      </c>
      <c r="AH96" s="25" t="str">
        <f aca="false">IF(COUNTIF($B$2:$B$105,B96)&gt;1,"DUPLICATE","")</f>
        <v/>
      </c>
    </row>
    <row r="97" customFormat="false" ht="15.75" hidden="false" customHeight="true" outlineLevel="0" collapsed="false">
      <c r="A97" s="9" t="n">
        <v>96</v>
      </c>
      <c r="B97" s="9" t="s">
        <v>4903</v>
      </c>
      <c r="C97" s="9" t="s">
        <v>4578</v>
      </c>
      <c r="D97" s="9" t="s">
        <v>4579</v>
      </c>
      <c r="E97" s="9" t="s">
        <v>1857</v>
      </c>
      <c r="F97" s="9" t="s">
        <v>874</v>
      </c>
      <c r="G97" s="9" t="s">
        <v>2899</v>
      </c>
      <c r="H97" s="9" t="s">
        <v>763</v>
      </c>
      <c r="I97" s="9" t="s">
        <v>4904</v>
      </c>
      <c r="J97" s="9" t="s">
        <v>4905</v>
      </c>
      <c r="K97" s="9" t="s">
        <v>4582</v>
      </c>
      <c r="L97" s="9" t="s">
        <v>4906</v>
      </c>
      <c r="M97" s="9" t="s">
        <v>4584</v>
      </c>
      <c r="N97" s="9" t="s">
        <v>4585</v>
      </c>
      <c r="O97" s="9" t="s">
        <v>4556</v>
      </c>
      <c r="P97" s="9" t="s">
        <v>4586</v>
      </c>
      <c r="Q97" s="9" t="s">
        <v>4587</v>
      </c>
      <c r="R97" s="9" t="s">
        <v>4588</v>
      </c>
      <c r="S97" s="9" t="s">
        <v>4505</v>
      </c>
      <c r="T97" s="22" t="str">
        <f aca="false">'Author Response Entry'!$D$97</f>
        <v>OPTION 2</v>
      </c>
      <c r="U97" s="23" t="str">
        <f aca="false">'Author Response Entry'!$E$97</f>
        <v>caution → Counted as an addition because it does not appear as a positive doctrine in the creeds and confessions studied — not because no Christian ever taught something like it.</v>
      </c>
      <c r="V97" s="23" t="str">
        <f aca="false">'Author Response Entry'!$F$97</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97" s="23" t="str">
        <f aca="false">'Author Response Entry'!$G$97</f>
        <v>AJP</v>
      </c>
      <c r="X97" s="24" t="n">
        <f aca="false">'Author Response Entry'!$H$97</f>
        <v>46274</v>
      </c>
      <c r="Y97" s="23" t="str">
        <f aca="false">IF(T97="","",IF(T97="CUSTOM RESPONSE",U97,IF(T97="HOLD — NEEDS RESEARCH",IF(U97&lt;&gt;"",U97,"HOLD — NEEDS RESEARCH"),IF(T97="DEFER — NOT YET",IF(U97&lt;&gt;"",U97,"DEFER — NOT YET"),IF(T97="OPTION 1",O97,IF(T97="OPTION 2",U97,IF(T97="OPTION 3",Q97,IF(T97="OPTION 4",R97,""))))))))</f>
        <v>caution → Counted as an addition because it does not appear as a positive doctrine in the creeds and confessions studied — not because no Christian ever taught something like it.</v>
      </c>
      <c r="Z97" s="23" t="str">
        <f aca="false">IF(T97="","OPEN",IF(T97="CUSTOM RESPONSE",IF(U97="","OPEN — CUSTOM TEXT REQUIRED",IF(W97="","RESOLVED — ADD INITIALS/DATE",IF(X97="","RESOLVED — ADD INITIALS/DATE","RESOLVED"))),IF(T97="HOLD — NEEDS RESEARCH",IF(W97="","HOLD — ADD INITIALS/DATE",IF(X97="","HOLD — ADD INITIALS/DATE","HOLD")),IF(T97="DEFER — NOT YET",IF(W97="","DEFERRED — ADD INITIALS/DATE",IF(X97="","DEFERRED — ADD INITIALS/DATE","DEFERRED")),IF(T97="OPTION 1",IF(W97="","RESOLVED — ADD INITIALS/DATE",IF(X97="","RESOLVED — ADD INITIALS/DATE","RESOLVED")),IF(T97="OPTION 2",IF(U97="","OPEN — CUSTOM TEXT REQUIRED",IF(W97="","RESOLVED — ADD INITIALS/DATE",IF(X97="","RESOLVED — ADD INITIALS/DATE","RESOLVED"))),IF(T97="OPTION 3",IF(W97="","HOLD — ADD INITIALS/DATE",IF(X97="","HOLD — ADD INITIALS/DATE","HOLD")),IF(T97="OPTION 4",IF(W97="","HOLD — ADD INITIALS/DATE",IF(X97="","HOLD — ADD INITIALS/DATE","HOLD")),IF(W97="","RESOLVED — ADD INITIALS/DATE",IF(X97="","RESOLVED — ADD INITIALS/DATE","RESOLVED"))))))))))</f>
        <v>RESOLVED</v>
      </c>
      <c r="AA97" s="23" t="s">
        <v>380</v>
      </c>
      <c r="AB97" s="23" t="s">
        <v>4589</v>
      </c>
      <c r="AC97" s="23" t="s">
        <v>4898</v>
      </c>
      <c r="AD97" s="23" t="s">
        <v>748</v>
      </c>
      <c r="AE97" s="23" t="s">
        <v>4823</v>
      </c>
      <c r="AF97" s="23" t="str">
        <f aca="false">IF(F97&lt;&gt;"READY","NO",IF(Z97="OPEN","YES",IF(Z97="OPEN — CUSTOM TEXT REQUIRED","YES",IF(Z97="RESOLVED — ADD INITIALS/DATE","YES",IF(Z97="HOLD — ADD INITIALS/DATE","YES",IF(Z97="DEFERRED — ADD INITIALS/DATE","YES","NO"))))))</f>
        <v>NO</v>
      </c>
      <c r="AG97" s="23" t="str">
        <f aca="false">IF(AF97&lt;&gt;"YES","",IF(A97=IFERROR(MATCH("YES",$AF$2:$AF$105,0),0),"CURRENT",""))</f>
        <v/>
      </c>
      <c r="AH97" s="25" t="str">
        <f aca="false">IF(COUNTIF($B$2:$B$105,B97)&gt;1,"DUPLICATE","")</f>
        <v/>
      </c>
    </row>
    <row r="98" customFormat="false" ht="15.75" hidden="false" customHeight="true" outlineLevel="0" collapsed="false">
      <c r="A98" s="9" t="n">
        <v>97</v>
      </c>
      <c r="B98" s="9" t="s">
        <v>4907</v>
      </c>
      <c r="C98" s="9" t="s">
        <v>4578</v>
      </c>
      <c r="D98" s="9" t="s">
        <v>4579</v>
      </c>
      <c r="E98" s="9" t="s">
        <v>1857</v>
      </c>
      <c r="F98" s="9" t="s">
        <v>874</v>
      </c>
      <c r="G98" s="9" t="s">
        <v>2899</v>
      </c>
      <c r="H98" s="9" t="s">
        <v>765</v>
      </c>
      <c r="I98" s="9" t="s">
        <v>4908</v>
      </c>
      <c r="J98" s="9" t="s">
        <v>4909</v>
      </c>
      <c r="K98" s="9" t="s">
        <v>4582</v>
      </c>
      <c r="L98" s="9" t="s">
        <v>4910</v>
      </c>
      <c r="M98" s="9" t="s">
        <v>4584</v>
      </c>
      <c r="N98" s="9" t="s">
        <v>4585</v>
      </c>
      <c r="O98" s="9" t="s">
        <v>4556</v>
      </c>
      <c r="P98" s="9" t="s">
        <v>4586</v>
      </c>
      <c r="Q98" s="9" t="s">
        <v>4587</v>
      </c>
      <c r="R98" s="9" t="s">
        <v>4588</v>
      </c>
      <c r="S98" s="9" t="s">
        <v>4505</v>
      </c>
      <c r="T98" s="22" t="str">
        <f aca="false">'Author Response Entry'!$D$98</f>
        <v>OPTION 2</v>
      </c>
      <c r="U98" s="23" t="str">
        <f aca="false">'Author Response Entry'!$E$98</f>
        <v>caution → Counted as an addition because it does not appear as a positive doctrine in the creeds and confessions studied — not because no Christian ever taught something like it.</v>
      </c>
      <c r="V98" s="23" t="str">
        <f aca="false">'Author Response Entry'!$F$98</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98" s="23" t="str">
        <f aca="false">'Author Response Entry'!$G$98</f>
        <v>AJP</v>
      </c>
      <c r="X98" s="24" t="n">
        <f aca="false">'Author Response Entry'!$H$98</f>
        <v>46274</v>
      </c>
      <c r="Y98" s="23" t="str">
        <f aca="false">IF(T98="","",IF(T98="CUSTOM RESPONSE",U98,IF(T98="HOLD — NEEDS RESEARCH",IF(U98&lt;&gt;"",U98,"HOLD — NEEDS RESEARCH"),IF(T98="DEFER — NOT YET",IF(U98&lt;&gt;"",U98,"DEFER — NOT YET"),IF(T98="OPTION 1",O98,IF(T98="OPTION 2",U98,IF(T98="OPTION 3",Q98,IF(T98="OPTION 4",R98,""))))))))</f>
        <v>caution → Counted as an addition because it does not appear as a positive doctrine in the creeds and confessions studied — not because no Christian ever taught something like it.</v>
      </c>
      <c r="Z98" s="23" t="str">
        <f aca="false">IF(T98="","OPEN",IF(T98="CUSTOM RESPONSE",IF(U98="","OPEN — CUSTOM TEXT REQUIRED",IF(W98="","RESOLVED — ADD INITIALS/DATE",IF(X98="","RESOLVED — ADD INITIALS/DATE","RESOLVED"))),IF(T98="HOLD — NEEDS RESEARCH",IF(W98="","HOLD — ADD INITIALS/DATE",IF(X98="","HOLD — ADD INITIALS/DATE","HOLD")),IF(T98="DEFER — NOT YET",IF(W98="","DEFERRED — ADD INITIALS/DATE",IF(X98="","DEFERRED — ADD INITIALS/DATE","DEFERRED")),IF(T98="OPTION 1",IF(W98="","RESOLVED — ADD INITIALS/DATE",IF(X98="","RESOLVED — ADD INITIALS/DATE","RESOLVED")),IF(T98="OPTION 2",IF(U98="","OPEN — CUSTOM TEXT REQUIRED",IF(W98="","RESOLVED — ADD INITIALS/DATE",IF(X98="","RESOLVED — ADD INITIALS/DATE","RESOLVED"))),IF(T98="OPTION 3",IF(W98="","HOLD — ADD INITIALS/DATE",IF(X98="","HOLD — ADD INITIALS/DATE","HOLD")),IF(T98="OPTION 4",IF(W98="","HOLD — ADD INITIALS/DATE",IF(X98="","HOLD — ADD INITIALS/DATE","HOLD")),IF(W98="","RESOLVED — ADD INITIALS/DATE",IF(X98="","RESOLVED — ADD INITIALS/DATE","RESOLVED"))))))))))</f>
        <v>RESOLVED</v>
      </c>
      <c r="AA98" s="23" t="s">
        <v>380</v>
      </c>
      <c r="AB98" s="23" t="s">
        <v>4589</v>
      </c>
      <c r="AC98" s="23" t="s">
        <v>4898</v>
      </c>
      <c r="AD98" s="23" t="s">
        <v>760</v>
      </c>
      <c r="AE98" s="23" t="s">
        <v>4823</v>
      </c>
      <c r="AF98" s="23" t="str">
        <f aca="false">IF(F98&lt;&gt;"READY","NO",IF(Z98="OPEN","YES",IF(Z98="OPEN — CUSTOM TEXT REQUIRED","YES",IF(Z98="RESOLVED — ADD INITIALS/DATE","YES",IF(Z98="HOLD — ADD INITIALS/DATE","YES",IF(Z98="DEFERRED — ADD INITIALS/DATE","YES","NO"))))))</f>
        <v>NO</v>
      </c>
      <c r="AG98" s="23" t="str">
        <f aca="false">IF(AF98&lt;&gt;"YES","",IF(A98=IFERROR(MATCH("YES",$AF$2:$AF$105,0),0),"CURRENT",""))</f>
        <v/>
      </c>
      <c r="AH98" s="25" t="str">
        <f aca="false">IF(COUNTIF($B$2:$B$105,B98)&gt;1,"DUPLICATE","")</f>
        <v/>
      </c>
    </row>
    <row r="99" customFormat="false" ht="15.75" hidden="false" customHeight="true" outlineLevel="0" collapsed="false">
      <c r="A99" s="9" t="n">
        <v>98</v>
      </c>
      <c r="B99" s="9" t="s">
        <v>4911</v>
      </c>
      <c r="C99" s="9" t="s">
        <v>4578</v>
      </c>
      <c r="D99" s="9" t="s">
        <v>4579</v>
      </c>
      <c r="E99" s="9" t="s">
        <v>1857</v>
      </c>
      <c r="F99" s="9" t="s">
        <v>874</v>
      </c>
      <c r="G99" s="9" t="s">
        <v>2899</v>
      </c>
      <c r="H99" s="9" t="s">
        <v>767</v>
      </c>
      <c r="I99" s="9" t="s">
        <v>4912</v>
      </c>
      <c r="J99" s="9" t="s">
        <v>4913</v>
      </c>
      <c r="K99" s="9" t="s">
        <v>4582</v>
      </c>
      <c r="L99" s="9" t="s">
        <v>4914</v>
      </c>
      <c r="M99" s="9" t="s">
        <v>4584</v>
      </c>
      <c r="N99" s="9" t="s">
        <v>4585</v>
      </c>
      <c r="O99" s="9" t="s">
        <v>4556</v>
      </c>
      <c r="P99" s="9" t="s">
        <v>4586</v>
      </c>
      <c r="Q99" s="9" t="s">
        <v>4587</v>
      </c>
      <c r="R99" s="9" t="s">
        <v>4588</v>
      </c>
      <c r="S99" s="9" t="s">
        <v>4505</v>
      </c>
      <c r="T99" s="22" t="str">
        <f aca="false">'Author Response Entry'!$D$99</f>
        <v>OPTION 2</v>
      </c>
      <c r="U99" s="23" t="str">
        <f aca="false">'Author Response Entry'!$E$99</f>
        <v>caution → Counted as an addition because it does not appear as a positive doctrine in the creeds and confessions studied — not because no Christian ever taught something like it.</v>
      </c>
      <c r="V99" s="23" t="str">
        <f aca="false">'Author Response Entry'!$F$99</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99" s="23" t="str">
        <f aca="false">'Author Response Entry'!$G$99</f>
        <v>AJP</v>
      </c>
      <c r="X99" s="24" t="n">
        <f aca="false">'Author Response Entry'!$H$99</f>
        <v>46274</v>
      </c>
      <c r="Y99" s="23" t="str">
        <f aca="false">IF(T99="","",IF(T99="CUSTOM RESPONSE",U99,IF(T99="HOLD — NEEDS RESEARCH",IF(U99&lt;&gt;"",U99,"HOLD — NEEDS RESEARCH"),IF(T99="DEFER — NOT YET",IF(U99&lt;&gt;"",U99,"DEFER — NOT YET"),IF(T99="OPTION 1",O99,IF(T99="OPTION 2",U99,IF(T99="OPTION 3",Q99,IF(T99="OPTION 4",R99,""))))))))</f>
        <v>caution → Counted as an addition because it does not appear as a positive doctrine in the creeds and confessions studied — not because no Christian ever taught something like it.</v>
      </c>
      <c r="Z99" s="23" t="str">
        <f aca="false">IF(T99="","OPEN",IF(T99="CUSTOM RESPONSE",IF(U99="","OPEN — CUSTOM TEXT REQUIRED",IF(W99="","RESOLVED — ADD INITIALS/DATE",IF(X99="","RESOLVED — ADD INITIALS/DATE","RESOLVED"))),IF(T99="HOLD — NEEDS RESEARCH",IF(W99="","HOLD — ADD INITIALS/DATE",IF(X99="","HOLD — ADD INITIALS/DATE","HOLD")),IF(T99="DEFER — NOT YET",IF(W99="","DEFERRED — ADD INITIALS/DATE",IF(X99="","DEFERRED — ADD INITIALS/DATE","DEFERRED")),IF(T99="OPTION 1",IF(W99="","RESOLVED — ADD INITIALS/DATE",IF(X99="","RESOLVED — ADD INITIALS/DATE","RESOLVED")),IF(T99="OPTION 2",IF(U99="","OPEN — CUSTOM TEXT REQUIRED",IF(W99="","RESOLVED — ADD INITIALS/DATE",IF(X99="","RESOLVED — ADD INITIALS/DATE","RESOLVED"))),IF(T99="OPTION 3",IF(W99="","HOLD — ADD INITIALS/DATE",IF(X99="","HOLD — ADD INITIALS/DATE","HOLD")),IF(T99="OPTION 4",IF(W99="","HOLD — ADD INITIALS/DATE",IF(X99="","HOLD — ADD INITIALS/DATE","HOLD")),IF(W99="","RESOLVED — ADD INITIALS/DATE",IF(X99="","RESOLVED — ADD INITIALS/DATE","RESOLVED"))))))))))</f>
        <v>RESOLVED</v>
      </c>
      <c r="AA99" s="23" t="s">
        <v>380</v>
      </c>
      <c r="AB99" s="23" t="s">
        <v>4589</v>
      </c>
      <c r="AC99" s="23" t="s">
        <v>4898</v>
      </c>
      <c r="AD99" s="23" t="s">
        <v>760</v>
      </c>
      <c r="AE99" s="23" t="s">
        <v>4823</v>
      </c>
      <c r="AF99" s="23" t="str">
        <f aca="false">IF(F99&lt;&gt;"READY","NO",IF(Z99="OPEN","YES",IF(Z99="OPEN — CUSTOM TEXT REQUIRED","YES",IF(Z99="RESOLVED — ADD INITIALS/DATE","YES",IF(Z99="HOLD — ADD INITIALS/DATE","YES",IF(Z99="DEFERRED — ADD INITIALS/DATE","YES","NO"))))))</f>
        <v>NO</v>
      </c>
      <c r="AG99" s="23" t="str">
        <f aca="false">IF(AF99&lt;&gt;"YES","",IF(A99=IFERROR(MATCH("YES",$AF$2:$AF$105,0),0),"CURRENT",""))</f>
        <v/>
      </c>
      <c r="AH99" s="25" t="str">
        <f aca="false">IF(COUNTIF($B$2:$B$105,B99)&gt;1,"DUPLICATE","")</f>
        <v/>
      </c>
    </row>
    <row r="100" customFormat="false" ht="15.75" hidden="false" customHeight="true" outlineLevel="0" collapsed="false">
      <c r="A100" s="9" t="n">
        <v>99</v>
      </c>
      <c r="B100" s="9" t="s">
        <v>4915</v>
      </c>
      <c r="C100" s="9" t="s">
        <v>4578</v>
      </c>
      <c r="D100" s="9" t="s">
        <v>4579</v>
      </c>
      <c r="E100" s="9" t="s">
        <v>1857</v>
      </c>
      <c r="F100" s="9" t="s">
        <v>874</v>
      </c>
      <c r="G100" s="9" t="s">
        <v>2899</v>
      </c>
      <c r="H100" s="9" t="s">
        <v>769</v>
      </c>
      <c r="I100" s="9" t="s">
        <v>4916</v>
      </c>
      <c r="J100" s="9" t="s">
        <v>4917</v>
      </c>
      <c r="K100" s="9" t="s">
        <v>4582</v>
      </c>
      <c r="L100" s="9" t="s">
        <v>4918</v>
      </c>
      <c r="M100" s="9" t="s">
        <v>4584</v>
      </c>
      <c r="N100" s="9" t="s">
        <v>4585</v>
      </c>
      <c r="O100" s="9" t="s">
        <v>4556</v>
      </c>
      <c r="P100" s="9" t="s">
        <v>4586</v>
      </c>
      <c r="Q100" s="9" t="s">
        <v>4587</v>
      </c>
      <c r="R100" s="9" t="s">
        <v>4588</v>
      </c>
      <c r="S100" s="9" t="s">
        <v>4505</v>
      </c>
      <c r="T100" s="22" t="str">
        <f aca="false">'Author Response Entry'!$D$100</f>
        <v>OPTION 2</v>
      </c>
      <c r="U100" s="23" t="str">
        <f aca="false">'Author Response Entry'!$E$100</f>
        <v>caution → Counted as an addition because it does not appear as a positive doctrine in the creeds and confessions studied — not because no Christian ever taught something like it.</v>
      </c>
      <c r="V100" s="23" t="str">
        <f aca="false">'Author Response Entry'!$F$100</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100" s="23" t="str">
        <f aca="false">'Author Response Entry'!$G$100</f>
        <v>AJP</v>
      </c>
      <c r="X100" s="24" t="n">
        <f aca="false">'Author Response Entry'!$H$100</f>
        <v>46274</v>
      </c>
      <c r="Y100" s="23" t="str">
        <f aca="false">IF(T100="","",IF(T100="CUSTOM RESPONSE",U100,IF(T100="HOLD — NEEDS RESEARCH",IF(U100&lt;&gt;"",U100,"HOLD — NEEDS RESEARCH"),IF(T100="DEFER — NOT YET",IF(U100&lt;&gt;"",U100,"DEFER — NOT YET"),IF(T100="OPTION 1",O100,IF(T100="OPTION 2",U100,IF(T100="OPTION 3",Q100,IF(T100="OPTION 4",R100,""))))))))</f>
        <v>caution → Counted as an addition because it does not appear as a positive doctrine in the creeds and confessions studied — not because no Christian ever taught something like it.</v>
      </c>
      <c r="Z100" s="23" t="str">
        <f aca="false">IF(T100="","OPEN",IF(T100="CUSTOM RESPONSE",IF(U100="","OPEN — CUSTOM TEXT REQUIRED",IF(W100="","RESOLVED — ADD INITIALS/DATE",IF(X100="","RESOLVED — ADD INITIALS/DATE","RESOLVED"))),IF(T100="HOLD — NEEDS RESEARCH",IF(W100="","HOLD — ADD INITIALS/DATE",IF(X100="","HOLD — ADD INITIALS/DATE","HOLD")),IF(T100="DEFER — NOT YET",IF(W100="","DEFERRED — ADD INITIALS/DATE",IF(X100="","DEFERRED — ADD INITIALS/DATE","DEFERRED")),IF(T100="OPTION 1",IF(W100="","RESOLVED — ADD INITIALS/DATE",IF(X100="","RESOLVED — ADD INITIALS/DATE","RESOLVED")),IF(T100="OPTION 2",IF(U100="","OPEN — CUSTOM TEXT REQUIRED",IF(W100="","RESOLVED — ADD INITIALS/DATE",IF(X100="","RESOLVED — ADD INITIALS/DATE","RESOLVED"))),IF(T100="OPTION 3",IF(W100="","HOLD — ADD INITIALS/DATE",IF(X100="","HOLD — ADD INITIALS/DATE","HOLD")),IF(T100="OPTION 4",IF(W100="","HOLD — ADD INITIALS/DATE",IF(X100="","HOLD — ADD INITIALS/DATE","HOLD")),IF(W100="","RESOLVED — ADD INITIALS/DATE",IF(X100="","RESOLVED — ADD INITIALS/DATE","RESOLVED"))))))))))</f>
        <v>RESOLVED</v>
      </c>
      <c r="AA100" s="23" t="s">
        <v>380</v>
      </c>
      <c r="AB100" s="23" t="s">
        <v>4589</v>
      </c>
      <c r="AC100" s="23" t="s">
        <v>4898</v>
      </c>
      <c r="AD100" s="23" t="s">
        <v>771</v>
      </c>
      <c r="AE100" s="23" t="s">
        <v>1277</v>
      </c>
      <c r="AF100" s="23" t="str">
        <f aca="false">IF(F100&lt;&gt;"READY","NO",IF(Z100="OPEN","YES",IF(Z100="OPEN — CUSTOM TEXT REQUIRED","YES",IF(Z100="RESOLVED — ADD INITIALS/DATE","YES",IF(Z100="HOLD — ADD INITIALS/DATE","YES",IF(Z100="DEFERRED — ADD INITIALS/DATE","YES","NO"))))))</f>
        <v>NO</v>
      </c>
      <c r="AG100" s="23" t="str">
        <f aca="false">IF(AF100&lt;&gt;"YES","",IF(A100=IFERROR(MATCH("YES",$AF$2:$AF$105,0),0),"CURRENT",""))</f>
        <v/>
      </c>
      <c r="AH100" s="25" t="str">
        <f aca="false">IF(COUNTIF($B$2:$B$105,B100)&gt;1,"DUPLICATE","")</f>
        <v/>
      </c>
    </row>
    <row r="101" customFormat="false" ht="15.75" hidden="false" customHeight="true" outlineLevel="0" collapsed="false">
      <c r="A101" s="9" t="n">
        <v>100</v>
      </c>
      <c r="B101" s="9" t="s">
        <v>4919</v>
      </c>
      <c r="C101" s="9" t="s">
        <v>4578</v>
      </c>
      <c r="D101" s="9" t="s">
        <v>4579</v>
      </c>
      <c r="E101" s="9" t="s">
        <v>113</v>
      </c>
      <c r="F101" s="9" t="s">
        <v>874</v>
      </c>
      <c r="G101" s="9" t="s">
        <v>2899</v>
      </c>
      <c r="H101" s="9" t="s">
        <v>772</v>
      </c>
      <c r="I101" s="9" t="s">
        <v>4920</v>
      </c>
      <c r="J101" s="9" t="s">
        <v>4921</v>
      </c>
      <c r="K101" s="9" t="s">
        <v>4582</v>
      </c>
      <c r="L101" s="9" t="s">
        <v>4922</v>
      </c>
      <c r="M101" s="9" t="s">
        <v>4584</v>
      </c>
      <c r="N101" s="9" t="s">
        <v>4585</v>
      </c>
      <c r="O101" s="9" t="s">
        <v>4556</v>
      </c>
      <c r="P101" s="9" t="s">
        <v>4586</v>
      </c>
      <c r="Q101" s="9" t="s">
        <v>4587</v>
      </c>
      <c r="R101" s="9" t="s">
        <v>4588</v>
      </c>
      <c r="S101" s="9" t="s">
        <v>4505</v>
      </c>
      <c r="T101" s="22" t="str">
        <f aca="false">'Author Response Entry'!$D$101</f>
        <v>OPTION 2</v>
      </c>
      <c r="U101" s="23" t="str">
        <f aca="false">'Author Response Entry'!$E$101</f>
        <v>caution → Detailed mechanics are not revealed; use source-role and evidence caution. Attributed to a prophet's teaching rather than canonized scripture; the details are not revealed, and Latter-day Saints hold them with reverence and restraint.</v>
      </c>
      <c r="V101" s="23" t="str">
        <f aca="false">'Author Response Entry'!$F$101</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101" s="23" t="str">
        <f aca="false">'Author Response Entry'!$G$101</f>
        <v>AJP</v>
      </c>
      <c r="X101" s="24" t="n">
        <f aca="false">'Author Response Entry'!$H$101</f>
        <v>46274</v>
      </c>
      <c r="Y101" s="23" t="str">
        <f aca="false">IF(T101="","",IF(T101="CUSTOM RESPONSE",U101,IF(T101="HOLD — NEEDS RESEARCH",IF(U101&lt;&gt;"",U101,"HOLD — NEEDS RESEARCH"),IF(T101="DEFER — NOT YET",IF(U101&lt;&gt;"",U101,"DEFER — NOT YET"),IF(T101="OPTION 1",O101,IF(T101="OPTION 2",U101,IF(T101="OPTION 3",Q101,IF(T101="OPTION 4",R101,""))))))))</f>
        <v>caution → Detailed mechanics are not revealed; use source-role and evidence caution. Attributed to a prophet's teaching rather than canonized scripture; the details are not revealed, and Latter-day Saints hold them with reverence and restraint.</v>
      </c>
      <c r="Z101" s="23" t="str">
        <f aca="false">IF(T101="","OPEN",IF(T101="CUSTOM RESPONSE",IF(U101="","OPEN — CUSTOM TEXT REQUIRED",IF(W101="","RESOLVED — ADD INITIALS/DATE",IF(X101="","RESOLVED — ADD INITIALS/DATE","RESOLVED"))),IF(T101="HOLD — NEEDS RESEARCH",IF(W101="","HOLD — ADD INITIALS/DATE",IF(X101="","HOLD — ADD INITIALS/DATE","HOLD")),IF(T101="DEFER — NOT YET",IF(W101="","DEFERRED — ADD INITIALS/DATE",IF(X101="","DEFERRED — ADD INITIALS/DATE","DEFERRED")),IF(T101="OPTION 1",IF(W101="","RESOLVED — ADD INITIALS/DATE",IF(X101="","RESOLVED — ADD INITIALS/DATE","RESOLVED")),IF(T101="OPTION 2",IF(U101="","OPEN — CUSTOM TEXT REQUIRED",IF(W101="","RESOLVED — ADD INITIALS/DATE",IF(X101="","RESOLVED — ADD INITIALS/DATE","RESOLVED"))),IF(T101="OPTION 3",IF(W101="","HOLD — ADD INITIALS/DATE",IF(X101="","HOLD — ADD INITIALS/DATE","HOLD")),IF(T101="OPTION 4",IF(W101="","HOLD — ADD INITIALS/DATE",IF(X101="","HOLD — ADD INITIALS/DATE","HOLD")),IF(W101="","RESOLVED — ADD INITIALS/DATE",IF(X101="","RESOLVED — ADD INITIALS/DATE","RESOLVED"))))))))))</f>
        <v>RESOLVED</v>
      </c>
      <c r="AA101" s="23" t="s">
        <v>380</v>
      </c>
      <c r="AB101" s="23" t="s">
        <v>4589</v>
      </c>
      <c r="AC101" s="23" t="s">
        <v>4898</v>
      </c>
      <c r="AD101" s="23" t="s">
        <v>775</v>
      </c>
      <c r="AE101" s="23" t="s">
        <v>4923</v>
      </c>
      <c r="AF101" s="23" t="str">
        <f aca="false">IF(F101&lt;&gt;"READY","NO",IF(Z101="OPEN","YES",IF(Z101="OPEN — CUSTOM TEXT REQUIRED","YES",IF(Z101="RESOLVED — ADD INITIALS/DATE","YES",IF(Z101="HOLD — ADD INITIALS/DATE","YES",IF(Z101="DEFERRED — ADD INITIALS/DATE","YES","NO"))))))</f>
        <v>NO</v>
      </c>
      <c r="AG101" s="23" t="str">
        <f aca="false">IF(AF101&lt;&gt;"YES","",IF(A101=IFERROR(MATCH("YES",$AF$2:$AF$105,0),0),"CURRENT",""))</f>
        <v/>
      </c>
      <c r="AH101" s="25" t="str">
        <f aca="false">IF(COUNTIF($B$2:$B$105,B101)&gt;1,"DUPLICATE","")</f>
        <v/>
      </c>
    </row>
    <row r="102" customFormat="false" ht="15.75" hidden="false" customHeight="true" outlineLevel="0" collapsed="false">
      <c r="A102" s="9" t="n">
        <v>101</v>
      </c>
      <c r="B102" s="9" t="s">
        <v>4924</v>
      </c>
      <c r="C102" s="9" t="s">
        <v>4578</v>
      </c>
      <c r="D102" s="9" t="s">
        <v>4579</v>
      </c>
      <c r="E102" s="9" t="s">
        <v>113</v>
      </c>
      <c r="F102" s="9" t="s">
        <v>874</v>
      </c>
      <c r="G102" s="9" t="s">
        <v>2899</v>
      </c>
      <c r="H102" s="9" t="s">
        <v>776</v>
      </c>
      <c r="I102" s="9" t="s">
        <v>4925</v>
      </c>
      <c r="J102" s="9" t="s">
        <v>4926</v>
      </c>
      <c r="K102" s="9" t="s">
        <v>4582</v>
      </c>
      <c r="L102" s="9" t="s">
        <v>4927</v>
      </c>
      <c r="M102" s="9" t="s">
        <v>4584</v>
      </c>
      <c r="N102" s="9" t="s">
        <v>4585</v>
      </c>
      <c r="O102" s="9" t="s">
        <v>4556</v>
      </c>
      <c r="P102" s="9" t="s">
        <v>4586</v>
      </c>
      <c r="Q102" s="9" t="s">
        <v>4587</v>
      </c>
      <c r="R102" s="9" t="s">
        <v>4588</v>
      </c>
      <c r="S102" s="9" t="s">
        <v>4505</v>
      </c>
      <c r="T102" s="22" t="str">
        <f aca="false">'Author Response Entry'!$D$102</f>
        <v>OPTION 2</v>
      </c>
      <c r="U102" s="23" t="str">
        <f aca="false">'Author Response Entry'!$E$102</f>
        <v>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v>
      </c>
      <c r="V102" s="23" t="str">
        <f aca="false">'Author Response Entry'!$F$102</f>
        <v>Global rules 2026-09-09: G6-1 plain "Shared…" wording on generic floors; G6-2 plain addition caution; G6-3 Tier III attributed-teaching caution; G6-4 A-row summaries in "God is/does" form; jargon rewrites H05/H38/H44/A03; A01 likeness direction; H18 phrase correction; H52–55/H57 comparator phrases.</v>
      </c>
      <c r="W102" s="23" t="str">
        <f aca="false">'Author Response Entry'!$G$102</f>
        <v>AJP</v>
      </c>
      <c r="X102" s="24" t="n">
        <f aca="false">'Author Response Entry'!$H$102</f>
        <v>46274</v>
      </c>
      <c r="Y102" s="23" t="str">
        <f aca="false">IF(T102="","",IF(T102="CUSTOM RESPONSE",U102,IF(T102="HOLD — NEEDS RESEARCH",IF(U102&lt;&gt;"",U102,"HOLD — NEEDS RESEARCH"),IF(T102="DEFER — NOT YET",IF(U102&lt;&gt;"",U102,"DEFER — NOT YET"),IF(T102="OPTION 1",O102,IF(T102="OPTION 2",U102,IF(T102="OPTION 3",Q102,IF(T102="OPTION 4",R102,""))))))))</f>
        <v>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v>
      </c>
      <c r="Z102" s="23" t="str">
        <f aca="false">IF(T102="","OPEN",IF(T102="CUSTOM RESPONSE",IF(U102="","OPEN — CUSTOM TEXT REQUIRED",IF(W102="","RESOLVED — ADD INITIALS/DATE",IF(X102="","RESOLVED — ADD INITIALS/DATE","RESOLVED"))),IF(T102="HOLD — NEEDS RESEARCH",IF(W102="","HOLD — ADD INITIALS/DATE",IF(X102="","HOLD — ADD INITIALS/DATE","HOLD")),IF(T102="DEFER — NOT YET",IF(W102="","DEFERRED — ADD INITIALS/DATE",IF(X102="","DEFERRED — ADD INITIALS/DATE","DEFERRED")),IF(T102="OPTION 1",IF(W102="","RESOLVED — ADD INITIALS/DATE",IF(X102="","RESOLVED — ADD INITIALS/DATE","RESOLVED")),IF(T102="OPTION 2",IF(U102="","OPEN — CUSTOM TEXT REQUIRED",IF(W102="","RESOLVED — ADD INITIALS/DATE",IF(X102="","RESOLVED — ADD INITIALS/DATE","RESOLVED"))),IF(T102="OPTION 3",IF(W102="","HOLD — ADD INITIALS/DATE",IF(X102="","HOLD — ADD INITIALS/DATE","HOLD")),IF(T102="OPTION 4",IF(W102="","HOLD — ADD INITIALS/DATE",IF(X102="","HOLD — ADD INITIALS/DATE","HOLD")),IF(W102="","RESOLVED — ADD INITIALS/DATE",IF(X102="","RESOLVED — ADD INITIALS/DATE","RESOLVED"))))))))))</f>
        <v>RESOLVED</v>
      </c>
      <c r="AA102" s="23" t="s">
        <v>380</v>
      </c>
      <c r="AB102" s="23" t="s">
        <v>4589</v>
      </c>
      <c r="AC102" s="23" t="s">
        <v>4898</v>
      </c>
      <c r="AD102" s="23" t="s">
        <v>775</v>
      </c>
      <c r="AE102" s="23" t="s">
        <v>4823</v>
      </c>
      <c r="AF102" s="23" t="str">
        <f aca="false">IF(F102&lt;&gt;"READY","NO",IF(Z102="OPEN","YES",IF(Z102="OPEN — CUSTOM TEXT REQUIRED","YES",IF(Z102="RESOLVED — ADD INITIALS/DATE","YES",IF(Z102="HOLD — ADD INITIALS/DATE","YES",IF(Z102="DEFERRED — ADD INITIALS/DATE","YES","NO"))))))</f>
        <v>NO</v>
      </c>
      <c r="AG102" s="23" t="str">
        <f aca="false">IF(AF102&lt;&gt;"YES","",IF(A102=IFERROR(MATCH("YES",$AF$2:$AF$105,0),0),"CURRENT",""))</f>
        <v/>
      </c>
      <c r="AH102" s="25" t="str">
        <f aca="false">IF(COUNTIF($B$2:$B$105,B102)&gt;1,"DUPLICATE","")</f>
        <v/>
      </c>
    </row>
    <row r="103" customFormat="false" ht="15.75" hidden="false" customHeight="true" outlineLevel="0" collapsed="false">
      <c r="A103" s="9" t="n">
        <v>102</v>
      </c>
      <c r="B103" s="9" t="s">
        <v>4928</v>
      </c>
      <c r="C103" s="9" t="s">
        <v>4929</v>
      </c>
      <c r="D103" s="9" t="s">
        <v>4930</v>
      </c>
      <c r="E103" s="9" t="s">
        <v>1857</v>
      </c>
      <c r="F103" s="9" t="s">
        <v>4931</v>
      </c>
      <c r="G103" s="9" t="s">
        <v>3183</v>
      </c>
      <c r="H103" s="9" t="s">
        <v>13</v>
      </c>
      <c r="I103" s="9" t="s">
        <v>4932</v>
      </c>
      <c r="J103" s="9" t="s">
        <v>4933</v>
      </c>
      <c r="K103" s="9" t="s">
        <v>4934</v>
      </c>
      <c r="L103" s="9" t="s">
        <v>4935</v>
      </c>
      <c r="M103" s="9" t="s">
        <v>4936</v>
      </c>
      <c r="N103" s="9" t="s">
        <v>4937</v>
      </c>
      <c r="O103" s="9" t="s">
        <v>4938</v>
      </c>
      <c r="P103" s="9" t="s">
        <v>4939</v>
      </c>
      <c r="Q103" s="9" t="s">
        <v>4940</v>
      </c>
      <c r="R103" s="9" t="s">
        <v>4941</v>
      </c>
      <c r="S103" s="9" t="s">
        <v>4376</v>
      </c>
      <c r="T103" s="22" t="n">
        <f aca="false">'Author Response Entry'!$D$103</f>
        <v>0</v>
      </c>
      <c r="U103" s="23" t="n">
        <f aca="false">'Author Response Entry'!$E$103</f>
        <v>0</v>
      </c>
      <c r="V103" s="23" t="n">
        <f aca="false">'Author Response Entry'!$F$103</f>
        <v>0</v>
      </c>
      <c r="W103" s="23" t="n">
        <f aca="false">'Author Response Entry'!$G$103</f>
        <v>0</v>
      </c>
      <c r="X103" s="24" t="n">
        <f aca="false">'Author Response Entry'!$H$103</f>
        <v>0</v>
      </c>
      <c r="Y103" s="23" t="str">
        <f aca="false">IF(T103="","",IF(T103="CUSTOM RESPONSE",U103,IF(T103="HOLD — NEEDS RESEARCH",IF(U103&lt;&gt;"",U103,"HOLD — NEEDS RESEARCH"),IF(T103="DEFER — NOT YET",IF(U103&lt;&gt;"",U103,"DEFER — NOT YET"),IF(T103="OPTION 1",O103,IF(T103="OPTION 2",P103,IF(T103="OPTION 3",Q103,IF(T103="OPTION 4",U103,""))))))))</f>
        <v/>
      </c>
      <c r="Z103" s="23" t="str">
        <f aca="false">"BLOCKED"</f>
        <v>BLOCKED</v>
      </c>
      <c r="AA103" s="23" t="s">
        <v>380</v>
      </c>
      <c r="AB103" s="23" t="s">
        <v>4942</v>
      </c>
      <c r="AC103" s="23" t="s">
        <v>4943</v>
      </c>
      <c r="AD103" s="23"/>
      <c r="AE103" s="23" t="s">
        <v>4944</v>
      </c>
      <c r="AF103" s="23" t="str">
        <f aca="false">IF(F103&lt;&gt;"READY","NO",IF(Z103="OPEN","YES",IF(Z103="OPEN — CUSTOM TEXT REQUIRED","YES",IF(Z103="RESOLVED — ADD INITIALS/DATE","YES",IF(Z103="HOLD — ADD INITIALS/DATE","YES",IF(Z103="DEFERRED — ADD INITIALS/DATE","YES","NO"))))))</f>
        <v>NO</v>
      </c>
      <c r="AG103" s="23" t="str">
        <f aca="false">IF(AF103&lt;&gt;"YES","",IF(A103=IFERROR(MATCH("YES",$AF$2:$AF$105,0),0),"CURRENT",""))</f>
        <v/>
      </c>
      <c r="AH103" s="25" t="str">
        <f aca="false">IF(COUNTIF($B$2:$B$105,B103)&gt;1,"DUPLICATE","")</f>
        <v/>
      </c>
    </row>
    <row r="104" customFormat="false" ht="15.75" hidden="false" customHeight="true" outlineLevel="0" collapsed="false">
      <c r="A104" s="9" t="n">
        <v>103</v>
      </c>
      <c r="B104" s="9" t="s">
        <v>4945</v>
      </c>
      <c r="C104" s="9" t="s">
        <v>4946</v>
      </c>
      <c r="D104" s="9" t="s">
        <v>2758</v>
      </c>
      <c r="E104" s="9" t="s">
        <v>113</v>
      </c>
      <c r="F104" s="9" t="s">
        <v>4931</v>
      </c>
      <c r="G104" s="9" t="s">
        <v>3183</v>
      </c>
      <c r="H104" s="9" t="s">
        <v>45</v>
      </c>
      <c r="I104" s="9" t="s">
        <v>4947</v>
      </c>
      <c r="J104" s="9" t="s">
        <v>4948</v>
      </c>
      <c r="K104" s="9" t="s">
        <v>4949</v>
      </c>
      <c r="L104" s="9" t="s">
        <v>4950</v>
      </c>
      <c r="M104" s="9" t="s">
        <v>4951</v>
      </c>
      <c r="N104" s="9" t="s">
        <v>4952</v>
      </c>
      <c r="O104" s="9" t="s">
        <v>4953</v>
      </c>
      <c r="P104" s="9" t="s">
        <v>4954</v>
      </c>
      <c r="Q104" s="9" t="s">
        <v>4955</v>
      </c>
      <c r="R104" s="9" t="s">
        <v>4956</v>
      </c>
      <c r="S104" s="9" t="s">
        <v>4407</v>
      </c>
      <c r="T104" s="22" t="n">
        <f aca="false">'Author Response Entry'!$D$104</f>
        <v>0</v>
      </c>
      <c r="U104" s="23" t="n">
        <f aca="false">'Author Response Entry'!$E$104</f>
        <v>0</v>
      </c>
      <c r="V104" s="23" t="n">
        <f aca="false">'Author Response Entry'!$F$104</f>
        <v>0</v>
      </c>
      <c r="W104" s="23" t="n">
        <f aca="false">'Author Response Entry'!$G$104</f>
        <v>0</v>
      </c>
      <c r="X104" s="24" t="n">
        <f aca="false">'Author Response Entry'!$H$104</f>
        <v>0</v>
      </c>
      <c r="Y104" s="23" t="str">
        <f aca="false">IF(T104="","",IF(T104="CUSTOM RESPONSE",U104,IF(T104="HOLD — NEEDS RESEARCH",IF(U104&lt;&gt;"",U104,"HOLD — NEEDS RESEARCH"),IF(T104="DEFER — NOT YET",IF(U104&lt;&gt;"",U104,"DEFER — NOT YET"),IF(T104="OPTION 1",O104,IF(T104="OPTION 2",U104,IF(T104="OPTION 3",Q104,IF(T104="OPTION 4",U104,""))))))))</f>
        <v/>
      </c>
      <c r="Z104" s="23" t="str">
        <f aca="false">"BLOCKED"</f>
        <v>BLOCKED</v>
      </c>
      <c r="AA104" s="23" t="s">
        <v>380</v>
      </c>
      <c r="AB104" s="23" t="s">
        <v>4957</v>
      </c>
      <c r="AC104" s="23" t="s">
        <v>4943</v>
      </c>
      <c r="AD104" s="23"/>
      <c r="AE104" s="23" t="s">
        <v>4958</v>
      </c>
      <c r="AF104" s="23" t="str">
        <f aca="false">IF(F104&lt;&gt;"READY","NO",IF(Z104="OPEN","YES",IF(Z104="OPEN — CUSTOM TEXT REQUIRED","YES",IF(Z104="RESOLVED — ADD INITIALS/DATE","YES",IF(Z104="HOLD — ADD INITIALS/DATE","YES",IF(Z104="DEFERRED — ADD INITIALS/DATE","YES","NO"))))))</f>
        <v>NO</v>
      </c>
      <c r="AG104" s="23" t="str">
        <f aca="false">IF(AF104&lt;&gt;"YES","",IF(A104=IFERROR(MATCH("YES",$AF$2:$AF$105,0),0),"CURRENT",""))</f>
        <v/>
      </c>
      <c r="AH104" s="25" t="str">
        <f aca="false">IF(COUNTIF($B$2:$B$105,B104)&gt;1,"DUPLICATE","")</f>
        <v/>
      </c>
    </row>
    <row r="105" customFormat="false" ht="15.75" hidden="false" customHeight="true" outlineLevel="0" collapsed="false">
      <c r="A105" s="9" t="n">
        <v>104</v>
      </c>
      <c r="B105" s="9" t="s">
        <v>4959</v>
      </c>
      <c r="C105" s="9" t="s">
        <v>4960</v>
      </c>
      <c r="D105" s="9" t="s">
        <v>4961</v>
      </c>
      <c r="E105" s="9" t="s">
        <v>113</v>
      </c>
      <c r="F105" s="9" t="s">
        <v>4931</v>
      </c>
      <c r="G105" s="9" t="s">
        <v>4962</v>
      </c>
      <c r="H105" s="9" t="s">
        <v>4963</v>
      </c>
      <c r="I105" s="9" t="s">
        <v>4964</v>
      </c>
      <c r="J105" s="9" t="s">
        <v>4965</v>
      </c>
      <c r="K105" s="9" t="s">
        <v>4966</v>
      </c>
      <c r="L105" s="9" t="s">
        <v>4967</v>
      </c>
      <c r="M105" s="9" t="s">
        <v>4968</v>
      </c>
      <c r="N105" s="9" t="s">
        <v>4969</v>
      </c>
      <c r="O105" s="9" t="s">
        <v>4970</v>
      </c>
      <c r="P105" s="9" t="s">
        <v>4971</v>
      </c>
      <c r="Q105" s="9" t="s">
        <v>4972</v>
      </c>
      <c r="R105" s="9" t="s">
        <v>4973</v>
      </c>
      <c r="S105" s="9" t="s">
        <v>4376</v>
      </c>
      <c r="T105" s="22" t="n">
        <f aca="false">'Author Response Entry'!$D$105</f>
        <v>0</v>
      </c>
      <c r="U105" s="23" t="n">
        <f aca="false">'Author Response Entry'!$E$105</f>
        <v>0</v>
      </c>
      <c r="V105" s="23" t="n">
        <f aca="false">'Author Response Entry'!$F$105</f>
        <v>0</v>
      </c>
      <c r="W105" s="23" t="n">
        <f aca="false">'Author Response Entry'!$G$105</f>
        <v>0</v>
      </c>
      <c r="X105" s="24" t="n">
        <f aca="false">'Author Response Entry'!$H$105</f>
        <v>0</v>
      </c>
      <c r="Y105" s="23" t="str">
        <f aca="false">IF(T105="","",IF(T105="CUSTOM RESPONSE",U105,IF(T105="HOLD — NEEDS RESEARCH",IF(U105&lt;&gt;"",U105,"HOLD — NEEDS RESEARCH"),IF(T105="DEFER — NOT YET",IF(U105&lt;&gt;"",U105,"DEFER — NOT YET"),IF(T105="OPTION 1",O105,IF(T105="OPTION 2",P105,IF(T105="OPTION 3",Q105,IF(T105="OPTION 4",U105,""))))))))</f>
        <v/>
      </c>
      <c r="Z105" s="23" t="str">
        <f aca="false">"BLOCKED"</f>
        <v>BLOCKED</v>
      </c>
      <c r="AA105" s="23" t="s">
        <v>380</v>
      </c>
      <c r="AB105" s="23" t="s">
        <v>4974</v>
      </c>
      <c r="AC105" s="23" t="s">
        <v>4943</v>
      </c>
      <c r="AD105" s="23"/>
      <c r="AE105" s="23" t="s">
        <v>4975</v>
      </c>
      <c r="AF105" s="23" t="str">
        <f aca="false">IF(F105&lt;&gt;"READY","NO",IF(Z105="OPEN","YES",IF(Z105="OPEN — CUSTOM TEXT REQUIRED","YES",IF(Z105="RESOLVED — ADD INITIALS/DATE","YES",IF(Z105="HOLD — ADD INITIALS/DATE","YES",IF(Z105="DEFERRED — ADD INITIALS/DATE","YES","NO"))))))</f>
        <v>NO</v>
      </c>
      <c r="AG105" s="23" t="str">
        <f aca="false">IF(AF105&lt;&gt;"YES","",IF(A105=IFERROR(MATCH("YES",$AF$2:$AF$105,0),0),"CURRENT",""))</f>
        <v/>
      </c>
      <c r="AH105" s="25" t="str">
        <f aca="false">IF(COUNTIF($B$2:$B$105,B105)&gt;1,"DUPLICATE","")</f>
        <v/>
      </c>
    </row>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conditionalFormatting sqref="A2:AG105">
    <cfRule type="expression" priority="2" aboveAverage="0" equalAverage="0" bottom="0" percent="0" rank="0" text="" dxfId="24">
      <formula>$AG2="CURRENT"</formula>
    </cfRule>
    <cfRule type="expression" priority="3" aboveAverage="0" equalAverage="0" bottom="0" percent="0" rank="0" text="" dxfId="25">
      <formula>$Z2="RESOLVED"</formula>
    </cfRule>
    <cfRule type="expression" priority="4" aboveAverage="0" equalAverage="0" bottom="0" percent="0" rank="0" text="" dxfId="18">
      <formula>$Z2="HOLD"</formula>
    </cfRule>
    <cfRule type="expression" priority="5" aboveAverage="0" equalAverage="0" bottom="0" percent="0" rank="0" text="" dxfId="26">
      <formula>$Z2="BLOCKED"</formula>
    </cfRule>
    <cfRule type="expression" priority="6" aboveAverage="0" equalAverage="0" bottom="0" percent="0" rank="0" text="" dxfId="27">
      <formula>$Z2="RESOLVED — ADD INITIALS/DATE"</formula>
    </cfRule>
    <cfRule type="expression" priority="7" aboveAverage="0" equalAverage="0" bottom="0" percent="0" rank="0" text="" dxfId="27">
      <formula>$Z2="OPEN — CUSTOM TEXT REQUIRED"</formula>
    </cfRule>
  </conditionalFormatting>
  <dataValidations count="1">
    <dataValidation allowBlank="true" errorStyle="stop" operator="between" showDropDown="false" showErrorMessage="false" showInputMessage="false" sqref="T2:T105" type="list">
      <formula1>"OPTION 1,OPTION 2,OPTION 3,OPTION 4,CUSTOM RESPONSE,HOLD — NEEDS RESEARCH,DEFER — NOT YET"</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3" min="3" style="0" width="26"/>
    <col collapsed="false" customWidth="true" hidden="false" outlineLevel="0" max="4" min="4" style="0" width="16"/>
    <col collapsed="false" customWidth="true" hidden="false" outlineLevel="0" max="5" min="5" style="0" width="24"/>
    <col collapsed="false" customWidth="true" hidden="false" outlineLevel="0" max="6" min="6" style="0" width="16"/>
    <col collapsed="false" customWidth="true" hidden="false" outlineLevel="0" max="7" min="7" style="0" width="10"/>
    <col collapsed="false" customWidth="true" hidden="false" outlineLevel="0" max="8" min="8" style="0" width="12"/>
    <col collapsed="false" customWidth="true" hidden="false" outlineLevel="0" max="9" min="9" style="0" width="14"/>
    <col collapsed="false" customWidth="true" hidden="false" outlineLevel="0" max="10" min="10" style="0" width="36"/>
    <col collapsed="false" customWidth="true" hidden="false" outlineLevel="0" max="11" min="11" style="0" width="60"/>
    <col collapsed="false" customWidth="true" hidden="false" outlineLevel="0" max="26" min="12" style="0" width="8.63"/>
  </cols>
  <sheetData>
    <row r="1" customFormat="false" ht="20.85" hidden="false" customHeight="true" outlineLevel="0" collapsed="false">
      <c r="A1" s="26" t="s">
        <v>4976</v>
      </c>
      <c r="B1" s="26"/>
      <c r="C1" s="26"/>
      <c r="D1" s="26"/>
      <c r="E1" s="26"/>
      <c r="F1" s="26"/>
      <c r="G1" s="26"/>
      <c r="H1" s="26"/>
      <c r="I1" s="26"/>
      <c r="J1" s="26"/>
      <c r="K1" s="26"/>
    </row>
    <row r="2" customFormat="false" ht="15" hidden="false" customHeight="true" outlineLevel="0" collapsed="false">
      <c r="A2" s="2" t="s">
        <v>4977</v>
      </c>
      <c r="B2" s="2"/>
      <c r="C2" s="2"/>
      <c r="D2" s="2"/>
      <c r="E2" s="2"/>
      <c r="F2" s="2"/>
      <c r="G2" s="2"/>
      <c r="H2" s="2"/>
      <c r="I2" s="2"/>
      <c r="J2" s="2"/>
      <c r="K2" s="2"/>
    </row>
    <row r="3" customFormat="false" ht="15" hidden="false" customHeight="false" outlineLevel="0" collapsed="false">
      <c r="A3" s="2"/>
      <c r="B3" s="2"/>
      <c r="C3" s="2"/>
      <c r="D3" s="2"/>
      <c r="E3" s="2"/>
      <c r="F3" s="2"/>
      <c r="G3" s="2"/>
      <c r="H3" s="2"/>
      <c r="I3" s="2"/>
      <c r="J3" s="2"/>
      <c r="K3" s="2"/>
    </row>
    <row r="5" customFormat="false" ht="15" hidden="false" customHeight="false" outlineLevel="0" collapsed="false">
      <c r="A5" s="3" t="s">
        <v>2883</v>
      </c>
      <c r="B5" s="3" t="s">
        <v>4978</v>
      </c>
      <c r="C5" s="3" t="s">
        <v>4979</v>
      </c>
      <c r="D5" s="3" t="s">
        <v>4980</v>
      </c>
      <c r="E5" s="3" t="s">
        <v>4981</v>
      </c>
      <c r="F5" s="3" t="s">
        <v>4982</v>
      </c>
      <c r="G5" s="3" t="s">
        <v>4983</v>
      </c>
      <c r="H5" s="3" t="s">
        <v>4984</v>
      </c>
      <c r="I5" s="3" t="s">
        <v>4985</v>
      </c>
      <c r="J5" s="3" t="s">
        <v>4986</v>
      </c>
      <c r="K5" s="3" t="s">
        <v>4987</v>
      </c>
    </row>
    <row r="6" customFormat="false" ht="82.05" hidden="false" customHeight="false" outlineLevel="0" collapsed="false">
      <c r="A6" s="9" t="s">
        <v>4347</v>
      </c>
      <c r="B6" s="9" t="s">
        <v>4988</v>
      </c>
      <c r="C6" s="9" t="n">
        <f aca="false">COUNTIF('Author Decision Queue'!$C$2:$C$105,A6)</f>
        <v>6</v>
      </c>
      <c r="D6" s="9" t="n">
        <f aca="false">COUNTIFS('Author Decision Queue'!$C$2:$C$105,A6,'Author Decision Queue'!$F$2:$F$105,"READY")</f>
        <v>6</v>
      </c>
      <c r="E6" s="9" t="n">
        <f aca="false">COUNTIFS('Author Decision Queue'!$C$2:$C$105,A6,'Author Decision Queue'!$Z$2:$Z$105,"RESOLVED")</f>
        <v>6</v>
      </c>
      <c r="F6" s="9" t="n">
        <f aca="false">COUNTIFS('Author Decision Queue'!$C$2:$C$105,A6,'Author Decision Queue'!$AF$2:$AF$105,"YES")</f>
        <v>0</v>
      </c>
      <c r="G6" s="9" t="n">
        <f aca="false">COUNTIFS('Author Decision Queue'!$C$2:$C$105,A6,'Author Decision Queue'!$Z$2:$Z$105,"HOLD")</f>
        <v>0</v>
      </c>
      <c r="H6" s="9" t="n">
        <f aca="false">COUNTIFS('Author Decision Queue'!$C$2:$C$105,A6,'Author Decision Queue'!$Z$2:$Z$105,"DEFERRED")</f>
        <v>0</v>
      </c>
      <c r="I6" s="9" t="n">
        <f aca="false">COUNTIFS('Author Decision Queue'!$C$2:$C$105,A6,'Author Decision Queue'!$Z$2:$Z$105,"BLOCKED")</f>
        <v>0</v>
      </c>
      <c r="J6" s="9" t="str">
        <f aca="false">IF(F6&gt;0,"AUTHOR ACTION REQUIRED",IF(G6&gt;0,"HOLD",IF(H6&gt;0,"DEFERRED",IF(D6=0,IF(I6&gt;0,"WAITING ON DEPENDENCY","CHECK"),IF(E6=D6,IF(I6&gt;0,"READY PORTION CLEAR — WAITING DEPENDENCY","AUTHOR CLEAR"),"CHECK")))))</f>
        <v>AUTHOR CLEAR</v>
      </c>
      <c r="K6" s="9" t="s">
        <v>4989</v>
      </c>
    </row>
    <row r="7" customFormat="false" ht="55.2" hidden="false" customHeight="false" outlineLevel="0" collapsed="false">
      <c r="A7" s="9" t="s">
        <v>4440</v>
      </c>
      <c r="B7" s="9" t="s">
        <v>4990</v>
      </c>
      <c r="C7" s="9" t="n">
        <f aca="false">COUNTIF('Author Decision Queue'!$C$2:$C$105,A7)</f>
        <v>2</v>
      </c>
      <c r="D7" s="9" t="n">
        <f aca="false">COUNTIFS('Author Decision Queue'!$C$2:$C$105,A7,'Author Decision Queue'!$F$2:$F$105,"READY")</f>
        <v>2</v>
      </c>
      <c r="E7" s="9" t="n">
        <f aca="false">COUNTIFS('Author Decision Queue'!$C$2:$C$105,A7,'Author Decision Queue'!$Z$2:$Z$105,"RESOLVED")</f>
        <v>2</v>
      </c>
      <c r="F7" s="9" t="n">
        <f aca="false">COUNTIFS('Author Decision Queue'!$C$2:$C$105,A7,'Author Decision Queue'!$AF$2:$AF$105,"YES")</f>
        <v>0</v>
      </c>
      <c r="G7" s="9" t="n">
        <f aca="false">COUNTIFS('Author Decision Queue'!$C$2:$C$105,A7,'Author Decision Queue'!$Z$2:$Z$105,"HOLD")</f>
        <v>0</v>
      </c>
      <c r="H7" s="9" t="n">
        <f aca="false">COUNTIFS('Author Decision Queue'!$C$2:$C$105,A7,'Author Decision Queue'!$Z$2:$Z$105,"DEFERRED")</f>
        <v>0</v>
      </c>
      <c r="I7" s="9" t="n">
        <f aca="false">COUNTIFS('Author Decision Queue'!$C$2:$C$105,A7,'Author Decision Queue'!$Z$2:$Z$105,"BLOCKED")</f>
        <v>0</v>
      </c>
      <c r="J7" s="9" t="str">
        <f aca="false">IF(F7&gt;0,"AUTHOR ACTION REQUIRED",IF(G7&gt;0,"HOLD",IF(H7&gt;0,"DEFERRED",IF(D7=0,IF(I7&gt;0,"WAITING ON DEPENDENCY","CHECK"),IF(E7=D7,IF(I7&gt;0,"READY PORTION CLEAR — WAITING DEPENDENCY","AUTHOR CLEAR"),"CHECK")))))</f>
        <v>AUTHOR CLEAR</v>
      </c>
      <c r="K7" s="9" t="s">
        <v>4991</v>
      </c>
    </row>
    <row r="8" customFormat="false" ht="68.65" hidden="false" customHeight="false" outlineLevel="0" collapsed="false">
      <c r="A8" s="9" t="s">
        <v>4472</v>
      </c>
      <c r="B8" s="9" t="s">
        <v>4992</v>
      </c>
      <c r="C8" s="9" t="n">
        <f aca="false">COUNTIF('Author Decision Queue'!$C$2:$C$105,A8)</f>
        <v>4</v>
      </c>
      <c r="D8" s="9" t="n">
        <f aca="false">COUNTIFS('Author Decision Queue'!$C$2:$C$105,A8,'Author Decision Queue'!$F$2:$F$105,"READY")</f>
        <v>4</v>
      </c>
      <c r="E8" s="9" t="n">
        <f aca="false">COUNTIFS('Author Decision Queue'!$C$2:$C$105,A8,'Author Decision Queue'!$Z$2:$Z$105,"RESOLVED")</f>
        <v>4</v>
      </c>
      <c r="F8" s="9" t="n">
        <f aca="false">COUNTIFS('Author Decision Queue'!$C$2:$C$105,A8,'Author Decision Queue'!$AF$2:$AF$105,"YES")</f>
        <v>0</v>
      </c>
      <c r="G8" s="9" t="n">
        <f aca="false">COUNTIFS('Author Decision Queue'!$C$2:$C$105,A8,'Author Decision Queue'!$Z$2:$Z$105,"HOLD")</f>
        <v>0</v>
      </c>
      <c r="H8" s="9" t="n">
        <f aca="false">COUNTIFS('Author Decision Queue'!$C$2:$C$105,A8,'Author Decision Queue'!$Z$2:$Z$105,"DEFERRED")</f>
        <v>0</v>
      </c>
      <c r="I8" s="9" t="n">
        <f aca="false">COUNTIFS('Author Decision Queue'!$C$2:$C$105,A8,'Author Decision Queue'!$Z$2:$Z$105,"BLOCKED")</f>
        <v>0</v>
      </c>
      <c r="J8" s="9" t="str">
        <f aca="false">IF(F8&gt;0,"AUTHOR ACTION REQUIRED",IF(G8&gt;0,"HOLD",IF(H8&gt;0,"DEFERRED",IF(D8=0,IF(I8&gt;0,"WAITING ON DEPENDENCY","CHECK"),IF(E8=D8,IF(I8&gt;0,"READY PORTION CLEAR — WAITING DEPENDENCY","AUTHOR CLEAR"),"CHECK")))))</f>
        <v>AUTHOR CLEAR</v>
      </c>
      <c r="K8" s="9" t="s">
        <v>4993</v>
      </c>
    </row>
    <row r="9" customFormat="false" ht="68.65" hidden="false" customHeight="false" outlineLevel="0" collapsed="false">
      <c r="A9" s="9" t="s">
        <v>4516</v>
      </c>
      <c r="B9" s="9" t="s">
        <v>4994</v>
      </c>
      <c r="C9" s="9" t="n">
        <f aca="false">COUNTIF('Author Decision Queue'!$C$2:$C$105,A9)</f>
        <v>2</v>
      </c>
      <c r="D9" s="9" t="n">
        <f aca="false">COUNTIFS('Author Decision Queue'!$C$2:$C$105,A9,'Author Decision Queue'!$F$2:$F$105,"READY")</f>
        <v>2</v>
      </c>
      <c r="E9" s="9" t="n">
        <f aca="false">COUNTIFS('Author Decision Queue'!$C$2:$C$105,A9,'Author Decision Queue'!$Z$2:$Z$105,"RESOLVED")</f>
        <v>1</v>
      </c>
      <c r="F9" s="9" t="n">
        <f aca="false">COUNTIFS('Author Decision Queue'!$C$2:$C$105,A9,'Author Decision Queue'!$AF$2:$AF$105,"YES")</f>
        <v>0</v>
      </c>
      <c r="G9" s="9" t="n">
        <f aca="false">COUNTIFS('Author Decision Queue'!$C$2:$C$105,A9,'Author Decision Queue'!$Z$2:$Z$105,"HOLD")</f>
        <v>1</v>
      </c>
      <c r="H9" s="9" t="n">
        <f aca="false">COUNTIFS('Author Decision Queue'!$C$2:$C$105,A9,'Author Decision Queue'!$Z$2:$Z$105,"DEFERRED")</f>
        <v>0</v>
      </c>
      <c r="I9" s="9" t="n">
        <f aca="false">COUNTIFS('Author Decision Queue'!$C$2:$C$105,A9,'Author Decision Queue'!$Z$2:$Z$105,"BLOCKED")</f>
        <v>0</v>
      </c>
      <c r="J9" s="9" t="str">
        <f aca="false">IF(F9&gt;0,"AUTHOR ACTION REQUIRED",IF(G9&gt;0,"HOLD",IF(H9&gt;0,"DEFERRED",IF(D9=0,IF(I9&gt;0,"WAITING ON DEPENDENCY","CHECK"),IF(E9=D9,IF(I9&gt;0,"READY PORTION CLEAR — WAITING DEPENDENCY","AUTHOR CLEAR"),"CHECK")))))</f>
        <v>HOLD</v>
      </c>
      <c r="K9" s="9" t="s">
        <v>4995</v>
      </c>
    </row>
    <row r="10" customFormat="false" ht="82.05" hidden="false" customHeight="false" outlineLevel="0" collapsed="false">
      <c r="A10" s="9" t="s">
        <v>4548</v>
      </c>
      <c r="B10" s="9" t="s">
        <v>4996</v>
      </c>
      <c r="C10" s="9" t="n">
        <f aca="false">COUNTIF('Author Decision Queue'!$C$2:$C$105,A10)</f>
        <v>4</v>
      </c>
      <c r="D10" s="9" t="n">
        <f aca="false">COUNTIFS('Author Decision Queue'!$C$2:$C$105,A10,'Author Decision Queue'!$F$2:$F$105,"READY")</f>
        <v>4</v>
      </c>
      <c r="E10" s="9" t="n">
        <f aca="false">COUNTIFS('Author Decision Queue'!$C$2:$C$105,A10,'Author Decision Queue'!$Z$2:$Z$105,"RESOLVED")</f>
        <v>4</v>
      </c>
      <c r="F10" s="9" t="n">
        <f aca="false">COUNTIFS('Author Decision Queue'!$C$2:$C$105,A10,'Author Decision Queue'!$AF$2:$AF$105,"YES")</f>
        <v>0</v>
      </c>
      <c r="G10" s="9" t="n">
        <f aca="false">COUNTIFS('Author Decision Queue'!$C$2:$C$105,A10,'Author Decision Queue'!$Z$2:$Z$105,"HOLD")</f>
        <v>0</v>
      </c>
      <c r="H10" s="9" t="n">
        <f aca="false">COUNTIFS('Author Decision Queue'!$C$2:$C$105,A10,'Author Decision Queue'!$Z$2:$Z$105,"DEFERRED")</f>
        <v>0</v>
      </c>
      <c r="I10" s="9" t="n">
        <f aca="false">COUNTIFS('Author Decision Queue'!$C$2:$C$105,A10,'Author Decision Queue'!$Z$2:$Z$105,"BLOCKED")</f>
        <v>0</v>
      </c>
      <c r="J10" s="9" t="str">
        <f aca="false">IF(F10&gt;0,"AUTHOR ACTION REQUIRED",IF(G10&gt;0,"HOLD",IF(H10&gt;0,"DEFERRED",IF(D10=0,IF(I10&gt;0,"WAITING ON DEPENDENCY","CHECK"),IF(E10=D10,IF(I10&gt;0,"READY PORTION CLEAR — WAITING DEPENDENCY","AUTHOR CLEAR"),"CHECK")))))</f>
        <v>AUTHOR CLEAR</v>
      </c>
      <c r="K10" s="9" t="s">
        <v>4997</v>
      </c>
    </row>
    <row r="11" customFormat="false" ht="41.75" hidden="false" customHeight="false" outlineLevel="0" collapsed="false">
      <c r="A11" s="9" t="s">
        <v>4578</v>
      </c>
      <c r="B11" s="9" t="s">
        <v>4998</v>
      </c>
      <c r="C11" s="9" t="n">
        <f aca="false">COUNTIF('Author Decision Queue'!$C$2:$C$105,A11)</f>
        <v>83</v>
      </c>
      <c r="D11" s="9" t="n">
        <f aca="false">COUNTIFS('Author Decision Queue'!$C$2:$C$105,A11,'Author Decision Queue'!$F$2:$F$105,"READY")</f>
        <v>83</v>
      </c>
      <c r="E11" s="9" t="n">
        <f aca="false">COUNTIFS('Author Decision Queue'!$C$2:$C$105,A11,'Author Decision Queue'!$Z$2:$Z$105,"RESOLVED")</f>
        <v>83</v>
      </c>
      <c r="F11" s="9" t="n">
        <f aca="false">COUNTIFS('Author Decision Queue'!$C$2:$C$105,A11,'Author Decision Queue'!$AF$2:$AF$105,"YES")</f>
        <v>0</v>
      </c>
      <c r="G11" s="9" t="n">
        <f aca="false">COUNTIFS('Author Decision Queue'!$C$2:$C$105,A11,'Author Decision Queue'!$Z$2:$Z$105,"HOLD")</f>
        <v>0</v>
      </c>
      <c r="H11" s="9" t="n">
        <f aca="false">COUNTIFS('Author Decision Queue'!$C$2:$C$105,A11,'Author Decision Queue'!$Z$2:$Z$105,"DEFERRED")</f>
        <v>0</v>
      </c>
      <c r="I11" s="9" t="n">
        <f aca="false">COUNTIFS('Author Decision Queue'!$C$2:$C$105,A11,'Author Decision Queue'!$Z$2:$Z$105,"BLOCKED")</f>
        <v>0</v>
      </c>
      <c r="J11" s="9" t="str">
        <f aca="false">IF(F11&gt;0,"AUTHOR ACTION REQUIRED",IF(G11&gt;0,"HOLD",IF(H11&gt;0,"DEFERRED",IF(D11=0,IF(I11&gt;0,"WAITING ON DEPENDENCY","CHECK"),IF(E11=D11,IF(I11&gt;0,"READY PORTION CLEAR — WAITING DEPENDENCY","AUTHOR CLEAR"),"CHECK")))))</f>
        <v>AUTHOR CLEAR</v>
      </c>
      <c r="K11" s="9" t="s">
        <v>4999</v>
      </c>
    </row>
    <row r="12" customFormat="false" ht="55.2" hidden="false" customHeight="false" outlineLevel="0" collapsed="false">
      <c r="A12" s="9" t="s">
        <v>4929</v>
      </c>
      <c r="B12" s="9" t="s">
        <v>5000</v>
      </c>
      <c r="C12" s="9" t="n">
        <f aca="false">COUNTIF('Author Decision Queue'!$C$2:$C$105,A12)</f>
        <v>1</v>
      </c>
      <c r="D12" s="9" t="n">
        <f aca="false">COUNTIFS('Author Decision Queue'!$C$2:$C$105,A12,'Author Decision Queue'!$F$2:$F$105,"READY")</f>
        <v>0</v>
      </c>
      <c r="E12" s="9" t="n">
        <f aca="false">COUNTIFS('Author Decision Queue'!$C$2:$C$105,A12,'Author Decision Queue'!$Z$2:$Z$105,"RESOLVED")</f>
        <v>0</v>
      </c>
      <c r="F12" s="9" t="n">
        <f aca="false">COUNTIFS('Author Decision Queue'!$C$2:$C$105,A12,'Author Decision Queue'!$AF$2:$AF$105,"YES")</f>
        <v>0</v>
      </c>
      <c r="G12" s="9" t="n">
        <f aca="false">COUNTIFS('Author Decision Queue'!$C$2:$C$105,A12,'Author Decision Queue'!$Z$2:$Z$105,"HOLD")</f>
        <v>0</v>
      </c>
      <c r="H12" s="9" t="n">
        <f aca="false">COUNTIFS('Author Decision Queue'!$C$2:$C$105,A12,'Author Decision Queue'!$Z$2:$Z$105,"DEFERRED")</f>
        <v>0</v>
      </c>
      <c r="I12" s="9" t="n">
        <f aca="false">COUNTIFS('Author Decision Queue'!$C$2:$C$105,A12,'Author Decision Queue'!$Z$2:$Z$105,"BLOCKED")</f>
        <v>1</v>
      </c>
      <c r="J12" s="9" t="str">
        <f aca="false">IF(F12&gt;0,"AUTHOR ACTION REQUIRED",IF(G12&gt;0,"HOLD",IF(H12&gt;0,"DEFERRED",IF(D12=0,IF(I12&gt;0,"WAITING ON DEPENDENCY","CHECK"),IF(E12=D12,IF(I12&gt;0,"READY PORTION CLEAR — WAITING DEPENDENCY","AUTHOR CLEAR"),"CHECK")))))</f>
        <v>WAITING ON DEPENDENCY</v>
      </c>
      <c r="K12" s="9" t="s">
        <v>5001</v>
      </c>
    </row>
    <row r="13" customFormat="false" ht="68.65" hidden="false" customHeight="false" outlineLevel="0" collapsed="false">
      <c r="A13" s="9" t="s">
        <v>4946</v>
      </c>
      <c r="B13" s="9" t="s">
        <v>5002</v>
      </c>
      <c r="C13" s="9" t="n">
        <f aca="false">COUNTIF('Author Decision Queue'!$C$2:$C$105,A13)</f>
        <v>1</v>
      </c>
      <c r="D13" s="9" t="n">
        <f aca="false">COUNTIFS('Author Decision Queue'!$C$2:$C$105,A13,'Author Decision Queue'!$F$2:$F$105,"READY")</f>
        <v>0</v>
      </c>
      <c r="E13" s="9" t="n">
        <f aca="false">COUNTIFS('Author Decision Queue'!$C$2:$C$105,A13,'Author Decision Queue'!$Z$2:$Z$105,"RESOLVED")</f>
        <v>0</v>
      </c>
      <c r="F13" s="9" t="n">
        <f aca="false">COUNTIFS('Author Decision Queue'!$C$2:$C$105,A13,'Author Decision Queue'!$AF$2:$AF$105,"YES")</f>
        <v>0</v>
      </c>
      <c r="G13" s="9" t="n">
        <f aca="false">COUNTIFS('Author Decision Queue'!$C$2:$C$105,A13,'Author Decision Queue'!$Z$2:$Z$105,"HOLD")</f>
        <v>0</v>
      </c>
      <c r="H13" s="9" t="n">
        <f aca="false">COUNTIFS('Author Decision Queue'!$C$2:$C$105,A13,'Author Decision Queue'!$Z$2:$Z$105,"DEFERRED")</f>
        <v>0</v>
      </c>
      <c r="I13" s="9" t="n">
        <f aca="false">COUNTIFS('Author Decision Queue'!$C$2:$C$105,A13,'Author Decision Queue'!$Z$2:$Z$105,"BLOCKED")</f>
        <v>1</v>
      </c>
      <c r="J13" s="9" t="str">
        <f aca="false">IF(F13&gt;0,"AUTHOR ACTION REQUIRED",IF(G13&gt;0,"HOLD",IF(H13&gt;0,"DEFERRED",IF(D13=0,IF(I13&gt;0,"WAITING ON DEPENDENCY","CHECK"),IF(E13=D13,IF(I13&gt;0,"READY PORTION CLEAR — WAITING DEPENDENCY","AUTHOR CLEAR"),"CHECK")))))</f>
        <v>WAITING ON DEPENDENCY</v>
      </c>
      <c r="K13" s="9" t="s">
        <v>5003</v>
      </c>
    </row>
    <row r="14" customFormat="false" ht="28.35" hidden="false" customHeight="false" outlineLevel="0" collapsed="false">
      <c r="A14" s="9" t="s">
        <v>4960</v>
      </c>
      <c r="B14" s="9" t="s">
        <v>5004</v>
      </c>
      <c r="C14" s="9" t="n">
        <f aca="false">COUNTIF('Author Decision Queue'!$C$2:$C$105,A14)</f>
        <v>1</v>
      </c>
      <c r="D14" s="9" t="n">
        <f aca="false">COUNTIFS('Author Decision Queue'!$C$2:$C$105,A14,'Author Decision Queue'!$F$2:$F$105,"READY")</f>
        <v>0</v>
      </c>
      <c r="E14" s="9" t="n">
        <f aca="false">COUNTIFS('Author Decision Queue'!$C$2:$C$105,A14,'Author Decision Queue'!$Z$2:$Z$105,"RESOLVED")</f>
        <v>0</v>
      </c>
      <c r="F14" s="9" t="n">
        <f aca="false">COUNTIFS('Author Decision Queue'!$C$2:$C$105,A14,'Author Decision Queue'!$AF$2:$AF$105,"YES")</f>
        <v>0</v>
      </c>
      <c r="G14" s="9" t="n">
        <f aca="false">COUNTIFS('Author Decision Queue'!$C$2:$C$105,A14,'Author Decision Queue'!$Z$2:$Z$105,"HOLD")</f>
        <v>0</v>
      </c>
      <c r="H14" s="9" t="n">
        <f aca="false">COUNTIFS('Author Decision Queue'!$C$2:$C$105,A14,'Author Decision Queue'!$Z$2:$Z$105,"DEFERRED")</f>
        <v>0</v>
      </c>
      <c r="I14" s="9" t="n">
        <f aca="false">COUNTIFS('Author Decision Queue'!$C$2:$C$105,A14,'Author Decision Queue'!$Z$2:$Z$105,"BLOCKED")</f>
        <v>1</v>
      </c>
      <c r="J14" s="9" t="str">
        <f aca="false">IF(F14&gt;0,"AUTHOR ACTION REQUIRED",IF(G14&gt;0,"HOLD",IF(H14&gt;0,"DEFERRED",IF(D14=0,IF(I14&gt;0,"WAITING ON DEPENDENCY","CHECK"),IF(E14=D14,IF(I14&gt;0,"READY PORTION CLEAR — WAITING DEPENDENCY","AUTHOR CLEAR"),"CHECK")))))</f>
        <v>WAITING ON DEPENDENCY</v>
      </c>
      <c r="K14" s="9" t="s">
        <v>5005</v>
      </c>
    </row>
    <row r="17" customFormat="false" ht="15" hidden="false" customHeight="false" outlineLevel="0" collapsed="false">
      <c r="A17" s="3" t="s">
        <v>5006</v>
      </c>
      <c r="B17" s="3" t="s">
        <v>3</v>
      </c>
      <c r="C17" s="3" t="s">
        <v>5006</v>
      </c>
      <c r="D17" s="3" t="s">
        <v>3</v>
      </c>
      <c r="E17" s="3" t="s">
        <v>5006</v>
      </c>
      <c r="F17" s="3" t="s">
        <v>3</v>
      </c>
    </row>
    <row r="18" customFormat="false" ht="15" hidden="false" customHeight="false" outlineLevel="0" collapsed="false">
      <c r="A18" s="4" t="s">
        <v>5007</v>
      </c>
      <c r="B18" s="4" t="n">
        <v>104</v>
      </c>
      <c r="C18" s="4" t="s">
        <v>329</v>
      </c>
      <c r="D18" s="4" t="n">
        <v>101</v>
      </c>
      <c r="E18" s="4" t="s">
        <v>330</v>
      </c>
      <c r="F18" s="4" t="n">
        <v>3</v>
      </c>
    </row>
    <row r="19" customFormat="false" ht="15" hidden="false" customHeight="false" outlineLevel="0" collapsed="false">
      <c r="A19" s="4" t="s">
        <v>4981</v>
      </c>
      <c r="B19" s="4" t="n">
        <f aca="false">COUNTIF('Author Decision Queue'!$Z$2:$Z$105,"RESOLVED")</f>
        <v>100</v>
      </c>
      <c r="C19" s="4" t="s">
        <v>5008</v>
      </c>
      <c r="D19" s="4" t="n">
        <f aca="false">COUNTIF('Author Decision Queue'!$AF$2:$AF$105,"YES")</f>
        <v>0</v>
      </c>
      <c r="E19" s="4" t="s">
        <v>4983</v>
      </c>
      <c r="F19" s="4" t="n">
        <f aca="false">COUNTIF('Author Decision Queue'!$Z$2:$Z$105,"HOLD")</f>
        <v>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K1"/>
    <mergeCell ref="A2:K3"/>
  </mergeCells>
  <conditionalFormatting sqref="J6:J14">
    <cfRule type="expression" priority="2" aboveAverage="0" equalAverage="0" bottom="0" percent="0" rank="0" text="" dxfId="13">
      <formula>J6="AUTHOR CLEAR"</formula>
    </cfRule>
    <cfRule type="expression" priority="3" aboveAverage="0" equalAverage="0" bottom="0" percent="0" rank="0" text="" dxfId="15">
      <formula>J6="AUTHOR ACTION REQUIRED"</formula>
    </cfRule>
    <cfRule type="expression" priority="4" aboveAverage="0" equalAverage="0" bottom="0" percent="0" rank="0" text="" dxfId="16">
      <formula>J6="HOLD"</formula>
    </cfRule>
    <cfRule type="expression" priority="5" aboveAverage="0" equalAverage="0" bottom="0" percent="0" rank="0" text="" dxfId="22">
      <formula>ISNUMBER(SEARCH("WAITING",J6))</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2" min="1" style="0" width="24"/>
    <col collapsed="false" customWidth="true" hidden="false" outlineLevel="0" max="3" min="3" style="0" width="18"/>
    <col collapsed="false" customWidth="true" hidden="false" outlineLevel="0" max="4" min="4" style="0" width="20"/>
    <col collapsed="false" customWidth="true" hidden="false" outlineLevel="0" max="5" min="5" style="0" width="34"/>
    <col collapsed="false" customWidth="true" hidden="false" outlineLevel="0" max="8" min="6" style="0" width="18"/>
    <col collapsed="false" customWidth="true" hidden="false" outlineLevel="0" max="26" min="9" style="0" width="8.63"/>
  </cols>
  <sheetData>
    <row r="1" customFormat="false" ht="30" hidden="false" customHeight="true" outlineLevel="0" collapsed="false">
      <c r="A1" s="26" t="s">
        <v>5009</v>
      </c>
      <c r="B1" s="26"/>
      <c r="C1" s="26"/>
      <c r="D1" s="26"/>
      <c r="E1" s="26"/>
      <c r="F1" s="26"/>
      <c r="G1" s="26"/>
      <c r="H1" s="26"/>
    </row>
    <row r="2" customFormat="false" ht="30" hidden="false" customHeight="true" outlineLevel="0" collapsed="false">
      <c r="A2" s="2" t="s">
        <v>5010</v>
      </c>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false" outlineLevel="0" collapsed="false">
      <c r="A4" s="2"/>
      <c r="B4" s="2"/>
      <c r="C4" s="2"/>
      <c r="D4" s="2"/>
      <c r="E4" s="2"/>
      <c r="F4" s="2"/>
      <c r="G4" s="2"/>
      <c r="H4" s="2"/>
    </row>
    <row r="5" customFormat="false" ht="15" hidden="false" customHeight="false" outlineLevel="0" collapsed="false">
      <c r="A5" s="4"/>
      <c r="B5" s="4"/>
      <c r="C5" s="4"/>
      <c r="D5" s="4"/>
      <c r="E5" s="4"/>
      <c r="F5" s="4"/>
      <c r="G5" s="4"/>
      <c r="H5" s="4"/>
    </row>
    <row r="6" customFormat="false" ht="15" hidden="false" customHeight="false" outlineLevel="0" collapsed="false">
      <c r="A6" s="27" t="s">
        <v>5011</v>
      </c>
      <c r="B6" s="27"/>
      <c r="C6" s="27"/>
      <c r="D6" s="27"/>
      <c r="E6" s="27"/>
      <c r="F6" s="27"/>
      <c r="G6" s="27"/>
      <c r="H6" s="27"/>
    </row>
    <row r="7" customFormat="false" ht="15" hidden="false" customHeight="false" outlineLevel="0" collapsed="false">
      <c r="A7" s="4" t="s">
        <v>5012</v>
      </c>
      <c r="B7" s="4" t="str">
        <f aca="false">IFERROR(MATCH("CURRENT",'Author Decision Queue'!$AG$2:$AG$105,0)+1,"")</f>
        <v/>
      </c>
      <c r="C7" s="4"/>
      <c r="D7" s="4" t="s">
        <v>5013</v>
      </c>
      <c r="E7" s="4" t="str">
        <f aca="false">IF(B7="","","Author Response Entry!A"&amp;B7&amp;":K"&amp;B7)</f>
        <v/>
      </c>
      <c r="F7" s="4"/>
      <c r="G7" s="4"/>
      <c r="H7" s="4"/>
    </row>
    <row r="8" customFormat="false" ht="15" hidden="false" customHeight="false" outlineLevel="0" collapsed="false">
      <c r="A8" s="4" t="s">
        <v>5014</v>
      </c>
      <c r="B8" s="4" t="str">
        <f aca="false" t="array" ref="B8:B8">IF(B7="","",INDEX('Author Decision Queue'!$A:$A,B7))</f>
        <v/>
      </c>
      <c r="C8" s="4"/>
      <c r="D8" s="4" t="s">
        <v>2883</v>
      </c>
      <c r="E8" s="4" t="str">
        <f aca="false" t="array" ref="E8:E8">IF($B$7="","",INDEX('Author Decision Queue'!$C:$C,$B$7))</f>
        <v/>
      </c>
      <c r="F8" s="4"/>
      <c r="G8" s="4"/>
      <c r="H8" s="4"/>
    </row>
    <row r="9" customFormat="false" ht="41.75" hidden="false" customHeight="false" outlineLevel="0" collapsed="false">
      <c r="A9" s="4" t="s">
        <v>5015</v>
      </c>
      <c r="B9" s="4" t="str">
        <f aca="false" t="array" ref="B9:B9">IF(B7="","ALL CURRENTLY ACTIONABLE DECISIONS COMPLETE",INDEX('Author Decision Queue'!$B:$B,B7))</f>
        <v>ALL CURRENTLY ACTIONABLE DECISIONS COMPLETE</v>
      </c>
      <c r="C9" s="4"/>
      <c r="D9" s="4" t="s">
        <v>4318</v>
      </c>
      <c r="E9" s="4" t="str">
        <f aca="false" t="array" ref="E9:E9">IF($B$7="","",INDEX('Author Decision Queue'!$D:$D,$B$7))</f>
        <v/>
      </c>
      <c r="F9" s="4"/>
      <c r="G9" s="4"/>
      <c r="H9" s="4"/>
    </row>
    <row r="10" customFormat="false" ht="15" hidden="false" customHeight="false" outlineLevel="0" collapsed="false">
      <c r="A10" s="4" t="s">
        <v>5016</v>
      </c>
      <c r="B10" s="4" t="str">
        <f aca="false">COUNTIF('Author Decision Queue'!$Z$2:$Z$105,"RESOLVED")&amp;" / "&amp;COUNTIF('Author Decision Queue'!$F$2:$F$105,"READY")</f>
        <v>100 / 101</v>
      </c>
      <c r="C10" s="4"/>
      <c r="D10" s="4" t="s">
        <v>3508</v>
      </c>
      <c r="E10" s="4" t="str">
        <f aca="false" t="array" ref="E10:E10">IF($B$7="","",INDEX('Author Decision Queue'!$E:$E,$B$7))</f>
        <v/>
      </c>
      <c r="F10" s="4"/>
      <c r="G10" s="4"/>
      <c r="H10" s="4"/>
    </row>
    <row r="11" customFormat="false" ht="15" hidden="false" customHeight="false" outlineLevel="0" collapsed="false">
      <c r="A11" s="4" t="s">
        <v>4982</v>
      </c>
      <c r="B11" s="4" t="n">
        <f aca="false">COUNTIF('Author Decision Queue'!$AF$2:$AF$105,"YES")</f>
        <v>0</v>
      </c>
      <c r="C11" s="4"/>
      <c r="D11" s="4" t="s">
        <v>2487</v>
      </c>
      <c r="E11" s="4" t="str">
        <f aca="false" t="array" ref="E11:E11">IF($B$7="","",INDEX('Author Decision Queue'!$G:$G,$B$7))</f>
        <v/>
      </c>
      <c r="F11" s="4"/>
      <c r="G11" s="4"/>
      <c r="H11" s="4"/>
    </row>
    <row r="12" customFormat="false" ht="15" hidden="false" customHeight="false" outlineLevel="0" collapsed="false">
      <c r="A12" s="4" t="s">
        <v>4983</v>
      </c>
      <c r="B12" s="4" t="n">
        <f aca="false">COUNTIF('Author Decision Queue'!$Z$2:$Z$105,"HOLD")</f>
        <v>1</v>
      </c>
      <c r="C12" s="4"/>
      <c r="D12" s="4" t="s">
        <v>5017</v>
      </c>
      <c r="E12" s="4" t="str">
        <f aca="false" t="array" ref="E12:E12">IF($B$7="","",INDEX('Author Decision Queue'!$H:$H,$B$7))</f>
        <v/>
      </c>
      <c r="F12" s="4"/>
      <c r="G12" s="4"/>
      <c r="H12" s="4"/>
    </row>
    <row r="13" customFormat="false" ht="15" hidden="false" customHeight="false" outlineLevel="0" collapsed="false">
      <c r="A13" s="4"/>
      <c r="B13" s="4"/>
      <c r="C13" s="4"/>
      <c r="D13" s="4"/>
      <c r="E13" s="4"/>
      <c r="F13" s="4"/>
      <c r="G13" s="4"/>
      <c r="H13" s="4"/>
    </row>
    <row r="14" customFormat="false" ht="28.35" hidden="false" customHeight="false" outlineLevel="0" collapsed="false">
      <c r="A14" s="27" t="s">
        <v>5018</v>
      </c>
      <c r="B14" s="27"/>
      <c r="C14" s="27"/>
      <c r="D14" s="27"/>
      <c r="E14" s="27"/>
      <c r="F14" s="27"/>
      <c r="G14" s="27"/>
      <c r="H14" s="27"/>
    </row>
    <row r="15" customFormat="false" ht="30" hidden="false" customHeight="true" outlineLevel="0" collapsed="false">
      <c r="A15" s="28" t="s">
        <v>5019</v>
      </c>
      <c r="B15" s="29" t="str">
        <f aca="false" t="array" ref="B15:B15">IF($B$7="","",INDEX('Author Decision Queue'!$J:$J,$B$7))</f>
        <v/>
      </c>
      <c r="C15" s="29"/>
      <c r="D15" s="29"/>
      <c r="E15" s="29"/>
      <c r="F15" s="29"/>
      <c r="G15" s="29"/>
      <c r="H15" s="29"/>
    </row>
    <row r="16" customFormat="false" ht="15" hidden="false" customHeight="false" outlineLevel="0" collapsed="false">
      <c r="A16" s="4"/>
      <c r="B16" s="29"/>
      <c r="C16" s="29"/>
      <c r="D16" s="29"/>
      <c r="E16" s="29"/>
      <c r="F16" s="29"/>
      <c r="G16" s="29"/>
      <c r="H16" s="29"/>
    </row>
    <row r="17" customFormat="false" ht="30" hidden="false" customHeight="true" outlineLevel="0" collapsed="false">
      <c r="A17" s="28" t="s">
        <v>5020</v>
      </c>
      <c r="B17" s="29" t="str">
        <f aca="false" t="array" ref="B17:B17">IF($B$7="","",INDEX('Author Decision Queue'!$K:$K,$B$7))</f>
        <v/>
      </c>
      <c r="C17" s="29"/>
      <c r="D17" s="29"/>
      <c r="E17" s="29"/>
      <c r="F17" s="29"/>
      <c r="G17" s="29"/>
      <c r="H17" s="29"/>
    </row>
    <row r="18" customFormat="false" ht="15" hidden="false" customHeight="false" outlineLevel="0" collapsed="false">
      <c r="A18" s="4"/>
      <c r="B18" s="29"/>
      <c r="C18" s="29"/>
      <c r="D18" s="29"/>
      <c r="E18" s="29"/>
      <c r="F18" s="29"/>
      <c r="G18" s="29"/>
      <c r="H18" s="29"/>
    </row>
    <row r="19" customFormat="false" ht="15" hidden="false" customHeight="false" outlineLevel="0" collapsed="false">
      <c r="A19" s="4"/>
      <c r="B19" s="29"/>
      <c r="C19" s="29"/>
      <c r="D19" s="29"/>
      <c r="E19" s="29"/>
      <c r="F19" s="29"/>
      <c r="G19" s="29"/>
      <c r="H19" s="29"/>
    </row>
    <row r="20" customFormat="false" ht="30" hidden="false" customHeight="true" outlineLevel="0" collapsed="false">
      <c r="A20" s="28" t="s">
        <v>5021</v>
      </c>
      <c r="B20" s="29" t="str">
        <f aca="false" t="array" ref="B20:B20">IF($B$7="","",INDEX('Author Decision Queue'!$L:$L,$B$7))</f>
        <v/>
      </c>
      <c r="C20" s="29"/>
      <c r="D20" s="29"/>
      <c r="E20" s="29"/>
      <c r="F20" s="29"/>
      <c r="G20" s="29"/>
      <c r="H20" s="29"/>
    </row>
    <row r="21" customFormat="false" ht="15.75" hidden="false" customHeight="true" outlineLevel="0" collapsed="false">
      <c r="A21" s="4"/>
      <c r="B21" s="29"/>
      <c r="C21" s="29"/>
      <c r="D21" s="29"/>
      <c r="E21" s="29"/>
      <c r="F21" s="29"/>
      <c r="G21" s="29"/>
      <c r="H21" s="29"/>
    </row>
    <row r="22" customFormat="false" ht="15.75" hidden="false" customHeight="true" outlineLevel="0" collapsed="false">
      <c r="A22" s="4"/>
      <c r="B22" s="29"/>
      <c r="C22" s="29"/>
      <c r="D22" s="29"/>
      <c r="E22" s="29"/>
      <c r="F22" s="29"/>
      <c r="G22" s="29"/>
      <c r="H22" s="29"/>
    </row>
    <row r="23" customFormat="false" ht="15.75" hidden="false" customHeight="true" outlineLevel="0" collapsed="false">
      <c r="A23" s="4"/>
      <c r="B23" s="29"/>
      <c r="C23" s="29"/>
      <c r="D23" s="29"/>
      <c r="E23" s="29"/>
      <c r="F23" s="29"/>
      <c r="G23" s="29"/>
      <c r="H23" s="29"/>
    </row>
    <row r="24" customFormat="false" ht="30" hidden="false" customHeight="true" outlineLevel="0" collapsed="false">
      <c r="A24" s="28" t="s">
        <v>5022</v>
      </c>
      <c r="B24" s="29" t="str">
        <f aca="false" t="array" ref="B24:B24">IF($B$7="","",INDEX('Author Decision Queue'!$M:$M,$B$7))</f>
        <v/>
      </c>
      <c r="C24" s="29"/>
      <c r="D24" s="29"/>
      <c r="E24" s="29"/>
      <c r="F24" s="29"/>
      <c r="G24" s="29"/>
      <c r="H24" s="29"/>
    </row>
    <row r="25" customFormat="false" ht="15.75" hidden="false" customHeight="true" outlineLevel="0" collapsed="false">
      <c r="A25" s="4"/>
      <c r="B25" s="29"/>
      <c r="C25" s="29"/>
      <c r="D25" s="29"/>
      <c r="E25" s="29"/>
      <c r="F25" s="29"/>
      <c r="G25" s="29"/>
      <c r="H25" s="29"/>
    </row>
    <row r="26" customFormat="false" ht="15.75" hidden="false" customHeight="true" outlineLevel="0" collapsed="false">
      <c r="A26" s="4"/>
      <c r="B26" s="29"/>
      <c r="C26" s="29"/>
      <c r="D26" s="29"/>
      <c r="E26" s="29"/>
      <c r="F26" s="29"/>
      <c r="G26" s="29"/>
      <c r="H26" s="29"/>
    </row>
    <row r="27" customFormat="false" ht="30" hidden="false" customHeight="true" outlineLevel="0" collapsed="false">
      <c r="A27" s="28" t="s">
        <v>5023</v>
      </c>
      <c r="B27" s="29" t="str">
        <f aca="false" t="array" ref="B27:B27">IF($B$7="","",INDEX('Author Decision Queue'!$N:$N,$B$7))</f>
        <v/>
      </c>
      <c r="C27" s="29"/>
      <c r="D27" s="29"/>
      <c r="E27" s="29"/>
      <c r="F27" s="29"/>
      <c r="G27" s="29"/>
      <c r="H27" s="29"/>
    </row>
    <row r="28" customFormat="false" ht="15.75" hidden="false" customHeight="true" outlineLevel="0" collapsed="false">
      <c r="A28" s="4"/>
      <c r="B28" s="29"/>
      <c r="C28" s="29"/>
      <c r="D28" s="29"/>
      <c r="E28" s="29"/>
      <c r="F28" s="29"/>
      <c r="G28" s="29"/>
      <c r="H28" s="29"/>
    </row>
    <row r="29" customFormat="false" ht="15.75" hidden="false" customHeight="true" outlineLevel="0" collapsed="false">
      <c r="A29" s="4"/>
      <c r="B29" s="29"/>
      <c r="C29" s="29"/>
      <c r="D29" s="29"/>
      <c r="E29" s="29"/>
      <c r="F29" s="29"/>
      <c r="G29" s="29"/>
      <c r="H29" s="29"/>
    </row>
    <row r="30" customFormat="false" ht="15.75" hidden="false" customHeight="true" outlineLevel="0" collapsed="false">
      <c r="A30" s="4"/>
      <c r="B30" s="4"/>
      <c r="C30" s="4"/>
      <c r="D30" s="4"/>
      <c r="E30" s="4"/>
      <c r="F30" s="4"/>
      <c r="G30" s="4"/>
      <c r="H30" s="4"/>
    </row>
    <row r="31" customFormat="false" ht="15.75" hidden="false" customHeight="true" outlineLevel="0" collapsed="false">
      <c r="A31" s="27" t="s">
        <v>5024</v>
      </c>
      <c r="B31" s="27"/>
      <c r="C31" s="27"/>
      <c r="D31" s="27"/>
      <c r="E31" s="27"/>
      <c r="F31" s="27"/>
      <c r="G31" s="27"/>
      <c r="H31" s="27"/>
    </row>
    <row r="32" customFormat="false" ht="15.75" hidden="false" customHeight="true" outlineLevel="0" collapsed="false">
      <c r="A32" s="28" t="s">
        <v>5025</v>
      </c>
      <c r="B32" s="29" t="str">
        <f aca="false" t="array" ref="B32:B32">IF($B$7="","",INDEX('Author Decision Queue'!$O:$O,$B$7))</f>
        <v/>
      </c>
      <c r="C32" s="29"/>
      <c r="D32" s="29"/>
      <c r="E32" s="29"/>
      <c r="F32" s="29"/>
      <c r="G32" s="29"/>
      <c r="H32" s="29"/>
    </row>
    <row r="33" customFormat="false" ht="15.75" hidden="false" customHeight="true" outlineLevel="0" collapsed="false">
      <c r="A33" s="28" t="s">
        <v>4505</v>
      </c>
      <c r="B33" s="29" t="str">
        <f aca="false" t="array" ref="B33:B33">IF($B$7="","",INDEX('Author Decision Queue'!$P:$P,$B$7))</f>
        <v/>
      </c>
      <c r="C33" s="29"/>
      <c r="D33" s="29"/>
      <c r="E33" s="29"/>
      <c r="F33" s="29"/>
      <c r="G33" s="29"/>
      <c r="H33" s="29"/>
    </row>
    <row r="34" customFormat="false" ht="15.75" hidden="false" customHeight="true" outlineLevel="0" collapsed="false">
      <c r="A34" s="28" t="s">
        <v>4468</v>
      </c>
      <c r="B34" s="29" t="str">
        <f aca="false" t="array" ref="B34:B34">IF($B$7="","",INDEX('Author Decision Queue'!$Q:$Q,$B$7))</f>
        <v/>
      </c>
      <c r="C34" s="29"/>
      <c r="D34" s="29"/>
      <c r="E34" s="29"/>
      <c r="F34" s="29"/>
      <c r="G34" s="29"/>
      <c r="H34" s="29"/>
    </row>
    <row r="35" customFormat="false" ht="15.75" hidden="false" customHeight="true" outlineLevel="0" collapsed="false">
      <c r="A35" s="28" t="s">
        <v>4376</v>
      </c>
      <c r="B35" s="29" t="str">
        <f aca="false" t="array" ref="B35:B35">IF($B$7="","",INDEX('Author Decision Queue'!$R:$R,$B$7))</f>
        <v/>
      </c>
      <c r="C35" s="29"/>
      <c r="D35" s="29"/>
      <c r="E35" s="29"/>
      <c r="F35" s="29"/>
      <c r="G35" s="29"/>
      <c r="H35" s="29"/>
    </row>
    <row r="36" customFormat="false" ht="15.75" hidden="false" customHeight="true" outlineLevel="0" collapsed="false">
      <c r="A36" s="4"/>
      <c r="B36" s="4"/>
      <c r="C36" s="4"/>
      <c r="D36" s="4"/>
      <c r="E36" s="4"/>
      <c r="F36" s="4"/>
      <c r="G36" s="4"/>
      <c r="H36" s="4"/>
    </row>
    <row r="37" customFormat="false" ht="15.75" hidden="false" customHeight="true" outlineLevel="0" collapsed="false">
      <c r="A37" s="4"/>
      <c r="B37" s="4"/>
      <c r="C37" s="4"/>
      <c r="D37" s="4"/>
      <c r="E37" s="4"/>
      <c r="F37" s="4"/>
      <c r="G37" s="4"/>
      <c r="H37" s="4"/>
    </row>
    <row r="38" customFormat="false" ht="15.75" hidden="false" customHeight="true" outlineLevel="0" collapsed="false">
      <c r="A38" s="27" t="s">
        <v>5026</v>
      </c>
      <c r="B38" s="27"/>
      <c r="C38" s="27"/>
      <c r="D38" s="27"/>
      <c r="E38" s="27"/>
      <c r="F38" s="27"/>
      <c r="G38" s="27"/>
      <c r="H38" s="27"/>
    </row>
    <row r="39" customFormat="false" ht="30" hidden="false" customHeight="true" outlineLevel="0" collapsed="false">
      <c r="A39" s="30" t="str">
        <f aca="false" t="array" ref="A39:A39">IF($B$7="","No currently actionable decision remains.","Go to "&amp;$E$7&amp;". In column D choose OPTION 1–4, CUSTOM RESPONSE, HOLD, or DEFER. "&amp;IF(INDEX('Author Decision Queue'!$S:$S,$B$7)&lt;&gt;"","If you choose "&amp;INDEX('Author Decision Queue'!$S:$S,$B$7)&amp;", enter the required wording in column E. ","")&amp;"Then enter optional notes in F, your initials in G, and the decision date in H.")</f>
        <v>No currently actionable decision remains.</v>
      </c>
      <c r="B39" s="30"/>
      <c r="C39" s="30"/>
      <c r="D39" s="30"/>
      <c r="E39" s="30"/>
      <c r="F39" s="30"/>
      <c r="G39" s="30"/>
      <c r="H39" s="30"/>
    </row>
    <row r="40" customFormat="false" ht="15.75" hidden="false" customHeight="true" outlineLevel="0" collapsed="false">
      <c r="A40" s="30"/>
      <c r="B40" s="30"/>
      <c r="C40" s="30"/>
      <c r="D40" s="30"/>
      <c r="E40" s="30"/>
      <c r="F40" s="30"/>
      <c r="G40" s="30"/>
      <c r="H40" s="30"/>
    </row>
    <row r="41" customFormat="false" ht="15.75" hidden="false" customHeight="true" outlineLevel="0" collapsed="false">
      <c r="A41" s="30"/>
      <c r="B41" s="30"/>
      <c r="C41" s="30"/>
      <c r="D41" s="30"/>
      <c r="E41" s="30"/>
      <c r="F41" s="30"/>
      <c r="G41" s="30"/>
      <c r="H41" s="30"/>
    </row>
    <row r="42" customFormat="false" ht="15.75" hidden="false" customHeight="true" outlineLevel="0" collapsed="false">
      <c r="A42" s="4"/>
      <c r="B42" s="4"/>
      <c r="C42" s="4"/>
      <c r="D42" s="4"/>
      <c r="E42" s="4"/>
      <c r="F42" s="4"/>
      <c r="G42" s="4"/>
      <c r="H42" s="4"/>
    </row>
    <row r="43" customFormat="false" ht="15.75" hidden="false" customHeight="true" outlineLevel="0" collapsed="false">
      <c r="A43" s="28" t="s">
        <v>5027</v>
      </c>
      <c r="B43" s="4" t="str">
        <f aca="false" t="array" ref="B43:B43">IF($B$7="","",INDEX('Author Decision Queue'!$I:$I,$B$7))</f>
        <v/>
      </c>
      <c r="C43" s="4"/>
      <c r="D43" s="4"/>
      <c r="E43" s="4"/>
      <c r="F43" s="4"/>
      <c r="G43" s="4"/>
      <c r="H43" s="4"/>
    </row>
    <row r="44" customFormat="false" ht="15.75" hidden="false" customHeight="true" outlineLevel="0" collapsed="false">
      <c r="A44" s="28" t="s">
        <v>3779</v>
      </c>
      <c r="B44" s="4" t="str">
        <f aca="false" t="array" ref="B44:B44">IF($B$7="","",INDEX('Author Decision Queue'!$AD:$AD,$B$7))</f>
        <v/>
      </c>
      <c r="C44" s="4"/>
      <c r="D44" s="4"/>
      <c r="E44" s="4"/>
      <c r="F44" s="4"/>
      <c r="G44" s="4"/>
      <c r="H44" s="4"/>
    </row>
    <row r="45" customFormat="false" ht="15.75" hidden="false" customHeight="true" outlineLevel="0" collapsed="false">
      <c r="A45" s="28" t="s">
        <v>5028</v>
      </c>
      <c r="B45" s="4" t="str">
        <f aca="false" t="array" ref="B45:B45">IF($B$7="","",INDEX('Author Decision Queue'!$AE:$AE,$B$7))</f>
        <v/>
      </c>
      <c r="C45" s="4"/>
      <c r="D45" s="4"/>
      <c r="E45" s="4"/>
      <c r="F45" s="4"/>
      <c r="G45" s="4"/>
      <c r="H45" s="4"/>
    </row>
    <row r="46" customFormat="false" ht="15.75" hidden="false" customHeight="true" outlineLevel="0" collapsed="false">
      <c r="A46" s="28" t="s">
        <v>5029</v>
      </c>
      <c r="B46" s="4" t="str">
        <f aca="false" t="array" ref="B46:B46">IF($B$7="","",INDEX('Author Decision Queue'!$AB:$AB,$B$7))</f>
        <v/>
      </c>
      <c r="C46" s="4"/>
      <c r="D46" s="4"/>
      <c r="E46" s="4"/>
      <c r="F46" s="4"/>
      <c r="G46" s="4"/>
      <c r="H46" s="4"/>
    </row>
    <row r="47" customFormat="false" ht="15.75" hidden="false" customHeight="true" outlineLevel="0" collapsed="false">
      <c r="A47" s="28" t="s">
        <v>5030</v>
      </c>
      <c r="B47" s="4" t="str">
        <f aca="false" t="array" ref="B47:B47">IF($B$7="","",INDEX('Author Decision Queue'!$AC:$AC,$B$7))</f>
        <v/>
      </c>
      <c r="C47" s="4"/>
      <c r="D47" s="4"/>
      <c r="E47" s="4"/>
      <c r="F47" s="4"/>
      <c r="G47" s="4"/>
      <c r="H47" s="4"/>
    </row>
    <row r="48" customFormat="false" ht="15.75" hidden="false" customHeight="true" outlineLevel="0" collapsed="false">
      <c r="A48" s="4"/>
      <c r="B48" s="4"/>
      <c r="C48" s="4"/>
      <c r="D48" s="4"/>
      <c r="E48" s="4"/>
      <c r="F48" s="4"/>
      <c r="G48" s="4"/>
      <c r="H48" s="4"/>
    </row>
    <row r="49" customFormat="false" ht="15.75" hidden="false" customHeight="true" outlineLevel="0" collapsed="false">
      <c r="A49" s="4"/>
      <c r="B49" s="4"/>
      <c r="C49" s="4"/>
      <c r="D49" s="4"/>
      <c r="E49" s="4"/>
      <c r="F49" s="4"/>
      <c r="G49" s="4"/>
      <c r="H49" s="4"/>
    </row>
    <row r="50" customFormat="false" ht="15.75" hidden="false" customHeight="true" outlineLevel="0" collapsed="false">
      <c r="A50" s="27" t="s">
        <v>5031</v>
      </c>
      <c r="B50" s="27"/>
      <c r="C50" s="27"/>
      <c r="D50" s="27"/>
      <c r="E50" s="27"/>
      <c r="F50" s="27"/>
      <c r="G50" s="27"/>
      <c r="H50" s="27"/>
    </row>
    <row r="51" customFormat="false" ht="30" hidden="false" customHeight="true" outlineLevel="0" collapsed="false">
      <c r="A51" s="31" t="s">
        <v>5032</v>
      </c>
      <c r="B51" s="31"/>
      <c r="C51" s="31"/>
      <c r="D51" s="31"/>
      <c r="E51" s="31"/>
      <c r="F51" s="31"/>
      <c r="G51" s="31"/>
      <c r="H51" s="31"/>
    </row>
    <row r="52" customFormat="false" ht="15.75" hidden="false" customHeight="true" outlineLevel="0" collapsed="false">
      <c r="A52" s="31"/>
      <c r="B52" s="31"/>
      <c r="C52" s="31"/>
      <c r="D52" s="31"/>
      <c r="E52" s="31"/>
      <c r="F52" s="31"/>
      <c r="G52" s="31"/>
      <c r="H52" s="31"/>
    </row>
    <row r="53" customFormat="false" ht="15.75" hidden="false" customHeight="true" outlineLevel="0" collapsed="false">
      <c r="A53" s="31"/>
      <c r="B53" s="31"/>
      <c r="C53" s="31"/>
      <c r="D53" s="31"/>
      <c r="E53" s="31"/>
      <c r="F53" s="31"/>
      <c r="G53" s="31"/>
      <c r="H53" s="31"/>
    </row>
    <row r="54" customFormat="false" ht="15.75" hidden="false" customHeight="true" outlineLevel="0" collapsed="false">
      <c r="A54" s="31"/>
      <c r="B54" s="31"/>
      <c r="C54" s="31"/>
      <c r="D54" s="31"/>
      <c r="E54" s="31"/>
      <c r="F54" s="31"/>
      <c r="G54" s="31"/>
      <c r="H54" s="31"/>
    </row>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3">
    <mergeCell ref="A1:H1"/>
    <mergeCell ref="A2:H4"/>
    <mergeCell ref="B15:H16"/>
    <mergeCell ref="B17:H19"/>
    <mergeCell ref="B20:H23"/>
    <mergeCell ref="B24:H26"/>
    <mergeCell ref="B27:H29"/>
    <mergeCell ref="B32:H32"/>
    <mergeCell ref="B33:H33"/>
    <mergeCell ref="B34:H34"/>
    <mergeCell ref="B35:H35"/>
    <mergeCell ref="A39:H41"/>
    <mergeCell ref="A51:H5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12"/>
    <col collapsed="false" customWidth="true" hidden="false" outlineLevel="0" max="4" min="4" style="0" width="24"/>
    <col collapsed="false" customWidth="true" hidden="false" outlineLevel="0" max="5" min="5" style="0" width="72"/>
    <col collapsed="false" customWidth="true" hidden="false" outlineLevel="0" max="6" min="6" style="0" width="58"/>
    <col collapsed="false" customWidth="true" hidden="false" outlineLevel="0" max="8" min="7" style="0" width="16"/>
    <col collapsed="false" customWidth="true" hidden="false" outlineLevel="0" max="9" min="9" style="0" width="32"/>
    <col collapsed="false" customWidth="true" hidden="false" outlineLevel="0" max="10" min="10" style="0" width="72"/>
    <col collapsed="false" customWidth="true" hidden="false" outlineLevel="0" max="11" min="11" style="0" width="54"/>
    <col collapsed="false" customWidth="true" hidden="false" outlineLevel="0" max="26" min="12" style="0" width="8.63"/>
  </cols>
  <sheetData>
    <row r="1" customFormat="false" ht="15" hidden="false" customHeight="false" outlineLevel="0" collapsed="false">
      <c r="A1" s="3" t="s">
        <v>4316</v>
      </c>
      <c r="B1" s="3" t="s">
        <v>4317</v>
      </c>
      <c r="C1" s="3" t="s">
        <v>4170</v>
      </c>
      <c r="D1" s="3" t="s">
        <v>4333</v>
      </c>
      <c r="E1" s="3" t="s">
        <v>4334</v>
      </c>
      <c r="F1" s="3" t="s">
        <v>4335</v>
      </c>
      <c r="G1" s="3" t="s">
        <v>4336</v>
      </c>
      <c r="H1" s="3" t="s">
        <v>4337</v>
      </c>
      <c r="I1" s="3" t="s">
        <v>4339</v>
      </c>
      <c r="J1" s="3" t="s">
        <v>4338</v>
      </c>
      <c r="K1" s="3" t="s">
        <v>4323</v>
      </c>
    </row>
    <row r="2" customFormat="false" ht="28.35" hidden="false" customHeight="false" outlineLevel="0" collapsed="false">
      <c r="A2" s="9" t="n">
        <v>1</v>
      </c>
      <c r="B2" s="9" t="s">
        <v>334</v>
      </c>
      <c r="C2" s="9" t="str">
        <f aca="false">'Author Decision Queue'!$AG$2</f>
        <v/>
      </c>
      <c r="D2" s="32" t="s">
        <v>4505</v>
      </c>
      <c r="E2" s="33"/>
      <c r="F2" s="33" t="s">
        <v>5033</v>
      </c>
      <c r="G2" s="33" t="s">
        <v>5034</v>
      </c>
      <c r="H2" s="34" t="n">
        <v>46274</v>
      </c>
      <c r="I2" s="23" t="str">
        <f aca="false">'Author Decision Queue'!$Z$2</f>
        <v>RESOLVED</v>
      </c>
      <c r="J2" s="23" t="str">
        <f aca="false">'Author Decision Queue'!$Y$2</f>
        <v>APPROVE — workbook canonical and v1 uses static JSON only; no database</v>
      </c>
      <c r="K2" s="23" t="str">
        <f aca="false">'Author Decision Queue'!$J$2</f>
        <v>Confirm the canonical data-source architecture</v>
      </c>
    </row>
    <row r="3" customFormat="false" ht="28.35" hidden="false" customHeight="false" outlineLevel="0" collapsed="false">
      <c r="A3" s="9" t="n">
        <v>2</v>
      </c>
      <c r="B3" s="9" t="s">
        <v>4363</v>
      </c>
      <c r="C3" s="9" t="str">
        <f aca="false">'Author Decision Queue'!$AG$3</f>
        <v/>
      </c>
      <c r="D3" s="32" t="s">
        <v>5025</v>
      </c>
      <c r="E3" s="33"/>
      <c r="F3" s="33" t="s">
        <v>5035</v>
      </c>
      <c r="G3" s="33" t="s">
        <v>5034</v>
      </c>
      <c r="H3" s="34" t="n">
        <v>46274</v>
      </c>
      <c r="I3" s="23" t="str">
        <f aca="false">'Author Decision Queue'!$Z$3</f>
        <v>RESOLVED</v>
      </c>
      <c r="J3" s="23" t="str">
        <f aca="false">'Author Decision Queue'!$Y$3</f>
        <v>V1 DETERMINISTIC ONLY — keep semantic/question-pattern rows inactive until later RAG</v>
      </c>
      <c r="K3" s="23" t="str">
        <f aca="false">'Author Decision Queue'!$J$3</f>
        <v>Choose the v1 clarification-trigger engine</v>
      </c>
    </row>
    <row r="4" customFormat="false" ht="28.35" hidden="false" customHeight="false" outlineLevel="0" collapsed="false">
      <c r="A4" s="9" t="n">
        <v>3</v>
      </c>
      <c r="B4" s="9" t="s">
        <v>4379</v>
      </c>
      <c r="C4" s="9" t="str">
        <f aca="false">'Author Decision Queue'!$AG$4</f>
        <v/>
      </c>
      <c r="D4" s="32" t="s">
        <v>5025</v>
      </c>
      <c r="E4" s="33"/>
      <c r="F4" s="33" t="s">
        <v>5036</v>
      </c>
      <c r="G4" s="33" t="s">
        <v>5034</v>
      </c>
      <c r="H4" s="34" t="n">
        <v>46274</v>
      </c>
      <c r="I4" s="23" t="str">
        <f aca="false">'Author Decision Queue'!$Z$4</f>
        <v>RESOLVED</v>
      </c>
      <c r="J4" s="23" t="str">
        <f aca="false">'Author Decision Queue'!$Y$4</f>
        <v>REQUIRE predicate/Godhead/explorer anchor; ICC-001 = explorer-only 'Salvation &amp; discipleship'</v>
      </c>
      <c r="K4" s="23" t="str">
        <f aca="false">'Author Decision Queue'!$J$4</f>
        <v>Set the required anchor rule for every clarification case</v>
      </c>
    </row>
    <row r="5" customFormat="false" ht="28.35" hidden="false" customHeight="false" outlineLevel="0" collapsed="false">
      <c r="A5" s="9" t="n">
        <v>4</v>
      </c>
      <c r="B5" s="9" t="s">
        <v>4394</v>
      </c>
      <c r="C5" s="9" t="str">
        <f aca="false">'Author Decision Queue'!$AG$5</f>
        <v/>
      </c>
      <c r="D5" s="32" t="s">
        <v>5025</v>
      </c>
      <c r="E5" s="33"/>
      <c r="F5" s="33" t="s">
        <v>5037</v>
      </c>
      <c r="G5" s="33" t="s">
        <v>5034</v>
      </c>
      <c r="H5" s="34" t="n">
        <v>46274</v>
      </c>
      <c r="I5" s="23" t="str">
        <f aca="false">'Author Decision Queue'!$Z$5</f>
        <v>RESOLVED</v>
      </c>
      <c r="J5" s="23" t="str">
        <f aca="false">'Author Decision Queue'!$Y$5</f>
        <v>APPROVE all ten hazards as Orientation teaching content</v>
      </c>
      <c r="K5" s="23" t="str">
        <f aca="false">'Author Decision Queue'!$J$5</f>
        <v>Decide whether the interpretive-hazard taxonomy belongs in Orientation</v>
      </c>
    </row>
    <row r="6" customFormat="false" ht="28.35" hidden="false" customHeight="false" outlineLevel="0" collapsed="false">
      <c r="A6" s="9" t="n">
        <v>5</v>
      </c>
      <c r="B6" s="9" t="s">
        <v>4410</v>
      </c>
      <c r="C6" s="9" t="str">
        <f aca="false">'Author Decision Queue'!$AG$6</f>
        <v/>
      </c>
      <c r="D6" s="32" t="s">
        <v>5025</v>
      </c>
      <c r="E6" s="33"/>
      <c r="F6" s="33" t="s">
        <v>5038</v>
      </c>
      <c r="G6" s="33" t="s">
        <v>5034</v>
      </c>
      <c r="H6" s="34" t="n">
        <v>46274</v>
      </c>
      <c r="I6" s="23" t="str">
        <f aca="false">'Author Decision Queue'!$Z$6</f>
        <v>RESOLVED</v>
      </c>
      <c r="J6" s="23" t="str">
        <f aca="false">'Author Decision Queue'!$Y$6</f>
        <v>REQUIRE balanced pair for v1 — create ICC-002 LDS grace/'after all we can do' before ICC-001 public release</v>
      </c>
      <c r="K6" s="23" t="str">
        <f aca="false">'Author Decision Queue'!$J$6</f>
        <v>Choose the lens-balance policy for clarification cases</v>
      </c>
    </row>
    <row r="7" customFormat="false" ht="15" hidden="false" customHeight="false" outlineLevel="0" collapsed="false">
      <c r="A7" s="9" t="n">
        <v>6</v>
      </c>
      <c r="B7" s="9" t="s">
        <v>4425</v>
      </c>
      <c r="C7" s="9" t="str">
        <f aca="false">'Author Decision Queue'!$AG$7</f>
        <v/>
      </c>
      <c r="D7" s="32" t="s">
        <v>5025</v>
      </c>
      <c r="E7" s="33"/>
      <c r="F7" s="33" t="s">
        <v>5039</v>
      </c>
      <c r="G7" s="33" t="s">
        <v>5034</v>
      </c>
      <c r="H7" s="34" t="n">
        <v>46274</v>
      </c>
      <c r="I7" s="23" t="str">
        <f aca="false">'Author Decision Queue'!$Z$7</f>
        <v>RESOLVED</v>
      </c>
      <c r="J7" s="23" t="str">
        <f aca="false">'Author Decision Queue'!$Y$7</f>
        <v>CAP v1 at 6 APPROVED cases; require observed/recurrent misunderstanding</v>
      </c>
      <c r="K7" s="23" t="str">
        <f aca="false">'Author Decision Queue'!$J$7</f>
        <v>Set the v1 clarification-case volume rule</v>
      </c>
    </row>
    <row r="8" customFormat="false" ht="28.35" hidden="false" customHeight="false" outlineLevel="0" collapsed="false">
      <c r="A8" s="9" t="n">
        <v>7</v>
      </c>
      <c r="B8" s="9" t="s">
        <v>4439</v>
      </c>
      <c r="C8" s="9" t="str">
        <f aca="false">'Author Decision Queue'!$AG$8</f>
        <v/>
      </c>
      <c r="D8" s="32" t="s">
        <v>5025</v>
      </c>
      <c r="E8" s="33"/>
      <c r="F8" s="33" t="s">
        <v>5040</v>
      </c>
      <c r="G8" s="33" t="s">
        <v>5034</v>
      </c>
      <c r="H8" s="34" t="n">
        <v>46274</v>
      </c>
      <c r="I8" s="23" t="str">
        <f aca="false">'Author Decision Queue'!$Z$8</f>
        <v>RESOLVED</v>
      </c>
      <c r="J8" s="23" t="str">
        <f aca="false">'Author Decision Queue'!$Y$8</f>
        <v>“How can faith alone and church discipline both fit Baptist theology? See the distinction.”</v>
      </c>
      <c r="K8" s="23" t="str">
        <f aca="false">'Author Decision Queue'!$J$8</f>
        <v>Approve or replace the ICC-001 automatic cue wording</v>
      </c>
    </row>
    <row r="9" customFormat="false" ht="28.35" hidden="false" customHeight="false" outlineLevel="0" collapsed="false">
      <c r="A9" s="9" t="n">
        <v>8</v>
      </c>
      <c r="B9" s="9" t="s">
        <v>4456</v>
      </c>
      <c r="C9" s="9" t="str">
        <f aca="false">'Author Decision Queue'!$AG$9</f>
        <v/>
      </c>
      <c r="D9" s="32" t="s">
        <v>5025</v>
      </c>
      <c r="E9" s="33"/>
      <c r="F9" s="33" t="s">
        <v>5041</v>
      </c>
      <c r="G9" s="33" t="s">
        <v>5034</v>
      </c>
      <c r="H9" s="34" t="n">
        <v>46274</v>
      </c>
      <c r="I9" s="23" t="str">
        <f aca="false">'Author Decision Queue'!$Z$9</f>
        <v>RESOLVED</v>
      </c>
      <c r="J9" s="23" t="str">
        <f aca="false">'Author Decision Queue'!$Y$9</f>
        <v>APPROVE CONTENT — keep public release held until the lens-balance policy is satisfied</v>
      </c>
      <c r="K9" s="23" t="str">
        <f aca="false">'Author Decision Queue'!$J$9</f>
        <v>Author-review the full ICC-001 case</v>
      </c>
    </row>
    <row r="10" customFormat="false" ht="28.35" hidden="false" customHeight="false" outlineLevel="0" collapsed="false">
      <c r="A10" s="9" t="n">
        <v>9</v>
      </c>
      <c r="B10" s="9" t="s">
        <v>4471</v>
      </c>
      <c r="C10" s="9" t="str">
        <f aca="false">'Author Decision Queue'!$AG$10</f>
        <v/>
      </c>
      <c r="D10" s="32" t="s">
        <v>4505</v>
      </c>
      <c r="E10" s="33"/>
      <c r="F10" s="33" t="s">
        <v>5042</v>
      </c>
      <c r="G10" s="33" t="s">
        <v>5034</v>
      </c>
      <c r="H10" s="34" t="n">
        <v>46274</v>
      </c>
      <c r="I10" s="23" t="str">
        <f aca="false">'Author Decision Queue'!$Z$10</f>
        <v>RESOLVED</v>
      </c>
      <c r="J10" s="23" t="str">
        <f aca="false">'Author Decision Queue'!$Y$10</f>
        <v>REPLACE with D&amp;C 20:24</v>
      </c>
      <c r="K10" s="23" t="str">
        <f aca="false">'Author Decision Queue'!$J$10</f>
        <v>Review H06 Lord Restoration comparator</v>
      </c>
    </row>
    <row r="11" customFormat="false" ht="15" hidden="false" customHeight="false" outlineLevel="0" collapsed="false">
      <c r="A11" s="9" t="n">
        <v>10</v>
      </c>
      <c r="B11" s="9" t="s">
        <v>4486</v>
      </c>
      <c r="C11" s="9" t="str">
        <f aca="false">'Author Decision Queue'!$AG$11</f>
        <v/>
      </c>
      <c r="D11" s="32" t="s">
        <v>4505</v>
      </c>
      <c r="E11" s="33"/>
      <c r="F11" s="33" t="s">
        <v>5043</v>
      </c>
      <c r="G11" s="33" t="s">
        <v>5034</v>
      </c>
      <c r="H11" s="34" t="n">
        <v>46274</v>
      </c>
      <c r="I11" s="23" t="str">
        <f aca="false">'Author Decision Queue'!$Z$11</f>
        <v>RESOLVED</v>
      </c>
      <c r="J11" s="23" t="str">
        <f aca="false">'Author Decision Queue'!$Y$11</f>
        <v>REPLACE with Moroni 7:12</v>
      </c>
      <c r="K11" s="23" t="str">
        <f aca="false">'Author Decision Queue'!$J$11</f>
        <v>Review H09 Good Restoration comparator</v>
      </c>
    </row>
    <row r="12" customFormat="false" ht="28.35" hidden="false" customHeight="false" outlineLevel="0" collapsed="false">
      <c r="A12" s="9" t="n">
        <v>11</v>
      </c>
      <c r="B12" s="9" t="s">
        <v>4495</v>
      </c>
      <c r="C12" s="9" t="str">
        <f aca="false">'Author Decision Queue'!$AG$12</f>
        <v/>
      </c>
      <c r="D12" s="32" t="s">
        <v>4505</v>
      </c>
      <c r="E12" s="33" t="s">
        <v>5044</v>
      </c>
      <c r="F12" s="33" t="s">
        <v>5045</v>
      </c>
      <c r="G12" s="33" t="s">
        <v>5034</v>
      </c>
      <c r="H12" s="34" t="n">
        <v>46274</v>
      </c>
      <c r="I12" s="23" t="str">
        <f aca="false">'Author Decision Queue'!$Z$12</f>
        <v>RESOLVED</v>
      </c>
      <c r="J12" s="23" t="str">
        <f aca="false">'Author Decision Queue'!$Y$12</f>
        <v>REPLACE with Alma 26:8 — “Blessed be the name of our God” (doxological sense of blessed; scope note to say so).</v>
      </c>
      <c r="K12" s="23" t="str">
        <f aca="false">'Author Decision Queue'!$J$12</f>
        <v>Review H19 Blessed Restoration comparator</v>
      </c>
    </row>
    <row r="13" customFormat="false" ht="15" hidden="false" customHeight="false" outlineLevel="0" collapsed="false">
      <c r="A13" s="9" t="n">
        <v>12</v>
      </c>
      <c r="B13" s="9" t="s">
        <v>4506</v>
      </c>
      <c r="C13" s="9" t="str">
        <f aca="false">'Author Decision Queue'!$AG$13</f>
        <v/>
      </c>
      <c r="D13" s="32" t="s">
        <v>4468</v>
      </c>
      <c r="E13" s="33"/>
      <c r="F13" s="33" t="s">
        <v>5046</v>
      </c>
      <c r="G13" s="33" t="s">
        <v>5034</v>
      </c>
      <c r="H13" s="34" t="n">
        <v>46274</v>
      </c>
      <c r="I13" s="23" t="str">
        <f aca="false">'Author Decision Queue'!$Z$13</f>
        <v>RESOLVED</v>
      </c>
      <c r="J13" s="23" t="str">
        <f aca="false">'Author Decision Queue'!$Y$13</f>
        <v>REPLACE with D&amp;C 76:19–20</v>
      </c>
      <c r="K13" s="23" t="str">
        <f aca="false">'Author Decision Queue'!$J$13</f>
        <v>Review H20 Glorious Restoration comparator</v>
      </c>
    </row>
    <row r="14" customFormat="false" ht="28.35" hidden="false" customHeight="false" outlineLevel="0" collapsed="false">
      <c r="A14" s="9" t="n">
        <v>13</v>
      </c>
      <c r="B14" s="9" t="s">
        <v>4515</v>
      </c>
      <c r="C14" s="9" t="str">
        <f aca="false">'Author Decision Queue'!$AG$14</f>
        <v/>
      </c>
      <c r="D14" s="32" t="s">
        <v>5025</v>
      </c>
      <c r="E14" s="33"/>
      <c r="F14" s="33" t="s">
        <v>5047</v>
      </c>
      <c r="G14" s="33" t="s">
        <v>5034</v>
      </c>
      <c r="H14" s="34" t="n">
        <v>46274</v>
      </c>
      <c r="I14" s="23" t="str">
        <f aca="false">'Author Decision Queue'!$Z$14</f>
        <v>RESOLVED</v>
      </c>
      <c r="J14" s="23" t="str">
        <f aca="false">'Author Decision Queue'!$Y$14</f>
        <v>APPROVE source role — resolve Eastern Orthodox H37 to Q with explicit OCA/jurisdictional scope</v>
      </c>
      <c r="K14" s="23" t="str">
        <f aca="false">'Author Decision Queue'!$J$14</f>
        <v>Adjudicate Eastern Orthodox H37 source role</v>
      </c>
    </row>
    <row r="15" customFormat="false" ht="15" hidden="false" customHeight="false" outlineLevel="0" collapsed="false">
      <c r="A15" s="9" t="n">
        <v>14</v>
      </c>
      <c r="B15" s="9" t="s">
        <v>4533</v>
      </c>
      <c r="C15" s="9" t="str">
        <f aca="false">'Author Decision Queue'!$AG$15</f>
        <v/>
      </c>
      <c r="D15" s="32" t="s">
        <v>4505</v>
      </c>
      <c r="E15" s="33"/>
      <c r="F15" s="33" t="s">
        <v>5048</v>
      </c>
      <c r="G15" s="33" t="s">
        <v>5034</v>
      </c>
      <c r="H15" s="34" t="n">
        <v>46274</v>
      </c>
      <c r="I15" s="23" t="str">
        <f aca="false">'Author Decision Queue'!$Z$15</f>
        <v>HOLD</v>
      </c>
      <c r="J15" s="23" t="str">
        <f aca="false">'Author Decision Queue'!$Y$15</f>
        <v>KEEP PENDING — source does not establish exact 'without parts' equivalence</v>
      </c>
      <c r="K15" s="23" t="str">
        <f aca="false">'Author Decision Queue'!$J$15</f>
        <v>Adjudicate Eastern Orthodox H43 semantic floor</v>
      </c>
    </row>
    <row r="16" customFormat="false" ht="15" hidden="false" customHeight="false" outlineLevel="0" collapsed="false">
      <c r="A16" s="9" t="n">
        <v>15</v>
      </c>
      <c r="B16" s="9" t="s">
        <v>4547</v>
      </c>
      <c r="C16" s="9" t="str">
        <f aca="false">'Author Decision Queue'!$AG$16</f>
        <v/>
      </c>
      <c r="D16" s="32" t="s">
        <v>5025</v>
      </c>
      <c r="E16" s="33"/>
      <c r="F16" s="33"/>
      <c r="G16" s="33" t="s">
        <v>5034</v>
      </c>
      <c r="H16" s="34" t="n">
        <v>46274</v>
      </c>
      <c r="I16" s="23" t="str">
        <f aca="false">'Author Decision Queue'!$Z$16</f>
        <v>RESOLVED</v>
      </c>
      <c r="J16" s="23" t="str">
        <f aca="false">'Author Decision Queue'!$Y$16</f>
        <v>APPROVE AS WRITTEN</v>
      </c>
      <c r="K16" s="23" t="str">
        <f aca="false">'Author Decision Queue'!$J$16</f>
        <v>Review GOD-01 learner-facing Godhead Context wording</v>
      </c>
    </row>
    <row r="17" customFormat="false" ht="15" hidden="false" customHeight="false" outlineLevel="0" collapsed="false">
      <c r="A17" s="9" t="n">
        <v>16</v>
      </c>
      <c r="B17" s="9" t="s">
        <v>4562</v>
      </c>
      <c r="C17" s="9" t="str">
        <f aca="false">'Author Decision Queue'!$AG$17</f>
        <v/>
      </c>
      <c r="D17" s="32" t="s">
        <v>5025</v>
      </c>
      <c r="E17" s="33"/>
      <c r="F17" s="33"/>
      <c r="G17" s="33" t="s">
        <v>5034</v>
      </c>
      <c r="H17" s="34" t="n">
        <v>46274</v>
      </c>
      <c r="I17" s="23" t="str">
        <f aca="false">'Author Decision Queue'!$Z$17</f>
        <v>RESOLVED</v>
      </c>
      <c r="J17" s="23" t="str">
        <f aca="false">'Author Decision Queue'!$Y$17</f>
        <v>APPROVE AS WRITTEN</v>
      </c>
      <c r="K17" s="23" t="str">
        <f aca="false">'Author Decision Queue'!$J$17</f>
        <v>Review GOD-02 learner-facing Godhead Context wording</v>
      </c>
    </row>
    <row r="18" customFormat="false" ht="15" hidden="false" customHeight="false" outlineLevel="0" collapsed="false">
      <c r="A18" s="9" t="n">
        <v>17</v>
      </c>
      <c r="B18" s="9" t="s">
        <v>4567</v>
      </c>
      <c r="C18" s="9" t="str">
        <f aca="false">'Author Decision Queue'!$AG$18</f>
        <v/>
      </c>
      <c r="D18" s="32" t="s">
        <v>5025</v>
      </c>
      <c r="E18" s="33"/>
      <c r="F18" s="33"/>
      <c r="G18" s="33" t="s">
        <v>5034</v>
      </c>
      <c r="H18" s="34" t="n">
        <v>46274</v>
      </c>
      <c r="I18" s="23" t="str">
        <f aca="false">'Author Decision Queue'!$Z$18</f>
        <v>RESOLVED</v>
      </c>
      <c r="J18" s="23" t="str">
        <f aca="false">'Author Decision Queue'!$Y$18</f>
        <v>APPROVE AS WRITTEN</v>
      </c>
      <c r="K18" s="23" t="str">
        <f aca="false">'Author Decision Queue'!$J$18</f>
        <v>Review GOD-03 learner-facing Godhead Context wording</v>
      </c>
    </row>
    <row r="19" customFormat="false" ht="15" hidden="false" customHeight="false" outlineLevel="0" collapsed="false">
      <c r="A19" s="9" t="n">
        <v>18</v>
      </c>
      <c r="B19" s="9" t="s">
        <v>4572</v>
      </c>
      <c r="C19" s="9" t="str">
        <f aca="false">'Author Decision Queue'!$AG$19</f>
        <v/>
      </c>
      <c r="D19" s="32" t="s">
        <v>5025</v>
      </c>
      <c r="E19" s="33"/>
      <c r="F19" s="33"/>
      <c r="G19" s="33" t="s">
        <v>5034</v>
      </c>
      <c r="H19" s="34" t="n">
        <v>46274</v>
      </c>
      <c r="I19" s="23" t="str">
        <f aca="false">'Author Decision Queue'!$Z$19</f>
        <v>RESOLVED</v>
      </c>
      <c r="J19" s="23" t="str">
        <f aca="false">'Author Decision Queue'!$Y$19</f>
        <v>APPROVE AS WRITTEN</v>
      </c>
      <c r="K19" s="23" t="str">
        <f aca="false">'Author Decision Queue'!$J$19</f>
        <v>Review GOD-04 learner-facing Godhead Context wording</v>
      </c>
    </row>
    <row r="20" customFormat="false" ht="68.65" hidden="false" customHeight="false" outlineLevel="0" collapsed="false">
      <c r="A20" s="9" t="n">
        <v>19</v>
      </c>
      <c r="B20" s="9" t="s">
        <v>4577</v>
      </c>
      <c r="C20" s="9" t="str">
        <f aca="false">'Author Decision Queue'!$AG$20</f>
        <v/>
      </c>
      <c r="D20" s="32" t="s">
        <v>4505</v>
      </c>
      <c r="E20" s="33" t="s">
        <v>5049</v>
      </c>
      <c r="F20" s="33" t="s">
        <v>5050</v>
      </c>
      <c r="G20" s="33" t="s">
        <v>5034</v>
      </c>
      <c r="H20" s="34" t="n">
        <v>46274</v>
      </c>
      <c r="I20" s="23" t="str">
        <f aca="false">'Author Decision Queue'!$Z$20</f>
        <v>RESOLVED</v>
      </c>
      <c r="J20" s="23" t="str">
        <f aca="false">'Author Decision Queue'!$Y$20</f>
        <v>summary → God is the living God. | caution → Shared. Both traditions affirm this of God in the same sense.</v>
      </c>
      <c r="K20" s="23" t="str">
        <f aca="false">'Author Decision Queue'!$J$20</f>
        <v>Ratify RNR-H01: Living</v>
      </c>
    </row>
    <row r="21" customFormat="false" ht="15.75" hidden="false" customHeight="true" outlineLevel="0" collapsed="false">
      <c r="A21" s="9" t="n">
        <v>20</v>
      </c>
      <c r="B21" s="9" t="s">
        <v>4591</v>
      </c>
      <c r="C21" s="9" t="str">
        <f aca="false">'Author Decision Queue'!$AG$21</f>
        <v/>
      </c>
      <c r="D21" s="32" t="s">
        <v>4505</v>
      </c>
      <c r="E21" s="33" t="s">
        <v>5051</v>
      </c>
      <c r="F21" s="33" t="s">
        <v>5050</v>
      </c>
      <c r="G21" s="33" t="s">
        <v>5034</v>
      </c>
      <c r="H21" s="34" t="n">
        <v>46274</v>
      </c>
      <c r="I21" s="23" t="str">
        <f aca="false">'Author Decision Queue'!$Z$21</f>
        <v>RESOLVED</v>
      </c>
      <c r="J21" s="23" t="str">
        <f aca="false">'Author Decision Queue'!$Y$21</f>
        <v>summary → God is true — authentic, faithful, and real. | caution → Shared. Both traditions affirm this of God in the same sense.</v>
      </c>
      <c r="K21" s="23" t="str">
        <f aca="false">'Author Decision Queue'!$J$21</f>
        <v>Ratify RNR-H02: True</v>
      </c>
    </row>
    <row r="22" customFormat="false" ht="15.75" hidden="false" customHeight="true" outlineLevel="0" collapsed="false">
      <c r="A22" s="9" t="n">
        <v>21</v>
      </c>
      <c r="B22" s="9" t="s">
        <v>4595</v>
      </c>
      <c r="C22" s="9" t="str">
        <f aca="false">'Author Decision Queue'!$AG$22</f>
        <v/>
      </c>
      <c r="D22" s="32" t="s">
        <v>5025</v>
      </c>
      <c r="E22" s="33"/>
      <c r="F22" s="33" t="s">
        <v>5052</v>
      </c>
      <c r="G22" s="33" t="s">
        <v>5034</v>
      </c>
      <c r="H22" s="34" t="n">
        <v>46274</v>
      </c>
      <c r="I22" s="23" t="str">
        <f aca="false">'Author Decision Queue'!$Z$22</f>
        <v>RESOLVED</v>
      </c>
      <c r="J22" s="23" t="str">
        <f aca="false">'Author Decision Queue'!$Y$22</f>
        <v>APPROVE AS WRITTEN</v>
      </c>
      <c r="K22" s="23" t="str">
        <f aca="false">'Author Decision Queue'!$J$22</f>
        <v>Ratify RNR-H03: Spirit</v>
      </c>
    </row>
    <row r="23" customFormat="false" ht="15.75" hidden="false" customHeight="true" outlineLevel="0" collapsed="false">
      <c r="A23" s="9" t="n">
        <v>22</v>
      </c>
      <c r="B23" s="9" t="s">
        <v>4599</v>
      </c>
      <c r="C23" s="9" t="str">
        <f aca="false">'Author Decision Queue'!$AG$23</f>
        <v/>
      </c>
      <c r="D23" s="32" t="s">
        <v>4505</v>
      </c>
      <c r="E23" s="33" t="s">
        <v>5053</v>
      </c>
      <c r="F23" s="33" t="s">
        <v>5050</v>
      </c>
      <c r="G23" s="33" t="s">
        <v>5034</v>
      </c>
      <c r="H23" s="34" t="n">
        <v>46274</v>
      </c>
      <c r="I23" s="23" t="str">
        <f aca="false">'Author Decision Queue'!$Z$23</f>
        <v>RESOLVED</v>
      </c>
      <c r="J23" s="23" t="str">
        <f aca="false">'Author Decision Queue'!$Y$23</f>
        <v>summary → God is Father.</v>
      </c>
      <c r="K23" s="23" t="str">
        <f aca="false">'Author Decision Queue'!$J$23</f>
        <v>Ratify RNR-H04: Father</v>
      </c>
    </row>
    <row r="24" customFormat="false" ht="15.75" hidden="false" customHeight="true" outlineLevel="0" collapsed="false">
      <c r="A24" s="9" t="n">
        <v>23</v>
      </c>
      <c r="B24" s="9" t="s">
        <v>4603</v>
      </c>
      <c r="C24" s="9" t="str">
        <f aca="false">'Author Decision Queue'!$AG$24</f>
        <v/>
      </c>
      <c r="D24" s="32" t="s">
        <v>4505</v>
      </c>
      <c r="E24" s="33" t="s">
        <v>5054</v>
      </c>
      <c r="F24" s="33" t="s">
        <v>5050</v>
      </c>
      <c r="G24" s="33" t="s">
        <v>5034</v>
      </c>
      <c r="H24" s="34" t="n">
        <v>46274</v>
      </c>
      <c r="I24" s="23" t="str">
        <f aca="false">'Author Decision Queue'!$Z$24</f>
        <v>RESOLVED</v>
      </c>
      <c r="J24" s="23" t="str">
        <f aca="false">'Author Decision Queue'!$Y$24</f>
        <v>summary → Names Jesus Christ as the eternal Son of God.</v>
      </c>
      <c r="K24" s="23" t="str">
        <f aca="false">'Author Decision Queue'!$J$24</f>
        <v>Ratify RNR-H05: Son</v>
      </c>
    </row>
    <row r="25" customFormat="false" ht="15.75" hidden="false" customHeight="true" outlineLevel="0" collapsed="false">
      <c r="A25" s="9" t="n">
        <v>24</v>
      </c>
      <c r="B25" s="9" t="s">
        <v>4607</v>
      </c>
      <c r="C25" s="9" t="str">
        <f aca="false">'Author Decision Queue'!$AG$25</f>
        <v/>
      </c>
      <c r="D25" s="32" t="s">
        <v>4505</v>
      </c>
      <c r="E25" s="33" t="s">
        <v>5055</v>
      </c>
      <c r="F25" s="33" t="s">
        <v>5050</v>
      </c>
      <c r="G25" s="33" t="s">
        <v>5034</v>
      </c>
      <c r="H25" s="34" t="n">
        <v>46274</v>
      </c>
      <c r="I25" s="23" t="str">
        <f aca="false">'Author Decision Queue'!$Z$25</f>
        <v>RESOLVED</v>
      </c>
      <c r="J25" s="23" t="str">
        <f aca="false">'Author Decision Queue'!$Y$25</f>
        <v>summary → Jesus Christ is Lord. | Restoration comparator → D&amp;C 20:24 “to reign with almighty power according to the will of the Father”</v>
      </c>
      <c r="K25" s="23" t="str">
        <f aca="false">'Author Decision Queue'!$J$25</f>
        <v>Ratify RNR-H06: Lord</v>
      </c>
    </row>
    <row r="26" customFormat="false" ht="15.75" hidden="false" customHeight="true" outlineLevel="0" collapsed="false">
      <c r="A26" s="9" t="n">
        <v>25</v>
      </c>
      <c r="B26" s="9" t="s">
        <v>4611</v>
      </c>
      <c r="C26" s="9" t="str">
        <f aca="false">'Author Decision Queue'!$AG$26</f>
        <v/>
      </c>
      <c r="D26" s="32" t="s">
        <v>4505</v>
      </c>
      <c r="E26" s="33" t="s">
        <v>5056</v>
      </c>
      <c r="F26" s="33" t="s">
        <v>5050</v>
      </c>
      <c r="G26" s="33" t="s">
        <v>5034</v>
      </c>
      <c r="H26" s="34" t="n">
        <v>46274</v>
      </c>
      <c r="I26" s="23" t="str">
        <f aca="false">'Author Decision Queue'!$Z$26</f>
        <v>RESOLVED</v>
      </c>
      <c r="J26" s="23" t="str">
        <f aca="false">'Author Decision Queue'!$Y$26</f>
        <v>summary → God is almighty; all power is His.</v>
      </c>
      <c r="K26" s="23" t="str">
        <f aca="false">'Author Decision Queue'!$J$26</f>
        <v>Ratify RNR-H07: Almighty / omnipotent</v>
      </c>
    </row>
    <row r="27" customFormat="false" ht="15.75" hidden="false" customHeight="true" outlineLevel="0" collapsed="false">
      <c r="A27" s="9" t="n">
        <v>26</v>
      </c>
      <c r="B27" s="9" t="s">
        <v>4615</v>
      </c>
      <c r="C27" s="9" t="str">
        <f aca="false">'Author Decision Queue'!$AG$27</f>
        <v/>
      </c>
      <c r="D27" s="32" t="s">
        <v>4505</v>
      </c>
      <c r="E27" s="33" t="s">
        <v>5057</v>
      </c>
      <c r="F27" s="33" t="s">
        <v>5050</v>
      </c>
      <c r="G27" s="33" t="s">
        <v>5034</v>
      </c>
      <c r="H27" s="34" t="n">
        <v>46274</v>
      </c>
      <c r="I27" s="23" t="str">
        <f aca="false">'Author Decision Queue'!$Z$27</f>
        <v>RESOLVED</v>
      </c>
      <c r="J27" s="23" t="str">
        <f aca="false">'Author Decision Queue'!$Y$27</f>
        <v>summary → God is all-wise.</v>
      </c>
      <c r="K27" s="23" t="str">
        <f aca="false">'Author Decision Queue'!$J$27</f>
        <v>Ratify RNR-H08: Wise / all-wise</v>
      </c>
    </row>
    <row r="28" customFormat="false" ht="15.75" hidden="false" customHeight="true" outlineLevel="0" collapsed="false">
      <c r="A28" s="9" t="n">
        <v>27</v>
      </c>
      <c r="B28" s="9" t="s">
        <v>4619</v>
      </c>
      <c r="C28" s="9" t="str">
        <f aca="false">'Author Decision Queue'!$AG$28</f>
        <v/>
      </c>
      <c r="D28" s="32" t="s">
        <v>4505</v>
      </c>
      <c r="E28" s="33" t="s">
        <v>5058</v>
      </c>
      <c r="F28" s="33" t="s">
        <v>5050</v>
      </c>
      <c r="G28" s="33" t="s">
        <v>5034</v>
      </c>
      <c r="H28" s="34" t="n">
        <v>46274</v>
      </c>
      <c r="I28" s="23" t="str">
        <f aca="false">'Author Decision Queue'!$Z$28</f>
        <v>RESOLVED</v>
      </c>
      <c r="J28" s="23" t="str">
        <f aca="false">'Author Decision Queue'!$Y$28</f>
        <v>summary → God is good. | Restoration comparator → Moroni 7:12 “all things which are good cometh of God”</v>
      </c>
      <c r="K28" s="23" t="str">
        <f aca="false">'Author Decision Queue'!$J$28</f>
        <v>Ratify RNR-H09: Good</v>
      </c>
    </row>
    <row r="29" customFormat="false" ht="15.75" hidden="false" customHeight="true" outlineLevel="0" collapsed="false">
      <c r="A29" s="9" t="n">
        <v>28</v>
      </c>
      <c r="B29" s="9" t="s">
        <v>4623</v>
      </c>
      <c r="C29" s="9" t="str">
        <f aca="false">'Author Decision Queue'!$AG$29</f>
        <v/>
      </c>
      <c r="D29" s="32" t="s">
        <v>4505</v>
      </c>
      <c r="E29" s="33" t="s">
        <v>5059</v>
      </c>
      <c r="F29" s="33" t="s">
        <v>5050</v>
      </c>
      <c r="G29" s="33" t="s">
        <v>5034</v>
      </c>
      <c r="H29" s="34" t="n">
        <v>46274</v>
      </c>
      <c r="I29" s="23" t="str">
        <f aca="false">'Author Decision Queue'!$Z$29</f>
        <v>RESOLVED</v>
      </c>
      <c r="J29" s="23" t="str">
        <f aca="false">'Author Decision Queue'!$Y$29</f>
        <v>summary → Every good thing comes from God. | caution → Shared. Both traditions affirm this of God in the same sense.</v>
      </c>
      <c r="K29" s="23" t="str">
        <f aca="false">'Author Decision Queue'!$J$29</f>
        <v>Ratify RNR-H10: Source of all good</v>
      </c>
    </row>
    <row r="30" customFormat="false" ht="15.75" hidden="false" customHeight="true" outlineLevel="0" collapsed="false">
      <c r="A30" s="9" t="n">
        <v>29</v>
      </c>
      <c r="B30" s="9" t="s">
        <v>4627</v>
      </c>
      <c r="C30" s="9" t="str">
        <f aca="false">'Author Decision Queue'!$AG$30</f>
        <v/>
      </c>
      <c r="D30" s="32" t="s">
        <v>4505</v>
      </c>
      <c r="E30" s="33" t="s">
        <v>5060</v>
      </c>
      <c r="F30" s="33" t="s">
        <v>5050</v>
      </c>
      <c r="G30" s="33" t="s">
        <v>5034</v>
      </c>
      <c r="H30" s="34" t="n">
        <v>46274</v>
      </c>
      <c r="I30" s="23" t="str">
        <f aca="false">'Author Decision Queue'!$Z$30</f>
        <v>RESOLVED</v>
      </c>
      <c r="J30" s="23" t="str">
        <f aca="false">'Author Decision Queue'!$Y$30</f>
        <v>summary → God is just and righteous.</v>
      </c>
      <c r="K30" s="23" t="str">
        <f aca="false">'Author Decision Queue'!$J$30</f>
        <v>Ratify RNR-H11: Just / righteous</v>
      </c>
    </row>
    <row r="31" customFormat="false" ht="15.75" hidden="false" customHeight="true" outlineLevel="0" collapsed="false">
      <c r="A31" s="9" t="n">
        <v>30</v>
      </c>
      <c r="B31" s="9" t="s">
        <v>4631</v>
      </c>
      <c r="C31" s="9" t="str">
        <f aca="false">'Author Decision Queue'!$AG$31</f>
        <v/>
      </c>
      <c r="D31" s="32" t="s">
        <v>4505</v>
      </c>
      <c r="E31" s="33" t="s">
        <v>5061</v>
      </c>
      <c r="F31" s="33" t="s">
        <v>5050</v>
      </c>
      <c r="G31" s="33" t="s">
        <v>5034</v>
      </c>
      <c r="H31" s="34" t="n">
        <v>46274</v>
      </c>
      <c r="I31" s="23" t="str">
        <f aca="false">'Author Decision Queue'!$Z$31</f>
        <v>RESOLVED</v>
      </c>
      <c r="J31" s="23" t="str">
        <f aca="false">'Author Decision Queue'!$Y$31</f>
        <v>summary → God is holy.</v>
      </c>
      <c r="K31" s="23" t="str">
        <f aca="false">'Author Decision Queue'!$J$31</f>
        <v>Ratify RNR-H12: Holy</v>
      </c>
    </row>
    <row r="32" customFormat="false" ht="15.75" hidden="false" customHeight="true" outlineLevel="0" collapsed="false">
      <c r="A32" s="9" t="n">
        <v>31</v>
      </c>
      <c r="B32" s="9" t="s">
        <v>4635</v>
      </c>
      <c r="C32" s="9" t="str">
        <f aca="false">'Author Decision Queue'!$AG$32</f>
        <v/>
      </c>
      <c r="D32" s="32" t="s">
        <v>4505</v>
      </c>
      <c r="E32" s="33" t="s">
        <v>5062</v>
      </c>
      <c r="F32" s="33" t="s">
        <v>5050</v>
      </c>
      <c r="G32" s="33" t="s">
        <v>5034</v>
      </c>
      <c r="H32" s="34" t="n">
        <v>46274</v>
      </c>
      <c r="I32" s="23" t="str">
        <f aca="false">'Author Decision Queue'!$Z$32</f>
        <v>RESOLVED</v>
      </c>
      <c r="J32" s="23" t="str">
        <f aca="false">'Author Decision Queue'!$Y$32</f>
        <v>summary → God is a God of truth; He cannot lie.</v>
      </c>
      <c r="K32" s="23" t="str">
        <f aca="false">'Author Decision Queue'!$J$32</f>
        <v>Ratify RNR-H13: Truthful / faithful</v>
      </c>
    </row>
    <row r="33" customFormat="false" ht="15.75" hidden="false" customHeight="true" outlineLevel="0" collapsed="false">
      <c r="A33" s="9" t="n">
        <v>32</v>
      </c>
      <c r="B33" s="9" t="s">
        <v>4639</v>
      </c>
      <c r="C33" s="9" t="str">
        <f aca="false">'Author Decision Queue'!$AG$33</f>
        <v/>
      </c>
      <c r="D33" s="32" t="s">
        <v>4505</v>
      </c>
      <c r="E33" s="33" t="s">
        <v>5063</v>
      </c>
      <c r="F33" s="33" t="s">
        <v>5050</v>
      </c>
      <c r="G33" s="33" t="s">
        <v>5034</v>
      </c>
      <c r="H33" s="34" t="n">
        <v>46274</v>
      </c>
      <c r="I33" s="23" t="str">
        <f aca="false">'Author Decision Queue'!$Z$33</f>
        <v>RESOLVED</v>
      </c>
      <c r="J33" s="23" t="str">
        <f aca="false">'Author Decision Queue'!$Y$33</f>
        <v>summary → God is love; He loves His children.</v>
      </c>
      <c r="K33" s="23" t="str">
        <f aca="false">'Author Decision Queue'!$J$33</f>
        <v>Ratify RNR-H14: Love / loving</v>
      </c>
    </row>
    <row r="34" customFormat="false" ht="15.75" hidden="false" customHeight="true" outlineLevel="0" collapsed="false">
      <c r="A34" s="9" t="n">
        <v>33</v>
      </c>
      <c r="B34" s="9" t="s">
        <v>4643</v>
      </c>
      <c r="C34" s="9" t="str">
        <f aca="false">'Author Decision Queue'!$AG$34</f>
        <v/>
      </c>
      <c r="D34" s="32" t="s">
        <v>4505</v>
      </c>
      <c r="E34" s="33" t="s">
        <v>5064</v>
      </c>
      <c r="F34" s="33" t="s">
        <v>5050</v>
      </c>
      <c r="G34" s="33" t="s">
        <v>5034</v>
      </c>
      <c r="H34" s="34" t="n">
        <v>46274</v>
      </c>
      <c r="I34" s="23" t="str">
        <f aca="false">'Author Decision Queue'!$Z$34</f>
        <v>RESOLVED</v>
      </c>
      <c r="J34" s="23" t="str">
        <f aca="false">'Author Decision Queue'!$Y$34</f>
        <v>summary → God is merciful.</v>
      </c>
      <c r="K34" s="23" t="str">
        <f aca="false">'Author Decision Queue'!$J$34</f>
        <v>Ratify RNR-H15: Merciful</v>
      </c>
    </row>
    <row r="35" customFormat="false" ht="15.75" hidden="false" customHeight="true" outlineLevel="0" collapsed="false">
      <c r="A35" s="9" t="n">
        <v>34</v>
      </c>
      <c r="B35" s="9" t="s">
        <v>4647</v>
      </c>
      <c r="C35" s="9" t="str">
        <f aca="false">'Author Decision Queue'!$AG$35</f>
        <v/>
      </c>
      <c r="D35" s="32" t="s">
        <v>4505</v>
      </c>
      <c r="E35" s="33" t="s">
        <v>5065</v>
      </c>
      <c r="F35" s="33" t="s">
        <v>5050</v>
      </c>
      <c r="G35" s="33" t="s">
        <v>5034</v>
      </c>
      <c r="H35" s="34" t="n">
        <v>46274</v>
      </c>
      <c r="I35" s="23" t="str">
        <f aca="false">'Author Decision Queue'!$Z$35</f>
        <v>RESOLVED</v>
      </c>
      <c r="J35" s="23" t="str">
        <f aca="false">'Author Decision Queue'!$Y$35</f>
        <v>summary → God is gracious.</v>
      </c>
      <c r="K35" s="23" t="str">
        <f aca="false">'Author Decision Queue'!$J$35</f>
        <v>Ratify RNR-H16: Gracious</v>
      </c>
    </row>
    <row r="36" customFormat="false" ht="15.75" hidden="false" customHeight="true" outlineLevel="0" collapsed="false">
      <c r="A36" s="9" t="n">
        <v>35</v>
      </c>
      <c r="B36" s="9" t="s">
        <v>4651</v>
      </c>
      <c r="C36" s="9" t="str">
        <f aca="false">'Author Decision Queue'!$AG$36</f>
        <v/>
      </c>
      <c r="D36" s="32" t="s">
        <v>4505</v>
      </c>
      <c r="E36" s="33" t="s">
        <v>5066</v>
      </c>
      <c r="F36" s="33" t="s">
        <v>5050</v>
      </c>
      <c r="G36" s="33" t="s">
        <v>5034</v>
      </c>
      <c r="H36" s="34" t="n">
        <v>46274</v>
      </c>
      <c r="I36" s="23" t="str">
        <f aca="false">'Author Decision Queue'!$Z$36</f>
        <v>RESOLVED</v>
      </c>
      <c r="J36" s="23" t="str">
        <f aca="false">'Author Decision Queue'!$Y$36</f>
        <v>summary → God is long-suffering and patient.</v>
      </c>
      <c r="K36" s="23" t="str">
        <f aca="false">'Author Decision Queue'!$J$36</f>
        <v>Ratify RNR-H17: Long-suffering / patient</v>
      </c>
    </row>
    <row r="37" customFormat="false" ht="15.75" hidden="false" customHeight="true" outlineLevel="0" collapsed="false">
      <c r="A37" s="9" t="n">
        <v>36</v>
      </c>
      <c r="B37" s="9" t="s">
        <v>4655</v>
      </c>
      <c r="C37" s="9" t="str">
        <f aca="false">'Author Decision Queue'!$AG$37</f>
        <v/>
      </c>
      <c r="D37" s="32" t="s">
        <v>4505</v>
      </c>
      <c r="E37" s="33" t="s">
        <v>5067</v>
      </c>
      <c r="F37" s="33" t="s">
        <v>5050</v>
      </c>
      <c r="G37" s="33" t="s">
        <v>5034</v>
      </c>
      <c r="H37" s="34" t="n">
        <v>46274</v>
      </c>
      <c r="I37" s="23" t="str">
        <f aca="false">'Author Decision Queue'!$Z$37</f>
        <v>RESOLVED</v>
      </c>
      <c r="J37" s="23" t="str">
        <f aca="false">'Author Decision Queue'!$Y$37</f>
        <v>summary → God forgives sin. | Restoration phrase → “I, the Lord, will forgive whom I will forgive”</v>
      </c>
      <c r="K37" s="23" t="str">
        <f aca="false">'Author Decision Queue'!$J$37</f>
        <v>Ratify RNR-H18: Forgiving</v>
      </c>
    </row>
    <row r="38" customFormat="false" ht="15.75" hidden="false" customHeight="true" outlineLevel="0" collapsed="false">
      <c r="A38" s="9" t="n">
        <v>37</v>
      </c>
      <c r="B38" s="9" t="s">
        <v>4659</v>
      </c>
      <c r="C38" s="9" t="str">
        <f aca="false">'Author Decision Queue'!$AG$38</f>
        <v/>
      </c>
      <c r="D38" s="32" t="s">
        <v>4505</v>
      </c>
      <c r="E38" s="33" t="s">
        <v>5068</v>
      </c>
      <c r="F38" s="33" t="s">
        <v>5050</v>
      </c>
      <c r="G38" s="33" t="s">
        <v>5034</v>
      </c>
      <c r="H38" s="34" t="n">
        <v>46274</v>
      </c>
      <c r="I38" s="23" t="str">
        <f aca="false">'Author Decision Queue'!$Z$38</f>
        <v>RESOLVED</v>
      </c>
      <c r="J38" s="23" t="str">
        <f aca="false">'Author Decision Queue'!$Y$38</f>
        <v>summary → God is blessed; all blessedness is in Him. | caution → Shared. Both traditions affirm this of God in the same sense. | Restoration comparator → Alma 26:8 “Blessed be the name of our God”</v>
      </c>
      <c r="K38" s="23" t="str">
        <f aca="false">'Author Decision Queue'!$J$38</f>
        <v>Ratify RNR-H19: Blessed</v>
      </c>
    </row>
    <row r="39" customFormat="false" ht="15.75" hidden="false" customHeight="true" outlineLevel="0" collapsed="false">
      <c r="A39" s="9" t="n">
        <v>38</v>
      </c>
      <c r="B39" s="9" t="s">
        <v>4663</v>
      </c>
      <c r="C39" s="9" t="str">
        <f aca="false">'Author Decision Queue'!$AG$39</f>
        <v/>
      </c>
      <c r="D39" s="32" t="s">
        <v>4505</v>
      </c>
      <c r="E39" s="33" t="s">
        <v>5069</v>
      </c>
      <c r="F39" s="33" t="s">
        <v>5050</v>
      </c>
      <c r="G39" s="33" t="s">
        <v>5034</v>
      </c>
      <c r="H39" s="34" t="n">
        <v>46274</v>
      </c>
      <c r="I39" s="23" t="str">
        <f aca="false">'Author Decision Queue'!$Z$39</f>
        <v>RESOLVED</v>
      </c>
      <c r="J39" s="23" t="str">
        <f aca="false">'Author Decision Queue'!$Y$39</f>
        <v>summary → God is glorious. | Restoration comparator → D&amp;C 76:19–20 “we beheld the glory of the Son”</v>
      </c>
      <c r="K39" s="23" t="str">
        <f aca="false">'Author Decision Queue'!$J$39</f>
        <v>Ratify RNR-H20: Glorious</v>
      </c>
    </row>
    <row r="40" customFormat="false" ht="15.75" hidden="false" customHeight="true" outlineLevel="0" collapsed="false">
      <c r="A40" s="9" t="n">
        <v>39</v>
      </c>
      <c r="B40" s="9" t="s">
        <v>4667</v>
      </c>
      <c r="C40" s="9" t="str">
        <f aca="false">'Author Decision Queue'!$AG$40</f>
        <v/>
      </c>
      <c r="D40" s="32" t="s">
        <v>4505</v>
      </c>
      <c r="E40" s="33" t="s">
        <v>5070</v>
      </c>
      <c r="F40" s="33" t="s">
        <v>5050</v>
      </c>
      <c r="G40" s="33" t="s">
        <v>5034</v>
      </c>
      <c r="H40" s="34" t="n">
        <v>46274</v>
      </c>
      <c r="I40" s="23" t="str">
        <f aca="false">'Author Decision Queue'!$Z$40</f>
        <v>RESOLVED</v>
      </c>
      <c r="J40" s="23" t="str">
        <f aca="false">'Author Decision Queue'!$Y$40</f>
        <v>summary → God gives life.</v>
      </c>
      <c r="K40" s="23" t="str">
        <f aca="false">'Author Decision Queue'!$J$40</f>
        <v>Ratify RNR-H21: Life-giving</v>
      </c>
    </row>
    <row r="41" customFormat="false" ht="15.75" hidden="false" customHeight="true" outlineLevel="0" collapsed="false">
      <c r="A41" s="9" t="n">
        <v>40</v>
      </c>
      <c r="B41" s="9" t="s">
        <v>4672</v>
      </c>
      <c r="C41" s="9" t="str">
        <f aca="false">'Author Decision Queue'!$AG$41</f>
        <v/>
      </c>
      <c r="D41" s="32" t="s">
        <v>5025</v>
      </c>
      <c r="E41" s="33"/>
      <c r="F41" s="33" t="s">
        <v>5052</v>
      </c>
      <c r="G41" s="33" t="s">
        <v>5034</v>
      </c>
      <c r="H41" s="34" t="n">
        <v>46274</v>
      </c>
      <c r="I41" s="23" t="str">
        <f aca="false">'Author Decision Queue'!$Z$41</f>
        <v>RESOLVED</v>
      </c>
      <c r="J41" s="23" t="str">
        <f aca="false">'Author Decision Queue'!$Y$41</f>
        <v>APPROVE AS WRITTEN</v>
      </c>
      <c r="K41" s="23" t="str">
        <f aca="false">'Author Decision Queue'!$J$41</f>
        <v>Ratify RNR-H22: Creator / Maker</v>
      </c>
    </row>
    <row r="42" customFormat="false" ht="15.75" hidden="false" customHeight="true" outlineLevel="0" collapsed="false">
      <c r="A42" s="9" t="n">
        <v>41</v>
      </c>
      <c r="B42" s="9" t="s">
        <v>4676</v>
      </c>
      <c r="C42" s="9" t="str">
        <f aca="false">'Author Decision Queue'!$AG$42</f>
        <v/>
      </c>
      <c r="D42" s="32" t="s">
        <v>4505</v>
      </c>
      <c r="E42" s="33" t="s">
        <v>5071</v>
      </c>
      <c r="F42" s="33" t="s">
        <v>5050</v>
      </c>
      <c r="G42" s="33" t="s">
        <v>5034</v>
      </c>
      <c r="H42" s="34" t="n">
        <v>46274</v>
      </c>
      <c r="I42" s="23" t="str">
        <f aca="false">'Author Decision Queue'!$Z$42</f>
        <v>RESOLVED</v>
      </c>
      <c r="J42" s="23" t="str">
        <f aca="false">'Author Decision Queue'!$Y$42</f>
        <v>summary → God preserves and sustains all things.</v>
      </c>
      <c r="K42" s="23" t="str">
        <f aca="false">'Author Decision Queue'!$J$42</f>
        <v>Ratify RNR-H23: Preserver / Sustainer</v>
      </c>
    </row>
    <row r="43" customFormat="false" ht="15.75" hidden="false" customHeight="true" outlineLevel="0" collapsed="false">
      <c r="A43" s="9" t="n">
        <v>42</v>
      </c>
      <c r="B43" s="9" t="s">
        <v>4680</v>
      </c>
      <c r="C43" s="9" t="str">
        <f aca="false">'Author Decision Queue'!$AG$43</f>
        <v/>
      </c>
      <c r="D43" s="32" t="s">
        <v>4505</v>
      </c>
      <c r="E43" s="33" t="s">
        <v>5072</v>
      </c>
      <c r="F43" s="33" t="s">
        <v>5050</v>
      </c>
      <c r="G43" s="33" t="s">
        <v>5034</v>
      </c>
      <c r="H43" s="34" t="n">
        <v>46274</v>
      </c>
      <c r="I43" s="23" t="str">
        <f aca="false">'Author Decision Queue'!$Z$43</f>
        <v>RESOLVED</v>
      </c>
      <c r="J43" s="23" t="str">
        <f aca="false">'Author Decision Queue'!$Y$43</f>
        <v>summary → God governs all things.</v>
      </c>
      <c r="K43" s="23" t="str">
        <f aca="false">'Author Decision Queue'!$J$43</f>
        <v>Ratify RNR-H24: Governor / Ruler</v>
      </c>
    </row>
    <row r="44" customFormat="false" ht="15.75" hidden="false" customHeight="true" outlineLevel="0" collapsed="false">
      <c r="A44" s="9" t="n">
        <v>43</v>
      </c>
      <c r="B44" s="9" t="s">
        <v>4684</v>
      </c>
      <c r="C44" s="9" t="str">
        <f aca="false">'Author Decision Queue'!$AG$44</f>
        <v/>
      </c>
      <c r="D44" s="32" t="s">
        <v>4505</v>
      </c>
      <c r="E44" s="33" t="s">
        <v>5073</v>
      </c>
      <c r="F44" s="33" t="s">
        <v>5050</v>
      </c>
      <c r="G44" s="33" t="s">
        <v>5034</v>
      </c>
      <c r="H44" s="34" t="n">
        <v>46274</v>
      </c>
      <c r="I44" s="23" t="str">
        <f aca="false">'Author Decision Queue'!$Z$44</f>
        <v>RESOLVED</v>
      </c>
      <c r="J44" s="23" t="str">
        <f aca="false">'Author Decision Queue'!$Y$44</f>
        <v>summary → God is sovereign over all.</v>
      </c>
      <c r="K44" s="23" t="str">
        <f aca="false">'Author Decision Queue'!$J$44</f>
        <v>Ratify RNR-H25: Sovereign</v>
      </c>
    </row>
    <row r="45" customFormat="false" ht="15.75" hidden="false" customHeight="true" outlineLevel="0" collapsed="false">
      <c r="A45" s="9" t="n">
        <v>44</v>
      </c>
      <c r="B45" s="9" t="s">
        <v>4688</v>
      </c>
      <c r="C45" s="9" t="str">
        <f aca="false">'Author Decision Queue'!$AG$45</f>
        <v/>
      </c>
      <c r="D45" s="32" t="s">
        <v>4505</v>
      </c>
      <c r="E45" s="33" t="s">
        <v>5074</v>
      </c>
      <c r="F45" s="33" t="s">
        <v>5050</v>
      </c>
      <c r="G45" s="33" t="s">
        <v>5034</v>
      </c>
      <c r="H45" s="34" t="n">
        <v>46274</v>
      </c>
      <c r="I45" s="23" t="str">
        <f aca="false">'Author Decision Queue'!$Z$45</f>
        <v>RESOLVED</v>
      </c>
      <c r="J45" s="23" t="str">
        <f aca="false">'Author Decision Queue'!$Y$45</f>
        <v>summary → God judges all people.</v>
      </c>
      <c r="K45" s="23" t="str">
        <f aca="false">'Author Decision Queue'!$J$45</f>
        <v>Ratify RNR-H26: Judge</v>
      </c>
    </row>
    <row r="46" customFormat="false" ht="15.75" hidden="false" customHeight="true" outlineLevel="0" collapsed="false">
      <c r="A46" s="9" t="n">
        <v>45</v>
      </c>
      <c r="B46" s="9" t="s">
        <v>4692</v>
      </c>
      <c r="C46" s="9" t="str">
        <f aca="false">'Author Decision Queue'!$AG$46</f>
        <v/>
      </c>
      <c r="D46" s="32" t="s">
        <v>4505</v>
      </c>
      <c r="E46" s="33" t="s">
        <v>5075</v>
      </c>
      <c r="F46" s="33" t="s">
        <v>5050</v>
      </c>
      <c r="G46" s="33" t="s">
        <v>5034</v>
      </c>
      <c r="H46" s="34" t="n">
        <v>46274</v>
      </c>
      <c r="I46" s="23" t="str">
        <f aca="false">'Author Decision Queue'!$Z$46</f>
        <v>RESOLVED</v>
      </c>
      <c r="J46" s="23" t="str">
        <f aca="false">'Author Decision Queue'!$Y$46</f>
        <v>summary → God saves; Jesus Christ is the Savior.</v>
      </c>
      <c r="K46" s="23" t="str">
        <f aca="false">'Author Decision Queue'!$J$46</f>
        <v>Ratify RNR-H27: Savior</v>
      </c>
    </row>
    <row r="47" customFormat="false" ht="15.75" hidden="false" customHeight="true" outlineLevel="0" collapsed="false">
      <c r="A47" s="9" t="n">
        <v>46</v>
      </c>
      <c r="B47" s="9" t="s">
        <v>4696</v>
      </c>
      <c r="C47" s="9" t="str">
        <f aca="false">'Author Decision Queue'!$AG$47</f>
        <v/>
      </c>
      <c r="D47" s="32" t="s">
        <v>4505</v>
      </c>
      <c r="E47" s="33" t="s">
        <v>5076</v>
      </c>
      <c r="F47" s="33" t="s">
        <v>5050</v>
      </c>
      <c r="G47" s="33" t="s">
        <v>5034</v>
      </c>
      <c r="H47" s="34" t="n">
        <v>46274</v>
      </c>
      <c r="I47" s="23" t="str">
        <f aca="false">'Author Decision Queue'!$Z$47</f>
        <v>RESOLVED</v>
      </c>
      <c r="J47" s="23" t="str">
        <f aca="false">'Author Decision Queue'!$Y$47</f>
        <v>summary → God reveals Himself.</v>
      </c>
      <c r="K47" s="23" t="str">
        <f aca="false">'Author Decision Queue'!$J$47</f>
        <v>Ratify RNR-H28: Revealer</v>
      </c>
    </row>
    <row r="48" customFormat="false" ht="15.75" hidden="false" customHeight="true" outlineLevel="0" collapsed="false">
      <c r="A48" s="9" t="n">
        <v>47</v>
      </c>
      <c r="B48" s="9" t="s">
        <v>4700</v>
      </c>
      <c r="C48" s="9" t="str">
        <f aca="false">'Author Decision Queue'!$AG$48</f>
        <v/>
      </c>
      <c r="D48" s="32" t="s">
        <v>5025</v>
      </c>
      <c r="E48" s="33"/>
      <c r="F48" s="33" t="s">
        <v>5052</v>
      </c>
      <c r="G48" s="33" t="s">
        <v>5034</v>
      </c>
      <c r="H48" s="34" t="n">
        <v>46274</v>
      </c>
      <c r="I48" s="23" t="str">
        <f aca="false">'Author Decision Queue'!$Z$48</f>
        <v>RESOLVED</v>
      </c>
      <c r="J48" s="23" t="str">
        <f aca="false">'Author Decision Queue'!$Y$48</f>
        <v>APPROVE AS WRITTEN</v>
      </c>
      <c r="K48" s="23" t="str">
        <f aca="false">'Author Decision Queue'!$J$48</f>
        <v>Ratify RNR-H29: Fountain of being</v>
      </c>
    </row>
    <row r="49" customFormat="false" ht="15.75" hidden="false" customHeight="true" outlineLevel="0" collapsed="false">
      <c r="A49" s="9" t="n">
        <v>48</v>
      </c>
      <c r="B49" s="9" t="s">
        <v>4704</v>
      </c>
      <c r="C49" s="9" t="str">
        <f aca="false">'Author Decision Queue'!$AG$49</f>
        <v/>
      </c>
      <c r="D49" s="32" t="s">
        <v>4505</v>
      </c>
      <c r="E49" s="33" t="s">
        <v>5077</v>
      </c>
      <c r="F49" s="33" t="s">
        <v>5050</v>
      </c>
      <c r="G49" s="33" t="s">
        <v>5034</v>
      </c>
      <c r="H49" s="34" t="n">
        <v>46274</v>
      </c>
      <c r="I49" s="23" t="str">
        <f aca="false">'Author Decision Queue'!$Z$49</f>
        <v>RESOLVED</v>
      </c>
      <c r="J49" s="23" t="str">
        <f aca="false">'Author Decision Queue'!$Y$49</f>
        <v>summary → Jesus Christ is the Word.</v>
      </c>
      <c r="K49" s="23" t="str">
        <f aca="false">'Author Decision Queue'!$J$49</f>
        <v>Ratify RNR-H30: Word / Logos</v>
      </c>
    </row>
    <row r="50" customFormat="false" ht="15.75" hidden="false" customHeight="true" outlineLevel="0" collapsed="false">
      <c r="A50" s="9" t="n">
        <v>49</v>
      </c>
      <c r="B50" s="9" t="s">
        <v>4708</v>
      </c>
      <c r="C50" s="9" t="str">
        <f aca="false">'Author Decision Queue'!$AG$50</f>
        <v/>
      </c>
      <c r="D50" s="32" t="s">
        <v>4505</v>
      </c>
      <c r="E50" s="33" t="s">
        <v>5078</v>
      </c>
      <c r="F50" s="33" t="s">
        <v>5050</v>
      </c>
      <c r="G50" s="33" t="s">
        <v>5034</v>
      </c>
      <c r="H50" s="34" t="n">
        <v>46274</v>
      </c>
      <c r="I50" s="23" t="str">
        <f aca="false">'Author Decision Queue'!$Z$50</f>
        <v>RESOLVED</v>
      </c>
      <c r="J50" s="23" t="str">
        <f aca="false">'Author Decision Queue'!$Y$50</f>
        <v>summary → Jesus Christ is the Wisdom of God.</v>
      </c>
      <c r="K50" s="23" t="str">
        <f aca="false">'Author Decision Queue'!$J$50</f>
        <v>Ratify RNR-H31: Wisdom</v>
      </c>
    </row>
    <row r="51" customFormat="false" ht="15.75" hidden="false" customHeight="true" outlineLevel="0" collapsed="false">
      <c r="A51" s="9" t="n">
        <v>50</v>
      </c>
      <c r="B51" s="9" t="s">
        <v>4712</v>
      </c>
      <c r="C51" s="9" t="str">
        <f aca="false">'Author Decision Queue'!$AG$51</f>
        <v/>
      </c>
      <c r="D51" s="32" t="s">
        <v>4505</v>
      </c>
      <c r="E51" s="33" t="s">
        <v>5079</v>
      </c>
      <c r="F51" s="33" t="s">
        <v>5050</v>
      </c>
      <c r="G51" s="33" t="s">
        <v>5034</v>
      </c>
      <c r="H51" s="34" t="n">
        <v>46274</v>
      </c>
      <c r="I51" s="23" t="str">
        <f aca="false">'Author Decision Queue'!$Z$51</f>
        <v>RESOLVED</v>
      </c>
      <c r="J51" s="23" t="str">
        <f aca="false">'Author Decision Queue'!$Y$51</f>
        <v>summary → Names Christ as the Light.</v>
      </c>
      <c r="K51" s="23" t="str">
        <f aca="false">'Author Decision Queue'!$J$51</f>
        <v>Ratify RNR-H32: Light</v>
      </c>
    </row>
    <row r="52" customFormat="false" ht="15.75" hidden="false" customHeight="true" outlineLevel="0" collapsed="false">
      <c r="A52" s="9" t="n">
        <v>51</v>
      </c>
      <c r="B52" s="9" t="s">
        <v>4716</v>
      </c>
      <c r="C52" s="9" t="str">
        <f aca="false">'Author Decision Queue'!$AG$52</f>
        <v/>
      </c>
      <c r="D52" s="32" t="s">
        <v>4505</v>
      </c>
      <c r="E52" s="33" t="s">
        <v>5080</v>
      </c>
      <c r="F52" s="33" t="s">
        <v>5050</v>
      </c>
      <c r="G52" s="33" t="s">
        <v>5034</v>
      </c>
      <c r="H52" s="34" t="n">
        <v>46274</v>
      </c>
      <c r="I52" s="23" t="str">
        <f aca="false">'Author Decision Queue'!$Z$52</f>
        <v>RESOLVED</v>
      </c>
      <c r="J52" s="23" t="str">
        <f aca="false">'Author Decision Queue'!$Y$52</f>
        <v>summary → Jesus Christ is the image of the Father.</v>
      </c>
      <c r="K52" s="23" t="str">
        <f aca="false">'Author Decision Queue'!$J$52</f>
        <v>Ratify RNR-H33: Image of the Father</v>
      </c>
    </row>
    <row r="53" customFormat="false" ht="15.75" hidden="false" customHeight="true" outlineLevel="0" collapsed="false">
      <c r="A53" s="9" t="n">
        <v>52</v>
      </c>
      <c r="B53" s="9" t="s">
        <v>4720</v>
      </c>
      <c r="C53" s="9" t="str">
        <f aca="false">'Author Decision Queue'!$AG$53</f>
        <v/>
      </c>
      <c r="D53" s="32" t="s">
        <v>4505</v>
      </c>
      <c r="E53" s="33" t="s">
        <v>5081</v>
      </c>
      <c r="F53" s="33" t="s">
        <v>5050</v>
      </c>
      <c r="G53" s="33" t="s">
        <v>5034</v>
      </c>
      <c r="H53" s="34" t="n">
        <v>46274</v>
      </c>
      <c r="I53" s="23" t="str">
        <f aca="false">'Author Decision Queue'!$Z$53</f>
        <v>RESOLVED</v>
      </c>
      <c r="J53" s="23" t="str">
        <f aca="false">'Author Decision Queue'!$Y$53</f>
        <v>summary → The Holy Spirit gives life.</v>
      </c>
      <c r="K53" s="23" t="str">
        <f aca="false">'Author Decision Queue'!$J$53</f>
        <v>Ratify RNR-H34: Giver of life</v>
      </c>
    </row>
    <row r="54" customFormat="false" ht="15.75" hidden="false" customHeight="true" outlineLevel="0" collapsed="false">
      <c r="A54" s="9" t="n">
        <v>53</v>
      </c>
      <c r="B54" s="9" t="s">
        <v>4724</v>
      </c>
      <c r="C54" s="9" t="str">
        <f aca="false">'Author Decision Queue'!$AG$54</f>
        <v/>
      </c>
      <c r="D54" s="32" t="s">
        <v>4505</v>
      </c>
      <c r="E54" s="33" t="s">
        <v>5082</v>
      </c>
      <c r="F54" s="33" t="s">
        <v>5050</v>
      </c>
      <c r="G54" s="33" t="s">
        <v>5034</v>
      </c>
      <c r="H54" s="34" t="n">
        <v>46274</v>
      </c>
      <c r="I54" s="23" t="str">
        <f aca="false">'Author Decision Queue'!$Z$54</f>
        <v>RESOLVED</v>
      </c>
      <c r="J54" s="23" t="str">
        <f aca="false">'Author Decision Queue'!$Y$54</f>
        <v>summary → The Holy Spirit is eternal power and might.</v>
      </c>
      <c r="K54" s="23" t="str">
        <f aca="false">'Author Decision Queue'!$J$54</f>
        <v>Ratify RNR-H35: Eternal power and might</v>
      </c>
    </row>
    <row r="55" customFormat="false" ht="15.75" hidden="false" customHeight="true" outlineLevel="0" collapsed="false">
      <c r="A55" s="9" t="n">
        <v>54</v>
      </c>
      <c r="B55" s="9" t="s">
        <v>4728</v>
      </c>
      <c r="C55" s="9" t="str">
        <f aca="false">'Author Decision Queue'!$AG$55</f>
        <v/>
      </c>
      <c r="D55" s="32" t="s">
        <v>5025</v>
      </c>
      <c r="E55" s="33"/>
      <c r="F55" s="33" t="s">
        <v>5052</v>
      </c>
      <c r="G55" s="33" t="s">
        <v>5034</v>
      </c>
      <c r="H55" s="34" t="n">
        <v>46274</v>
      </c>
      <c r="I55" s="23" t="str">
        <f aca="false">'Author Decision Queue'!$Z$55</f>
        <v>RESOLVED</v>
      </c>
      <c r="J55" s="23" t="str">
        <f aca="false">'Author Decision Queue'!$Y$55</f>
        <v>APPROVE AS WRITTEN</v>
      </c>
      <c r="K55" s="23" t="str">
        <f aca="false">'Author Decision Queue'!$J$55</f>
        <v>Ratify RNR-H36: Uncreated</v>
      </c>
    </row>
    <row r="56" customFormat="false" ht="15.75" hidden="false" customHeight="true" outlineLevel="0" collapsed="false">
      <c r="A56" s="9" t="n">
        <v>55</v>
      </c>
      <c r="B56" s="9" t="s">
        <v>4733</v>
      </c>
      <c r="C56" s="9" t="str">
        <f aca="false">'Author Decision Queue'!$AG$56</f>
        <v/>
      </c>
      <c r="D56" s="32" t="s">
        <v>5025</v>
      </c>
      <c r="E56" s="33"/>
      <c r="F56" s="33" t="s">
        <v>5052</v>
      </c>
      <c r="G56" s="33" t="s">
        <v>5034</v>
      </c>
      <c r="H56" s="34" t="n">
        <v>46274</v>
      </c>
      <c r="I56" s="23" t="str">
        <f aca="false">'Author Decision Queue'!$Z$56</f>
        <v>RESOLVED</v>
      </c>
      <c r="J56" s="23" t="str">
        <f aca="false">'Author Decision Queue'!$Y$56</f>
        <v>APPROVE AS WRITTEN</v>
      </c>
      <c r="K56" s="23" t="str">
        <f aca="false">'Author Decision Queue'!$J$56</f>
        <v>Ratify RNR-H37: Unbegotten</v>
      </c>
    </row>
    <row r="57" customFormat="false" ht="15.75" hidden="false" customHeight="true" outlineLevel="0" collapsed="false">
      <c r="A57" s="9" t="n">
        <v>56</v>
      </c>
      <c r="B57" s="9" t="s">
        <v>4737</v>
      </c>
      <c r="C57" s="9" t="str">
        <f aca="false">'Author Decision Queue'!$AG$57</f>
        <v/>
      </c>
      <c r="D57" s="32" t="s">
        <v>4505</v>
      </c>
      <c r="E57" s="33" t="s">
        <v>5083</v>
      </c>
      <c r="F57" s="33" t="s">
        <v>5050</v>
      </c>
      <c r="G57" s="33" t="s">
        <v>5034</v>
      </c>
      <c r="H57" s="34" t="n">
        <v>46274</v>
      </c>
      <c r="I57" s="23" t="str">
        <f aca="false">'Author Decision Queue'!$Z$57</f>
        <v>RESOLVED</v>
      </c>
      <c r="J57" s="23" t="str">
        <f aca="false">'Author Decision Queue'!$Y$57</f>
        <v>summary → Denies that the Son is a created being.</v>
      </c>
      <c r="K57" s="23" t="str">
        <f aca="false">'Author Decision Queue'!$J$57</f>
        <v>Ratify RNR-H38: Not made</v>
      </c>
    </row>
    <row r="58" customFormat="false" ht="15.75" hidden="false" customHeight="true" outlineLevel="0" collapsed="false">
      <c r="A58" s="9" t="n">
        <v>57</v>
      </c>
      <c r="B58" s="9" t="s">
        <v>4741</v>
      </c>
      <c r="C58" s="9" t="str">
        <f aca="false">'Author Decision Queue'!$AG$58</f>
        <v/>
      </c>
      <c r="D58" s="32" t="s">
        <v>5025</v>
      </c>
      <c r="E58" s="33"/>
      <c r="F58" s="33" t="s">
        <v>5052</v>
      </c>
      <c r="G58" s="33" t="s">
        <v>5034</v>
      </c>
      <c r="H58" s="34" t="n">
        <v>46274</v>
      </c>
      <c r="I58" s="23" t="str">
        <f aca="false">'Author Decision Queue'!$Z$58</f>
        <v>RESOLVED</v>
      </c>
      <c r="J58" s="23" t="str">
        <f aca="false">'Author Decision Queue'!$Y$58</f>
        <v>APPROVE AS WRITTEN</v>
      </c>
      <c r="K58" s="23" t="str">
        <f aca="false">'Author Decision Queue'!$J$58</f>
        <v>Ratify RNR-H39: Infinite</v>
      </c>
    </row>
    <row r="59" customFormat="false" ht="15.75" hidden="false" customHeight="true" outlineLevel="0" collapsed="false">
      <c r="A59" s="9" t="n">
        <v>58</v>
      </c>
      <c r="B59" s="9" t="s">
        <v>4745</v>
      </c>
      <c r="C59" s="9" t="str">
        <f aca="false">'Author Decision Queue'!$AG$59</f>
        <v/>
      </c>
      <c r="D59" s="32" t="s">
        <v>5025</v>
      </c>
      <c r="E59" s="33"/>
      <c r="F59" s="33" t="s">
        <v>5052</v>
      </c>
      <c r="G59" s="33" t="s">
        <v>5034</v>
      </c>
      <c r="H59" s="34" t="n">
        <v>46274</v>
      </c>
      <c r="I59" s="23" t="str">
        <f aca="false">'Author Decision Queue'!$Z$59</f>
        <v>RESOLVED</v>
      </c>
      <c r="J59" s="23" t="str">
        <f aca="false">'Author Decision Queue'!$Y$59</f>
        <v>APPROVE AS WRITTEN</v>
      </c>
      <c r="K59" s="23" t="str">
        <f aca="false">'Author Decision Queue'!$J$59</f>
        <v>Ratify RNR-H40: Immense / immeasurable</v>
      </c>
    </row>
    <row r="60" customFormat="false" ht="15.75" hidden="false" customHeight="true" outlineLevel="0" collapsed="false">
      <c r="A60" s="9" t="n">
        <v>59</v>
      </c>
      <c r="B60" s="9" t="s">
        <v>4749</v>
      </c>
      <c r="C60" s="9" t="str">
        <f aca="false">'Author Decision Queue'!$AG$60</f>
        <v/>
      </c>
      <c r="D60" s="32" t="s">
        <v>5025</v>
      </c>
      <c r="E60" s="33"/>
      <c r="F60" s="33" t="s">
        <v>5052</v>
      </c>
      <c r="G60" s="33" t="s">
        <v>5034</v>
      </c>
      <c r="H60" s="34" t="n">
        <v>46274</v>
      </c>
      <c r="I60" s="23" t="str">
        <f aca="false">'Author Decision Queue'!$Z$60</f>
        <v>RESOLVED</v>
      </c>
      <c r="J60" s="23" t="str">
        <f aca="false">'Author Decision Queue'!$Y$60</f>
        <v>APPROVE AS WRITTEN</v>
      </c>
      <c r="K60" s="23" t="str">
        <f aca="false">'Author Decision Queue'!$J$60</f>
        <v>Ratify RNR-H41: Invisible</v>
      </c>
    </row>
    <row r="61" customFormat="false" ht="15.75" hidden="false" customHeight="true" outlineLevel="0" collapsed="false">
      <c r="A61" s="9" t="n">
        <v>60</v>
      </c>
      <c r="B61" s="9" t="s">
        <v>4753</v>
      </c>
      <c r="C61" s="9" t="str">
        <f aca="false">'Author Decision Queue'!$AG$61</f>
        <v/>
      </c>
      <c r="D61" s="32" t="s">
        <v>5025</v>
      </c>
      <c r="E61" s="33"/>
      <c r="F61" s="33" t="s">
        <v>5052</v>
      </c>
      <c r="G61" s="33" t="s">
        <v>5034</v>
      </c>
      <c r="H61" s="34" t="n">
        <v>46274</v>
      </c>
      <c r="I61" s="23" t="str">
        <f aca="false">'Author Decision Queue'!$Z$61</f>
        <v>RESOLVED</v>
      </c>
      <c r="J61" s="23" t="str">
        <f aca="false">'Author Decision Queue'!$Y$61</f>
        <v>APPROVE AS WRITTEN</v>
      </c>
      <c r="K61" s="23" t="str">
        <f aca="false">'Author Decision Queue'!$J$61</f>
        <v>Ratify RNR-H42: Incorporeal / without body</v>
      </c>
    </row>
    <row r="62" customFormat="false" ht="15.75" hidden="false" customHeight="true" outlineLevel="0" collapsed="false">
      <c r="A62" s="9" t="n">
        <v>61</v>
      </c>
      <c r="B62" s="9" t="s">
        <v>4757</v>
      </c>
      <c r="C62" s="9" t="str">
        <f aca="false">'Author Decision Queue'!$AG$62</f>
        <v/>
      </c>
      <c r="D62" s="32" t="s">
        <v>5025</v>
      </c>
      <c r="E62" s="33"/>
      <c r="F62" s="33" t="s">
        <v>5052</v>
      </c>
      <c r="G62" s="33" t="s">
        <v>5034</v>
      </c>
      <c r="H62" s="34" t="n">
        <v>46274</v>
      </c>
      <c r="I62" s="23" t="str">
        <f aca="false">'Author Decision Queue'!$Z$62</f>
        <v>RESOLVED</v>
      </c>
      <c r="J62" s="23" t="str">
        <f aca="false">'Author Decision Queue'!$Y$62</f>
        <v>APPROVE AS WRITTEN</v>
      </c>
      <c r="K62" s="23" t="str">
        <f aca="false">'Author Decision Queue'!$J$62</f>
        <v>Ratify RNR-H43: Without parts / simple</v>
      </c>
    </row>
    <row r="63" customFormat="false" ht="15.75" hidden="false" customHeight="true" outlineLevel="0" collapsed="false">
      <c r="A63" s="9" t="n">
        <v>62</v>
      </c>
      <c r="B63" s="9" t="s">
        <v>4761</v>
      </c>
      <c r="C63" s="9" t="str">
        <f aca="false">'Author Decision Queue'!$AG$63</f>
        <v/>
      </c>
      <c r="D63" s="32" t="s">
        <v>4505</v>
      </c>
      <c r="E63" s="33" t="s">
        <v>5084</v>
      </c>
      <c r="F63" s="33" t="s">
        <v>5050</v>
      </c>
      <c r="G63" s="33" t="s">
        <v>5034</v>
      </c>
      <c r="H63" s="34" t="n">
        <v>46274</v>
      </c>
      <c r="I63" s="23" t="str">
        <f aca="false">'Author Decision Queue'!$Z$63</f>
        <v>RESOLVED</v>
      </c>
      <c r="J63" s="23" t="str">
        <f aca="false">'Author Decision Queue'!$Y$63</f>
        <v>summary → Denies that God can be moved or affected by His creatures (classical impassibility).</v>
      </c>
      <c r="K63" s="23" t="str">
        <f aca="false">'Author Decision Queue'!$J$63</f>
        <v>Ratify RNR-H44: Without passions / impassible</v>
      </c>
    </row>
    <row r="64" customFormat="false" ht="15.75" hidden="false" customHeight="true" outlineLevel="0" collapsed="false">
      <c r="A64" s="9" t="n">
        <v>63</v>
      </c>
      <c r="B64" s="9" t="s">
        <v>4765</v>
      </c>
      <c r="C64" s="9" t="str">
        <f aca="false">'Author Decision Queue'!$AG$64</f>
        <v/>
      </c>
      <c r="D64" s="32" t="s">
        <v>5025</v>
      </c>
      <c r="E64" s="33"/>
      <c r="F64" s="33" t="s">
        <v>5052</v>
      </c>
      <c r="G64" s="33" t="s">
        <v>5034</v>
      </c>
      <c r="H64" s="34" t="n">
        <v>46274</v>
      </c>
      <c r="I64" s="23" t="str">
        <f aca="false">'Author Decision Queue'!$Z$64</f>
        <v>RESOLVED</v>
      </c>
      <c r="J64" s="23" t="str">
        <f aca="false">'Author Decision Queue'!$Y$64</f>
        <v>APPROVE AS WRITTEN</v>
      </c>
      <c r="K64" s="23" t="str">
        <f aca="false">'Author Decision Queue'!$J$64</f>
        <v>Ratify RNR-H45: Immutable / unchangeable</v>
      </c>
    </row>
    <row r="65" customFormat="false" ht="15.75" hidden="false" customHeight="true" outlineLevel="0" collapsed="false">
      <c r="A65" s="9" t="n">
        <v>64</v>
      </c>
      <c r="B65" s="9" t="s">
        <v>4769</v>
      </c>
      <c r="C65" s="9" t="str">
        <f aca="false">'Author Decision Queue'!$AG$65</f>
        <v/>
      </c>
      <c r="D65" s="32" t="s">
        <v>4505</v>
      </c>
      <c r="E65" s="33" t="s">
        <v>5085</v>
      </c>
      <c r="F65" s="33" t="s">
        <v>5050</v>
      </c>
      <c r="G65" s="33" t="s">
        <v>5034</v>
      </c>
      <c r="H65" s="34" t="n">
        <v>46274</v>
      </c>
      <c r="I65" s="23" t="str">
        <f aca="false">'Author Decision Queue'!$Z$65</f>
        <v>RESOLVED</v>
      </c>
      <c r="J65" s="23" t="str">
        <f aca="false">'Author Decision Queue'!$Y$65</f>
        <v>summary → God is eternal — without beginning or end.</v>
      </c>
      <c r="K65" s="23" t="str">
        <f aca="false">'Author Decision Queue'!$J$65</f>
        <v>Ratify RNR-H46: Eternal</v>
      </c>
    </row>
    <row r="66" customFormat="false" ht="15.75" hidden="false" customHeight="true" outlineLevel="0" collapsed="false">
      <c r="A66" s="9" t="n">
        <v>65</v>
      </c>
      <c r="B66" s="9" t="s">
        <v>4773</v>
      </c>
      <c r="C66" s="9" t="str">
        <f aca="false">'Author Decision Queue'!$AG$66</f>
        <v/>
      </c>
      <c r="D66" s="32" t="s">
        <v>4505</v>
      </c>
      <c r="E66" s="33" t="s">
        <v>5086</v>
      </c>
      <c r="F66" s="33" t="s">
        <v>5050</v>
      </c>
      <c r="G66" s="33" t="s">
        <v>5034</v>
      </c>
      <c r="H66" s="34" t="n">
        <v>46274</v>
      </c>
      <c r="I66" s="23" t="str">
        <f aca="false">'Author Decision Queue'!$Z$66</f>
        <v>RESOLVED</v>
      </c>
      <c r="J66" s="23" t="str">
        <f aca="false">'Author Decision Queue'!$Y$66</f>
        <v>summary → God cannot be fully comprehended.</v>
      </c>
      <c r="K66" s="23" t="str">
        <f aca="false">'Author Decision Queue'!$J$66</f>
        <v>Ratify RNR-H47: Incomprehensible</v>
      </c>
    </row>
    <row r="67" customFormat="false" ht="15.75" hidden="false" customHeight="true" outlineLevel="0" collapsed="false">
      <c r="A67" s="9" t="n">
        <v>66</v>
      </c>
      <c r="B67" s="9" t="s">
        <v>4777</v>
      </c>
      <c r="C67" s="9" t="str">
        <f aca="false">'Author Decision Queue'!$AG$67</f>
        <v/>
      </c>
      <c r="D67" s="32" t="s">
        <v>4505</v>
      </c>
      <c r="E67" s="33" t="s">
        <v>5087</v>
      </c>
      <c r="F67" s="33" t="s">
        <v>5050</v>
      </c>
      <c r="G67" s="33" t="s">
        <v>5034</v>
      </c>
      <c r="H67" s="34" t="n">
        <v>46274</v>
      </c>
      <c r="I67" s="23" t="str">
        <f aca="false">'Author Decision Queue'!$Z$67</f>
        <v>RESOLVED</v>
      </c>
      <c r="J67" s="23" t="str">
        <f aca="false">'Author Decision Queue'!$Y$67</f>
        <v>summary → God cannot be fully put into words.</v>
      </c>
      <c r="K67" s="23" t="str">
        <f aca="false">'Author Decision Queue'!$J$67</f>
        <v>Ratify RNR-H48: Ineffable</v>
      </c>
    </row>
    <row r="68" customFormat="false" ht="15.75" hidden="false" customHeight="true" outlineLevel="0" collapsed="false">
      <c r="A68" s="9" t="n">
        <v>67</v>
      </c>
      <c r="B68" s="9" t="s">
        <v>4781</v>
      </c>
      <c r="C68" s="9" t="str">
        <f aca="false">'Author Decision Queue'!$AG$68</f>
        <v/>
      </c>
      <c r="D68" s="32" t="s">
        <v>4505</v>
      </c>
      <c r="E68" s="33" t="s">
        <v>5088</v>
      </c>
      <c r="F68" s="33" t="s">
        <v>5050</v>
      </c>
      <c r="G68" s="33" t="s">
        <v>5034</v>
      </c>
      <c r="H68" s="34" t="n">
        <v>46274</v>
      </c>
      <c r="I68" s="23" t="str">
        <f aca="false">'Author Decision Queue'!$Z$68</f>
        <v>RESOLVED</v>
      </c>
      <c r="J68" s="23" t="str">
        <f aca="false">'Author Decision Queue'!$Y$68</f>
        <v>summary → God's counsels cannot be fully searched out.</v>
      </c>
      <c r="K68" s="23" t="str">
        <f aca="false">'Author Decision Queue'!$J$68</f>
        <v>Ratify RNR-H49: Inscrutable</v>
      </c>
    </row>
    <row r="69" customFormat="false" ht="15.75" hidden="false" customHeight="true" outlineLevel="0" collapsed="false">
      <c r="A69" s="9" t="n">
        <v>68</v>
      </c>
      <c r="B69" s="9" t="s">
        <v>4785</v>
      </c>
      <c r="C69" s="9" t="str">
        <f aca="false">'Author Decision Queue'!$AG$69</f>
        <v/>
      </c>
      <c r="D69" s="32" t="s">
        <v>5025</v>
      </c>
      <c r="E69" s="33"/>
      <c r="F69" s="33" t="s">
        <v>5052</v>
      </c>
      <c r="G69" s="33" t="s">
        <v>5034</v>
      </c>
      <c r="H69" s="34" t="n">
        <v>46274</v>
      </c>
      <c r="I69" s="23" t="str">
        <f aca="false">'Author Decision Queue'!$Z$69</f>
        <v>RESOLVED</v>
      </c>
      <c r="J69" s="23" t="str">
        <f aca="false">'Author Decision Queue'!$Y$69</f>
        <v>APPROVE AS WRITTEN</v>
      </c>
      <c r="K69" s="23" t="str">
        <f aca="false">'Author Decision Queue'!$J$69</f>
        <v>Ratify RNR-H50: Not circumscribed / not contained</v>
      </c>
    </row>
    <row r="70" customFormat="false" ht="15.75" hidden="false" customHeight="true" outlineLevel="0" collapsed="false">
      <c r="A70" s="9" t="n">
        <v>69</v>
      </c>
      <c r="B70" s="9" t="s">
        <v>4789</v>
      </c>
      <c r="C70" s="9" t="str">
        <f aca="false">'Author Decision Queue'!$AG$70</f>
        <v/>
      </c>
      <c r="D70" s="32" t="s">
        <v>5025</v>
      </c>
      <c r="E70" s="33"/>
      <c r="F70" s="33" t="s">
        <v>5052</v>
      </c>
      <c r="G70" s="33" t="s">
        <v>5034</v>
      </c>
      <c r="H70" s="34" t="n">
        <v>46274</v>
      </c>
      <c r="I70" s="23" t="str">
        <f aca="false">'Author Decision Queue'!$Z$70</f>
        <v>RESOLVED</v>
      </c>
      <c r="J70" s="23" t="str">
        <f aca="false">'Author Decision Queue'!$Y$70</f>
        <v>APPROVE AS WRITTEN</v>
      </c>
      <c r="K70" s="23" t="str">
        <f aca="false">'Author Decision Queue'!$J$70</f>
        <v>Ratify RNR-H51: No adequate likeness or comparison</v>
      </c>
    </row>
    <row r="71" customFormat="false" ht="15.75" hidden="false" customHeight="true" outlineLevel="0" collapsed="false">
      <c r="A71" s="9" t="n">
        <v>70</v>
      </c>
      <c r="B71" s="9" t="s">
        <v>4793</v>
      </c>
      <c r="C71" s="9" t="str">
        <f aca="false">'Author Decision Queue'!$AG$71</f>
        <v/>
      </c>
      <c r="D71" s="32" t="s">
        <v>4505</v>
      </c>
      <c r="E71" s="33" t="s">
        <v>5089</v>
      </c>
      <c r="F71" s="33" t="s">
        <v>5050</v>
      </c>
      <c r="G71" s="33" t="s">
        <v>5034</v>
      </c>
      <c r="H71" s="34" t="n">
        <v>46274</v>
      </c>
      <c r="I71" s="23" t="str">
        <f aca="false">'Author Decision Queue'!$Z$71</f>
        <v>RESOLVED</v>
      </c>
      <c r="J71" s="23" t="str">
        <f aca="false">'Author Decision Queue'!$Y$71</f>
        <v>Restoration phrase → “the Only Begotten Son in the flesh”</v>
      </c>
      <c r="K71" s="23" t="str">
        <f aca="false">'Author Decision Queue'!$J$71</f>
        <v>Ratify RNR-H52: Without confusion</v>
      </c>
    </row>
    <row r="72" customFormat="false" ht="15.75" hidden="false" customHeight="true" outlineLevel="0" collapsed="false">
      <c r="A72" s="9" t="n">
        <v>71</v>
      </c>
      <c r="B72" s="9" t="s">
        <v>4798</v>
      </c>
      <c r="C72" s="9" t="str">
        <f aca="false">'Author Decision Queue'!$AG$72</f>
        <v/>
      </c>
      <c r="D72" s="32" t="s">
        <v>4505</v>
      </c>
      <c r="E72" s="33" t="s">
        <v>5089</v>
      </c>
      <c r="F72" s="33" t="s">
        <v>5050</v>
      </c>
      <c r="G72" s="33" t="s">
        <v>5034</v>
      </c>
      <c r="H72" s="34" t="n">
        <v>46274</v>
      </c>
      <c r="I72" s="23" t="str">
        <f aca="false">'Author Decision Queue'!$Z$72</f>
        <v>RESOLVED</v>
      </c>
      <c r="J72" s="23" t="str">
        <f aca="false">'Author Decision Queue'!$Y$72</f>
        <v>Restoration phrase → “the Only Begotten Son in the flesh”</v>
      </c>
      <c r="K72" s="23" t="str">
        <f aca="false">'Author Decision Queue'!$J$72</f>
        <v>Ratify RNR-H53: Without change</v>
      </c>
    </row>
    <row r="73" customFormat="false" ht="15.75" hidden="false" customHeight="true" outlineLevel="0" collapsed="false">
      <c r="A73" s="9" t="n">
        <v>72</v>
      </c>
      <c r="B73" s="9" t="s">
        <v>4802</v>
      </c>
      <c r="C73" s="9" t="str">
        <f aca="false">'Author Decision Queue'!$AG$73</f>
        <v/>
      </c>
      <c r="D73" s="32" t="s">
        <v>4505</v>
      </c>
      <c r="E73" s="33" t="s">
        <v>5089</v>
      </c>
      <c r="F73" s="33" t="s">
        <v>5050</v>
      </c>
      <c r="G73" s="33" t="s">
        <v>5034</v>
      </c>
      <c r="H73" s="34" t="n">
        <v>46274</v>
      </c>
      <c r="I73" s="23" t="str">
        <f aca="false">'Author Decision Queue'!$Z$73</f>
        <v>RESOLVED</v>
      </c>
      <c r="J73" s="23" t="str">
        <f aca="false">'Author Decision Queue'!$Y$73</f>
        <v>Restoration phrase → “the Only Begotten Son in the flesh”</v>
      </c>
      <c r="K73" s="23" t="str">
        <f aca="false">'Author Decision Queue'!$J$73</f>
        <v>Ratify RNR-H54: Without division</v>
      </c>
    </row>
    <row r="74" customFormat="false" ht="15.75" hidden="false" customHeight="true" outlineLevel="0" collapsed="false">
      <c r="A74" s="9" t="n">
        <v>73</v>
      </c>
      <c r="B74" s="9" t="s">
        <v>4806</v>
      </c>
      <c r="C74" s="9" t="str">
        <f aca="false">'Author Decision Queue'!$AG$74</f>
        <v/>
      </c>
      <c r="D74" s="32" t="s">
        <v>4505</v>
      </c>
      <c r="E74" s="33" t="s">
        <v>5089</v>
      </c>
      <c r="F74" s="33" t="s">
        <v>5050</v>
      </c>
      <c r="G74" s="33" t="s">
        <v>5034</v>
      </c>
      <c r="H74" s="34" t="n">
        <v>46274</v>
      </c>
      <c r="I74" s="23" t="str">
        <f aca="false">'Author Decision Queue'!$Z$74</f>
        <v>RESOLVED</v>
      </c>
      <c r="J74" s="23" t="str">
        <f aca="false">'Author Decision Queue'!$Y$74</f>
        <v>Restoration phrase → “the Only Begotten Son in the flesh”</v>
      </c>
      <c r="K74" s="23" t="str">
        <f aca="false">'Author Decision Queue'!$J$74</f>
        <v>Ratify RNR-H55: Without separation</v>
      </c>
    </row>
    <row r="75" customFormat="false" ht="15.75" hidden="false" customHeight="true" outlineLevel="0" collapsed="false">
      <c r="A75" s="9" t="n">
        <v>74</v>
      </c>
      <c r="B75" s="9" t="s">
        <v>4810</v>
      </c>
      <c r="C75" s="9" t="str">
        <f aca="false">'Author Decision Queue'!$AG$75</f>
        <v/>
      </c>
      <c r="D75" s="32" t="s">
        <v>5025</v>
      </c>
      <c r="E75" s="33"/>
      <c r="F75" s="33" t="s">
        <v>5052</v>
      </c>
      <c r="G75" s="33" t="s">
        <v>5034</v>
      </c>
      <c r="H75" s="34" t="n">
        <v>46274</v>
      </c>
      <c r="I75" s="23" t="str">
        <f aca="false">'Author Decision Queue'!$Z$75</f>
        <v>RESOLVED</v>
      </c>
      <c r="J75" s="23" t="str">
        <f aca="false">'Author Decision Queue'!$Y$75</f>
        <v>APPROVE AS WRITTEN</v>
      </c>
      <c r="K75" s="23" t="str">
        <f aca="false">'Author Decision Queue'!$J$75</f>
        <v>Ratify RNR-H56: Neither confounding nor dividing</v>
      </c>
    </row>
    <row r="76" customFormat="false" ht="15.75" hidden="false" customHeight="true" outlineLevel="0" collapsed="false">
      <c r="A76" s="9" t="n">
        <v>75</v>
      </c>
      <c r="B76" s="9" t="s">
        <v>4814</v>
      </c>
      <c r="C76" s="9" t="str">
        <f aca="false">'Author Decision Queue'!$AG$76</f>
        <v/>
      </c>
      <c r="D76" s="32" t="s">
        <v>4505</v>
      </c>
      <c r="E76" s="33" t="s">
        <v>5090</v>
      </c>
      <c r="F76" s="33" t="s">
        <v>5050</v>
      </c>
      <c r="G76" s="33" t="s">
        <v>5034</v>
      </c>
      <c r="H76" s="34" t="n">
        <v>46274</v>
      </c>
      <c r="I76" s="23" t="str">
        <f aca="false">'Author Decision Queue'!$Z$76</f>
        <v>RESOLVED</v>
      </c>
      <c r="J76" s="23" t="str">
        <f aca="false">'Author Decision Queue'!$Y$76</f>
        <v>Restoration phrase → “a beloved spirit son or daughter of heavenly parents”</v>
      </c>
      <c r="K76" s="23" t="str">
        <f aca="false">'Author Decision Queue'!$J$76</f>
        <v>Ratify RNR-H57: Greater dissimilarity than similarity</v>
      </c>
    </row>
    <row r="77" customFormat="false" ht="15.75" hidden="false" customHeight="true" outlineLevel="0" collapsed="false">
      <c r="A77" s="9" t="n">
        <v>76</v>
      </c>
      <c r="B77" s="9" t="s">
        <v>4818</v>
      </c>
      <c r="C77" s="9" t="str">
        <f aca="false">'Author Decision Queue'!$AG$77</f>
        <v/>
      </c>
      <c r="D77" s="32" t="s">
        <v>4505</v>
      </c>
      <c r="E77" s="33" t="s">
        <v>5091</v>
      </c>
      <c r="F77" s="33" t="s">
        <v>5050</v>
      </c>
      <c r="G77" s="33" t="s">
        <v>5034</v>
      </c>
      <c r="H77" s="34" t="n">
        <v>46274</v>
      </c>
      <c r="I77" s="23" t="str">
        <f aca="false">'Author Decision Queue'!$Z$77</f>
        <v>RESOLVED</v>
      </c>
      <c r="J77" s="23" t="str">
        <f aca="false">'Author Decision Queue'!$Y$77</f>
        <v>summary → The Father is an embodied, tangible, glorified person; humanity is made in His image. | caution → Counted as an addition because it does not appear as a positive doctrine in the creeds and confessions studied — not because no Christian ever taught something like it.</v>
      </c>
      <c r="K77" s="23" t="str">
        <f aca="false">'Author Decision Queue'!$J$77</f>
        <v>Ratify RNR-A01: Father is an embodied, tangible, glorified person with genuinely humanlike form.</v>
      </c>
    </row>
    <row r="78" customFormat="false" ht="15.75" hidden="false" customHeight="true" outlineLevel="0" collapsed="false">
      <c r="A78" s="9" t="n">
        <v>77</v>
      </c>
      <c r="B78" s="9" t="s">
        <v>4824</v>
      </c>
      <c r="C78" s="9" t="str">
        <f aca="false">'Author Decision Queue'!$AG$78</f>
        <v/>
      </c>
      <c r="D78" s="32" t="s">
        <v>4505</v>
      </c>
      <c r="E78" s="33" t="s">
        <v>5092</v>
      </c>
      <c r="F78" s="33" t="s">
        <v>5050</v>
      </c>
      <c r="G78" s="33" t="s">
        <v>5034</v>
      </c>
      <c r="H78" s="34" t="n">
        <v>46274</v>
      </c>
      <c r="I78" s="23" t="str">
        <f aca="false">'Author Decision Queue'!$Z$78</f>
        <v>RESOLVED</v>
      </c>
      <c r="J78" s="23" t="str">
        <f aca="false">'Author Decision Queue'!$Y$78</f>
        <v>caution → Counted as an addition because it does not appear as a positive doctrine in the creeds and confessions studied — not because no Christian ever taught something like it.</v>
      </c>
      <c r="K78" s="23" t="str">
        <f aca="false">'Author Decision Queue'!$J$78</f>
        <v>Ratify RNR-A02: Father presides within the Godhead.</v>
      </c>
    </row>
    <row r="79" customFormat="false" ht="15.75" hidden="false" customHeight="true" outlineLevel="0" collapsed="false">
      <c r="A79" s="9" t="n">
        <v>78</v>
      </c>
      <c r="B79" s="9" t="s">
        <v>4828</v>
      </c>
      <c r="C79" s="9" t="str">
        <f aca="false">'Author Decision Queue'!$AG$79</f>
        <v/>
      </c>
      <c r="D79" s="32" t="s">
        <v>4505</v>
      </c>
      <c r="E79" s="33" t="s">
        <v>5093</v>
      </c>
      <c r="F79" s="33" t="s">
        <v>5050</v>
      </c>
      <c r="G79" s="33" t="s">
        <v>5034</v>
      </c>
      <c r="H79" s="34" t="n">
        <v>46274</v>
      </c>
      <c r="I79" s="23" t="str">
        <f aca="false">'Author Decision Queue'!$Z$79</f>
        <v>RESOLVED</v>
      </c>
      <c r="J79" s="23" t="str">
        <f aca="false">'Author Decision Queue'!$Y$79</f>
        <v>summary → God is personally present in one place at a time, while His light, knowledge, power, and governance fill all creation. | caution → Counted as an addition because it does not appear as a positive doctrine in the creeds and confessions studied — not because no Christian ever taught something like it.</v>
      </c>
      <c r="K79" s="23" t="str">
        <f aca="false">'Author Decision Queue'!$J$79</f>
        <v>Ratify RNR-A03: God's determinate personal presence is distinguishable from His universally operative light, knowledge, power, and governance.</v>
      </c>
    </row>
    <row r="80" customFormat="false" ht="15.75" hidden="false" customHeight="true" outlineLevel="0" collapsed="false">
      <c r="A80" s="9" t="n">
        <v>79</v>
      </c>
      <c r="B80" s="9" t="s">
        <v>4832</v>
      </c>
      <c r="C80" s="9" t="str">
        <f aca="false">'Author Decision Queue'!$AG$80</f>
        <v/>
      </c>
      <c r="D80" s="32" t="s">
        <v>4505</v>
      </c>
      <c r="E80" s="33" t="s">
        <v>5094</v>
      </c>
      <c r="F80" s="33" t="s">
        <v>5050</v>
      </c>
      <c r="G80" s="33" t="s">
        <v>5034</v>
      </c>
      <c r="H80" s="34" t="n">
        <v>46274</v>
      </c>
      <c r="I80" s="23" t="str">
        <f aca="false">'Author Decision Queue'!$Z$80</f>
        <v>RESOLVED</v>
      </c>
      <c r="J80" s="23" t="str">
        <f aca="false">'Author Decision Queue'!$Y$80</f>
        <v>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v>
      </c>
      <c r="K80" s="23" t="str">
        <f aca="false">'Author Decision Queue'!$J$80</f>
        <v>Ratify RNR-A04: God the Father was once as humanity now is and is an exalted man.</v>
      </c>
    </row>
    <row r="81" customFormat="false" ht="15.75" hidden="false" customHeight="true" outlineLevel="0" collapsed="false">
      <c r="A81" s="9" t="n">
        <v>80</v>
      </c>
      <c r="B81" s="9" t="s">
        <v>4836</v>
      </c>
      <c r="C81" s="9" t="str">
        <f aca="false">'Author Decision Queue'!$AG$81</f>
        <v/>
      </c>
      <c r="D81" s="32" t="s">
        <v>4505</v>
      </c>
      <c r="E81" s="33" t="s">
        <v>5094</v>
      </c>
      <c r="F81" s="33" t="s">
        <v>5050</v>
      </c>
      <c r="G81" s="33" t="s">
        <v>5034</v>
      </c>
      <c r="H81" s="34" t="n">
        <v>46274</v>
      </c>
      <c r="I81" s="23" t="str">
        <f aca="false">'Author Decision Queue'!$Z$81</f>
        <v>RESOLVED</v>
      </c>
      <c r="J81" s="23" t="str">
        <f aca="false">'Author Decision Queue'!$Y$81</f>
        <v>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v>
      </c>
      <c r="K81" s="23" t="str">
        <f aca="false">'Author Decision Queue'!$J$81</f>
        <v>Ratify RNR-A05: God the Father had a Father, implying antecedent divine lineage while leaving the mechanics unrevealed.</v>
      </c>
    </row>
    <row r="82" customFormat="false" ht="15.75" hidden="false" customHeight="true" outlineLevel="0" collapsed="false">
      <c r="A82" s="9" t="n">
        <v>81</v>
      </c>
      <c r="B82" s="9" t="s">
        <v>4840</v>
      </c>
      <c r="C82" s="9" t="str">
        <f aca="false">'Author Decision Queue'!$AG$82</f>
        <v/>
      </c>
      <c r="D82" s="32" t="s">
        <v>4505</v>
      </c>
      <c r="E82" s="33" t="s">
        <v>5092</v>
      </c>
      <c r="F82" s="33" t="s">
        <v>5050</v>
      </c>
      <c r="G82" s="33" t="s">
        <v>5034</v>
      </c>
      <c r="H82" s="34" t="n">
        <v>46274</v>
      </c>
      <c r="I82" s="23" t="str">
        <f aca="false">'Author Decision Queue'!$Z$82</f>
        <v>RESOLVED</v>
      </c>
      <c r="J82" s="23" t="str">
        <f aca="false">'Author Decision Queue'!$Y$82</f>
        <v>caution → Counted as an addition because it does not appear as a positive doctrine in the creeds and confessions studied — not because no Christian ever taught something like it.</v>
      </c>
      <c r="K82" s="23" t="str">
        <f aca="false">'Author Decision Queue'!$J$82</f>
        <v>Ratify RNR-A06: Humans are literal spirit children of Heavenly Parents.</v>
      </c>
    </row>
    <row r="83" customFormat="false" ht="15.75" hidden="false" customHeight="true" outlineLevel="0" collapsed="false">
      <c r="A83" s="9" t="n">
        <v>82</v>
      </c>
      <c r="B83" s="9" t="s">
        <v>4845</v>
      </c>
      <c r="C83" s="9" t="str">
        <f aca="false">'Author Decision Queue'!$AG$83</f>
        <v/>
      </c>
      <c r="D83" s="32" t="s">
        <v>5025</v>
      </c>
      <c r="E83" s="33"/>
      <c r="F83" s="33" t="s">
        <v>5052</v>
      </c>
      <c r="G83" s="33" t="s">
        <v>5034</v>
      </c>
      <c r="H83" s="34" t="n">
        <v>46274</v>
      </c>
      <c r="I83" s="23" t="str">
        <f aca="false">'Author Decision Queue'!$Z$83</f>
        <v>RESOLVED</v>
      </c>
      <c r="J83" s="23" t="str">
        <f aca="false">'Author Decision Queue'!$Y$83</f>
        <v>APPROVE AS WRITTEN</v>
      </c>
      <c r="K83" s="23" t="str">
        <f aca="false">'Author Decision Queue'!$J$83</f>
        <v>Ratify RNR-A07: Heavenly Mother exists as a divine parent.</v>
      </c>
    </row>
    <row r="84" customFormat="false" ht="15.75" hidden="false" customHeight="true" outlineLevel="0" collapsed="false">
      <c r="A84" s="9" t="n">
        <v>83</v>
      </c>
      <c r="B84" s="9" t="s">
        <v>4849</v>
      </c>
      <c r="C84" s="9" t="str">
        <f aca="false">'Author Decision Queue'!$AG$84</f>
        <v/>
      </c>
      <c r="D84" s="32" t="s">
        <v>4505</v>
      </c>
      <c r="E84" s="33" t="s">
        <v>5092</v>
      </c>
      <c r="F84" s="33" t="s">
        <v>5050</v>
      </c>
      <c r="G84" s="33" t="s">
        <v>5034</v>
      </c>
      <c r="H84" s="34" t="n">
        <v>46274</v>
      </c>
      <c r="I84" s="23" t="str">
        <f aca="false">'Author Decision Queue'!$Z$84</f>
        <v>RESOLVED</v>
      </c>
      <c r="J84" s="23" t="str">
        <f aca="false">'Author Decision Queue'!$Y$84</f>
        <v>caution → Counted as an addition because it does not appear as a positive doctrine in the creeds and confessions studied — not because no Christian ever taught something like it.</v>
      </c>
      <c r="K84" s="23" t="str">
        <f aca="false">'Author Decision Queue'!$J$84</f>
        <v>Ratify RNR-A08: Human beings possessed personal premortal existence.</v>
      </c>
    </row>
    <row r="85" customFormat="false" ht="15.75" hidden="false" customHeight="true" outlineLevel="0" collapsed="false">
      <c r="A85" s="9" t="n">
        <v>84</v>
      </c>
      <c r="B85" s="9" t="s">
        <v>4853</v>
      </c>
      <c r="C85" s="9" t="str">
        <f aca="false">'Author Decision Queue'!$AG$85</f>
        <v/>
      </c>
      <c r="D85" s="32" t="s">
        <v>4505</v>
      </c>
      <c r="E85" s="33" t="s">
        <v>5092</v>
      </c>
      <c r="F85" s="33" t="s">
        <v>5050</v>
      </c>
      <c r="G85" s="33" t="s">
        <v>5034</v>
      </c>
      <c r="H85" s="34" t="n">
        <v>46274</v>
      </c>
      <c r="I85" s="23" t="str">
        <f aca="false">'Author Decision Queue'!$Z$85</f>
        <v>RESOLVED</v>
      </c>
      <c r="J85" s="23" t="str">
        <f aca="false">'Author Decision Queue'!$Y$85</f>
        <v>caution → Counted as an addition because it does not appear as a positive doctrine in the creeds and confessions studied — not because no Christian ever taught something like it.</v>
      </c>
      <c r="K85" s="23" t="str">
        <f aca="false">'Author Decision Queue'!$J$85</f>
        <v>Ratify RNR-A09: Gender is an essential characteristic of premortal, mortal, and eternal identity.</v>
      </c>
    </row>
    <row r="86" customFormat="false" ht="15.75" hidden="false" customHeight="true" outlineLevel="0" collapsed="false">
      <c r="A86" s="9" t="n">
        <v>85</v>
      </c>
      <c r="B86" s="9" t="s">
        <v>4857</v>
      </c>
      <c r="C86" s="9" t="str">
        <f aca="false">'Author Decision Queue'!$AG$86</f>
        <v/>
      </c>
      <c r="D86" s="32" t="s">
        <v>4505</v>
      </c>
      <c r="E86" s="33" t="s">
        <v>5092</v>
      </c>
      <c r="F86" s="33" t="s">
        <v>5050</v>
      </c>
      <c r="G86" s="33" t="s">
        <v>5034</v>
      </c>
      <c r="H86" s="34" t="n">
        <v>46274</v>
      </c>
      <c r="I86" s="23" t="str">
        <f aca="false">'Author Decision Queue'!$Z$86</f>
        <v>RESOLVED</v>
      </c>
      <c r="J86" s="23" t="str">
        <f aca="false">'Author Decision Queue'!$Y$86</f>
        <v>caution → Counted as an addition because it does not appear as a positive doctrine in the creeds and confessions studied — not because no Christian ever taught something like it.</v>
      </c>
      <c r="K86" s="23" t="str">
        <f aca="false">'Author Decision Queue'!$J$86</f>
        <v>Ratify RNR-A10: Human intelligence is uncreated/unmade and beginningless in a fundamental sense.</v>
      </c>
    </row>
    <row r="87" customFormat="false" ht="15.75" hidden="false" customHeight="true" outlineLevel="0" collapsed="false">
      <c r="A87" s="9" t="n">
        <v>86</v>
      </c>
      <c r="B87" s="9" t="s">
        <v>4861</v>
      </c>
      <c r="C87" s="9" t="str">
        <f aca="false">'Author Decision Queue'!$AG$87</f>
        <v/>
      </c>
      <c r="D87" s="32" t="s">
        <v>4505</v>
      </c>
      <c r="E87" s="33" t="s">
        <v>5092</v>
      </c>
      <c r="F87" s="33" t="s">
        <v>5050</v>
      </c>
      <c r="G87" s="33" t="s">
        <v>5034</v>
      </c>
      <c r="H87" s="34" t="n">
        <v>46274</v>
      </c>
      <c r="I87" s="23" t="str">
        <f aca="false">'Author Decision Queue'!$Z$87</f>
        <v>RESOLVED</v>
      </c>
      <c r="J87" s="23" t="str">
        <f aca="false">'Author Decision Queue'!$Y$87</f>
        <v>caution → Counted as an addition because it does not appear as a positive doctrine in the creeds and confessions studied — not because no Christian ever taught something like it.</v>
      </c>
      <c r="K87" s="23" t="str">
        <f aca="false">'Author Decision Queue'!$J$87</f>
        <v>Ratify RNR-A11: Human divine nature and potential arise from literal heavenly parentage.</v>
      </c>
    </row>
    <row r="88" customFormat="false" ht="15.75" hidden="false" customHeight="true" outlineLevel="0" collapsed="false">
      <c r="A88" s="9" t="n">
        <v>87</v>
      </c>
      <c r="B88" s="9" t="s">
        <v>4865</v>
      </c>
      <c r="C88" s="9" t="str">
        <f aca="false">'Author Decision Queue'!$AG$88</f>
        <v/>
      </c>
      <c r="D88" s="32" t="s">
        <v>4505</v>
      </c>
      <c r="E88" s="33" t="s">
        <v>5092</v>
      </c>
      <c r="F88" s="33" t="s">
        <v>5050</v>
      </c>
      <c r="G88" s="33" t="s">
        <v>5034</v>
      </c>
      <c r="H88" s="34" t="n">
        <v>46274</v>
      </c>
      <c r="I88" s="23" t="str">
        <f aca="false">'Author Decision Queue'!$Z$88</f>
        <v>RESOLVED</v>
      </c>
      <c r="J88" s="23" t="str">
        <f aca="false">'Author Decision Queue'!$Y$88</f>
        <v>caution → Counted as an addition because it does not appear as a positive doctrine in the creeds and confessions studied — not because no Christian ever taught something like it.</v>
      </c>
      <c r="K88" s="23" t="str">
        <f aca="false">'Author Decision Queue'!$J$88</f>
        <v>Ratify RNR-A12: Christ is the Firstborn spirit Son and stands in genuine familial relation to the Father's other spirit children while remaining uniquely Savior and Redeemer.</v>
      </c>
    </row>
    <row r="89" customFormat="false" ht="15.75" hidden="false" customHeight="true" outlineLevel="0" collapsed="false">
      <c r="A89" s="9" t="n">
        <v>88</v>
      </c>
      <c r="B89" s="9" t="s">
        <v>4869</v>
      </c>
      <c r="C89" s="9" t="str">
        <f aca="false">'Author Decision Queue'!$AG$89</f>
        <v/>
      </c>
      <c r="D89" s="32" t="s">
        <v>4505</v>
      </c>
      <c r="E89" s="33" t="s">
        <v>5092</v>
      </c>
      <c r="F89" s="33" t="s">
        <v>5050</v>
      </c>
      <c r="G89" s="33" t="s">
        <v>5034</v>
      </c>
      <c r="H89" s="34" t="n">
        <v>46274</v>
      </c>
      <c r="I89" s="23" t="str">
        <f aca="false">'Author Decision Queue'!$Z$89</f>
        <v>RESOLVED</v>
      </c>
      <c r="J89" s="23" t="str">
        <f aca="false">'Author Decision Queue'!$Y$89</f>
        <v>caution → Counted as an addition because it does not appear as a positive doctrine in the creeds and confessions studied — not because no Christian ever taught something like it.</v>
      </c>
      <c r="K89" s="23" t="str">
        <f aca="false">'Author Decision Queue'!$J$89</f>
        <v>Ratify RNR-A13: Elements are eternal.</v>
      </c>
    </row>
    <row r="90" customFormat="false" ht="15.75" hidden="false" customHeight="true" outlineLevel="0" collapsed="false">
      <c r="A90" s="9" t="n">
        <v>89</v>
      </c>
      <c r="B90" s="9" t="s">
        <v>4874</v>
      </c>
      <c r="C90" s="9" t="str">
        <f aca="false">'Author Decision Queue'!$AG$90</f>
        <v/>
      </c>
      <c r="D90" s="32" t="s">
        <v>4505</v>
      </c>
      <c r="E90" s="33" t="s">
        <v>5092</v>
      </c>
      <c r="F90" s="33" t="s">
        <v>5050</v>
      </c>
      <c r="G90" s="33" t="s">
        <v>5034</v>
      </c>
      <c r="H90" s="34" t="n">
        <v>46274</v>
      </c>
      <c r="I90" s="23" t="str">
        <f aca="false">'Author Decision Queue'!$Z$90</f>
        <v>RESOLVED</v>
      </c>
      <c r="J90" s="23" t="str">
        <f aca="false">'Author Decision Queue'!$Y$90</f>
        <v>caution → Counted as an addition because it does not appear as a positive doctrine in the creeds and confessions studied — not because no Christian ever taught something like it.</v>
      </c>
      <c r="K90" s="23" t="str">
        <f aca="false">'Author Decision Queue'!$J$90</f>
        <v>Ratify RNR-A14: Spirit is refined matter rather than immaterial substance.</v>
      </c>
    </row>
    <row r="91" customFormat="false" ht="15.75" hidden="false" customHeight="true" outlineLevel="0" collapsed="false">
      <c r="A91" s="9" t="n">
        <v>90</v>
      </c>
      <c r="B91" s="9" t="s">
        <v>4878</v>
      </c>
      <c r="C91" s="9" t="str">
        <f aca="false">'Author Decision Queue'!$AG$91</f>
        <v/>
      </c>
      <c r="D91" s="32" t="s">
        <v>4505</v>
      </c>
      <c r="E91" s="33" t="s">
        <v>5092</v>
      </c>
      <c r="F91" s="33" t="s">
        <v>5050</v>
      </c>
      <c r="G91" s="33" t="s">
        <v>5034</v>
      </c>
      <c r="H91" s="34" t="n">
        <v>46274</v>
      </c>
      <c r="I91" s="23" t="str">
        <f aca="false">'Author Decision Queue'!$Z$91</f>
        <v>RESOLVED</v>
      </c>
      <c r="J91" s="23" t="str">
        <f aca="false">'Author Decision Queue'!$Y$91</f>
        <v>caution → Counted as an addition because it does not appear as a positive doctrine in the creeds and confessions studied — not because no Christian ever taught something like it.</v>
      </c>
      <c r="K91" s="23" t="str">
        <f aca="false">'Author Decision Queue'!$J$91</f>
        <v>Ratify RNR-A15: Divine creation organizes preexistent reality rather than creating all constituent reality from absolute nothing.</v>
      </c>
    </row>
    <row r="92" customFormat="false" ht="15.75" hidden="false" customHeight="true" outlineLevel="0" collapsed="false">
      <c r="A92" s="9" t="n">
        <v>91</v>
      </c>
      <c r="B92" s="9" t="s">
        <v>4882</v>
      </c>
      <c r="C92" s="9" t="str">
        <f aca="false">'Author Decision Queue'!$AG$92</f>
        <v/>
      </c>
      <c r="D92" s="32" t="s">
        <v>4505</v>
      </c>
      <c r="E92" s="33" t="s">
        <v>5092</v>
      </c>
      <c r="F92" s="33" t="s">
        <v>5050</v>
      </c>
      <c r="G92" s="33" t="s">
        <v>5034</v>
      </c>
      <c r="H92" s="34" t="n">
        <v>46274</v>
      </c>
      <c r="I92" s="23" t="str">
        <f aca="false">'Author Decision Queue'!$Z$92</f>
        <v>RESOLVED</v>
      </c>
      <c r="J92" s="23" t="str">
        <f aca="false">'Author Decision Queue'!$Y$92</f>
        <v>caution → Counted as an addition because it does not appear as a positive doctrine in the creeds and confessions studied — not because no Christian ever taught something like it.</v>
      </c>
      <c r="K92" s="23" t="str">
        <f aca="false">'Author Decision Queue'!$J$92</f>
        <v>Ratify RNR-A16: The Light of Christ fills the immensity of space and functions as life, law, illumination, divine power, and governance.</v>
      </c>
    </row>
    <row r="93" customFormat="false" ht="15.75" hidden="false" customHeight="true" outlineLevel="0" collapsed="false">
      <c r="A93" s="9" t="n">
        <v>92</v>
      </c>
      <c r="B93" s="9" t="s">
        <v>4886</v>
      </c>
      <c r="C93" s="9" t="str">
        <f aca="false">'Author Decision Queue'!$AG$93</f>
        <v/>
      </c>
      <c r="D93" s="32" t="s">
        <v>4505</v>
      </c>
      <c r="E93" s="33" t="s">
        <v>5092</v>
      </c>
      <c r="F93" s="33" t="s">
        <v>5050</v>
      </c>
      <c r="G93" s="33" t="s">
        <v>5034</v>
      </c>
      <c r="H93" s="34" t="n">
        <v>46274</v>
      </c>
      <c r="I93" s="23" t="str">
        <f aca="false">'Author Decision Queue'!$Z$93</f>
        <v>RESOLVED</v>
      </c>
      <c r="J93" s="23" t="str">
        <f aca="false">'Author Decision Queue'!$Y$93</f>
        <v>caution → Counted as an addition because it does not appear as a positive doctrine in the creeds and confessions studied — not because no Christian ever taught something like it.</v>
      </c>
      <c r="K93" s="23" t="str">
        <f aca="false">'Author Decision Queue'!$J$93</f>
        <v>Ratify RNR-A17: Spirit and element permanently and inseparably united constitute the condition for fulness of joy.</v>
      </c>
    </row>
    <row r="94" customFormat="false" ht="15.75" hidden="false" customHeight="true" outlineLevel="0" collapsed="false">
      <c r="A94" s="9" t="n">
        <v>93</v>
      </c>
      <c r="B94" s="9" t="s">
        <v>4890</v>
      </c>
      <c r="C94" s="9" t="str">
        <f aca="false">'Author Decision Queue'!$AG$94</f>
        <v/>
      </c>
      <c r="D94" s="32" t="s">
        <v>4505</v>
      </c>
      <c r="E94" s="33" t="s">
        <v>5092</v>
      </c>
      <c r="F94" s="33" t="s">
        <v>5050</v>
      </c>
      <c r="G94" s="33" t="s">
        <v>5034</v>
      </c>
      <c r="H94" s="34" t="n">
        <v>46274</v>
      </c>
      <c r="I94" s="23" t="str">
        <f aca="false">'Author Decision Queue'!$Z$94</f>
        <v>RESOLVED</v>
      </c>
      <c r="J94" s="23" t="str">
        <f aca="false">'Author Decision Queue'!$Y$94</f>
        <v>caution → Counted as an addition because it does not appear as a positive doctrine in the creeds and confessions studied — not because no Christian ever taught something like it.</v>
      </c>
      <c r="K94" s="23" t="str">
        <f aca="false">'Author Decision Queue'!$J$94</f>
        <v>Ratify RNR-A18: Mortal social relationships can continue eternally when sealed and transformed by eternal glory.</v>
      </c>
    </row>
    <row r="95" customFormat="false" ht="15.75" hidden="false" customHeight="true" outlineLevel="0" collapsed="false">
      <c r="A95" s="9" t="n">
        <v>94</v>
      </c>
      <c r="B95" s="9" t="s">
        <v>4894</v>
      </c>
      <c r="C95" s="9" t="str">
        <f aca="false">'Author Decision Queue'!$AG$95</f>
        <v/>
      </c>
      <c r="D95" s="32" t="s">
        <v>4505</v>
      </c>
      <c r="E95" s="33" t="s">
        <v>5092</v>
      </c>
      <c r="F95" s="33" t="s">
        <v>5050</v>
      </c>
      <c r="G95" s="33" t="s">
        <v>5034</v>
      </c>
      <c r="H95" s="34" t="n">
        <v>46274</v>
      </c>
      <c r="I95" s="23" t="str">
        <f aca="false">'Author Decision Queue'!$Z$95</f>
        <v>RESOLVED</v>
      </c>
      <c r="J95" s="23" t="str">
        <f aca="false">'Author Decision Queue'!$Y$95</f>
        <v>caution → Counted as an addition because it does not appear as a positive doctrine in the creeds and confessions studied — not because no Christian ever taught something like it.</v>
      </c>
      <c r="K95" s="23" t="str">
        <f aca="false">'Author Decision Queue'!$J$95</f>
        <v>Ratify RNR-A19: Human beings may receive divine fulness and become like God, canonically described as becoming gods.</v>
      </c>
    </row>
    <row r="96" customFormat="false" ht="15.75" hidden="false" customHeight="true" outlineLevel="0" collapsed="false">
      <c r="A96" s="9" t="n">
        <v>95</v>
      </c>
      <c r="B96" s="9" t="s">
        <v>4899</v>
      </c>
      <c r="C96" s="9" t="str">
        <f aca="false">'Author Decision Queue'!$AG$96</f>
        <v/>
      </c>
      <c r="D96" s="32" t="s">
        <v>4505</v>
      </c>
      <c r="E96" s="33" t="s">
        <v>5092</v>
      </c>
      <c r="F96" s="33" t="s">
        <v>5050</v>
      </c>
      <c r="G96" s="33" t="s">
        <v>5034</v>
      </c>
      <c r="H96" s="34" t="n">
        <v>46274</v>
      </c>
      <c r="I96" s="23" t="str">
        <f aca="false">'Author Decision Queue'!$Z$96</f>
        <v>RESOLVED</v>
      </c>
      <c r="J96" s="23" t="str">
        <f aca="false">'Author Decision Queue'!$Y$96</f>
        <v>caution → Counted as an addition because it does not appear as a positive doctrine in the creeds and confessions studied — not because no Christian ever taught something like it.</v>
      </c>
      <c r="K96" s="23" t="str">
        <f aca="false">'Author Decision Queue'!$J$96</f>
        <v>Ratify RNR-A20: Celestial marriage continues eternally.</v>
      </c>
    </row>
    <row r="97" customFormat="false" ht="15.75" hidden="false" customHeight="true" outlineLevel="0" collapsed="false">
      <c r="A97" s="9" t="n">
        <v>96</v>
      </c>
      <c r="B97" s="9" t="s">
        <v>4903</v>
      </c>
      <c r="C97" s="9" t="str">
        <f aca="false">'Author Decision Queue'!$AG$97</f>
        <v/>
      </c>
      <c r="D97" s="32" t="s">
        <v>4505</v>
      </c>
      <c r="E97" s="33" t="s">
        <v>5092</v>
      </c>
      <c r="F97" s="33" t="s">
        <v>5050</v>
      </c>
      <c r="G97" s="33" t="s">
        <v>5034</v>
      </c>
      <c r="H97" s="34" t="n">
        <v>46274</v>
      </c>
      <c r="I97" s="23" t="str">
        <f aca="false">'Author Decision Queue'!$Z$97</f>
        <v>RESOLVED</v>
      </c>
      <c r="J97" s="23" t="str">
        <f aca="false">'Author Decision Queue'!$Y$97</f>
        <v>caution → Counted as an addition because it does not appear as a positive doctrine in the creeds and confessions studied — not because no Christian ever taught something like it.</v>
      </c>
      <c r="K97" s="23" t="str">
        <f aca="false">'Author Decision Queue'!$J$97</f>
        <v>Ratify RNR-A21: Celestial marriage is required for the highest degree of exaltation.</v>
      </c>
    </row>
    <row r="98" customFormat="false" ht="15.75" hidden="false" customHeight="true" outlineLevel="0" collapsed="false">
      <c r="A98" s="9" t="n">
        <v>97</v>
      </c>
      <c r="B98" s="9" t="s">
        <v>4907</v>
      </c>
      <c r="C98" s="9" t="str">
        <f aca="false">'Author Decision Queue'!$AG$98</f>
        <v/>
      </c>
      <c r="D98" s="32" t="s">
        <v>4505</v>
      </c>
      <c r="E98" s="33" t="s">
        <v>5092</v>
      </c>
      <c r="F98" s="33" t="s">
        <v>5050</v>
      </c>
      <c r="G98" s="33" t="s">
        <v>5034</v>
      </c>
      <c r="H98" s="34" t="n">
        <v>46274</v>
      </c>
      <c r="I98" s="23" t="str">
        <f aca="false">'Author Decision Queue'!$Z$98</f>
        <v>RESOLVED</v>
      </c>
      <c r="J98" s="23" t="str">
        <f aca="false">'Author Decision Queue'!$Y$98</f>
        <v>caution → Counted as an addition because it does not appear as a positive doctrine in the creeds and confessions studied — not because no Christian ever taught something like it.</v>
      </c>
      <c r="K98" s="23" t="str">
        <f aca="false">'Author Decision Queue'!$J$98</f>
        <v>Ratify RNR-A22: Family relationships can be perpetuated eternally.</v>
      </c>
    </row>
    <row r="99" customFormat="false" ht="15.75" hidden="false" customHeight="true" outlineLevel="0" collapsed="false">
      <c r="A99" s="9" t="n">
        <v>98</v>
      </c>
      <c r="B99" s="9" t="s">
        <v>4911</v>
      </c>
      <c r="C99" s="9" t="str">
        <f aca="false">'Author Decision Queue'!$AG$99</f>
        <v/>
      </c>
      <c r="D99" s="32" t="s">
        <v>4505</v>
      </c>
      <c r="E99" s="33" t="s">
        <v>5092</v>
      </c>
      <c r="F99" s="33" t="s">
        <v>5050</v>
      </c>
      <c r="G99" s="33" t="s">
        <v>5034</v>
      </c>
      <c r="H99" s="34" t="n">
        <v>46274</v>
      </c>
      <c r="I99" s="23" t="str">
        <f aca="false">'Author Decision Queue'!$Z$99</f>
        <v>RESOLVED</v>
      </c>
      <c r="J99" s="23" t="str">
        <f aca="false">'Author Decision Queue'!$Y$99</f>
        <v>caution → Counted as an addition because it does not appear as a positive doctrine in the creeds and confessions studied — not because no Christian ever taught something like it.</v>
      </c>
      <c r="K99" s="23" t="str">
        <f aca="false">'Author Decision Queue'!$J$99</f>
        <v>Ratify RNR-A23: Exalted spouses receive continuation of the seeds / eternal increase.</v>
      </c>
    </row>
    <row r="100" customFormat="false" ht="15.75" hidden="false" customHeight="true" outlineLevel="0" collapsed="false">
      <c r="A100" s="9" t="n">
        <v>99</v>
      </c>
      <c r="B100" s="9" t="s">
        <v>4915</v>
      </c>
      <c r="C100" s="9" t="str">
        <f aca="false">'Author Decision Queue'!$AG$100</f>
        <v/>
      </c>
      <c r="D100" s="32" t="s">
        <v>4505</v>
      </c>
      <c r="E100" s="33" t="s">
        <v>5092</v>
      </c>
      <c r="F100" s="33" t="s">
        <v>5050</v>
      </c>
      <c r="G100" s="33" t="s">
        <v>5034</v>
      </c>
      <c r="H100" s="34" t="n">
        <v>46274</v>
      </c>
      <c r="I100" s="23" t="str">
        <f aca="false">'Author Decision Queue'!$Z$100</f>
        <v>RESOLVED</v>
      </c>
      <c r="J100" s="23" t="str">
        <f aca="false">'Author Decision Queue'!$Y$100</f>
        <v>caution → Counted as an addition because it does not appear as a positive doctrine in the creeds and confessions studied — not because no Christian ever taught something like it.</v>
      </c>
      <c r="K100" s="23" t="str">
        <f aca="false">'Author Decision Queue'!$J$100</f>
        <v>Ratify RNR-A24: Resurrected and glorified exalted beings become parents of spirit offspring.</v>
      </c>
    </row>
    <row r="101" customFormat="false" ht="15.75" hidden="false" customHeight="true" outlineLevel="0" collapsed="false">
      <c r="A101" s="9" t="n">
        <v>100</v>
      </c>
      <c r="B101" s="9" t="s">
        <v>4919</v>
      </c>
      <c r="C101" s="9" t="str">
        <f aca="false">'Author Decision Queue'!$AG$101</f>
        <v/>
      </c>
      <c r="D101" s="32" t="s">
        <v>4505</v>
      </c>
      <c r="E101" s="33" t="s">
        <v>5095</v>
      </c>
      <c r="F101" s="33" t="s">
        <v>5050</v>
      </c>
      <c r="G101" s="33" t="s">
        <v>5034</v>
      </c>
      <c r="H101" s="34" t="n">
        <v>46274</v>
      </c>
      <c r="I101" s="23" t="str">
        <f aca="false">'Author Decision Queue'!$Z$101</f>
        <v>RESOLVED</v>
      </c>
      <c r="J101" s="23" t="str">
        <f aca="false">'Author Decision Queue'!$Y$101</f>
        <v>caution → Detailed mechanics are not revealed; use source-role and evidence caution. Attributed to a prophet's teaching rather than canonized scripture; the details are not revealed, and Latter-day Saints hold them with reverence and restraint.</v>
      </c>
      <c r="K101" s="23" t="str">
        <f aca="false">'Author Decision Queue'!$J$101</f>
        <v>Ratify RNR-A25: Their spirit offspring subsequently pass through estates corresponding to those through which their glorified parents attained exaltation.</v>
      </c>
    </row>
    <row r="102" customFormat="false" ht="15.75" hidden="false" customHeight="true" outlineLevel="0" collapsed="false">
      <c r="A102" s="9" t="n">
        <v>101</v>
      </c>
      <c r="B102" s="9" t="s">
        <v>4924</v>
      </c>
      <c r="C102" s="9" t="str">
        <f aca="false">'Author Decision Queue'!$AG$102</f>
        <v/>
      </c>
      <c r="D102" s="32" t="s">
        <v>4505</v>
      </c>
      <c r="E102" s="33" t="s">
        <v>5094</v>
      </c>
      <c r="F102" s="33" t="s">
        <v>5050</v>
      </c>
      <c r="G102" s="33" t="s">
        <v>5034</v>
      </c>
      <c r="H102" s="34" t="n">
        <v>46274</v>
      </c>
      <c r="I102" s="23" t="str">
        <f aca="false">'Author Decision Queue'!$Z$102</f>
        <v>RESOLVED</v>
      </c>
      <c r="J102" s="23" t="str">
        <f aca="false">'Author Decision Queue'!$Y$102</f>
        <v>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v>
      </c>
      <c r="K102" s="23" t="str">
        <f aca="false">'Author Decision Queue'!$J$102</f>
        <v>Ratify RNR-A26: Exalted existence entails continuing increase in knowledge, wisdom, power, glory, relationship, posterity, and divine capacity.</v>
      </c>
    </row>
    <row r="103" customFormat="false" ht="15.75" hidden="false" customHeight="true" outlineLevel="0" collapsed="false">
      <c r="A103" s="9" t="n">
        <v>102</v>
      </c>
      <c r="B103" s="9" t="s">
        <v>4928</v>
      </c>
      <c r="C103" s="9" t="str">
        <f aca="false">'Author Decision Queue'!$AG$103</f>
        <v/>
      </c>
      <c r="D103" s="32"/>
      <c r="E103" s="33"/>
      <c r="F103" s="33"/>
      <c r="G103" s="33"/>
      <c r="H103" s="34"/>
      <c r="I103" s="23" t="str">
        <f aca="false">'Author Decision Queue'!$Z$103</f>
        <v>BLOCKED</v>
      </c>
      <c r="J103" s="23" t="str">
        <f aca="false">'Author Decision Queue'!$Y$103</f>
        <v/>
      </c>
      <c r="K103" s="23" t="str">
        <f aca="false">'Author Decision Queue'!$J$103</f>
        <v>Set the public branch-map completeness threshold</v>
      </c>
    </row>
    <row r="104" customFormat="false" ht="15.75" hidden="false" customHeight="true" outlineLevel="0" collapsed="false">
      <c r="A104" s="9" t="n">
        <v>103</v>
      </c>
      <c r="B104" s="9" t="s">
        <v>4945</v>
      </c>
      <c r="C104" s="9" t="str">
        <f aca="false">'Author Decision Queue'!$AG$104</f>
        <v/>
      </c>
      <c r="D104" s="32"/>
      <c r="E104" s="33"/>
      <c r="F104" s="33"/>
      <c r="G104" s="33"/>
      <c r="H104" s="34"/>
      <c r="I104" s="23" t="str">
        <f aca="false">'Author Decision Queue'!$Z$104</f>
        <v>BLOCKED</v>
      </c>
      <c r="J104" s="23" t="str">
        <f aca="false">'Author Decision Queue'!$Y$104</f>
        <v/>
      </c>
      <c r="K104" s="23" t="str">
        <f aca="false">'Author Decision Queue'!$J$104</f>
        <v>Review and adjudicate external-validation results</v>
      </c>
    </row>
    <row r="105" customFormat="false" ht="15.75" hidden="false" customHeight="true" outlineLevel="0" collapsed="false">
      <c r="A105" s="9" t="n">
        <v>104</v>
      </c>
      <c r="B105" s="9" t="s">
        <v>4959</v>
      </c>
      <c r="C105" s="9" t="str">
        <f aca="false">'Author Decision Queue'!$AG$105</f>
        <v/>
      </c>
      <c r="D105" s="32"/>
      <c r="E105" s="33"/>
      <c r="F105" s="33"/>
      <c r="G105" s="33"/>
      <c r="H105" s="34"/>
      <c r="I105" s="23" t="str">
        <f aca="false">'Author Decision Queue'!$Z$105</f>
        <v>BLOCKED</v>
      </c>
      <c r="J105" s="23" t="str">
        <f aca="false">'Author Decision Queue'!$Y$105</f>
        <v/>
      </c>
      <c r="K105" s="23" t="str">
        <f aca="false">'Author Decision Queue'!$J$105</f>
        <v>Authorize final scholarly/public release</v>
      </c>
    </row>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conditionalFormatting sqref="A2:K105">
    <cfRule type="expression" priority="2" aboveAverage="0" equalAverage="0" bottom="0" percent="0" rank="0" text="" dxfId="24">
      <formula>$C2="CURRENT"</formula>
    </cfRule>
    <cfRule type="expression" priority="3" aboveAverage="0" equalAverage="0" bottom="0" percent="0" rank="0" text="" dxfId="25">
      <formula>$I2="RESOLVED"</formula>
    </cfRule>
    <cfRule type="expression" priority="4" aboveAverage="0" equalAverage="0" bottom="0" percent="0" rank="0" text="" dxfId="18">
      <formula>$I2="HOLD"</formula>
    </cfRule>
    <cfRule type="expression" priority="5" aboveAverage="0" equalAverage="0" bottom="0" percent="0" rank="0" text="" dxfId="26">
      <formula>$I2="BLOCKED"</formula>
    </cfRule>
    <cfRule type="expression" priority="6" aboveAverage="0" equalAverage="0" bottom="0" percent="0" rank="0" text="" dxfId="27">
      <formula>ISNUMBER(SEARCH("ADD INITIALS/DATE",$I2))</formula>
    </cfRule>
    <cfRule type="expression" priority="7" aboveAverage="0" equalAverage="0" bottom="0" percent="0" rank="0" text="" dxfId="27">
      <formula>$I2="OPEN — CUSTOM TEXT REQUIRED"</formula>
    </cfRule>
  </conditionalFormatting>
  <dataValidations count="1">
    <dataValidation allowBlank="true" errorStyle="stop" operator="between" showDropDown="false" showErrorMessage="false" showInputMessage="false" sqref="D2:D105" type="list">
      <formula1>"OPTION 1,OPTION 2,OPTION 3,OPTION 4,CUSTOM RESPONSE,HOLD — NEEDS RESEARCH,DEFER — NOT YET"</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6" t="s">
        <v>5096</v>
      </c>
      <c r="B1" s="6" t="s">
        <v>2319</v>
      </c>
      <c r="C1" s="6" t="s">
        <v>1285</v>
      </c>
      <c r="D1" s="6" t="s">
        <v>2323</v>
      </c>
      <c r="E1" s="6" t="s">
        <v>5097</v>
      </c>
      <c r="F1" s="6" t="s">
        <v>5098</v>
      </c>
      <c r="G1" s="6" t="s">
        <v>5099</v>
      </c>
      <c r="H1" s="6" t="s">
        <v>5100</v>
      </c>
      <c r="I1" s="6" t="s">
        <v>2953</v>
      </c>
      <c r="J1" s="6" t="s">
        <v>2592</v>
      </c>
    </row>
    <row r="2" customFormat="false" ht="15" hidden="false" customHeight="false" outlineLevel="0" collapsed="false">
      <c r="A2" s="6" t="s">
        <v>5101</v>
      </c>
      <c r="B2" s="6" t="s">
        <v>2335</v>
      </c>
      <c r="C2" s="6" t="n">
        <v>52</v>
      </c>
      <c r="D2" s="6" t="n">
        <v>57</v>
      </c>
      <c r="E2" s="6" t="n">
        <v>91.2</v>
      </c>
      <c r="F2" s="6" t="n">
        <v>87.8</v>
      </c>
      <c r="G2" s="6" t="n">
        <v>91.2</v>
      </c>
      <c r="H2" s="6" t="s">
        <v>5102</v>
      </c>
      <c r="I2" s="6" t="s">
        <v>5103</v>
      </c>
      <c r="J2" s="6" t="s">
        <v>5104</v>
      </c>
    </row>
    <row r="3" customFormat="false" ht="15" hidden="false" customHeight="false" outlineLevel="0" collapsed="false">
      <c r="A3" s="6" t="s">
        <v>5105</v>
      </c>
      <c r="B3" s="6" t="s">
        <v>5106</v>
      </c>
      <c r="C3" s="6" t="n">
        <v>36</v>
      </c>
      <c r="D3" s="6" t="n">
        <v>57</v>
      </c>
      <c r="E3" s="6" t="n">
        <v>63.2</v>
      </c>
      <c r="F3" s="6" t="n">
        <v>51.7</v>
      </c>
      <c r="G3" s="6" t="n">
        <v>63.2</v>
      </c>
      <c r="H3" s="6" t="s">
        <v>5107</v>
      </c>
      <c r="I3" s="6" t="s">
        <v>5103</v>
      </c>
      <c r="J3" s="6" t="s">
        <v>5104</v>
      </c>
    </row>
    <row r="4" customFormat="false" ht="15" hidden="false" customHeight="false" outlineLevel="0" collapsed="false">
      <c r="A4" s="6" t="s">
        <v>5108</v>
      </c>
      <c r="B4" s="6" t="s">
        <v>2369</v>
      </c>
      <c r="C4" s="6" t="n">
        <v>5</v>
      </c>
      <c r="D4" s="6" t="n">
        <v>57</v>
      </c>
      <c r="E4" s="6" t="n">
        <v>8.8</v>
      </c>
      <c r="F4" s="6" t="n">
        <v>8.8</v>
      </c>
      <c r="G4" s="6" t="n">
        <v>12.2</v>
      </c>
      <c r="H4" s="6" t="s">
        <v>5109</v>
      </c>
      <c r="I4" s="6" t="s">
        <v>5103</v>
      </c>
      <c r="J4" s="6" t="s">
        <v>5104</v>
      </c>
    </row>
    <row r="5" customFormat="false" ht="15" hidden="false" customHeight="false" outlineLevel="0" collapsed="false">
      <c r="A5" s="6" t="s">
        <v>5110</v>
      </c>
      <c r="B5" s="6" t="s">
        <v>2349</v>
      </c>
      <c r="C5" s="6" t="n">
        <v>35</v>
      </c>
      <c r="D5" s="6" t="n">
        <v>35</v>
      </c>
      <c r="E5" s="6" t="n">
        <v>100</v>
      </c>
      <c r="F5" s="6" t="n">
        <v>100</v>
      </c>
      <c r="G5" s="6" t="n">
        <v>100</v>
      </c>
      <c r="H5" s="6" t="s">
        <v>5111</v>
      </c>
      <c r="I5" s="6" t="s">
        <v>5112</v>
      </c>
      <c r="J5" s="6" t="s">
        <v>5113</v>
      </c>
    </row>
    <row r="6" customFormat="false" ht="15" hidden="false" customHeight="false" outlineLevel="0" collapsed="false">
      <c r="A6" s="6" t="s">
        <v>5114</v>
      </c>
      <c r="B6" s="6" t="s">
        <v>2359</v>
      </c>
      <c r="C6" s="6" t="n">
        <v>18</v>
      </c>
      <c r="D6" s="6" t="n">
        <v>22</v>
      </c>
      <c r="E6" s="6" t="n">
        <v>81.8</v>
      </c>
      <c r="H6" s="6" t="s">
        <v>5115</v>
      </c>
      <c r="I6" s="6" t="s">
        <v>5116</v>
      </c>
      <c r="J6" s="6" t="s">
        <v>5113</v>
      </c>
    </row>
    <row r="7" customFormat="false" ht="15" hidden="false" customHeight="false" outlineLevel="0" collapsed="false">
      <c r="A7" s="6" t="s">
        <v>5117</v>
      </c>
      <c r="B7" s="6" t="s">
        <v>2449</v>
      </c>
      <c r="C7" s="6" t="n">
        <v>15</v>
      </c>
      <c r="D7" s="6" t="n">
        <v>26</v>
      </c>
      <c r="E7" s="6" t="n">
        <v>57.7</v>
      </c>
      <c r="H7" s="6" t="s">
        <v>5118</v>
      </c>
      <c r="I7" s="6" t="s">
        <v>5119</v>
      </c>
      <c r="J7" s="6" t="s">
        <v>5113</v>
      </c>
    </row>
    <row r="8" customFormat="false" ht="15" hidden="false" customHeight="false" outlineLevel="0" collapsed="false">
      <c r="A8" s="6" t="s">
        <v>5120</v>
      </c>
      <c r="B8" s="6" t="s">
        <v>2461</v>
      </c>
      <c r="C8" s="6" t="n">
        <v>22</v>
      </c>
      <c r="D8" s="6" t="n">
        <v>26</v>
      </c>
      <c r="E8" s="6" t="n">
        <v>84.6</v>
      </c>
      <c r="H8" s="6" t="s">
        <v>5121</v>
      </c>
      <c r="I8" s="6" t="s">
        <v>5122</v>
      </c>
      <c r="J8" s="6" t="s">
        <v>5113</v>
      </c>
    </row>
    <row r="9" customFormat="false" ht="15" hidden="false" customHeight="false" outlineLevel="0" collapsed="false">
      <c r="A9" s="6" t="s">
        <v>5123</v>
      </c>
      <c r="B9" s="6" t="s">
        <v>2473</v>
      </c>
      <c r="C9" s="6" t="n">
        <v>42</v>
      </c>
      <c r="D9" s="6" t="n">
        <v>47</v>
      </c>
      <c r="E9" s="6" t="n">
        <v>89.4</v>
      </c>
      <c r="H9" s="6" t="s">
        <v>5124</v>
      </c>
      <c r="I9" s="6" t="s">
        <v>5125</v>
      </c>
      <c r="J9" s="6" t="s">
        <v>5113</v>
      </c>
    </row>
    <row r="11" customFormat="false" ht="15" hidden="false" customHeight="false" outlineLevel="0" collapsed="false">
      <c r="A11" s="6" t="s">
        <v>425</v>
      </c>
      <c r="B11" s="6" t="s">
        <v>5126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2026-09-09T07:04:47Z</dcterms:created>
  <dc:creator>openpyxl</dc:creator>
  <dc:description/>
  <dc:language>en-US</dc:language>
  <cp:lastModifiedBy/>
  <dcterms:modified xsi:type="dcterms:W3CDTF">2026-09-09T17:52:52Z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